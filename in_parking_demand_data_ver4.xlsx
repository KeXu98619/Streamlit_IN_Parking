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/>
  <mc:AlternateContent xmlns:mc="http://schemas.openxmlformats.org/markup-compatibility/2006">
    <mc:Choice Requires="x15">
      <x15ac:absPath xmlns:x15ac="http://schemas.microsoft.com/office/spreadsheetml/2010/11/ac" url="https://camsys-my.sharepoint.com/personal/kxu_camsys_com/Documents/LOCUS Truck Parking/data/"/>
    </mc:Choice>
  </mc:AlternateContent>
  <xr:revisionPtr revIDLastSave="15" documentId="8_{CA6DB598-21C4-4A31-9208-2E9E22B49D1E}" xr6:coauthVersionLast="47" xr6:coauthVersionMax="47" xr10:uidLastSave="{5C31F917-AF57-4245-BBC4-D2CB2E4FF10B}"/>
  <bookViews>
    <workbookView xWindow="28680" yWindow="-120" windowWidth="29040" windowHeight="15720" firstSheet="3" activeTab="3" xr2:uid="{C0C02A3B-382B-4B5F-B3EF-D61EBC7F6E8D}"/>
  </bookViews>
  <sheets>
    <sheet name="contents" sheetId="2" r:id="rId1"/>
    <sheet name="parking_demand_data_2024_ver0" sheetId="1" r:id="rId2"/>
    <sheet name="calibration" sheetId="3" r:id="rId3"/>
    <sheet name="parking_demand_data_2024_calibr" sheetId="4" r:id="rId4"/>
    <sheet name="diagnosis" sheetId="5" r:id="rId5"/>
  </sheets>
  <definedNames>
    <definedName name="_xlnm._FilterDatabase" localSheetId="3" hidden="1">parking_demand_data_2024_calibr!$A$1:$T$2209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2" i="4" l="1"/>
  <c r="I2" i="4"/>
  <c r="J2" i="4"/>
  <c r="K2" i="4"/>
  <c r="L2" i="4"/>
  <c r="M2" i="4"/>
  <c r="N2" i="4"/>
  <c r="O2" i="4"/>
  <c r="P2" i="4"/>
  <c r="Q2" i="4"/>
  <c r="R2" i="4"/>
  <c r="S2" i="4"/>
  <c r="T2" i="4"/>
  <c r="H3" i="4"/>
  <c r="I3" i="4"/>
  <c r="J3" i="4"/>
  <c r="K3" i="4"/>
  <c r="L3" i="4"/>
  <c r="M3" i="4"/>
  <c r="N3" i="4"/>
  <c r="O3" i="4"/>
  <c r="P3" i="4"/>
  <c r="Q3" i="4"/>
  <c r="R3" i="4"/>
  <c r="S3" i="4"/>
  <c r="T3" i="4"/>
  <c r="H4" i="4"/>
  <c r="I4" i="4"/>
  <c r="J4" i="4"/>
  <c r="K4" i="4"/>
  <c r="L4" i="4"/>
  <c r="M4" i="4"/>
  <c r="N4" i="4"/>
  <c r="O4" i="4"/>
  <c r="P4" i="4"/>
  <c r="Q4" i="4"/>
  <c r="R4" i="4"/>
  <c r="S4" i="4"/>
  <c r="T4" i="4"/>
  <c r="H5" i="4"/>
  <c r="I5" i="4"/>
  <c r="J5" i="4"/>
  <c r="K5" i="4"/>
  <c r="L5" i="4"/>
  <c r="M5" i="4"/>
  <c r="N5" i="4"/>
  <c r="O5" i="4"/>
  <c r="P5" i="4"/>
  <c r="Q5" i="4"/>
  <c r="R5" i="4"/>
  <c r="S5" i="4"/>
  <c r="T5" i="4"/>
  <c r="H6" i="4"/>
  <c r="I6" i="4"/>
  <c r="J6" i="4"/>
  <c r="K6" i="4"/>
  <c r="L6" i="4"/>
  <c r="M6" i="4"/>
  <c r="N6" i="4"/>
  <c r="O6" i="4"/>
  <c r="P6" i="4"/>
  <c r="Q6" i="4"/>
  <c r="R6" i="4"/>
  <c r="S6" i="4"/>
  <c r="T6" i="4"/>
  <c r="H7" i="4"/>
  <c r="I7" i="4"/>
  <c r="J7" i="4"/>
  <c r="K7" i="4"/>
  <c r="L7" i="4"/>
  <c r="M7" i="4"/>
  <c r="N7" i="4"/>
  <c r="O7" i="4"/>
  <c r="P7" i="4"/>
  <c r="Q7" i="4"/>
  <c r="R7" i="4"/>
  <c r="S7" i="4"/>
  <c r="T7" i="4"/>
  <c r="H8" i="4"/>
  <c r="I8" i="4"/>
  <c r="J8" i="4"/>
  <c r="K8" i="4"/>
  <c r="L8" i="4"/>
  <c r="M8" i="4"/>
  <c r="N8" i="4"/>
  <c r="O8" i="4"/>
  <c r="P8" i="4"/>
  <c r="Q8" i="4"/>
  <c r="R8" i="4"/>
  <c r="S8" i="4"/>
  <c r="T8" i="4"/>
  <c r="H9" i="4"/>
  <c r="I9" i="4"/>
  <c r="J9" i="4"/>
  <c r="K9" i="4"/>
  <c r="L9" i="4"/>
  <c r="M9" i="4"/>
  <c r="N9" i="4"/>
  <c r="O9" i="4"/>
  <c r="P9" i="4"/>
  <c r="Q9" i="4"/>
  <c r="R9" i="4"/>
  <c r="S9" i="4"/>
  <c r="T9" i="4"/>
  <c r="H10" i="4"/>
  <c r="I10" i="4"/>
  <c r="J10" i="4"/>
  <c r="K10" i="4"/>
  <c r="L10" i="4"/>
  <c r="M10" i="4"/>
  <c r="N10" i="4"/>
  <c r="O10" i="4"/>
  <c r="P10" i="4"/>
  <c r="Q10" i="4"/>
  <c r="R10" i="4"/>
  <c r="S10" i="4"/>
  <c r="T10" i="4"/>
  <c r="H11" i="4"/>
  <c r="I11" i="4"/>
  <c r="J11" i="4"/>
  <c r="K11" i="4"/>
  <c r="L11" i="4"/>
  <c r="M11" i="4"/>
  <c r="N11" i="4"/>
  <c r="O11" i="4"/>
  <c r="P11" i="4"/>
  <c r="Q11" i="4"/>
  <c r="R11" i="4"/>
  <c r="S11" i="4"/>
  <c r="T11" i="4"/>
  <c r="H12" i="4"/>
  <c r="I12" i="4"/>
  <c r="J12" i="4"/>
  <c r="K12" i="4"/>
  <c r="L12" i="4"/>
  <c r="M12" i="4"/>
  <c r="N12" i="4"/>
  <c r="O12" i="4"/>
  <c r="P12" i="4"/>
  <c r="Q12" i="4"/>
  <c r="R12" i="4"/>
  <c r="S12" i="4"/>
  <c r="T12" i="4"/>
  <c r="H13" i="4"/>
  <c r="I13" i="4"/>
  <c r="J13" i="4"/>
  <c r="K13" i="4"/>
  <c r="L13" i="4"/>
  <c r="M13" i="4"/>
  <c r="N13" i="4"/>
  <c r="O13" i="4"/>
  <c r="P13" i="4"/>
  <c r="Q13" i="4"/>
  <c r="R13" i="4"/>
  <c r="S13" i="4"/>
  <c r="T13" i="4"/>
  <c r="H14" i="4"/>
  <c r="I14" i="4"/>
  <c r="J14" i="4"/>
  <c r="K14" i="4"/>
  <c r="L14" i="4"/>
  <c r="M14" i="4"/>
  <c r="N14" i="4"/>
  <c r="O14" i="4"/>
  <c r="P14" i="4"/>
  <c r="Q14" i="4"/>
  <c r="R14" i="4"/>
  <c r="S14" i="4"/>
  <c r="T14" i="4"/>
  <c r="H15" i="4"/>
  <c r="I15" i="4"/>
  <c r="J15" i="4"/>
  <c r="K15" i="4"/>
  <c r="L15" i="4"/>
  <c r="M15" i="4"/>
  <c r="N15" i="4"/>
  <c r="O15" i="4"/>
  <c r="P15" i="4"/>
  <c r="Q15" i="4"/>
  <c r="R15" i="4"/>
  <c r="S15" i="4"/>
  <c r="T15" i="4"/>
  <c r="H16" i="4"/>
  <c r="I16" i="4"/>
  <c r="J16" i="4"/>
  <c r="K16" i="4"/>
  <c r="L16" i="4"/>
  <c r="M16" i="4"/>
  <c r="N16" i="4"/>
  <c r="O16" i="4"/>
  <c r="P16" i="4"/>
  <c r="Q16" i="4"/>
  <c r="R16" i="4"/>
  <c r="S16" i="4"/>
  <c r="T16" i="4"/>
  <c r="H17" i="4"/>
  <c r="I17" i="4"/>
  <c r="J17" i="4"/>
  <c r="K17" i="4"/>
  <c r="L17" i="4"/>
  <c r="M17" i="4"/>
  <c r="N17" i="4"/>
  <c r="O17" i="4"/>
  <c r="P17" i="4"/>
  <c r="Q17" i="4"/>
  <c r="R17" i="4"/>
  <c r="S17" i="4"/>
  <c r="T17" i="4"/>
  <c r="H18" i="4"/>
  <c r="I18" i="4"/>
  <c r="J18" i="4"/>
  <c r="K18" i="4"/>
  <c r="L18" i="4"/>
  <c r="M18" i="4"/>
  <c r="N18" i="4"/>
  <c r="O18" i="4"/>
  <c r="P18" i="4"/>
  <c r="Q18" i="4"/>
  <c r="R18" i="4"/>
  <c r="S18" i="4"/>
  <c r="T18" i="4"/>
  <c r="H19" i="4"/>
  <c r="I19" i="4"/>
  <c r="J19" i="4"/>
  <c r="K19" i="4"/>
  <c r="L19" i="4"/>
  <c r="M19" i="4"/>
  <c r="N19" i="4"/>
  <c r="O19" i="4"/>
  <c r="P19" i="4"/>
  <c r="Q19" i="4"/>
  <c r="R19" i="4"/>
  <c r="S19" i="4"/>
  <c r="T19" i="4"/>
  <c r="H20" i="4"/>
  <c r="I20" i="4"/>
  <c r="J20" i="4"/>
  <c r="K20" i="4"/>
  <c r="L20" i="4"/>
  <c r="M20" i="4"/>
  <c r="N20" i="4"/>
  <c r="O20" i="4"/>
  <c r="P20" i="4"/>
  <c r="Q20" i="4"/>
  <c r="R20" i="4"/>
  <c r="S20" i="4"/>
  <c r="T20" i="4"/>
  <c r="H21" i="4"/>
  <c r="I21" i="4"/>
  <c r="J21" i="4"/>
  <c r="K21" i="4"/>
  <c r="L21" i="4"/>
  <c r="M21" i="4"/>
  <c r="N21" i="4"/>
  <c r="O21" i="4"/>
  <c r="P21" i="4"/>
  <c r="Q21" i="4"/>
  <c r="R21" i="4"/>
  <c r="S21" i="4"/>
  <c r="T21" i="4"/>
  <c r="H22" i="4"/>
  <c r="I22" i="4"/>
  <c r="J22" i="4"/>
  <c r="K22" i="4"/>
  <c r="L22" i="4"/>
  <c r="M22" i="4"/>
  <c r="N22" i="4"/>
  <c r="O22" i="4"/>
  <c r="P22" i="4"/>
  <c r="Q22" i="4"/>
  <c r="R22" i="4"/>
  <c r="S22" i="4"/>
  <c r="T22" i="4"/>
  <c r="H23" i="4"/>
  <c r="I23" i="4"/>
  <c r="J23" i="4"/>
  <c r="K23" i="4"/>
  <c r="L23" i="4"/>
  <c r="M23" i="4"/>
  <c r="N23" i="4"/>
  <c r="O23" i="4"/>
  <c r="P23" i="4"/>
  <c r="Q23" i="4"/>
  <c r="R23" i="4"/>
  <c r="S23" i="4"/>
  <c r="T23" i="4"/>
  <c r="H24" i="4"/>
  <c r="I24" i="4"/>
  <c r="J24" i="4"/>
  <c r="K24" i="4"/>
  <c r="L24" i="4"/>
  <c r="M24" i="4"/>
  <c r="N24" i="4"/>
  <c r="O24" i="4"/>
  <c r="P24" i="4"/>
  <c r="Q24" i="4"/>
  <c r="R24" i="4"/>
  <c r="S24" i="4"/>
  <c r="T24" i="4"/>
  <c r="H25" i="4"/>
  <c r="I25" i="4"/>
  <c r="J25" i="4"/>
  <c r="K25" i="4"/>
  <c r="L25" i="4"/>
  <c r="M25" i="4"/>
  <c r="N25" i="4"/>
  <c r="O25" i="4"/>
  <c r="P25" i="4"/>
  <c r="Q25" i="4"/>
  <c r="R25" i="4"/>
  <c r="S25" i="4"/>
  <c r="T25" i="4"/>
  <c r="H26" i="4"/>
  <c r="I26" i="4"/>
  <c r="J26" i="4"/>
  <c r="K26" i="4"/>
  <c r="L26" i="4"/>
  <c r="M26" i="4"/>
  <c r="N26" i="4"/>
  <c r="O26" i="4"/>
  <c r="P26" i="4"/>
  <c r="Q26" i="4"/>
  <c r="R26" i="4"/>
  <c r="S26" i="4"/>
  <c r="T26" i="4"/>
  <c r="H27" i="4"/>
  <c r="I27" i="4"/>
  <c r="J27" i="4"/>
  <c r="K27" i="4"/>
  <c r="L27" i="4"/>
  <c r="M27" i="4"/>
  <c r="N27" i="4"/>
  <c r="O27" i="4"/>
  <c r="P27" i="4"/>
  <c r="Q27" i="4"/>
  <c r="R27" i="4"/>
  <c r="S27" i="4"/>
  <c r="T27" i="4"/>
  <c r="H28" i="4"/>
  <c r="I28" i="4"/>
  <c r="J28" i="4"/>
  <c r="K28" i="4"/>
  <c r="L28" i="4"/>
  <c r="M28" i="4"/>
  <c r="N28" i="4"/>
  <c r="O28" i="4"/>
  <c r="P28" i="4"/>
  <c r="Q28" i="4"/>
  <c r="R28" i="4"/>
  <c r="S28" i="4"/>
  <c r="T28" i="4"/>
  <c r="H29" i="4"/>
  <c r="I29" i="4"/>
  <c r="J29" i="4"/>
  <c r="K29" i="4"/>
  <c r="L29" i="4"/>
  <c r="M29" i="4"/>
  <c r="N29" i="4"/>
  <c r="O29" i="4"/>
  <c r="P29" i="4"/>
  <c r="Q29" i="4"/>
  <c r="R29" i="4"/>
  <c r="S29" i="4"/>
  <c r="T29" i="4"/>
  <c r="H30" i="4"/>
  <c r="I30" i="4"/>
  <c r="J30" i="4"/>
  <c r="K30" i="4"/>
  <c r="L30" i="4"/>
  <c r="M30" i="4"/>
  <c r="N30" i="4"/>
  <c r="O30" i="4"/>
  <c r="P30" i="4"/>
  <c r="Q30" i="4"/>
  <c r="R30" i="4"/>
  <c r="S30" i="4"/>
  <c r="T30" i="4"/>
  <c r="H31" i="4"/>
  <c r="I31" i="4"/>
  <c r="J31" i="4"/>
  <c r="K31" i="4"/>
  <c r="L31" i="4"/>
  <c r="M31" i="4"/>
  <c r="N31" i="4"/>
  <c r="O31" i="4"/>
  <c r="P31" i="4"/>
  <c r="Q31" i="4"/>
  <c r="R31" i="4"/>
  <c r="S31" i="4"/>
  <c r="T31" i="4"/>
  <c r="H32" i="4"/>
  <c r="I32" i="4"/>
  <c r="J32" i="4"/>
  <c r="K32" i="4"/>
  <c r="L32" i="4"/>
  <c r="M32" i="4"/>
  <c r="N32" i="4"/>
  <c r="O32" i="4"/>
  <c r="P32" i="4"/>
  <c r="Q32" i="4"/>
  <c r="R32" i="4"/>
  <c r="S32" i="4"/>
  <c r="T32" i="4"/>
  <c r="H33" i="4"/>
  <c r="I33" i="4"/>
  <c r="J33" i="4"/>
  <c r="K33" i="4"/>
  <c r="L33" i="4"/>
  <c r="M33" i="4"/>
  <c r="N33" i="4"/>
  <c r="O33" i="4"/>
  <c r="P33" i="4"/>
  <c r="Q33" i="4"/>
  <c r="R33" i="4"/>
  <c r="S33" i="4"/>
  <c r="T33" i="4"/>
  <c r="H34" i="4"/>
  <c r="I34" i="4"/>
  <c r="J34" i="4"/>
  <c r="K34" i="4"/>
  <c r="L34" i="4"/>
  <c r="M34" i="4"/>
  <c r="N34" i="4"/>
  <c r="O34" i="4"/>
  <c r="P34" i="4"/>
  <c r="Q34" i="4"/>
  <c r="R34" i="4"/>
  <c r="S34" i="4"/>
  <c r="T34" i="4"/>
  <c r="H35" i="4"/>
  <c r="I35" i="4"/>
  <c r="J35" i="4"/>
  <c r="K35" i="4"/>
  <c r="L35" i="4"/>
  <c r="M35" i="4"/>
  <c r="N35" i="4"/>
  <c r="O35" i="4"/>
  <c r="P35" i="4"/>
  <c r="Q35" i="4"/>
  <c r="R35" i="4"/>
  <c r="S35" i="4"/>
  <c r="T35" i="4"/>
  <c r="H36" i="4"/>
  <c r="I36" i="4"/>
  <c r="J36" i="4"/>
  <c r="K36" i="4"/>
  <c r="L36" i="4"/>
  <c r="M36" i="4"/>
  <c r="N36" i="4"/>
  <c r="O36" i="4"/>
  <c r="P36" i="4"/>
  <c r="Q36" i="4"/>
  <c r="R36" i="4"/>
  <c r="S36" i="4"/>
  <c r="T36" i="4"/>
  <c r="H37" i="4"/>
  <c r="I37" i="4"/>
  <c r="J37" i="4"/>
  <c r="K37" i="4"/>
  <c r="L37" i="4"/>
  <c r="M37" i="4"/>
  <c r="N37" i="4"/>
  <c r="O37" i="4"/>
  <c r="P37" i="4"/>
  <c r="Q37" i="4"/>
  <c r="R37" i="4"/>
  <c r="S37" i="4"/>
  <c r="T37" i="4"/>
  <c r="H38" i="4"/>
  <c r="I38" i="4"/>
  <c r="J38" i="4"/>
  <c r="K38" i="4"/>
  <c r="L38" i="4"/>
  <c r="M38" i="4"/>
  <c r="N38" i="4"/>
  <c r="O38" i="4"/>
  <c r="P38" i="4"/>
  <c r="Q38" i="4"/>
  <c r="R38" i="4"/>
  <c r="S38" i="4"/>
  <c r="T38" i="4"/>
  <c r="H39" i="4"/>
  <c r="I39" i="4"/>
  <c r="J39" i="4"/>
  <c r="K39" i="4"/>
  <c r="L39" i="4"/>
  <c r="M39" i="4"/>
  <c r="N39" i="4"/>
  <c r="O39" i="4"/>
  <c r="P39" i="4"/>
  <c r="Q39" i="4"/>
  <c r="R39" i="4"/>
  <c r="S39" i="4"/>
  <c r="T39" i="4"/>
  <c r="H40" i="4"/>
  <c r="I40" i="4"/>
  <c r="J40" i="4"/>
  <c r="K40" i="4"/>
  <c r="L40" i="4"/>
  <c r="M40" i="4"/>
  <c r="N40" i="4"/>
  <c r="O40" i="4"/>
  <c r="P40" i="4"/>
  <c r="Q40" i="4"/>
  <c r="R40" i="4"/>
  <c r="S40" i="4"/>
  <c r="T40" i="4"/>
  <c r="H41" i="4"/>
  <c r="I41" i="4"/>
  <c r="J41" i="4"/>
  <c r="K41" i="4"/>
  <c r="L41" i="4"/>
  <c r="M41" i="4"/>
  <c r="N41" i="4"/>
  <c r="O41" i="4"/>
  <c r="P41" i="4"/>
  <c r="Q41" i="4"/>
  <c r="R41" i="4"/>
  <c r="S41" i="4"/>
  <c r="T41" i="4"/>
  <c r="H42" i="4"/>
  <c r="I42" i="4"/>
  <c r="J42" i="4"/>
  <c r="K42" i="4"/>
  <c r="L42" i="4"/>
  <c r="M42" i="4"/>
  <c r="N42" i="4"/>
  <c r="O42" i="4"/>
  <c r="P42" i="4"/>
  <c r="Q42" i="4"/>
  <c r="R42" i="4"/>
  <c r="S42" i="4"/>
  <c r="T42" i="4"/>
  <c r="H43" i="4"/>
  <c r="I43" i="4"/>
  <c r="J43" i="4"/>
  <c r="K43" i="4"/>
  <c r="L43" i="4"/>
  <c r="M43" i="4"/>
  <c r="N43" i="4"/>
  <c r="O43" i="4"/>
  <c r="P43" i="4"/>
  <c r="Q43" i="4"/>
  <c r="R43" i="4"/>
  <c r="S43" i="4"/>
  <c r="T43" i="4"/>
  <c r="H44" i="4"/>
  <c r="I44" i="4"/>
  <c r="J44" i="4"/>
  <c r="K44" i="4"/>
  <c r="L44" i="4"/>
  <c r="M44" i="4"/>
  <c r="N44" i="4"/>
  <c r="O44" i="4"/>
  <c r="P44" i="4"/>
  <c r="Q44" i="4"/>
  <c r="R44" i="4"/>
  <c r="S44" i="4"/>
  <c r="T44" i="4"/>
  <c r="H45" i="4"/>
  <c r="I45" i="4"/>
  <c r="J45" i="4"/>
  <c r="K45" i="4"/>
  <c r="L45" i="4"/>
  <c r="M45" i="4"/>
  <c r="N45" i="4"/>
  <c r="O45" i="4"/>
  <c r="P45" i="4"/>
  <c r="Q45" i="4"/>
  <c r="R45" i="4"/>
  <c r="S45" i="4"/>
  <c r="T45" i="4"/>
  <c r="H46" i="4"/>
  <c r="I46" i="4"/>
  <c r="J46" i="4"/>
  <c r="K46" i="4"/>
  <c r="L46" i="4"/>
  <c r="M46" i="4"/>
  <c r="N46" i="4"/>
  <c r="O46" i="4"/>
  <c r="P46" i="4"/>
  <c r="Q46" i="4"/>
  <c r="R46" i="4"/>
  <c r="S46" i="4"/>
  <c r="T46" i="4"/>
  <c r="H47" i="4"/>
  <c r="I47" i="4"/>
  <c r="J47" i="4"/>
  <c r="K47" i="4"/>
  <c r="L47" i="4"/>
  <c r="M47" i="4"/>
  <c r="N47" i="4"/>
  <c r="O47" i="4"/>
  <c r="P47" i="4"/>
  <c r="Q47" i="4"/>
  <c r="R47" i="4"/>
  <c r="S47" i="4"/>
  <c r="T47" i="4"/>
  <c r="H48" i="4"/>
  <c r="I48" i="4"/>
  <c r="J48" i="4"/>
  <c r="K48" i="4"/>
  <c r="L48" i="4"/>
  <c r="M48" i="4"/>
  <c r="N48" i="4"/>
  <c r="O48" i="4"/>
  <c r="P48" i="4"/>
  <c r="Q48" i="4"/>
  <c r="R48" i="4"/>
  <c r="S48" i="4"/>
  <c r="T48" i="4"/>
  <c r="H49" i="4"/>
  <c r="I49" i="4"/>
  <c r="J49" i="4"/>
  <c r="K49" i="4"/>
  <c r="L49" i="4"/>
  <c r="M49" i="4"/>
  <c r="N49" i="4"/>
  <c r="O49" i="4"/>
  <c r="P49" i="4"/>
  <c r="Q49" i="4"/>
  <c r="R49" i="4"/>
  <c r="S49" i="4"/>
  <c r="T49" i="4"/>
  <c r="H50" i="4"/>
  <c r="I50" i="4"/>
  <c r="J50" i="4"/>
  <c r="K50" i="4"/>
  <c r="L50" i="4"/>
  <c r="M50" i="4"/>
  <c r="N50" i="4"/>
  <c r="O50" i="4"/>
  <c r="P50" i="4"/>
  <c r="Q50" i="4"/>
  <c r="R50" i="4"/>
  <c r="S50" i="4"/>
  <c r="T50" i="4"/>
  <c r="H51" i="4"/>
  <c r="I51" i="4"/>
  <c r="J51" i="4"/>
  <c r="K51" i="4"/>
  <c r="L51" i="4"/>
  <c r="M51" i="4"/>
  <c r="N51" i="4"/>
  <c r="O51" i="4"/>
  <c r="P51" i="4"/>
  <c r="Q51" i="4"/>
  <c r="R51" i="4"/>
  <c r="S51" i="4"/>
  <c r="T51" i="4"/>
  <c r="H52" i="4"/>
  <c r="I52" i="4"/>
  <c r="J52" i="4"/>
  <c r="K52" i="4"/>
  <c r="L52" i="4"/>
  <c r="M52" i="4"/>
  <c r="N52" i="4"/>
  <c r="O52" i="4"/>
  <c r="P52" i="4"/>
  <c r="Q52" i="4"/>
  <c r="R52" i="4"/>
  <c r="S52" i="4"/>
  <c r="T52" i="4"/>
  <c r="H53" i="4"/>
  <c r="I53" i="4"/>
  <c r="J53" i="4"/>
  <c r="K53" i="4"/>
  <c r="L53" i="4"/>
  <c r="M53" i="4"/>
  <c r="N53" i="4"/>
  <c r="O53" i="4"/>
  <c r="P53" i="4"/>
  <c r="Q53" i="4"/>
  <c r="R53" i="4"/>
  <c r="S53" i="4"/>
  <c r="T53" i="4"/>
  <c r="H54" i="4"/>
  <c r="I54" i="4"/>
  <c r="J54" i="4"/>
  <c r="K54" i="4"/>
  <c r="L54" i="4"/>
  <c r="M54" i="4"/>
  <c r="N54" i="4"/>
  <c r="O54" i="4"/>
  <c r="P54" i="4"/>
  <c r="Q54" i="4"/>
  <c r="R54" i="4"/>
  <c r="S54" i="4"/>
  <c r="T54" i="4"/>
  <c r="H55" i="4"/>
  <c r="I55" i="4"/>
  <c r="J55" i="4"/>
  <c r="K55" i="4"/>
  <c r="L55" i="4"/>
  <c r="M55" i="4"/>
  <c r="N55" i="4"/>
  <c r="O55" i="4"/>
  <c r="P55" i="4"/>
  <c r="Q55" i="4"/>
  <c r="R55" i="4"/>
  <c r="S55" i="4"/>
  <c r="T55" i="4"/>
  <c r="H56" i="4"/>
  <c r="I56" i="4"/>
  <c r="J56" i="4"/>
  <c r="K56" i="4"/>
  <c r="L56" i="4"/>
  <c r="M56" i="4"/>
  <c r="N56" i="4"/>
  <c r="O56" i="4"/>
  <c r="P56" i="4"/>
  <c r="Q56" i="4"/>
  <c r="R56" i="4"/>
  <c r="S56" i="4"/>
  <c r="T56" i="4"/>
  <c r="H57" i="4"/>
  <c r="I57" i="4"/>
  <c r="J57" i="4"/>
  <c r="K57" i="4"/>
  <c r="L57" i="4"/>
  <c r="M57" i="4"/>
  <c r="N57" i="4"/>
  <c r="O57" i="4"/>
  <c r="P57" i="4"/>
  <c r="Q57" i="4"/>
  <c r="R57" i="4"/>
  <c r="S57" i="4"/>
  <c r="T57" i="4"/>
  <c r="H58" i="4"/>
  <c r="I58" i="4"/>
  <c r="J58" i="4"/>
  <c r="K58" i="4"/>
  <c r="L58" i="4"/>
  <c r="M58" i="4"/>
  <c r="N58" i="4"/>
  <c r="O58" i="4"/>
  <c r="P58" i="4"/>
  <c r="Q58" i="4"/>
  <c r="R58" i="4"/>
  <c r="S58" i="4"/>
  <c r="T58" i="4"/>
  <c r="H59" i="4"/>
  <c r="I59" i="4"/>
  <c r="J59" i="4"/>
  <c r="K59" i="4"/>
  <c r="L59" i="4"/>
  <c r="M59" i="4"/>
  <c r="N59" i="4"/>
  <c r="O59" i="4"/>
  <c r="P59" i="4"/>
  <c r="Q59" i="4"/>
  <c r="R59" i="4"/>
  <c r="S59" i="4"/>
  <c r="T59" i="4"/>
  <c r="H60" i="4"/>
  <c r="I60" i="4"/>
  <c r="J60" i="4"/>
  <c r="K60" i="4"/>
  <c r="L60" i="4"/>
  <c r="M60" i="4"/>
  <c r="N60" i="4"/>
  <c r="O60" i="4"/>
  <c r="P60" i="4"/>
  <c r="Q60" i="4"/>
  <c r="R60" i="4"/>
  <c r="S60" i="4"/>
  <c r="T60" i="4"/>
  <c r="H61" i="4"/>
  <c r="I61" i="4"/>
  <c r="J61" i="4"/>
  <c r="K61" i="4"/>
  <c r="L61" i="4"/>
  <c r="M61" i="4"/>
  <c r="N61" i="4"/>
  <c r="O61" i="4"/>
  <c r="P61" i="4"/>
  <c r="Q61" i="4"/>
  <c r="R61" i="4"/>
  <c r="S61" i="4"/>
  <c r="T61" i="4"/>
  <c r="H62" i="4"/>
  <c r="I62" i="4"/>
  <c r="J62" i="4"/>
  <c r="K62" i="4"/>
  <c r="L62" i="4"/>
  <c r="M62" i="4"/>
  <c r="N62" i="4"/>
  <c r="O62" i="4"/>
  <c r="P62" i="4"/>
  <c r="Q62" i="4"/>
  <c r="R62" i="4"/>
  <c r="S62" i="4"/>
  <c r="T62" i="4"/>
  <c r="H63" i="4"/>
  <c r="I63" i="4"/>
  <c r="J63" i="4"/>
  <c r="K63" i="4"/>
  <c r="L63" i="4"/>
  <c r="M63" i="4"/>
  <c r="N63" i="4"/>
  <c r="O63" i="4"/>
  <c r="P63" i="4"/>
  <c r="Q63" i="4"/>
  <c r="R63" i="4"/>
  <c r="S63" i="4"/>
  <c r="T63" i="4"/>
  <c r="H64" i="4"/>
  <c r="I64" i="4"/>
  <c r="J64" i="4"/>
  <c r="K64" i="4"/>
  <c r="L64" i="4"/>
  <c r="M64" i="4"/>
  <c r="N64" i="4"/>
  <c r="O64" i="4"/>
  <c r="P64" i="4"/>
  <c r="Q64" i="4"/>
  <c r="R64" i="4"/>
  <c r="S64" i="4"/>
  <c r="T64" i="4"/>
  <c r="H65" i="4"/>
  <c r="I65" i="4"/>
  <c r="J65" i="4"/>
  <c r="K65" i="4"/>
  <c r="L65" i="4"/>
  <c r="M65" i="4"/>
  <c r="N65" i="4"/>
  <c r="O65" i="4"/>
  <c r="P65" i="4"/>
  <c r="Q65" i="4"/>
  <c r="R65" i="4"/>
  <c r="S65" i="4"/>
  <c r="T65" i="4"/>
  <c r="H66" i="4"/>
  <c r="I66" i="4"/>
  <c r="J66" i="4"/>
  <c r="K66" i="4"/>
  <c r="L66" i="4"/>
  <c r="M66" i="4"/>
  <c r="N66" i="4"/>
  <c r="O66" i="4"/>
  <c r="P66" i="4"/>
  <c r="Q66" i="4"/>
  <c r="R66" i="4"/>
  <c r="S66" i="4"/>
  <c r="T66" i="4"/>
  <c r="H67" i="4"/>
  <c r="I67" i="4"/>
  <c r="J67" i="4"/>
  <c r="K67" i="4"/>
  <c r="L67" i="4"/>
  <c r="M67" i="4"/>
  <c r="N67" i="4"/>
  <c r="O67" i="4"/>
  <c r="P67" i="4"/>
  <c r="Q67" i="4"/>
  <c r="R67" i="4"/>
  <c r="S67" i="4"/>
  <c r="T67" i="4"/>
  <c r="H68" i="4"/>
  <c r="I68" i="4"/>
  <c r="J68" i="4"/>
  <c r="K68" i="4"/>
  <c r="L68" i="4"/>
  <c r="M68" i="4"/>
  <c r="N68" i="4"/>
  <c r="O68" i="4"/>
  <c r="P68" i="4"/>
  <c r="Q68" i="4"/>
  <c r="R68" i="4"/>
  <c r="S68" i="4"/>
  <c r="T68" i="4"/>
  <c r="H69" i="4"/>
  <c r="I69" i="4"/>
  <c r="J69" i="4"/>
  <c r="K69" i="4"/>
  <c r="L69" i="4"/>
  <c r="M69" i="4"/>
  <c r="N69" i="4"/>
  <c r="O69" i="4"/>
  <c r="P69" i="4"/>
  <c r="Q69" i="4"/>
  <c r="R69" i="4"/>
  <c r="S69" i="4"/>
  <c r="T69" i="4"/>
  <c r="H70" i="4"/>
  <c r="I70" i="4"/>
  <c r="J70" i="4"/>
  <c r="K70" i="4"/>
  <c r="L70" i="4"/>
  <c r="M70" i="4"/>
  <c r="N70" i="4"/>
  <c r="O70" i="4"/>
  <c r="P70" i="4"/>
  <c r="Q70" i="4"/>
  <c r="R70" i="4"/>
  <c r="S70" i="4"/>
  <c r="T70" i="4"/>
  <c r="H71" i="4"/>
  <c r="I71" i="4"/>
  <c r="J71" i="4"/>
  <c r="K71" i="4"/>
  <c r="L71" i="4"/>
  <c r="M71" i="4"/>
  <c r="N71" i="4"/>
  <c r="O71" i="4"/>
  <c r="P71" i="4"/>
  <c r="Q71" i="4"/>
  <c r="R71" i="4"/>
  <c r="S71" i="4"/>
  <c r="T71" i="4"/>
  <c r="H72" i="4"/>
  <c r="I72" i="4"/>
  <c r="J72" i="4"/>
  <c r="K72" i="4"/>
  <c r="L72" i="4"/>
  <c r="M72" i="4"/>
  <c r="N72" i="4"/>
  <c r="O72" i="4"/>
  <c r="P72" i="4"/>
  <c r="Q72" i="4"/>
  <c r="R72" i="4"/>
  <c r="S72" i="4"/>
  <c r="T72" i="4"/>
  <c r="H73" i="4"/>
  <c r="I73" i="4"/>
  <c r="J73" i="4"/>
  <c r="K73" i="4"/>
  <c r="L73" i="4"/>
  <c r="M73" i="4"/>
  <c r="N73" i="4"/>
  <c r="O73" i="4"/>
  <c r="P73" i="4"/>
  <c r="Q73" i="4"/>
  <c r="R73" i="4"/>
  <c r="S73" i="4"/>
  <c r="T73" i="4"/>
  <c r="H74" i="4"/>
  <c r="I74" i="4"/>
  <c r="J74" i="4"/>
  <c r="K74" i="4"/>
  <c r="L74" i="4"/>
  <c r="M74" i="4"/>
  <c r="N74" i="4"/>
  <c r="O74" i="4"/>
  <c r="P74" i="4"/>
  <c r="Q74" i="4"/>
  <c r="R74" i="4"/>
  <c r="S74" i="4"/>
  <c r="T74" i="4"/>
  <c r="H75" i="4"/>
  <c r="I75" i="4"/>
  <c r="J75" i="4"/>
  <c r="K75" i="4"/>
  <c r="L75" i="4"/>
  <c r="M75" i="4"/>
  <c r="N75" i="4"/>
  <c r="O75" i="4"/>
  <c r="P75" i="4"/>
  <c r="Q75" i="4"/>
  <c r="R75" i="4"/>
  <c r="S75" i="4"/>
  <c r="T75" i="4"/>
  <c r="H76" i="4"/>
  <c r="I76" i="4"/>
  <c r="J76" i="4"/>
  <c r="K76" i="4"/>
  <c r="L76" i="4"/>
  <c r="M76" i="4"/>
  <c r="N76" i="4"/>
  <c r="O76" i="4"/>
  <c r="P76" i="4"/>
  <c r="Q76" i="4"/>
  <c r="R76" i="4"/>
  <c r="S76" i="4"/>
  <c r="T76" i="4"/>
  <c r="H77" i="4"/>
  <c r="I77" i="4"/>
  <c r="J77" i="4"/>
  <c r="K77" i="4"/>
  <c r="L77" i="4"/>
  <c r="M77" i="4"/>
  <c r="N77" i="4"/>
  <c r="O77" i="4"/>
  <c r="P77" i="4"/>
  <c r="Q77" i="4"/>
  <c r="R77" i="4"/>
  <c r="S77" i="4"/>
  <c r="T77" i="4"/>
  <c r="H78" i="4"/>
  <c r="I78" i="4"/>
  <c r="J78" i="4"/>
  <c r="K78" i="4"/>
  <c r="L78" i="4"/>
  <c r="M78" i="4"/>
  <c r="N78" i="4"/>
  <c r="O78" i="4"/>
  <c r="P78" i="4"/>
  <c r="Q78" i="4"/>
  <c r="R78" i="4"/>
  <c r="S78" i="4"/>
  <c r="T78" i="4"/>
  <c r="H79" i="4"/>
  <c r="I79" i="4"/>
  <c r="J79" i="4"/>
  <c r="K79" i="4"/>
  <c r="L79" i="4"/>
  <c r="M79" i="4"/>
  <c r="N79" i="4"/>
  <c r="O79" i="4"/>
  <c r="P79" i="4"/>
  <c r="Q79" i="4"/>
  <c r="R79" i="4"/>
  <c r="S79" i="4"/>
  <c r="T79" i="4"/>
  <c r="H80" i="4"/>
  <c r="I80" i="4"/>
  <c r="J80" i="4"/>
  <c r="K80" i="4"/>
  <c r="L80" i="4"/>
  <c r="M80" i="4"/>
  <c r="N80" i="4"/>
  <c r="O80" i="4"/>
  <c r="P80" i="4"/>
  <c r="Q80" i="4"/>
  <c r="R80" i="4"/>
  <c r="S80" i="4"/>
  <c r="T80" i="4"/>
  <c r="H81" i="4"/>
  <c r="I81" i="4"/>
  <c r="J81" i="4"/>
  <c r="K81" i="4"/>
  <c r="L81" i="4"/>
  <c r="M81" i="4"/>
  <c r="N81" i="4"/>
  <c r="O81" i="4"/>
  <c r="P81" i="4"/>
  <c r="Q81" i="4"/>
  <c r="R81" i="4"/>
  <c r="S81" i="4"/>
  <c r="T81" i="4"/>
  <c r="H82" i="4"/>
  <c r="I82" i="4"/>
  <c r="J82" i="4"/>
  <c r="K82" i="4"/>
  <c r="L82" i="4"/>
  <c r="M82" i="4"/>
  <c r="N82" i="4"/>
  <c r="O82" i="4"/>
  <c r="P82" i="4"/>
  <c r="Q82" i="4"/>
  <c r="R82" i="4"/>
  <c r="S82" i="4"/>
  <c r="T82" i="4"/>
  <c r="H83" i="4"/>
  <c r="I83" i="4"/>
  <c r="J83" i="4"/>
  <c r="K83" i="4"/>
  <c r="L83" i="4"/>
  <c r="M83" i="4"/>
  <c r="N83" i="4"/>
  <c r="O83" i="4"/>
  <c r="P83" i="4"/>
  <c r="Q83" i="4"/>
  <c r="R83" i="4"/>
  <c r="S83" i="4"/>
  <c r="T83" i="4"/>
  <c r="H84" i="4"/>
  <c r="I84" i="4"/>
  <c r="J84" i="4"/>
  <c r="K84" i="4"/>
  <c r="L84" i="4"/>
  <c r="M84" i="4"/>
  <c r="N84" i="4"/>
  <c r="O84" i="4"/>
  <c r="P84" i="4"/>
  <c r="Q84" i="4"/>
  <c r="R84" i="4"/>
  <c r="S84" i="4"/>
  <c r="T84" i="4"/>
  <c r="H85" i="4"/>
  <c r="I85" i="4"/>
  <c r="J85" i="4"/>
  <c r="K85" i="4"/>
  <c r="L85" i="4"/>
  <c r="M85" i="4"/>
  <c r="N85" i="4"/>
  <c r="O85" i="4"/>
  <c r="P85" i="4"/>
  <c r="Q85" i="4"/>
  <c r="R85" i="4"/>
  <c r="S85" i="4"/>
  <c r="T85" i="4"/>
  <c r="H86" i="4"/>
  <c r="I86" i="4"/>
  <c r="J86" i="4"/>
  <c r="K86" i="4"/>
  <c r="L86" i="4"/>
  <c r="M86" i="4"/>
  <c r="N86" i="4"/>
  <c r="O86" i="4"/>
  <c r="P86" i="4"/>
  <c r="Q86" i="4"/>
  <c r="R86" i="4"/>
  <c r="S86" i="4"/>
  <c r="T86" i="4"/>
  <c r="H87" i="4"/>
  <c r="I87" i="4"/>
  <c r="J87" i="4"/>
  <c r="K87" i="4"/>
  <c r="L87" i="4"/>
  <c r="M87" i="4"/>
  <c r="N87" i="4"/>
  <c r="O87" i="4"/>
  <c r="P87" i="4"/>
  <c r="Q87" i="4"/>
  <c r="R87" i="4"/>
  <c r="S87" i="4"/>
  <c r="T87" i="4"/>
  <c r="H88" i="4"/>
  <c r="I88" i="4"/>
  <c r="J88" i="4"/>
  <c r="K88" i="4"/>
  <c r="L88" i="4"/>
  <c r="M88" i="4"/>
  <c r="N88" i="4"/>
  <c r="O88" i="4"/>
  <c r="P88" i="4"/>
  <c r="Q88" i="4"/>
  <c r="R88" i="4"/>
  <c r="S88" i="4"/>
  <c r="T88" i="4"/>
  <c r="H89" i="4"/>
  <c r="I89" i="4"/>
  <c r="J89" i="4"/>
  <c r="K89" i="4"/>
  <c r="L89" i="4"/>
  <c r="M89" i="4"/>
  <c r="N89" i="4"/>
  <c r="O89" i="4"/>
  <c r="P89" i="4"/>
  <c r="Q89" i="4"/>
  <c r="R89" i="4"/>
  <c r="S89" i="4"/>
  <c r="T89" i="4"/>
  <c r="H90" i="4"/>
  <c r="I90" i="4"/>
  <c r="J90" i="4"/>
  <c r="K90" i="4"/>
  <c r="L90" i="4"/>
  <c r="M90" i="4"/>
  <c r="N90" i="4"/>
  <c r="O90" i="4"/>
  <c r="P90" i="4"/>
  <c r="Q90" i="4"/>
  <c r="R90" i="4"/>
  <c r="S90" i="4"/>
  <c r="T90" i="4"/>
  <c r="H91" i="4"/>
  <c r="I91" i="4"/>
  <c r="J91" i="4"/>
  <c r="K91" i="4"/>
  <c r="L91" i="4"/>
  <c r="M91" i="4"/>
  <c r="N91" i="4"/>
  <c r="O91" i="4"/>
  <c r="P91" i="4"/>
  <c r="Q91" i="4"/>
  <c r="R91" i="4"/>
  <c r="S91" i="4"/>
  <c r="T91" i="4"/>
  <c r="H92" i="4"/>
  <c r="I92" i="4"/>
  <c r="J92" i="4"/>
  <c r="K92" i="4"/>
  <c r="L92" i="4"/>
  <c r="M92" i="4"/>
  <c r="N92" i="4"/>
  <c r="O92" i="4"/>
  <c r="P92" i="4"/>
  <c r="Q92" i="4"/>
  <c r="R92" i="4"/>
  <c r="S92" i="4"/>
  <c r="T92" i="4"/>
  <c r="H93" i="4"/>
  <c r="I93" i="4"/>
  <c r="J93" i="4"/>
  <c r="K93" i="4"/>
  <c r="L93" i="4"/>
  <c r="M93" i="4"/>
  <c r="N93" i="4"/>
  <c r="O93" i="4"/>
  <c r="P93" i="4"/>
  <c r="Q93" i="4"/>
  <c r="R93" i="4"/>
  <c r="S93" i="4"/>
  <c r="T93" i="4"/>
  <c r="H94" i="4"/>
  <c r="I94" i="4"/>
  <c r="J94" i="4"/>
  <c r="K94" i="4"/>
  <c r="L94" i="4"/>
  <c r="M94" i="4"/>
  <c r="N94" i="4"/>
  <c r="O94" i="4"/>
  <c r="P94" i="4"/>
  <c r="Q94" i="4"/>
  <c r="R94" i="4"/>
  <c r="S94" i="4"/>
  <c r="T94" i="4"/>
  <c r="H95" i="4"/>
  <c r="I95" i="4"/>
  <c r="J95" i="4"/>
  <c r="K95" i="4"/>
  <c r="L95" i="4"/>
  <c r="M95" i="4"/>
  <c r="N95" i="4"/>
  <c r="O95" i="4"/>
  <c r="P95" i="4"/>
  <c r="Q95" i="4"/>
  <c r="R95" i="4"/>
  <c r="S95" i="4"/>
  <c r="T95" i="4"/>
  <c r="H96" i="4"/>
  <c r="I96" i="4"/>
  <c r="J96" i="4"/>
  <c r="K96" i="4"/>
  <c r="L96" i="4"/>
  <c r="M96" i="4"/>
  <c r="N96" i="4"/>
  <c r="O96" i="4"/>
  <c r="P96" i="4"/>
  <c r="Q96" i="4"/>
  <c r="R96" i="4"/>
  <c r="S96" i="4"/>
  <c r="T96" i="4"/>
  <c r="H97" i="4"/>
  <c r="I97" i="4"/>
  <c r="J97" i="4"/>
  <c r="K97" i="4"/>
  <c r="L97" i="4"/>
  <c r="M97" i="4"/>
  <c r="N97" i="4"/>
  <c r="O97" i="4"/>
  <c r="P97" i="4"/>
  <c r="Q97" i="4"/>
  <c r="R97" i="4"/>
  <c r="S97" i="4"/>
  <c r="T97" i="4"/>
  <c r="H98" i="4"/>
  <c r="I98" i="4"/>
  <c r="J98" i="4"/>
  <c r="K98" i="4"/>
  <c r="L98" i="4"/>
  <c r="M98" i="4"/>
  <c r="N98" i="4"/>
  <c r="O98" i="4"/>
  <c r="P98" i="4"/>
  <c r="Q98" i="4"/>
  <c r="R98" i="4"/>
  <c r="S98" i="4"/>
  <c r="T98" i="4"/>
  <c r="H99" i="4"/>
  <c r="I99" i="4"/>
  <c r="J99" i="4"/>
  <c r="K99" i="4"/>
  <c r="L99" i="4"/>
  <c r="M99" i="4"/>
  <c r="N99" i="4"/>
  <c r="O99" i="4"/>
  <c r="P99" i="4"/>
  <c r="Q99" i="4"/>
  <c r="R99" i="4"/>
  <c r="S99" i="4"/>
  <c r="T99" i="4"/>
  <c r="H100" i="4"/>
  <c r="I100" i="4"/>
  <c r="J100" i="4"/>
  <c r="K100" i="4"/>
  <c r="L100" i="4"/>
  <c r="M100" i="4"/>
  <c r="N100" i="4"/>
  <c r="O100" i="4"/>
  <c r="P100" i="4"/>
  <c r="Q100" i="4"/>
  <c r="R100" i="4"/>
  <c r="S100" i="4"/>
  <c r="T100" i="4"/>
  <c r="H101" i="4"/>
  <c r="I101" i="4"/>
  <c r="J101" i="4"/>
  <c r="K101" i="4"/>
  <c r="L101" i="4"/>
  <c r="M101" i="4"/>
  <c r="N101" i="4"/>
  <c r="O101" i="4"/>
  <c r="P101" i="4"/>
  <c r="Q101" i="4"/>
  <c r="R101" i="4"/>
  <c r="S101" i="4"/>
  <c r="T101" i="4"/>
  <c r="H102" i="4"/>
  <c r="I102" i="4"/>
  <c r="J102" i="4"/>
  <c r="K102" i="4"/>
  <c r="L102" i="4"/>
  <c r="M102" i="4"/>
  <c r="N102" i="4"/>
  <c r="O102" i="4"/>
  <c r="P102" i="4"/>
  <c r="Q102" i="4"/>
  <c r="R102" i="4"/>
  <c r="S102" i="4"/>
  <c r="T102" i="4"/>
  <c r="H103" i="4"/>
  <c r="I103" i="4"/>
  <c r="J103" i="4"/>
  <c r="K103" i="4"/>
  <c r="L103" i="4"/>
  <c r="M103" i="4"/>
  <c r="N103" i="4"/>
  <c r="O103" i="4"/>
  <c r="P103" i="4"/>
  <c r="Q103" i="4"/>
  <c r="R103" i="4"/>
  <c r="S103" i="4"/>
  <c r="T103" i="4"/>
  <c r="H104" i="4"/>
  <c r="I104" i="4"/>
  <c r="J104" i="4"/>
  <c r="K104" i="4"/>
  <c r="L104" i="4"/>
  <c r="M104" i="4"/>
  <c r="N104" i="4"/>
  <c r="O104" i="4"/>
  <c r="P104" i="4"/>
  <c r="Q104" i="4"/>
  <c r="R104" i="4"/>
  <c r="S104" i="4"/>
  <c r="T104" i="4"/>
  <c r="H105" i="4"/>
  <c r="I105" i="4"/>
  <c r="J105" i="4"/>
  <c r="K105" i="4"/>
  <c r="L105" i="4"/>
  <c r="M105" i="4"/>
  <c r="N105" i="4"/>
  <c r="O105" i="4"/>
  <c r="P105" i="4"/>
  <c r="Q105" i="4"/>
  <c r="R105" i="4"/>
  <c r="S105" i="4"/>
  <c r="T105" i="4"/>
  <c r="H106" i="4"/>
  <c r="I106" i="4"/>
  <c r="J106" i="4"/>
  <c r="K106" i="4"/>
  <c r="L106" i="4"/>
  <c r="M106" i="4"/>
  <c r="N106" i="4"/>
  <c r="O106" i="4"/>
  <c r="P106" i="4"/>
  <c r="Q106" i="4"/>
  <c r="R106" i="4"/>
  <c r="S106" i="4"/>
  <c r="T106" i="4"/>
  <c r="H107" i="4"/>
  <c r="I107" i="4"/>
  <c r="J107" i="4"/>
  <c r="K107" i="4"/>
  <c r="L107" i="4"/>
  <c r="M107" i="4"/>
  <c r="N107" i="4"/>
  <c r="O107" i="4"/>
  <c r="P107" i="4"/>
  <c r="Q107" i="4"/>
  <c r="R107" i="4"/>
  <c r="S107" i="4"/>
  <c r="T107" i="4"/>
  <c r="H108" i="4"/>
  <c r="I108" i="4"/>
  <c r="J108" i="4"/>
  <c r="K108" i="4"/>
  <c r="L108" i="4"/>
  <c r="M108" i="4"/>
  <c r="N108" i="4"/>
  <c r="O108" i="4"/>
  <c r="P108" i="4"/>
  <c r="Q108" i="4"/>
  <c r="R108" i="4"/>
  <c r="S108" i="4"/>
  <c r="T108" i="4"/>
  <c r="H109" i="4"/>
  <c r="I109" i="4"/>
  <c r="J109" i="4"/>
  <c r="K109" i="4"/>
  <c r="L109" i="4"/>
  <c r="M109" i="4"/>
  <c r="N109" i="4"/>
  <c r="O109" i="4"/>
  <c r="P109" i="4"/>
  <c r="Q109" i="4"/>
  <c r="R109" i="4"/>
  <c r="S109" i="4"/>
  <c r="T109" i="4"/>
  <c r="H110" i="4"/>
  <c r="I110" i="4"/>
  <c r="J110" i="4"/>
  <c r="K110" i="4"/>
  <c r="L110" i="4"/>
  <c r="M110" i="4"/>
  <c r="N110" i="4"/>
  <c r="O110" i="4"/>
  <c r="P110" i="4"/>
  <c r="Q110" i="4"/>
  <c r="R110" i="4"/>
  <c r="S110" i="4"/>
  <c r="T110" i="4"/>
  <c r="H111" i="4"/>
  <c r="I111" i="4"/>
  <c r="J111" i="4"/>
  <c r="K111" i="4"/>
  <c r="L111" i="4"/>
  <c r="M111" i="4"/>
  <c r="N111" i="4"/>
  <c r="O111" i="4"/>
  <c r="P111" i="4"/>
  <c r="Q111" i="4"/>
  <c r="R111" i="4"/>
  <c r="S111" i="4"/>
  <c r="T111" i="4"/>
  <c r="H112" i="4"/>
  <c r="I112" i="4"/>
  <c r="J112" i="4"/>
  <c r="K112" i="4"/>
  <c r="L112" i="4"/>
  <c r="M112" i="4"/>
  <c r="N112" i="4"/>
  <c r="O112" i="4"/>
  <c r="P112" i="4"/>
  <c r="Q112" i="4"/>
  <c r="R112" i="4"/>
  <c r="S112" i="4"/>
  <c r="T112" i="4"/>
  <c r="H113" i="4"/>
  <c r="I113" i="4"/>
  <c r="J113" i="4"/>
  <c r="K113" i="4"/>
  <c r="L113" i="4"/>
  <c r="M113" i="4"/>
  <c r="N113" i="4"/>
  <c r="O113" i="4"/>
  <c r="P113" i="4"/>
  <c r="Q113" i="4"/>
  <c r="R113" i="4"/>
  <c r="S113" i="4"/>
  <c r="T113" i="4"/>
  <c r="H114" i="4"/>
  <c r="I114" i="4"/>
  <c r="J114" i="4"/>
  <c r="K114" i="4"/>
  <c r="L114" i="4"/>
  <c r="M114" i="4"/>
  <c r="N114" i="4"/>
  <c r="O114" i="4"/>
  <c r="P114" i="4"/>
  <c r="Q114" i="4"/>
  <c r="R114" i="4"/>
  <c r="S114" i="4"/>
  <c r="T114" i="4"/>
  <c r="H115" i="4"/>
  <c r="I115" i="4"/>
  <c r="J115" i="4"/>
  <c r="K115" i="4"/>
  <c r="L115" i="4"/>
  <c r="M115" i="4"/>
  <c r="N115" i="4"/>
  <c r="O115" i="4"/>
  <c r="P115" i="4"/>
  <c r="Q115" i="4"/>
  <c r="R115" i="4"/>
  <c r="S115" i="4"/>
  <c r="T115" i="4"/>
  <c r="H116" i="4"/>
  <c r="I116" i="4"/>
  <c r="J116" i="4"/>
  <c r="K116" i="4"/>
  <c r="L116" i="4"/>
  <c r="M116" i="4"/>
  <c r="N116" i="4"/>
  <c r="O116" i="4"/>
  <c r="P116" i="4"/>
  <c r="Q116" i="4"/>
  <c r="R116" i="4"/>
  <c r="S116" i="4"/>
  <c r="T116" i="4"/>
  <c r="H117" i="4"/>
  <c r="I117" i="4"/>
  <c r="J117" i="4"/>
  <c r="K117" i="4"/>
  <c r="L117" i="4"/>
  <c r="M117" i="4"/>
  <c r="N117" i="4"/>
  <c r="O117" i="4"/>
  <c r="P117" i="4"/>
  <c r="Q117" i="4"/>
  <c r="R117" i="4"/>
  <c r="S117" i="4"/>
  <c r="T117" i="4"/>
  <c r="H118" i="4"/>
  <c r="I118" i="4"/>
  <c r="J118" i="4"/>
  <c r="K118" i="4"/>
  <c r="L118" i="4"/>
  <c r="M118" i="4"/>
  <c r="N118" i="4"/>
  <c r="O118" i="4"/>
  <c r="P118" i="4"/>
  <c r="Q118" i="4"/>
  <c r="R118" i="4"/>
  <c r="S118" i="4"/>
  <c r="T118" i="4"/>
  <c r="H119" i="4"/>
  <c r="I119" i="4"/>
  <c r="J119" i="4"/>
  <c r="K119" i="4"/>
  <c r="L119" i="4"/>
  <c r="M119" i="4"/>
  <c r="N119" i="4"/>
  <c r="O119" i="4"/>
  <c r="P119" i="4"/>
  <c r="Q119" i="4"/>
  <c r="R119" i="4"/>
  <c r="S119" i="4"/>
  <c r="T119" i="4"/>
  <c r="H120" i="4"/>
  <c r="I120" i="4"/>
  <c r="J120" i="4"/>
  <c r="K120" i="4"/>
  <c r="L120" i="4"/>
  <c r="M120" i="4"/>
  <c r="N120" i="4"/>
  <c r="O120" i="4"/>
  <c r="P120" i="4"/>
  <c r="Q120" i="4"/>
  <c r="R120" i="4"/>
  <c r="S120" i="4"/>
  <c r="T120" i="4"/>
  <c r="H121" i="4"/>
  <c r="I121" i="4"/>
  <c r="J121" i="4"/>
  <c r="K121" i="4"/>
  <c r="L121" i="4"/>
  <c r="M121" i="4"/>
  <c r="N121" i="4"/>
  <c r="O121" i="4"/>
  <c r="P121" i="4"/>
  <c r="Q121" i="4"/>
  <c r="R121" i="4"/>
  <c r="S121" i="4"/>
  <c r="T121" i="4"/>
  <c r="H122" i="4"/>
  <c r="I122" i="4"/>
  <c r="J122" i="4"/>
  <c r="K122" i="4"/>
  <c r="L122" i="4"/>
  <c r="M122" i="4"/>
  <c r="N122" i="4"/>
  <c r="O122" i="4"/>
  <c r="P122" i="4"/>
  <c r="Q122" i="4"/>
  <c r="R122" i="4"/>
  <c r="S122" i="4"/>
  <c r="T122" i="4"/>
  <c r="H123" i="4"/>
  <c r="I123" i="4"/>
  <c r="J123" i="4"/>
  <c r="K123" i="4"/>
  <c r="L123" i="4"/>
  <c r="M123" i="4"/>
  <c r="N123" i="4"/>
  <c r="O123" i="4"/>
  <c r="P123" i="4"/>
  <c r="Q123" i="4"/>
  <c r="R123" i="4"/>
  <c r="S123" i="4"/>
  <c r="T123" i="4"/>
  <c r="H124" i="4"/>
  <c r="I124" i="4"/>
  <c r="J124" i="4"/>
  <c r="K124" i="4"/>
  <c r="L124" i="4"/>
  <c r="M124" i="4"/>
  <c r="N124" i="4"/>
  <c r="O124" i="4"/>
  <c r="P124" i="4"/>
  <c r="Q124" i="4"/>
  <c r="R124" i="4"/>
  <c r="S124" i="4"/>
  <c r="T124" i="4"/>
  <c r="H125" i="4"/>
  <c r="I125" i="4"/>
  <c r="J125" i="4"/>
  <c r="K125" i="4"/>
  <c r="L125" i="4"/>
  <c r="M125" i="4"/>
  <c r="N125" i="4"/>
  <c r="O125" i="4"/>
  <c r="P125" i="4"/>
  <c r="Q125" i="4"/>
  <c r="R125" i="4"/>
  <c r="S125" i="4"/>
  <c r="T125" i="4"/>
  <c r="H126" i="4"/>
  <c r="I126" i="4"/>
  <c r="J126" i="4"/>
  <c r="K126" i="4"/>
  <c r="L126" i="4"/>
  <c r="M126" i="4"/>
  <c r="N126" i="4"/>
  <c r="O126" i="4"/>
  <c r="P126" i="4"/>
  <c r="Q126" i="4"/>
  <c r="R126" i="4"/>
  <c r="S126" i="4"/>
  <c r="T126" i="4"/>
  <c r="H127" i="4"/>
  <c r="I127" i="4"/>
  <c r="J127" i="4"/>
  <c r="K127" i="4"/>
  <c r="L127" i="4"/>
  <c r="M127" i="4"/>
  <c r="N127" i="4"/>
  <c r="O127" i="4"/>
  <c r="P127" i="4"/>
  <c r="Q127" i="4"/>
  <c r="R127" i="4"/>
  <c r="S127" i="4"/>
  <c r="T127" i="4"/>
  <c r="H128" i="4"/>
  <c r="I128" i="4"/>
  <c r="J128" i="4"/>
  <c r="K128" i="4"/>
  <c r="L128" i="4"/>
  <c r="M128" i="4"/>
  <c r="N128" i="4"/>
  <c r="O128" i="4"/>
  <c r="P128" i="4"/>
  <c r="Q128" i="4"/>
  <c r="R128" i="4"/>
  <c r="S128" i="4"/>
  <c r="T128" i="4"/>
  <c r="H129" i="4"/>
  <c r="I129" i="4"/>
  <c r="J129" i="4"/>
  <c r="K129" i="4"/>
  <c r="L129" i="4"/>
  <c r="M129" i="4"/>
  <c r="N129" i="4"/>
  <c r="O129" i="4"/>
  <c r="P129" i="4"/>
  <c r="Q129" i="4"/>
  <c r="R129" i="4"/>
  <c r="S129" i="4"/>
  <c r="T129" i="4"/>
  <c r="H130" i="4"/>
  <c r="I130" i="4"/>
  <c r="J130" i="4"/>
  <c r="K130" i="4"/>
  <c r="L130" i="4"/>
  <c r="M130" i="4"/>
  <c r="N130" i="4"/>
  <c r="O130" i="4"/>
  <c r="P130" i="4"/>
  <c r="Q130" i="4"/>
  <c r="R130" i="4"/>
  <c r="S130" i="4"/>
  <c r="T130" i="4"/>
  <c r="H131" i="4"/>
  <c r="I131" i="4"/>
  <c r="J131" i="4"/>
  <c r="K131" i="4"/>
  <c r="L131" i="4"/>
  <c r="M131" i="4"/>
  <c r="N131" i="4"/>
  <c r="O131" i="4"/>
  <c r="P131" i="4"/>
  <c r="Q131" i="4"/>
  <c r="R131" i="4"/>
  <c r="S131" i="4"/>
  <c r="T131" i="4"/>
  <c r="H132" i="4"/>
  <c r="I132" i="4"/>
  <c r="J132" i="4"/>
  <c r="K132" i="4"/>
  <c r="L132" i="4"/>
  <c r="M132" i="4"/>
  <c r="N132" i="4"/>
  <c r="O132" i="4"/>
  <c r="P132" i="4"/>
  <c r="Q132" i="4"/>
  <c r="R132" i="4"/>
  <c r="S132" i="4"/>
  <c r="T132" i="4"/>
  <c r="H133" i="4"/>
  <c r="I133" i="4"/>
  <c r="J133" i="4"/>
  <c r="K133" i="4"/>
  <c r="L133" i="4"/>
  <c r="M133" i="4"/>
  <c r="N133" i="4"/>
  <c r="O133" i="4"/>
  <c r="P133" i="4"/>
  <c r="Q133" i="4"/>
  <c r="R133" i="4"/>
  <c r="S133" i="4"/>
  <c r="T133" i="4"/>
  <c r="H134" i="4"/>
  <c r="I134" i="4"/>
  <c r="J134" i="4"/>
  <c r="K134" i="4"/>
  <c r="L134" i="4"/>
  <c r="M134" i="4"/>
  <c r="N134" i="4"/>
  <c r="O134" i="4"/>
  <c r="P134" i="4"/>
  <c r="Q134" i="4"/>
  <c r="R134" i="4"/>
  <c r="S134" i="4"/>
  <c r="T134" i="4"/>
  <c r="H135" i="4"/>
  <c r="I135" i="4"/>
  <c r="J135" i="4"/>
  <c r="K135" i="4"/>
  <c r="L135" i="4"/>
  <c r="M135" i="4"/>
  <c r="N135" i="4"/>
  <c r="O135" i="4"/>
  <c r="P135" i="4"/>
  <c r="Q135" i="4"/>
  <c r="R135" i="4"/>
  <c r="S135" i="4"/>
  <c r="T135" i="4"/>
  <c r="H136" i="4"/>
  <c r="I136" i="4"/>
  <c r="J136" i="4"/>
  <c r="K136" i="4"/>
  <c r="L136" i="4"/>
  <c r="M136" i="4"/>
  <c r="N136" i="4"/>
  <c r="O136" i="4"/>
  <c r="P136" i="4"/>
  <c r="Q136" i="4"/>
  <c r="R136" i="4"/>
  <c r="S136" i="4"/>
  <c r="T136" i="4"/>
  <c r="H137" i="4"/>
  <c r="I137" i="4"/>
  <c r="J137" i="4"/>
  <c r="K137" i="4"/>
  <c r="L137" i="4"/>
  <c r="M137" i="4"/>
  <c r="N137" i="4"/>
  <c r="O137" i="4"/>
  <c r="P137" i="4"/>
  <c r="Q137" i="4"/>
  <c r="R137" i="4"/>
  <c r="S137" i="4"/>
  <c r="T137" i="4"/>
  <c r="H138" i="4"/>
  <c r="I138" i="4"/>
  <c r="J138" i="4"/>
  <c r="K138" i="4"/>
  <c r="L138" i="4"/>
  <c r="M138" i="4"/>
  <c r="N138" i="4"/>
  <c r="O138" i="4"/>
  <c r="P138" i="4"/>
  <c r="Q138" i="4"/>
  <c r="R138" i="4"/>
  <c r="S138" i="4"/>
  <c r="T138" i="4"/>
  <c r="H139" i="4"/>
  <c r="I139" i="4"/>
  <c r="J139" i="4"/>
  <c r="K139" i="4"/>
  <c r="L139" i="4"/>
  <c r="M139" i="4"/>
  <c r="N139" i="4"/>
  <c r="O139" i="4"/>
  <c r="P139" i="4"/>
  <c r="Q139" i="4"/>
  <c r="R139" i="4"/>
  <c r="S139" i="4"/>
  <c r="T139" i="4"/>
  <c r="H140" i="4"/>
  <c r="I140" i="4"/>
  <c r="J140" i="4"/>
  <c r="K140" i="4"/>
  <c r="L140" i="4"/>
  <c r="M140" i="4"/>
  <c r="N140" i="4"/>
  <c r="O140" i="4"/>
  <c r="P140" i="4"/>
  <c r="Q140" i="4"/>
  <c r="R140" i="4"/>
  <c r="S140" i="4"/>
  <c r="T140" i="4"/>
  <c r="H141" i="4"/>
  <c r="I141" i="4"/>
  <c r="J141" i="4"/>
  <c r="K141" i="4"/>
  <c r="L141" i="4"/>
  <c r="M141" i="4"/>
  <c r="N141" i="4"/>
  <c r="O141" i="4"/>
  <c r="P141" i="4"/>
  <c r="Q141" i="4"/>
  <c r="R141" i="4"/>
  <c r="S141" i="4"/>
  <c r="T141" i="4"/>
  <c r="H142" i="4"/>
  <c r="I142" i="4"/>
  <c r="J142" i="4"/>
  <c r="K142" i="4"/>
  <c r="L142" i="4"/>
  <c r="M142" i="4"/>
  <c r="N142" i="4"/>
  <c r="O142" i="4"/>
  <c r="P142" i="4"/>
  <c r="Q142" i="4"/>
  <c r="R142" i="4"/>
  <c r="S142" i="4"/>
  <c r="T142" i="4"/>
  <c r="H143" i="4"/>
  <c r="I143" i="4"/>
  <c r="J143" i="4"/>
  <c r="K143" i="4"/>
  <c r="L143" i="4"/>
  <c r="M143" i="4"/>
  <c r="N143" i="4"/>
  <c r="O143" i="4"/>
  <c r="P143" i="4"/>
  <c r="Q143" i="4"/>
  <c r="R143" i="4"/>
  <c r="S143" i="4"/>
  <c r="T143" i="4"/>
  <c r="H144" i="4"/>
  <c r="I144" i="4"/>
  <c r="J144" i="4"/>
  <c r="K144" i="4"/>
  <c r="L144" i="4"/>
  <c r="M144" i="4"/>
  <c r="N144" i="4"/>
  <c r="O144" i="4"/>
  <c r="P144" i="4"/>
  <c r="Q144" i="4"/>
  <c r="R144" i="4"/>
  <c r="S144" i="4"/>
  <c r="T144" i="4"/>
  <c r="H145" i="4"/>
  <c r="I145" i="4"/>
  <c r="J145" i="4"/>
  <c r="K145" i="4"/>
  <c r="L145" i="4"/>
  <c r="M145" i="4"/>
  <c r="N145" i="4"/>
  <c r="O145" i="4"/>
  <c r="P145" i="4"/>
  <c r="Q145" i="4"/>
  <c r="R145" i="4"/>
  <c r="S145" i="4"/>
  <c r="T145" i="4"/>
  <c r="H146" i="4"/>
  <c r="I146" i="4"/>
  <c r="J146" i="4"/>
  <c r="K146" i="4"/>
  <c r="L146" i="4"/>
  <c r="M146" i="4"/>
  <c r="N146" i="4"/>
  <c r="O146" i="4"/>
  <c r="P146" i="4"/>
  <c r="Q146" i="4"/>
  <c r="R146" i="4"/>
  <c r="S146" i="4"/>
  <c r="T146" i="4"/>
  <c r="H147" i="4"/>
  <c r="I147" i="4"/>
  <c r="J147" i="4"/>
  <c r="K147" i="4"/>
  <c r="L147" i="4"/>
  <c r="M147" i="4"/>
  <c r="N147" i="4"/>
  <c r="O147" i="4"/>
  <c r="P147" i="4"/>
  <c r="Q147" i="4"/>
  <c r="R147" i="4"/>
  <c r="S147" i="4"/>
  <c r="T147" i="4"/>
  <c r="H148" i="4"/>
  <c r="I148" i="4"/>
  <c r="J148" i="4"/>
  <c r="K148" i="4"/>
  <c r="L148" i="4"/>
  <c r="M148" i="4"/>
  <c r="N148" i="4"/>
  <c r="O148" i="4"/>
  <c r="P148" i="4"/>
  <c r="Q148" i="4"/>
  <c r="R148" i="4"/>
  <c r="S148" i="4"/>
  <c r="T148" i="4"/>
  <c r="H149" i="4"/>
  <c r="I149" i="4"/>
  <c r="J149" i="4"/>
  <c r="K149" i="4"/>
  <c r="L149" i="4"/>
  <c r="M149" i="4"/>
  <c r="N149" i="4"/>
  <c r="O149" i="4"/>
  <c r="P149" i="4"/>
  <c r="Q149" i="4"/>
  <c r="R149" i="4"/>
  <c r="S149" i="4"/>
  <c r="T149" i="4"/>
  <c r="H150" i="4"/>
  <c r="I150" i="4"/>
  <c r="J150" i="4"/>
  <c r="K150" i="4"/>
  <c r="L150" i="4"/>
  <c r="M150" i="4"/>
  <c r="N150" i="4"/>
  <c r="O150" i="4"/>
  <c r="P150" i="4"/>
  <c r="Q150" i="4"/>
  <c r="R150" i="4"/>
  <c r="S150" i="4"/>
  <c r="T150" i="4"/>
  <c r="H151" i="4"/>
  <c r="I151" i="4"/>
  <c r="J151" i="4"/>
  <c r="K151" i="4"/>
  <c r="L151" i="4"/>
  <c r="M151" i="4"/>
  <c r="N151" i="4"/>
  <c r="O151" i="4"/>
  <c r="P151" i="4"/>
  <c r="Q151" i="4"/>
  <c r="R151" i="4"/>
  <c r="S151" i="4"/>
  <c r="T151" i="4"/>
  <c r="H152" i="4"/>
  <c r="I152" i="4"/>
  <c r="J152" i="4"/>
  <c r="K152" i="4"/>
  <c r="L152" i="4"/>
  <c r="M152" i="4"/>
  <c r="N152" i="4"/>
  <c r="O152" i="4"/>
  <c r="P152" i="4"/>
  <c r="Q152" i="4"/>
  <c r="R152" i="4"/>
  <c r="S152" i="4"/>
  <c r="T152" i="4"/>
  <c r="H153" i="4"/>
  <c r="I153" i="4"/>
  <c r="J153" i="4"/>
  <c r="K153" i="4"/>
  <c r="L153" i="4"/>
  <c r="M153" i="4"/>
  <c r="N153" i="4"/>
  <c r="O153" i="4"/>
  <c r="P153" i="4"/>
  <c r="Q153" i="4"/>
  <c r="R153" i="4"/>
  <c r="S153" i="4"/>
  <c r="T153" i="4"/>
  <c r="H154" i="4"/>
  <c r="I154" i="4"/>
  <c r="J154" i="4"/>
  <c r="K154" i="4"/>
  <c r="L154" i="4"/>
  <c r="M154" i="4"/>
  <c r="N154" i="4"/>
  <c r="O154" i="4"/>
  <c r="P154" i="4"/>
  <c r="Q154" i="4"/>
  <c r="R154" i="4"/>
  <c r="S154" i="4"/>
  <c r="T154" i="4"/>
  <c r="H155" i="4"/>
  <c r="I155" i="4"/>
  <c r="J155" i="4"/>
  <c r="K155" i="4"/>
  <c r="L155" i="4"/>
  <c r="M155" i="4"/>
  <c r="N155" i="4"/>
  <c r="O155" i="4"/>
  <c r="P155" i="4"/>
  <c r="Q155" i="4"/>
  <c r="R155" i="4"/>
  <c r="S155" i="4"/>
  <c r="T155" i="4"/>
  <c r="H156" i="4"/>
  <c r="I156" i="4"/>
  <c r="J156" i="4"/>
  <c r="K156" i="4"/>
  <c r="L156" i="4"/>
  <c r="M156" i="4"/>
  <c r="N156" i="4"/>
  <c r="O156" i="4"/>
  <c r="P156" i="4"/>
  <c r="Q156" i="4"/>
  <c r="R156" i="4"/>
  <c r="S156" i="4"/>
  <c r="T156" i="4"/>
  <c r="H157" i="4"/>
  <c r="I157" i="4"/>
  <c r="J157" i="4"/>
  <c r="K157" i="4"/>
  <c r="L157" i="4"/>
  <c r="M157" i="4"/>
  <c r="N157" i="4"/>
  <c r="O157" i="4"/>
  <c r="P157" i="4"/>
  <c r="Q157" i="4"/>
  <c r="R157" i="4"/>
  <c r="S157" i="4"/>
  <c r="T157" i="4"/>
  <c r="H158" i="4"/>
  <c r="I158" i="4"/>
  <c r="J158" i="4"/>
  <c r="K158" i="4"/>
  <c r="L158" i="4"/>
  <c r="M158" i="4"/>
  <c r="N158" i="4"/>
  <c r="O158" i="4"/>
  <c r="P158" i="4"/>
  <c r="Q158" i="4"/>
  <c r="R158" i="4"/>
  <c r="S158" i="4"/>
  <c r="T158" i="4"/>
  <c r="H159" i="4"/>
  <c r="I159" i="4"/>
  <c r="J159" i="4"/>
  <c r="K159" i="4"/>
  <c r="L159" i="4"/>
  <c r="M159" i="4"/>
  <c r="N159" i="4"/>
  <c r="O159" i="4"/>
  <c r="P159" i="4"/>
  <c r="Q159" i="4"/>
  <c r="R159" i="4"/>
  <c r="S159" i="4"/>
  <c r="T159" i="4"/>
  <c r="H160" i="4"/>
  <c r="I160" i="4"/>
  <c r="J160" i="4"/>
  <c r="K160" i="4"/>
  <c r="L160" i="4"/>
  <c r="M160" i="4"/>
  <c r="N160" i="4"/>
  <c r="O160" i="4"/>
  <c r="P160" i="4"/>
  <c r="Q160" i="4"/>
  <c r="R160" i="4"/>
  <c r="S160" i="4"/>
  <c r="T160" i="4"/>
  <c r="H161" i="4"/>
  <c r="I161" i="4"/>
  <c r="J161" i="4"/>
  <c r="K161" i="4"/>
  <c r="L161" i="4"/>
  <c r="M161" i="4"/>
  <c r="N161" i="4"/>
  <c r="O161" i="4"/>
  <c r="P161" i="4"/>
  <c r="Q161" i="4"/>
  <c r="R161" i="4"/>
  <c r="S161" i="4"/>
  <c r="T161" i="4"/>
  <c r="H162" i="4"/>
  <c r="I162" i="4"/>
  <c r="J162" i="4"/>
  <c r="K162" i="4"/>
  <c r="L162" i="4"/>
  <c r="M162" i="4"/>
  <c r="N162" i="4"/>
  <c r="O162" i="4"/>
  <c r="P162" i="4"/>
  <c r="Q162" i="4"/>
  <c r="R162" i="4"/>
  <c r="S162" i="4"/>
  <c r="T162" i="4"/>
  <c r="H163" i="4"/>
  <c r="I163" i="4"/>
  <c r="J163" i="4"/>
  <c r="K163" i="4"/>
  <c r="L163" i="4"/>
  <c r="M163" i="4"/>
  <c r="N163" i="4"/>
  <c r="O163" i="4"/>
  <c r="P163" i="4"/>
  <c r="Q163" i="4"/>
  <c r="R163" i="4"/>
  <c r="S163" i="4"/>
  <c r="T163" i="4"/>
  <c r="H164" i="4"/>
  <c r="I164" i="4"/>
  <c r="J164" i="4"/>
  <c r="K164" i="4"/>
  <c r="L164" i="4"/>
  <c r="M164" i="4"/>
  <c r="N164" i="4"/>
  <c r="O164" i="4"/>
  <c r="P164" i="4"/>
  <c r="Q164" i="4"/>
  <c r="R164" i="4"/>
  <c r="S164" i="4"/>
  <c r="T164" i="4"/>
  <c r="H165" i="4"/>
  <c r="I165" i="4"/>
  <c r="J165" i="4"/>
  <c r="K165" i="4"/>
  <c r="L165" i="4"/>
  <c r="M165" i="4"/>
  <c r="N165" i="4"/>
  <c r="O165" i="4"/>
  <c r="P165" i="4"/>
  <c r="Q165" i="4"/>
  <c r="R165" i="4"/>
  <c r="S165" i="4"/>
  <c r="T165" i="4"/>
  <c r="H166" i="4"/>
  <c r="I166" i="4"/>
  <c r="J166" i="4"/>
  <c r="K166" i="4"/>
  <c r="L166" i="4"/>
  <c r="M166" i="4"/>
  <c r="N166" i="4"/>
  <c r="O166" i="4"/>
  <c r="P166" i="4"/>
  <c r="Q166" i="4"/>
  <c r="R166" i="4"/>
  <c r="S166" i="4"/>
  <c r="T166" i="4"/>
  <c r="H167" i="4"/>
  <c r="I167" i="4"/>
  <c r="J167" i="4"/>
  <c r="K167" i="4"/>
  <c r="L167" i="4"/>
  <c r="M167" i="4"/>
  <c r="N167" i="4"/>
  <c r="O167" i="4"/>
  <c r="P167" i="4"/>
  <c r="Q167" i="4"/>
  <c r="R167" i="4"/>
  <c r="S167" i="4"/>
  <c r="T167" i="4"/>
  <c r="H168" i="4"/>
  <c r="I168" i="4"/>
  <c r="J168" i="4"/>
  <c r="K168" i="4"/>
  <c r="L168" i="4"/>
  <c r="M168" i="4"/>
  <c r="N168" i="4"/>
  <c r="O168" i="4"/>
  <c r="P168" i="4"/>
  <c r="Q168" i="4"/>
  <c r="R168" i="4"/>
  <c r="S168" i="4"/>
  <c r="T168" i="4"/>
  <c r="H169" i="4"/>
  <c r="I169" i="4"/>
  <c r="J169" i="4"/>
  <c r="K169" i="4"/>
  <c r="L169" i="4"/>
  <c r="M169" i="4"/>
  <c r="N169" i="4"/>
  <c r="O169" i="4"/>
  <c r="P169" i="4"/>
  <c r="Q169" i="4"/>
  <c r="R169" i="4"/>
  <c r="S169" i="4"/>
  <c r="T169" i="4"/>
  <c r="H170" i="4"/>
  <c r="I170" i="4"/>
  <c r="J170" i="4"/>
  <c r="K170" i="4"/>
  <c r="L170" i="4"/>
  <c r="M170" i="4"/>
  <c r="N170" i="4"/>
  <c r="O170" i="4"/>
  <c r="P170" i="4"/>
  <c r="Q170" i="4"/>
  <c r="R170" i="4"/>
  <c r="S170" i="4"/>
  <c r="T170" i="4"/>
  <c r="H171" i="4"/>
  <c r="I171" i="4"/>
  <c r="J171" i="4"/>
  <c r="K171" i="4"/>
  <c r="L171" i="4"/>
  <c r="M171" i="4"/>
  <c r="N171" i="4"/>
  <c r="O171" i="4"/>
  <c r="P171" i="4"/>
  <c r="Q171" i="4"/>
  <c r="R171" i="4"/>
  <c r="S171" i="4"/>
  <c r="T171" i="4"/>
  <c r="H172" i="4"/>
  <c r="I172" i="4"/>
  <c r="J172" i="4"/>
  <c r="K172" i="4"/>
  <c r="L172" i="4"/>
  <c r="M172" i="4"/>
  <c r="N172" i="4"/>
  <c r="O172" i="4"/>
  <c r="P172" i="4"/>
  <c r="Q172" i="4"/>
  <c r="R172" i="4"/>
  <c r="S172" i="4"/>
  <c r="T172" i="4"/>
  <c r="H173" i="4"/>
  <c r="I173" i="4"/>
  <c r="J173" i="4"/>
  <c r="K173" i="4"/>
  <c r="L173" i="4"/>
  <c r="M173" i="4"/>
  <c r="N173" i="4"/>
  <c r="O173" i="4"/>
  <c r="P173" i="4"/>
  <c r="Q173" i="4"/>
  <c r="R173" i="4"/>
  <c r="S173" i="4"/>
  <c r="T173" i="4"/>
  <c r="H174" i="4"/>
  <c r="I174" i="4"/>
  <c r="J174" i="4"/>
  <c r="K174" i="4"/>
  <c r="L174" i="4"/>
  <c r="M174" i="4"/>
  <c r="N174" i="4"/>
  <c r="O174" i="4"/>
  <c r="P174" i="4"/>
  <c r="Q174" i="4"/>
  <c r="R174" i="4"/>
  <c r="S174" i="4"/>
  <c r="T174" i="4"/>
  <c r="H175" i="4"/>
  <c r="I175" i="4"/>
  <c r="J175" i="4"/>
  <c r="K175" i="4"/>
  <c r="L175" i="4"/>
  <c r="M175" i="4"/>
  <c r="N175" i="4"/>
  <c r="O175" i="4"/>
  <c r="P175" i="4"/>
  <c r="Q175" i="4"/>
  <c r="R175" i="4"/>
  <c r="S175" i="4"/>
  <c r="T175" i="4"/>
  <c r="H176" i="4"/>
  <c r="I176" i="4"/>
  <c r="J176" i="4"/>
  <c r="K176" i="4"/>
  <c r="L176" i="4"/>
  <c r="M176" i="4"/>
  <c r="N176" i="4"/>
  <c r="O176" i="4"/>
  <c r="P176" i="4"/>
  <c r="Q176" i="4"/>
  <c r="R176" i="4"/>
  <c r="S176" i="4"/>
  <c r="T176" i="4"/>
  <c r="H177" i="4"/>
  <c r="I177" i="4"/>
  <c r="J177" i="4"/>
  <c r="K177" i="4"/>
  <c r="L177" i="4"/>
  <c r="M177" i="4"/>
  <c r="N177" i="4"/>
  <c r="O177" i="4"/>
  <c r="P177" i="4"/>
  <c r="Q177" i="4"/>
  <c r="R177" i="4"/>
  <c r="S177" i="4"/>
  <c r="T177" i="4"/>
  <c r="H178" i="4"/>
  <c r="I178" i="4"/>
  <c r="J178" i="4"/>
  <c r="K178" i="4"/>
  <c r="L178" i="4"/>
  <c r="M178" i="4"/>
  <c r="N178" i="4"/>
  <c r="O178" i="4"/>
  <c r="P178" i="4"/>
  <c r="Q178" i="4"/>
  <c r="R178" i="4"/>
  <c r="S178" i="4"/>
  <c r="T178" i="4"/>
  <c r="H179" i="4"/>
  <c r="I179" i="4"/>
  <c r="J179" i="4"/>
  <c r="K179" i="4"/>
  <c r="L179" i="4"/>
  <c r="M179" i="4"/>
  <c r="N179" i="4"/>
  <c r="O179" i="4"/>
  <c r="P179" i="4"/>
  <c r="Q179" i="4"/>
  <c r="R179" i="4"/>
  <c r="S179" i="4"/>
  <c r="T179" i="4"/>
  <c r="H180" i="4"/>
  <c r="I180" i="4"/>
  <c r="J180" i="4"/>
  <c r="K180" i="4"/>
  <c r="L180" i="4"/>
  <c r="M180" i="4"/>
  <c r="N180" i="4"/>
  <c r="O180" i="4"/>
  <c r="P180" i="4"/>
  <c r="Q180" i="4"/>
  <c r="R180" i="4"/>
  <c r="S180" i="4"/>
  <c r="T180" i="4"/>
  <c r="H181" i="4"/>
  <c r="I181" i="4"/>
  <c r="J181" i="4"/>
  <c r="K181" i="4"/>
  <c r="L181" i="4"/>
  <c r="M181" i="4"/>
  <c r="N181" i="4"/>
  <c r="O181" i="4"/>
  <c r="P181" i="4"/>
  <c r="Q181" i="4"/>
  <c r="R181" i="4"/>
  <c r="S181" i="4"/>
  <c r="T181" i="4"/>
  <c r="H182" i="4"/>
  <c r="I182" i="4"/>
  <c r="J182" i="4"/>
  <c r="K182" i="4"/>
  <c r="L182" i="4"/>
  <c r="M182" i="4"/>
  <c r="N182" i="4"/>
  <c r="O182" i="4"/>
  <c r="P182" i="4"/>
  <c r="Q182" i="4"/>
  <c r="R182" i="4"/>
  <c r="S182" i="4"/>
  <c r="T182" i="4"/>
  <c r="H183" i="4"/>
  <c r="I183" i="4"/>
  <c r="J183" i="4"/>
  <c r="K183" i="4"/>
  <c r="L183" i="4"/>
  <c r="M183" i="4"/>
  <c r="N183" i="4"/>
  <c r="O183" i="4"/>
  <c r="P183" i="4"/>
  <c r="Q183" i="4"/>
  <c r="R183" i="4"/>
  <c r="S183" i="4"/>
  <c r="T183" i="4"/>
  <c r="H184" i="4"/>
  <c r="I184" i="4"/>
  <c r="J184" i="4"/>
  <c r="K184" i="4"/>
  <c r="L184" i="4"/>
  <c r="M184" i="4"/>
  <c r="N184" i="4"/>
  <c r="O184" i="4"/>
  <c r="P184" i="4"/>
  <c r="Q184" i="4"/>
  <c r="R184" i="4"/>
  <c r="S184" i="4"/>
  <c r="T184" i="4"/>
  <c r="H185" i="4"/>
  <c r="I185" i="4"/>
  <c r="J185" i="4"/>
  <c r="K185" i="4"/>
  <c r="L185" i="4"/>
  <c r="M185" i="4"/>
  <c r="N185" i="4"/>
  <c r="O185" i="4"/>
  <c r="P185" i="4"/>
  <c r="Q185" i="4"/>
  <c r="R185" i="4"/>
  <c r="S185" i="4"/>
  <c r="T185" i="4"/>
  <c r="H186" i="4"/>
  <c r="I186" i="4"/>
  <c r="J186" i="4"/>
  <c r="K186" i="4"/>
  <c r="L186" i="4"/>
  <c r="M186" i="4"/>
  <c r="N186" i="4"/>
  <c r="O186" i="4"/>
  <c r="P186" i="4"/>
  <c r="Q186" i="4"/>
  <c r="R186" i="4"/>
  <c r="S186" i="4"/>
  <c r="T186" i="4"/>
  <c r="H187" i="4"/>
  <c r="I187" i="4"/>
  <c r="J187" i="4"/>
  <c r="K187" i="4"/>
  <c r="L187" i="4"/>
  <c r="M187" i="4"/>
  <c r="N187" i="4"/>
  <c r="O187" i="4"/>
  <c r="P187" i="4"/>
  <c r="Q187" i="4"/>
  <c r="R187" i="4"/>
  <c r="S187" i="4"/>
  <c r="T187" i="4"/>
  <c r="H188" i="4"/>
  <c r="I188" i="4"/>
  <c r="J188" i="4"/>
  <c r="K188" i="4"/>
  <c r="L188" i="4"/>
  <c r="M188" i="4"/>
  <c r="N188" i="4"/>
  <c r="O188" i="4"/>
  <c r="P188" i="4"/>
  <c r="Q188" i="4"/>
  <c r="R188" i="4"/>
  <c r="S188" i="4"/>
  <c r="T188" i="4"/>
  <c r="H189" i="4"/>
  <c r="I189" i="4"/>
  <c r="J189" i="4"/>
  <c r="K189" i="4"/>
  <c r="L189" i="4"/>
  <c r="M189" i="4"/>
  <c r="N189" i="4"/>
  <c r="O189" i="4"/>
  <c r="P189" i="4"/>
  <c r="Q189" i="4"/>
  <c r="R189" i="4"/>
  <c r="S189" i="4"/>
  <c r="T189" i="4"/>
  <c r="H190" i="4"/>
  <c r="I190" i="4"/>
  <c r="J190" i="4"/>
  <c r="K190" i="4"/>
  <c r="L190" i="4"/>
  <c r="M190" i="4"/>
  <c r="N190" i="4"/>
  <c r="O190" i="4"/>
  <c r="P190" i="4"/>
  <c r="Q190" i="4"/>
  <c r="R190" i="4"/>
  <c r="S190" i="4"/>
  <c r="T190" i="4"/>
  <c r="H191" i="4"/>
  <c r="I191" i="4"/>
  <c r="J191" i="4"/>
  <c r="K191" i="4"/>
  <c r="L191" i="4"/>
  <c r="M191" i="4"/>
  <c r="N191" i="4"/>
  <c r="O191" i="4"/>
  <c r="P191" i="4"/>
  <c r="Q191" i="4"/>
  <c r="R191" i="4"/>
  <c r="S191" i="4"/>
  <c r="T191" i="4"/>
  <c r="H192" i="4"/>
  <c r="I192" i="4"/>
  <c r="J192" i="4"/>
  <c r="K192" i="4"/>
  <c r="L192" i="4"/>
  <c r="M192" i="4"/>
  <c r="N192" i="4"/>
  <c r="O192" i="4"/>
  <c r="P192" i="4"/>
  <c r="Q192" i="4"/>
  <c r="R192" i="4"/>
  <c r="S192" i="4"/>
  <c r="T192" i="4"/>
  <c r="H193" i="4"/>
  <c r="I193" i="4"/>
  <c r="J193" i="4"/>
  <c r="K193" i="4"/>
  <c r="L193" i="4"/>
  <c r="M193" i="4"/>
  <c r="N193" i="4"/>
  <c r="O193" i="4"/>
  <c r="P193" i="4"/>
  <c r="Q193" i="4"/>
  <c r="R193" i="4"/>
  <c r="S193" i="4"/>
  <c r="T193" i="4"/>
  <c r="H194" i="4"/>
  <c r="I194" i="4"/>
  <c r="J194" i="4"/>
  <c r="K194" i="4"/>
  <c r="L194" i="4"/>
  <c r="M194" i="4"/>
  <c r="N194" i="4"/>
  <c r="O194" i="4"/>
  <c r="P194" i="4"/>
  <c r="Q194" i="4"/>
  <c r="R194" i="4"/>
  <c r="S194" i="4"/>
  <c r="T194" i="4"/>
  <c r="H195" i="4"/>
  <c r="I195" i="4"/>
  <c r="J195" i="4"/>
  <c r="K195" i="4"/>
  <c r="L195" i="4"/>
  <c r="M195" i="4"/>
  <c r="N195" i="4"/>
  <c r="O195" i="4"/>
  <c r="P195" i="4"/>
  <c r="Q195" i="4"/>
  <c r="R195" i="4"/>
  <c r="S195" i="4"/>
  <c r="T195" i="4"/>
  <c r="H196" i="4"/>
  <c r="I196" i="4"/>
  <c r="J196" i="4"/>
  <c r="K196" i="4"/>
  <c r="L196" i="4"/>
  <c r="M196" i="4"/>
  <c r="N196" i="4"/>
  <c r="O196" i="4"/>
  <c r="P196" i="4"/>
  <c r="Q196" i="4"/>
  <c r="R196" i="4"/>
  <c r="S196" i="4"/>
  <c r="T196" i="4"/>
  <c r="H197" i="4"/>
  <c r="I197" i="4"/>
  <c r="J197" i="4"/>
  <c r="K197" i="4"/>
  <c r="L197" i="4"/>
  <c r="M197" i="4"/>
  <c r="N197" i="4"/>
  <c r="O197" i="4"/>
  <c r="P197" i="4"/>
  <c r="Q197" i="4"/>
  <c r="R197" i="4"/>
  <c r="S197" i="4"/>
  <c r="T197" i="4"/>
  <c r="H198" i="4"/>
  <c r="I198" i="4"/>
  <c r="J198" i="4"/>
  <c r="K198" i="4"/>
  <c r="L198" i="4"/>
  <c r="M198" i="4"/>
  <c r="N198" i="4"/>
  <c r="O198" i="4"/>
  <c r="P198" i="4"/>
  <c r="Q198" i="4"/>
  <c r="R198" i="4"/>
  <c r="S198" i="4"/>
  <c r="T198" i="4"/>
  <c r="H199" i="4"/>
  <c r="I199" i="4"/>
  <c r="J199" i="4"/>
  <c r="K199" i="4"/>
  <c r="L199" i="4"/>
  <c r="M199" i="4"/>
  <c r="N199" i="4"/>
  <c r="O199" i="4"/>
  <c r="P199" i="4"/>
  <c r="Q199" i="4"/>
  <c r="R199" i="4"/>
  <c r="S199" i="4"/>
  <c r="T199" i="4"/>
  <c r="H200" i="4"/>
  <c r="I200" i="4"/>
  <c r="J200" i="4"/>
  <c r="K200" i="4"/>
  <c r="L200" i="4"/>
  <c r="M200" i="4"/>
  <c r="N200" i="4"/>
  <c r="O200" i="4"/>
  <c r="P200" i="4"/>
  <c r="Q200" i="4"/>
  <c r="R200" i="4"/>
  <c r="S200" i="4"/>
  <c r="T200" i="4"/>
  <c r="H201" i="4"/>
  <c r="I201" i="4"/>
  <c r="J201" i="4"/>
  <c r="K201" i="4"/>
  <c r="L201" i="4"/>
  <c r="M201" i="4"/>
  <c r="N201" i="4"/>
  <c r="O201" i="4"/>
  <c r="P201" i="4"/>
  <c r="Q201" i="4"/>
  <c r="R201" i="4"/>
  <c r="S201" i="4"/>
  <c r="T201" i="4"/>
  <c r="H202" i="4"/>
  <c r="I202" i="4"/>
  <c r="J202" i="4"/>
  <c r="K202" i="4"/>
  <c r="L202" i="4"/>
  <c r="M202" i="4"/>
  <c r="N202" i="4"/>
  <c r="O202" i="4"/>
  <c r="P202" i="4"/>
  <c r="Q202" i="4"/>
  <c r="R202" i="4"/>
  <c r="S202" i="4"/>
  <c r="T202" i="4"/>
  <c r="H203" i="4"/>
  <c r="I203" i="4"/>
  <c r="J203" i="4"/>
  <c r="K203" i="4"/>
  <c r="L203" i="4"/>
  <c r="M203" i="4"/>
  <c r="N203" i="4"/>
  <c r="O203" i="4"/>
  <c r="P203" i="4"/>
  <c r="Q203" i="4"/>
  <c r="R203" i="4"/>
  <c r="S203" i="4"/>
  <c r="T203" i="4"/>
  <c r="H204" i="4"/>
  <c r="I204" i="4"/>
  <c r="J204" i="4"/>
  <c r="K204" i="4"/>
  <c r="L204" i="4"/>
  <c r="M204" i="4"/>
  <c r="N204" i="4"/>
  <c r="O204" i="4"/>
  <c r="P204" i="4"/>
  <c r="Q204" i="4"/>
  <c r="R204" i="4"/>
  <c r="S204" i="4"/>
  <c r="T204" i="4"/>
  <c r="H205" i="4"/>
  <c r="I205" i="4"/>
  <c r="J205" i="4"/>
  <c r="K205" i="4"/>
  <c r="L205" i="4"/>
  <c r="M205" i="4"/>
  <c r="N205" i="4"/>
  <c r="O205" i="4"/>
  <c r="P205" i="4"/>
  <c r="Q205" i="4"/>
  <c r="R205" i="4"/>
  <c r="S205" i="4"/>
  <c r="T205" i="4"/>
  <c r="H206" i="4"/>
  <c r="I206" i="4"/>
  <c r="J206" i="4"/>
  <c r="K206" i="4"/>
  <c r="L206" i="4"/>
  <c r="M206" i="4"/>
  <c r="N206" i="4"/>
  <c r="O206" i="4"/>
  <c r="P206" i="4"/>
  <c r="Q206" i="4"/>
  <c r="R206" i="4"/>
  <c r="S206" i="4"/>
  <c r="T206" i="4"/>
  <c r="H207" i="4"/>
  <c r="I207" i="4"/>
  <c r="J207" i="4"/>
  <c r="K207" i="4"/>
  <c r="L207" i="4"/>
  <c r="M207" i="4"/>
  <c r="N207" i="4"/>
  <c r="O207" i="4"/>
  <c r="P207" i="4"/>
  <c r="Q207" i="4"/>
  <c r="R207" i="4"/>
  <c r="S207" i="4"/>
  <c r="T207" i="4"/>
  <c r="H208" i="4"/>
  <c r="I208" i="4"/>
  <c r="J208" i="4"/>
  <c r="K208" i="4"/>
  <c r="L208" i="4"/>
  <c r="M208" i="4"/>
  <c r="N208" i="4"/>
  <c r="O208" i="4"/>
  <c r="P208" i="4"/>
  <c r="Q208" i="4"/>
  <c r="R208" i="4"/>
  <c r="S208" i="4"/>
  <c r="T208" i="4"/>
  <c r="H209" i="4"/>
  <c r="I209" i="4"/>
  <c r="J209" i="4"/>
  <c r="K209" i="4"/>
  <c r="L209" i="4"/>
  <c r="M209" i="4"/>
  <c r="N209" i="4"/>
  <c r="O209" i="4"/>
  <c r="P209" i="4"/>
  <c r="Q209" i="4"/>
  <c r="R209" i="4"/>
  <c r="S209" i="4"/>
  <c r="T209" i="4"/>
  <c r="H210" i="4"/>
  <c r="I210" i="4"/>
  <c r="J210" i="4"/>
  <c r="K210" i="4"/>
  <c r="L210" i="4"/>
  <c r="M210" i="4"/>
  <c r="N210" i="4"/>
  <c r="O210" i="4"/>
  <c r="P210" i="4"/>
  <c r="Q210" i="4"/>
  <c r="R210" i="4"/>
  <c r="S210" i="4"/>
  <c r="T210" i="4"/>
  <c r="H211" i="4"/>
  <c r="I211" i="4"/>
  <c r="J211" i="4"/>
  <c r="K211" i="4"/>
  <c r="L211" i="4"/>
  <c r="M211" i="4"/>
  <c r="N211" i="4"/>
  <c r="O211" i="4"/>
  <c r="P211" i="4"/>
  <c r="Q211" i="4"/>
  <c r="R211" i="4"/>
  <c r="S211" i="4"/>
  <c r="T211" i="4"/>
  <c r="H212" i="4"/>
  <c r="I212" i="4"/>
  <c r="J212" i="4"/>
  <c r="K212" i="4"/>
  <c r="L212" i="4"/>
  <c r="M212" i="4"/>
  <c r="N212" i="4"/>
  <c r="O212" i="4"/>
  <c r="P212" i="4"/>
  <c r="Q212" i="4"/>
  <c r="R212" i="4"/>
  <c r="S212" i="4"/>
  <c r="T212" i="4"/>
  <c r="H213" i="4"/>
  <c r="I213" i="4"/>
  <c r="J213" i="4"/>
  <c r="K213" i="4"/>
  <c r="L213" i="4"/>
  <c r="M213" i="4"/>
  <c r="N213" i="4"/>
  <c r="O213" i="4"/>
  <c r="P213" i="4"/>
  <c r="Q213" i="4"/>
  <c r="R213" i="4"/>
  <c r="S213" i="4"/>
  <c r="T213" i="4"/>
  <c r="H214" i="4"/>
  <c r="I214" i="4"/>
  <c r="J214" i="4"/>
  <c r="K214" i="4"/>
  <c r="L214" i="4"/>
  <c r="M214" i="4"/>
  <c r="N214" i="4"/>
  <c r="O214" i="4"/>
  <c r="P214" i="4"/>
  <c r="Q214" i="4"/>
  <c r="R214" i="4"/>
  <c r="S214" i="4"/>
  <c r="T214" i="4"/>
  <c r="H215" i="4"/>
  <c r="I215" i="4"/>
  <c r="J215" i="4"/>
  <c r="K215" i="4"/>
  <c r="L215" i="4"/>
  <c r="M215" i="4"/>
  <c r="N215" i="4"/>
  <c r="O215" i="4"/>
  <c r="P215" i="4"/>
  <c r="Q215" i="4"/>
  <c r="R215" i="4"/>
  <c r="S215" i="4"/>
  <c r="T215" i="4"/>
  <c r="H216" i="4"/>
  <c r="I216" i="4"/>
  <c r="J216" i="4"/>
  <c r="K216" i="4"/>
  <c r="L216" i="4"/>
  <c r="M216" i="4"/>
  <c r="N216" i="4"/>
  <c r="O216" i="4"/>
  <c r="P216" i="4"/>
  <c r="Q216" i="4"/>
  <c r="R216" i="4"/>
  <c r="S216" i="4"/>
  <c r="T216" i="4"/>
  <c r="H217" i="4"/>
  <c r="I217" i="4"/>
  <c r="J217" i="4"/>
  <c r="K217" i="4"/>
  <c r="L217" i="4"/>
  <c r="M217" i="4"/>
  <c r="N217" i="4"/>
  <c r="O217" i="4"/>
  <c r="P217" i="4"/>
  <c r="Q217" i="4"/>
  <c r="R217" i="4"/>
  <c r="S217" i="4"/>
  <c r="T217" i="4"/>
  <c r="H218" i="4"/>
  <c r="I218" i="4"/>
  <c r="J218" i="4"/>
  <c r="K218" i="4"/>
  <c r="L218" i="4"/>
  <c r="M218" i="4"/>
  <c r="N218" i="4"/>
  <c r="O218" i="4"/>
  <c r="P218" i="4"/>
  <c r="Q218" i="4"/>
  <c r="R218" i="4"/>
  <c r="S218" i="4"/>
  <c r="T218" i="4"/>
  <c r="H219" i="4"/>
  <c r="I219" i="4"/>
  <c r="J219" i="4"/>
  <c r="K219" i="4"/>
  <c r="L219" i="4"/>
  <c r="M219" i="4"/>
  <c r="N219" i="4"/>
  <c r="O219" i="4"/>
  <c r="P219" i="4"/>
  <c r="Q219" i="4"/>
  <c r="R219" i="4"/>
  <c r="S219" i="4"/>
  <c r="T219" i="4"/>
  <c r="H220" i="4"/>
  <c r="I220" i="4"/>
  <c r="J220" i="4"/>
  <c r="K220" i="4"/>
  <c r="L220" i="4"/>
  <c r="M220" i="4"/>
  <c r="N220" i="4"/>
  <c r="O220" i="4"/>
  <c r="P220" i="4"/>
  <c r="Q220" i="4"/>
  <c r="R220" i="4"/>
  <c r="S220" i="4"/>
  <c r="T220" i="4"/>
  <c r="H221" i="4"/>
  <c r="I221" i="4"/>
  <c r="J221" i="4"/>
  <c r="K221" i="4"/>
  <c r="L221" i="4"/>
  <c r="M221" i="4"/>
  <c r="N221" i="4"/>
  <c r="O221" i="4"/>
  <c r="P221" i="4"/>
  <c r="Q221" i="4"/>
  <c r="R221" i="4"/>
  <c r="S221" i="4"/>
  <c r="T221" i="4"/>
  <c r="H222" i="4"/>
  <c r="I222" i="4"/>
  <c r="J222" i="4"/>
  <c r="K222" i="4"/>
  <c r="L222" i="4"/>
  <c r="M222" i="4"/>
  <c r="N222" i="4"/>
  <c r="O222" i="4"/>
  <c r="P222" i="4"/>
  <c r="Q222" i="4"/>
  <c r="R222" i="4"/>
  <c r="S222" i="4"/>
  <c r="T222" i="4"/>
  <c r="H223" i="4"/>
  <c r="I223" i="4"/>
  <c r="J223" i="4"/>
  <c r="K223" i="4"/>
  <c r="L223" i="4"/>
  <c r="M223" i="4"/>
  <c r="N223" i="4"/>
  <c r="O223" i="4"/>
  <c r="P223" i="4"/>
  <c r="Q223" i="4"/>
  <c r="R223" i="4"/>
  <c r="S223" i="4"/>
  <c r="T223" i="4"/>
  <c r="H224" i="4"/>
  <c r="I224" i="4"/>
  <c r="J224" i="4"/>
  <c r="K224" i="4"/>
  <c r="L224" i="4"/>
  <c r="M224" i="4"/>
  <c r="N224" i="4"/>
  <c r="O224" i="4"/>
  <c r="P224" i="4"/>
  <c r="Q224" i="4"/>
  <c r="R224" i="4"/>
  <c r="S224" i="4"/>
  <c r="T224" i="4"/>
  <c r="H225" i="4"/>
  <c r="I225" i="4"/>
  <c r="J225" i="4"/>
  <c r="K225" i="4"/>
  <c r="L225" i="4"/>
  <c r="M225" i="4"/>
  <c r="N225" i="4"/>
  <c r="O225" i="4"/>
  <c r="P225" i="4"/>
  <c r="Q225" i="4"/>
  <c r="R225" i="4"/>
  <c r="S225" i="4"/>
  <c r="T225" i="4"/>
  <c r="H226" i="4"/>
  <c r="I226" i="4"/>
  <c r="J226" i="4"/>
  <c r="K226" i="4"/>
  <c r="L226" i="4"/>
  <c r="M226" i="4"/>
  <c r="N226" i="4"/>
  <c r="O226" i="4"/>
  <c r="P226" i="4"/>
  <c r="Q226" i="4"/>
  <c r="R226" i="4"/>
  <c r="S226" i="4"/>
  <c r="T226" i="4"/>
  <c r="H227" i="4"/>
  <c r="I227" i="4"/>
  <c r="J227" i="4"/>
  <c r="K227" i="4"/>
  <c r="L227" i="4"/>
  <c r="M227" i="4"/>
  <c r="N227" i="4"/>
  <c r="O227" i="4"/>
  <c r="P227" i="4"/>
  <c r="Q227" i="4"/>
  <c r="R227" i="4"/>
  <c r="S227" i="4"/>
  <c r="T227" i="4"/>
  <c r="H228" i="4"/>
  <c r="I228" i="4"/>
  <c r="J228" i="4"/>
  <c r="K228" i="4"/>
  <c r="L228" i="4"/>
  <c r="M228" i="4"/>
  <c r="N228" i="4"/>
  <c r="O228" i="4"/>
  <c r="P228" i="4"/>
  <c r="Q228" i="4"/>
  <c r="R228" i="4"/>
  <c r="S228" i="4"/>
  <c r="T228" i="4"/>
  <c r="H229" i="4"/>
  <c r="I229" i="4"/>
  <c r="J229" i="4"/>
  <c r="K229" i="4"/>
  <c r="L229" i="4"/>
  <c r="M229" i="4"/>
  <c r="N229" i="4"/>
  <c r="O229" i="4"/>
  <c r="P229" i="4"/>
  <c r="Q229" i="4"/>
  <c r="R229" i="4"/>
  <c r="S229" i="4"/>
  <c r="T229" i="4"/>
  <c r="H230" i="4"/>
  <c r="I230" i="4"/>
  <c r="J230" i="4"/>
  <c r="K230" i="4"/>
  <c r="L230" i="4"/>
  <c r="M230" i="4"/>
  <c r="N230" i="4"/>
  <c r="O230" i="4"/>
  <c r="P230" i="4"/>
  <c r="Q230" i="4"/>
  <c r="R230" i="4"/>
  <c r="S230" i="4"/>
  <c r="T230" i="4"/>
  <c r="H231" i="4"/>
  <c r="I231" i="4"/>
  <c r="J231" i="4"/>
  <c r="K231" i="4"/>
  <c r="L231" i="4"/>
  <c r="M231" i="4"/>
  <c r="N231" i="4"/>
  <c r="O231" i="4"/>
  <c r="P231" i="4"/>
  <c r="Q231" i="4"/>
  <c r="R231" i="4"/>
  <c r="S231" i="4"/>
  <c r="T231" i="4"/>
  <c r="H232" i="4"/>
  <c r="I232" i="4"/>
  <c r="J232" i="4"/>
  <c r="K232" i="4"/>
  <c r="L232" i="4"/>
  <c r="M232" i="4"/>
  <c r="N232" i="4"/>
  <c r="O232" i="4"/>
  <c r="P232" i="4"/>
  <c r="Q232" i="4"/>
  <c r="R232" i="4"/>
  <c r="S232" i="4"/>
  <c r="T232" i="4"/>
  <c r="H233" i="4"/>
  <c r="I233" i="4"/>
  <c r="J233" i="4"/>
  <c r="K233" i="4"/>
  <c r="L233" i="4"/>
  <c r="M233" i="4"/>
  <c r="N233" i="4"/>
  <c r="O233" i="4"/>
  <c r="P233" i="4"/>
  <c r="Q233" i="4"/>
  <c r="R233" i="4"/>
  <c r="S233" i="4"/>
  <c r="T233" i="4"/>
  <c r="H234" i="4"/>
  <c r="I234" i="4"/>
  <c r="J234" i="4"/>
  <c r="K234" i="4"/>
  <c r="L234" i="4"/>
  <c r="M234" i="4"/>
  <c r="N234" i="4"/>
  <c r="O234" i="4"/>
  <c r="P234" i="4"/>
  <c r="Q234" i="4"/>
  <c r="R234" i="4"/>
  <c r="S234" i="4"/>
  <c r="T234" i="4"/>
  <c r="H235" i="4"/>
  <c r="I235" i="4"/>
  <c r="J235" i="4"/>
  <c r="K235" i="4"/>
  <c r="L235" i="4"/>
  <c r="M235" i="4"/>
  <c r="N235" i="4"/>
  <c r="O235" i="4"/>
  <c r="P235" i="4"/>
  <c r="Q235" i="4"/>
  <c r="R235" i="4"/>
  <c r="S235" i="4"/>
  <c r="T235" i="4"/>
  <c r="H236" i="4"/>
  <c r="I236" i="4"/>
  <c r="J236" i="4"/>
  <c r="K236" i="4"/>
  <c r="L236" i="4"/>
  <c r="M236" i="4"/>
  <c r="N236" i="4"/>
  <c r="O236" i="4"/>
  <c r="P236" i="4"/>
  <c r="Q236" i="4"/>
  <c r="R236" i="4"/>
  <c r="S236" i="4"/>
  <c r="T236" i="4"/>
  <c r="H237" i="4"/>
  <c r="I237" i="4"/>
  <c r="J237" i="4"/>
  <c r="K237" i="4"/>
  <c r="L237" i="4"/>
  <c r="M237" i="4"/>
  <c r="N237" i="4"/>
  <c r="O237" i="4"/>
  <c r="P237" i="4"/>
  <c r="Q237" i="4"/>
  <c r="R237" i="4"/>
  <c r="S237" i="4"/>
  <c r="T237" i="4"/>
  <c r="H238" i="4"/>
  <c r="I238" i="4"/>
  <c r="J238" i="4"/>
  <c r="K238" i="4"/>
  <c r="L238" i="4"/>
  <c r="M238" i="4"/>
  <c r="N238" i="4"/>
  <c r="O238" i="4"/>
  <c r="P238" i="4"/>
  <c r="Q238" i="4"/>
  <c r="R238" i="4"/>
  <c r="S238" i="4"/>
  <c r="T238" i="4"/>
  <c r="H239" i="4"/>
  <c r="I239" i="4"/>
  <c r="J239" i="4"/>
  <c r="K239" i="4"/>
  <c r="L239" i="4"/>
  <c r="M239" i="4"/>
  <c r="N239" i="4"/>
  <c r="O239" i="4"/>
  <c r="P239" i="4"/>
  <c r="Q239" i="4"/>
  <c r="R239" i="4"/>
  <c r="S239" i="4"/>
  <c r="T239" i="4"/>
  <c r="H240" i="4"/>
  <c r="I240" i="4"/>
  <c r="J240" i="4"/>
  <c r="K240" i="4"/>
  <c r="L240" i="4"/>
  <c r="M240" i="4"/>
  <c r="N240" i="4"/>
  <c r="O240" i="4"/>
  <c r="P240" i="4"/>
  <c r="Q240" i="4"/>
  <c r="R240" i="4"/>
  <c r="S240" i="4"/>
  <c r="T240" i="4"/>
  <c r="H241" i="4"/>
  <c r="I241" i="4"/>
  <c r="J241" i="4"/>
  <c r="K241" i="4"/>
  <c r="L241" i="4"/>
  <c r="M241" i="4"/>
  <c r="N241" i="4"/>
  <c r="O241" i="4"/>
  <c r="P241" i="4"/>
  <c r="Q241" i="4"/>
  <c r="R241" i="4"/>
  <c r="S241" i="4"/>
  <c r="T241" i="4"/>
  <c r="H242" i="4"/>
  <c r="I242" i="4"/>
  <c r="J242" i="4"/>
  <c r="K242" i="4"/>
  <c r="L242" i="4"/>
  <c r="M242" i="4"/>
  <c r="N242" i="4"/>
  <c r="O242" i="4"/>
  <c r="P242" i="4"/>
  <c r="Q242" i="4"/>
  <c r="R242" i="4"/>
  <c r="S242" i="4"/>
  <c r="T242" i="4"/>
  <c r="H243" i="4"/>
  <c r="I243" i="4"/>
  <c r="J243" i="4"/>
  <c r="K243" i="4"/>
  <c r="L243" i="4"/>
  <c r="M243" i="4"/>
  <c r="N243" i="4"/>
  <c r="O243" i="4"/>
  <c r="P243" i="4"/>
  <c r="Q243" i="4"/>
  <c r="R243" i="4"/>
  <c r="S243" i="4"/>
  <c r="T243" i="4"/>
  <c r="H244" i="4"/>
  <c r="I244" i="4"/>
  <c r="J244" i="4"/>
  <c r="K244" i="4"/>
  <c r="L244" i="4"/>
  <c r="M244" i="4"/>
  <c r="N244" i="4"/>
  <c r="O244" i="4"/>
  <c r="P244" i="4"/>
  <c r="Q244" i="4"/>
  <c r="R244" i="4"/>
  <c r="S244" i="4"/>
  <c r="T244" i="4"/>
  <c r="H245" i="4"/>
  <c r="I245" i="4"/>
  <c r="J245" i="4"/>
  <c r="K245" i="4"/>
  <c r="L245" i="4"/>
  <c r="M245" i="4"/>
  <c r="N245" i="4"/>
  <c r="O245" i="4"/>
  <c r="P245" i="4"/>
  <c r="Q245" i="4"/>
  <c r="R245" i="4"/>
  <c r="S245" i="4"/>
  <c r="T245" i="4"/>
  <c r="H246" i="4"/>
  <c r="I246" i="4"/>
  <c r="J246" i="4"/>
  <c r="K246" i="4"/>
  <c r="L246" i="4"/>
  <c r="M246" i="4"/>
  <c r="N246" i="4"/>
  <c r="O246" i="4"/>
  <c r="P246" i="4"/>
  <c r="Q246" i="4"/>
  <c r="R246" i="4"/>
  <c r="S246" i="4"/>
  <c r="T246" i="4"/>
  <c r="H247" i="4"/>
  <c r="I247" i="4"/>
  <c r="J247" i="4"/>
  <c r="K247" i="4"/>
  <c r="L247" i="4"/>
  <c r="M247" i="4"/>
  <c r="N247" i="4"/>
  <c r="O247" i="4"/>
  <c r="P247" i="4"/>
  <c r="Q247" i="4"/>
  <c r="R247" i="4"/>
  <c r="S247" i="4"/>
  <c r="T247" i="4"/>
  <c r="H248" i="4"/>
  <c r="I248" i="4"/>
  <c r="J248" i="4"/>
  <c r="K248" i="4"/>
  <c r="L248" i="4"/>
  <c r="M248" i="4"/>
  <c r="N248" i="4"/>
  <c r="O248" i="4"/>
  <c r="P248" i="4"/>
  <c r="Q248" i="4"/>
  <c r="R248" i="4"/>
  <c r="S248" i="4"/>
  <c r="T248" i="4"/>
  <c r="H249" i="4"/>
  <c r="I249" i="4"/>
  <c r="J249" i="4"/>
  <c r="K249" i="4"/>
  <c r="L249" i="4"/>
  <c r="M249" i="4"/>
  <c r="N249" i="4"/>
  <c r="O249" i="4"/>
  <c r="P249" i="4"/>
  <c r="Q249" i="4"/>
  <c r="R249" i="4"/>
  <c r="S249" i="4"/>
  <c r="T249" i="4"/>
  <c r="H250" i="4"/>
  <c r="I250" i="4"/>
  <c r="J250" i="4"/>
  <c r="K250" i="4"/>
  <c r="L250" i="4"/>
  <c r="M250" i="4"/>
  <c r="N250" i="4"/>
  <c r="O250" i="4"/>
  <c r="P250" i="4"/>
  <c r="Q250" i="4"/>
  <c r="R250" i="4"/>
  <c r="S250" i="4"/>
  <c r="T250" i="4"/>
  <c r="H251" i="4"/>
  <c r="I251" i="4"/>
  <c r="J251" i="4"/>
  <c r="K251" i="4"/>
  <c r="L251" i="4"/>
  <c r="M251" i="4"/>
  <c r="N251" i="4"/>
  <c r="O251" i="4"/>
  <c r="P251" i="4"/>
  <c r="Q251" i="4"/>
  <c r="R251" i="4"/>
  <c r="S251" i="4"/>
  <c r="T251" i="4"/>
  <c r="H252" i="4"/>
  <c r="I252" i="4"/>
  <c r="J252" i="4"/>
  <c r="K252" i="4"/>
  <c r="L252" i="4"/>
  <c r="M252" i="4"/>
  <c r="N252" i="4"/>
  <c r="O252" i="4"/>
  <c r="P252" i="4"/>
  <c r="Q252" i="4"/>
  <c r="R252" i="4"/>
  <c r="S252" i="4"/>
  <c r="T252" i="4"/>
  <c r="H253" i="4"/>
  <c r="I253" i="4"/>
  <c r="J253" i="4"/>
  <c r="K253" i="4"/>
  <c r="L253" i="4"/>
  <c r="M253" i="4"/>
  <c r="N253" i="4"/>
  <c r="O253" i="4"/>
  <c r="P253" i="4"/>
  <c r="Q253" i="4"/>
  <c r="R253" i="4"/>
  <c r="S253" i="4"/>
  <c r="T253" i="4"/>
  <c r="H254" i="4"/>
  <c r="I254" i="4"/>
  <c r="J254" i="4"/>
  <c r="K254" i="4"/>
  <c r="L254" i="4"/>
  <c r="M254" i="4"/>
  <c r="N254" i="4"/>
  <c r="O254" i="4"/>
  <c r="P254" i="4"/>
  <c r="Q254" i="4"/>
  <c r="R254" i="4"/>
  <c r="S254" i="4"/>
  <c r="T254" i="4"/>
  <c r="H255" i="4"/>
  <c r="I255" i="4"/>
  <c r="J255" i="4"/>
  <c r="K255" i="4"/>
  <c r="L255" i="4"/>
  <c r="M255" i="4"/>
  <c r="N255" i="4"/>
  <c r="O255" i="4"/>
  <c r="P255" i="4"/>
  <c r="Q255" i="4"/>
  <c r="R255" i="4"/>
  <c r="S255" i="4"/>
  <c r="T255" i="4"/>
  <c r="H256" i="4"/>
  <c r="I256" i="4"/>
  <c r="J256" i="4"/>
  <c r="K256" i="4"/>
  <c r="L256" i="4"/>
  <c r="M256" i="4"/>
  <c r="N256" i="4"/>
  <c r="O256" i="4"/>
  <c r="P256" i="4"/>
  <c r="Q256" i="4"/>
  <c r="R256" i="4"/>
  <c r="S256" i="4"/>
  <c r="T256" i="4"/>
  <c r="H257" i="4"/>
  <c r="I257" i="4"/>
  <c r="J257" i="4"/>
  <c r="K257" i="4"/>
  <c r="L257" i="4"/>
  <c r="M257" i="4"/>
  <c r="N257" i="4"/>
  <c r="O257" i="4"/>
  <c r="P257" i="4"/>
  <c r="Q257" i="4"/>
  <c r="R257" i="4"/>
  <c r="S257" i="4"/>
  <c r="T257" i="4"/>
  <c r="H258" i="4"/>
  <c r="I258" i="4"/>
  <c r="J258" i="4"/>
  <c r="K258" i="4"/>
  <c r="L258" i="4"/>
  <c r="M258" i="4"/>
  <c r="N258" i="4"/>
  <c r="O258" i="4"/>
  <c r="P258" i="4"/>
  <c r="Q258" i="4"/>
  <c r="R258" i="4"/>
  <c r="S258" i="4"/>
  <c r="T258" i="4"/>
  <c r="H259" i="4"/>
  <c r="I259" i="4"/>
  <c r="J259" i="4"/>
  <c r="K259" i="4"/>
  <c r="L259" i="4"/>
  <c r="M259" i="4"/>
  <c r="N259" i="4"/>
  <c r="O259" i="4"/>
  <c r="P259" i="4"/>
  <c r="Q259" i="4"/>
  <c r="R259" i="4"/>
  <c r="S259" i="4"/>
  <c r="T259" i="4"/>
  <c r="H260" i="4"/>
  <c r="I260" i="4"/>
  <c r="J260" i="4"/>
  <c r="K260" i="4"/>
  <c r="L260" i="4"/>
  <c r="M260" i="4"/>
  <c r="N260" i="4"/>
  <c r="O260" i="4"/>
  <c r="P260" i="4"/>
  <c r="Q260" i="4"/>
  <c r="R260" i="4"/>
  <c r="S260" i="4"/>
  <c r="T260" i="4"/>
  <c r="H261" i="4"/>
  <c r="I261" i="4"/>
  <c r="J261" i="4"/>
  <c r="K261" i="4"/>
  <c r="L261" i="4"/>
  <c r="M261" i="4"/>
  <c r="N261" i="4"/>
  <c r="O261" i="4"/>
  <c r="P261" i="4"/>
  <c r="Q261" i="4"/>
  <c r="R261" i="4"/>
  <c r="S261" i="4"/>
  <c r="T261" i="4"/>
  <c r="H262" i="4"/>
  <c r="I262" i="4"/>
  <c r="J262" i="4"/>
  <c r="K262" i="4"/>
  <c r="L262" i="4"/>
  <c r="M262" i="4"/>
  <c r="N262" i="4"/>
  <c r="O262" i="4"/>
  <c r="P262" i="4"/>
  <c r="Q262" i="4"/>
  <c r="R262" i="4"/>
  <c r="S262" i="4"/>
  <c r="T262" i="4"/>
  <c r="H263" i="4"/>
  <c r="I263" i="4"/>
  <c r="J263" i="4"/>
  <c r="K263" i="4"/>
  <c r="L263" i="4"/>
  <c r="M263" i="4"/>
  <c r="N263" i="4"/>
  <c r="O263" i="4"/>
  <c r="P263" i="4"/>
  <c r="Q263" i="4"/>
  <c r="R263" i="4"/>
  <c r="S263" i="4"/>
  <c r="T263" i="4"/>
  <c r="H264" i="4"/>
  <c r="I264" i="4"/>
  <c r="J264" i="4"/>
  <c r="K264" i="4"/>
  <c r="L264" i="4"/>
  <c r="M264" i="4"/>
  <c r="N264" i="4"/>
  <c r="O264" i="4"/>
  <c r="P264" i="4"/>
  <c r="Q264" i="4"/>
  <c r="R264" i="4"/>
  <c r="S264" i="4"/>
  <c r="T264" i="4"/>
  <c r="H265" i="4"/>
  <c r="I265" i="4"/>
  <c r="J265" i="4"/>
  <c r="K265" i="4"/>
  <c r="L265" i="4"/>
  <c r="M265" i="4"/>
  <c r="N265" i="4"/>
  <c r="O265" i="4"/>
  <c r="P265" i="4"/>
  <c r="Q265" i="4"/>
  <c r="R265" i="4"/>
  <c r="S265" i="4"/>
  <c r="T265" i="4"/>
  <c r="H266" i="4"/>
  <c r="I266" i="4"/>
  <c r="J266" i="4"/>
  <c r="K266" i="4"/>
  <c r="L266" i="4"/>
  <c r="M266" i="4"/>
  <c r="N266" i="4"/>
  <c r="O266" i="4"/>
  <c r="P266" i="4"/>
  <c r="Q266" i="4"/>
  <c r="R266" i="4"/>
  <c r="S266" i="4"/>
  <c r="T266" i="4"/>
  <c r="H267" i="4"/>
  <c r="I267" i="4"/>
  <c r="J267" i="4"/>
  <c r="K267" i="4"/>
  <c r="L267" i="4"/>
  <c r="M267" i="4"/>
  <c r="N267" i="4"/>
  <c r="O267" i="4"/>
  <c r="P267" i="4"/>
  <c r="Q267" i="4"/>
  <c r="R267" i="4"/>
  <c r="S267" i="4"/>
  <c r="T267" i="4"/>
  <c r="H268" i="4"/>
  <c r="I268" i="4"/>
  <c r="J268" i="4"/>
  <c r="K268" i="4"/>
  <c r="L268" i="4"/>
  <c r="M268" i="4"/>
  <c r="N268" i="4"/>
  <c r="O268" i="4"/>
  <c r="P268" i="4"/>
  <c r="Q268" i="4"/>
  <c r="R268" i="4"/>
  <c r="S268" i="4"/>
  <c r="T268" i="4"/>
  <c r="H269" i="4"/>
  <c r="I269" i="4"/>
  <c r="J269" i="4"/>
  <c r="K269" i="4"/>
  <c r="L269" i="4"/>
  <c r="M269" i="4"/>
  <c r="N269" i="4"/>
  <c r="O269" i="4"/>
  <c r="P269" i="4"/>
  <c r="Q269" i="4"/>
  <c r="R269" i="4"/>
  <c r="S269" i="4"/>
  <c r="T269" i="4"/>
  <c r="H270" i="4"/>
  <c r="I270" i="4"/>
  <c r="J270" i="4"/>
  <c r="K270" i="4"/>
  <c r="L270" i="4"/>
  <c r="M270" i="4"/>
  <c r="N270" i="4"/>
  <c r="O270" i="4"/>
  <c r="P270" i="4"/>
  <c r="Q270" i="4"/>
  <c r="R270" i="4"/>
  <c r="S270" i="4"/>
  <c r="T270" i="4"/>
  <c r="H271" i="4"/>
  <c r="I271" i="4"/>
  <c r="J271" i="4"/>
  <c r="K271" i="4"/>
  <c r="L271" i="4"/>
  <c r="M271" i="4"/>
  <c r="N271" i="4"/>
  <c r="O271" i="4"/>
  <c r="P271" i="4"/>
  <c r="Q271" i="4"/>
  <c r="R271" i="4"/>
  <c r="S271" i="4"/>
  <c r="T271" i="4"/>
  <c r="H272" i="4"/>
  <c r="I272" i="4"/>
  <c r="J272" i="4"/>
  <c r="K272" i="4"/>
  <c r="L272" i="4"/>
  <c r="M272" i="4"/>
  <c r="N272" i="4"/>
  <c r="O272" i="4"/>
  <c r="P272" i="4"/>
  <c r="Q272" i="4"/>
  <c r="R272" i="4"/>
  <c r="S272" i="4"/>
  <c r="T272" i="4"/>
  <c r="H273" i="4"/>
  <c r="I273" i="4"/>
  <c r="J273" i="4"/>
  <c r="K273" i="4"/>
  <c r="L273" i="4"/>
  <c r="M273" i="4"/>
  <c r="N273" i="4"/>
  <c r="O273" i="4"/>
  <c r="P273" i="4"/>
  <c r="Q273" i="4"/>
  <c r="R273" i="4"/>
  <c r="S273" i="4"/>
  <c r="T273" i="4"/>
  <c r="H274" i="4"/>
  <c r="I274" i="4"/>
  <c r="J274" i="4"/>
  <c r="K274" i="4"/>
  <c r="L274" i="4"/>
  <c r="M274" i="4"/>
  <c r="N274" i="4"/>
  <c r="O274" i="4"/>
  <c r="P274" i="4"/>
  <c r="Q274" i="4"/>
  <c r="R274" i="4"/>
  <c r="S274" i="4"/>
  <c r="T274" i="4"/>
  <c r="H275" i="4"/>
  <c r="I275" i="4"/>
  <c r="J275" i="4"/>
  <c r="K275" i="4"/>
  <c r="L275" i="4"/>
  <c r="M275" i="4"/>
  <c r="N275" i="4"/>
  <c r="O275" i="4"/>
  <c r="P275" i="4"/>
  <c r="Q275" i="4"/>
  <c r="R275" i="4"/>
  <c r="S275" i="4"/>
  <c r="T275" i="4"/>
  <c r="H276" i="4"/>
  <c r="I276" i="4"/>
  <c r="J276" i="4"/>
  <c r="K276" i="4"/>
  <c r="L276" i="4"/>
  <c r="M276" i="4"/>
  <c r="N276" i="4"/>
  <c r="O276" i="4"/>
  <c r="P276" i="4"/>
  <c r="Q276" i="4"/>
  <c r="R276" i="4"/>
  <c r="S276" i="4"/>
  <c r="T276" i="4"/>
  <c r="H277" i="4"/>
  <c r="I277" i="4"/>
  <c r="J277" i="4"/>
  <c r="K277" i="4"/>
  <c r="L277" i="4"/>
  <c r="M277" i="4"/>
  <c r="N277" i="4"/>
  <c r="O277" i="4"/>
  <c r="P277" i="4"/>
  <c r="Q277" i="4"/>
  <c r="R277" i="4"/>
  <c r="S277" i="4"/>
  <c r="T277" i="4"/>
  <c r="H278" i="4"/>
  <c r="I278" i="4"/>
  <c r="J278" i="4"/>
  <c r="K278" i="4"/>
  <c r="L278" i="4"/>
  <c r="M278" i="4"/>
  <c r="N278" i="4"/>
  <c r="O278" i="4"/>
  <c r="P278" i="4"/>
  <c r="Q278" i="4"/>
  <c r="R278" i="4"/>
  <c r="S278" i="4"/>
  <c r="T278" i="4"/>
  <c r="H279" i="4"/>
  <c r="I279" i="4"/>
  <c r="J279" i="4"/>
  <c r="K279" i="4"/>
  <c r="L279" i="4"/>
  <c r="M279" i="4"/>
  <c r="N279" i="4"/>
  <c r="O279" i="4"/>
  <c r="P279" i="4"/>
  <c r="Q279" i="4"/>
  <c r="R279" i="4"/>
  <c r="S279" i="4"/>
  <c r="T279" i="4"/>
  <c r="H280" i="4"/>
  <c r="I280" i="4"/>
  <c r="J280" i="4"/>
  <c r="K280" i="4"/>
  <c r="L280" i="4"/>
  <c r="M280" i="4"/>
  <c r="N280" i="4"/>
  <c r="O280" i="4"/>
  <c r="P280" i="4"/>
  <c r="Q280" i="4"/>
  <c r="R280" i="4"/>
  <c r="S280" i="4"/>
  <c r="T280" i="4"/>
  <c r="H281" i="4"/>
  <c r="I281" i="4"/>
  <c r="J281" i="4"/>
  <c r="K281" i="4"/>
  <c r="L281" i="4"/>
  <c r="M281" i="4"/>
  <c r="N281" i="4"/>
  <c r="O281" i="4"/>
  <c r="P281" i="4"/>
  <c r="Q281" i="4"/>
  <c r="R281" i="4"/>
  <c r="S281" i="4"/>
  <c r="T281" i="4"/>
  <c r="H282" i="4"/>
  <c r="I282" i="4"/>
  <c r="J282" i="4"/>
  <c r="K282" i="4"/>
  <c r="L282" i="4"/>
  <c r="M282" i="4"/>
  <c r="N282" i="4"/>
  <c r="O282" i="4"/>
  <c r="P282" i="4"/>
  <c r="Q282" i="4"/>
  <c r="R282" i="4"/>
  <c r="S282" i="4"/>
  <c r="T282" i="4"/>
  <c r="H283" i="4"/>
  <c r="I283" i="4"/>
  <c r="J283" i="4"/>
  <c r="K283" i="4"/>
  <c r="L283" i="4"/>
  <c r="M283" i="4"/>
  <c r="N283" i="4"/>
  <c r="O283" i="4"/>
  <c r="P283" i="4"/>
  <c r="Q283" i="4"/>
  <c r="R283" i="4"/>
  <c r="S283" i="4"/>
  <c r="T283" i="4"/>
  <c r="H284" i="4"/>
  <c r="I284" i="4"/>
  <c r="J284" i="4"/>
  <c r="K284" i="4"/>
  <c r="L284" i="4"/>
  <c r="M284" i="4"/>
  <c r="N284" i="4"/>
  <c r="O284" i="4"/>
  <c r="P284" i="4"/>
  <c r="Q284" i="4"/>
  <c r="R284" i="4"/>
  <c r="S284" i="4"/>
  <c r="T284" i="4"/>
  <c r="H285" i="4"/>
  <c r="I285" i="4"/>
  <c r="J285" i="4"/>
  <c r="K285" i="4"/>
  <c r="L285" i="4"/>
  <c r="M285" i="4"/>
  <c r="N285" i="4"/>
  <c r="O285" i="4"/>
  <c r="P285" i="4"/>
  <c r="Q285" i="4"/>
  <c r="R285" i="4"/>
  <c r="S285" i="4"/>
  <c r="T285" i="4"/>
  <c r="H286" i="4"/>
  <c r="I286" i="4"/>
  <c r="J286" i="4"/>
  <c r="K286" i="4"/>
  <c r="L286" i="4"/>
  <c r="M286" i="4"/>
  <c r="N286" i="4"/>
  <c r="O286" i="4"/>
  <c r="P286" i="4"/>
  <c r="Q286" i="4"/>
  <c r="R286" i="4"/>
  <c r="S286" i="4"/>
  <c r="T286" i="4"/>
  <c r="H287" i="4"/>
  <c r="I287" i="4"/>
  <c r="J287" i="4"/>
  <c r="K287" i="4"/>
  <c r="L287" i="4"/>
  <c r="M287" i="4"/>
  <c r="N287" i="4"/>
  <c r="O287" i="4"/>
  <c r="P287" i="4"/>
  <c r="Q287" i="4"/>
  <c r="R287" i="4"/>
  <c r="S287" i="4"/>
  <c r="T287" i="4"/>
  <c r="H288" i="4"/>
  <c r="I288" i="4"/>
  <c r="J288" i="4"/>
  <c r="K288" i="4"/>
  <c r="L288" i="4"/>
  <c r="M288" i="4"/>
  <c r="N288" i="4"/>
  <c r="O288" i="4"/>
  <c r="P288" i="4"/>
  <c r="Q288" i="4"/>
  <c r="R288" i="4"/>
  <c r="S288" i="4"/>
  <c r="T288" i="4"/>
  <c r="H289" i="4"/>
  <c r="I289" i="4"/>
  <c r="J289" i="4"/>
  <c r="K289" i="4"/>
  <c r="L289" i="4"/>
  <c r="M289" i="4"/>
  <c r="N289" i="4"/>
  <c r="O289" i="4"/>
  <c r="P289" i="4"/>
  <c r="Q289" i="4"/>
  <c r="R289" i="4"/>
  <c r="S289" i="4"/>
  <c r="T289" i="4"/>
  <c r="H290" i="4"/>
  <c r="I290" i="4"/>
  <c r="J290" i="4"/>
  <c r="K290" i="4"/>
  <c r="L290" i="4"/>
  <c r="M290" i="4"/>
  <c r="N290" i="4"/>
  <c r="O290" i="4"/>
  <c r="P290" i="4"/>
  <c r="Q290" i="4"/>
  <c r="R290" i="4"/>
  <c r="S290" i="4"/>
  <c r="T290" i="4"/>
  <c r="H291" i="4"/>
  <c r="I291" i="4"/>
  <c r="J291" i="4"/>
  <c r="K291" i="4"/>
  <c r="L291" i="4"/>
  <c r="M291" i="4"/>
  <c r="N291" i="4"/>
  <c r="O291" i="4"/>
  <c r="P291" i="4"/>
  <c r="Q291" i="4"/>
  <c r="R291" i="4"/>
  <c r="S291" i="4"/>
  <c r="T291" i="4"/>
  <c r="H292" i="4"/>
  <c r="I292" i="4"/>
  <c r="J292" i="4"/>
  <c r="K292" i="4"/>
  <c r="L292" i="4"/>
  <c r="M292" i="4"/>
  <c r="N292" i="4"/>
  <c r="O292" i="4"/>
  <c r="P292" i="4"/>
  <c r="Q292" i="4"/>
  <c r="R292" i="4"/>
  <c r="S292" i="4"/>
  <c r="T292" i="4"/>
  <c r="H293" i="4"/>
  <c r="I293" i="4"/>
  <c r="J293" i="4"/>
  <c r="K293" i="4"/>
  <c r="L293" i="4"/>
  <c r="M293" i="4"/>
  <c r="N293" i="4"/>
  <c r="O293" i="4"/>
  <c r="P293" i="4"/>
  <c r="Q293" i="4"/>
  <c r="R293" i="4"/>
  <c r="S293" i="4"/>
  <c r="T293" i="4"/>
  <c r="H294" i="4"/>
  <c r="I294" i="4"/>
  <c r="J294" i="4"/>
  <c r="K294" i="4"/>
  <c r="L294" i="4"/>
  <c r="M294" i="4"/>
  <c r="N294" i="4"/>
  <c r="O294" i="4"/>
  <c r="P294" i="4"/>
  <c r="Q294" i="4"/>
  <c r="R294" i="4"/>
  <c r="S294" i="4"/>
  <c r="T294" i="4"/>
  <c r="H295" i="4"/>
  <c r="I295" i="4"/>
  <c r="J295" i="4"/>
  <c r="K295" i="4"/>
  <c r="L295" i="4"/>
  <c r="M295" i="4"/>
  <c r="N295" i="4"/>
  <c r="O295" i="4"/>
  <c r="P295" i="4"/>
  <c r="Q295" i="4"/>
  <c r="R295" i="4"/>
  <c r="S295" i="4"/>
  <c r="T295" i="4"/>
  <c r="H296" i="4"/>
  <c r="I296" i="4"/>
  <c r="J296" i="4"/>
  <c r="K296" i="4"/>
  <c r="L296" i="4"/>
  <c r="M296" i="4"/>
  <c r="N296" i="4"/>
  <c r="O296" i="4"/>
  <c r="P296" i="4"/>
  <c r="Q296" i="4"/>
  <c r="R296" i="4"/>
  <c r="S296" i="4"/>
  <c r="T296" i="4"/>
  <c r="H297" i="4"/>
  <c r="I297" i="4"/>
  <c r="J297" i="4"/>
  <c r="K297" i="4"/>
  <c r="L297" i="4"/>
  <c r="M297" i="4"/>
  <c r="N297" i="4"/>
  <c r="O297" i="4"/>
  <c r="P297" i="4"/>
  <c r="Q297" i="4"/>
  <c r="R297" i="4"/>
  <c r="S297" i="4"/>
  <c r="T297" i="4"/>
  <c r="H298" i="4"/>
  <c r="I298" i="4"/>
  <c r="J298" i="4"/>
  <c r="K298" i="4"/>
  <c r="L298" i="4"/>
  <c r="M298" i="4"/>
  <c r="N298" i="4"/>
  <c r="O298" i="4"/>
  <c r="P298" i="4"/>
  <c r="Q298" i="4"/>
  <c r="R298" i="4"/>
  <c r="S298" i="4"/>
  <c r="T298" i="4"/>
  <c r="H299" i="4"/>
  <c r="I299" i="4"/>
  <c r="J299" i="4"/>
  <c r="K299" i="4"/>
  <c r="L299" i="4"/>
  <c r="M299" i="4"/>
  <c r="N299" i="4"/>
  <c r="O299" i="4"/>
  <c r="P299" i="4"/>
  <c r="Q299" i="4"/>
  <c r="R299" i="4"/>
  <c r="S299" i="4"/>
  <c r="T299" i="4"/>
  <c r="H300" i="4"/>
  <c r="I300" i="4"/>
  <c r="J300" i="4"/>
  <c r="K300" i="4"/>
  <c r="L300" i="4"/>
  <c r="M300" i="4"/>
  <c r="N300" i="4"/>
  <c r="O300" i="4"/>
  <c r="P300" i="4"/>
  <c r="Q300" i="4"/>
  <c r="R300" i="4"/>
  <c r="S300" i="4"/>
  <c r="T300" i="4"/>
  <c r="H301" i="4"/>
  <c r="I301" i="4"/>
  <c r="J301" i="4"/>
  <c r="K301" i="4"/>
  <c r="L301" i="4"/>
  <c r="M301" i="4"/>
  <c r="N301" i="4"/>
  <c r="O301" i="4"/>
  <c r="P301" i="4"/>
  <c r="Q301" i="4"/>
  <c r="R301" i="4"/>
  <c r="S301" i="4"/>
  <c r="T301" i="4"/>
  <c r="H302" i="4"/>
  <c r="I302" i="4"/>
  <c r="J302" i="4"/>
  <c r="K302" i="4"/>
  <c r="L302" i="4"/>
  <c r="M302" i="4"/>
  <c r="N302" i="4"/>
  <c r="O302" i="4"/>
  <c r="P302" i="4"/>
  <c r="Q302" i="4"/>
  <c r="R302" i="4"/>
  <c r="S302" i="4"/>
  <c r="T302" i="4"/>
  <c r="H303" i="4"/>
  <c r="I303" i="4"/>
  <c r="J303" i="4"/>
  <c r="K303" i="4"/>
  <c r="L303" i="4"/>
  <c r="M303" i="4"/>
  <c r="N303" i="4"/>
  <c r="O303" i="4"/>
  <c r="P303" i="4"/>
  <c r="Q303" i="4"/>
  <c r="R303" i="4"/>
  <c r="S303" i="4"/>
  <c r="T303" i="4"/>
  <c r="H304" i="4"/>
  <c r="I304" i="4"/>
  <c r="J304" i="4"/>
  <c r="K304" i="4"/>
  <c r="L304" i="4"/>
  <c r="M304" i="4"/>
  <c r="N304" i="4"/>
  <c r="O304" i="4"/>
  <c r="P304" i="4"/>
  <c r="Q304" i="4"/>
  <c r="R304" i="4"/>
  <c r="S304" i="4"/>
  <c r="T304" i="4"/>
  <c r="H305" i="4"/>
  <c r="I305" i="4"/>
  <c r="J305" i="4"/>
  <c r="K305" i="4"/>
  <c r="L305" i="4"/>
  <c r="M305" i="4"/>
  <c r="N305" i="4"/>
  <c r="O305" i="4"/>
  <c r="P305" i="4"/>
  <c r="Q305" i="4"/>
  <c r="R305" i="4"/>
  <c r="S305" i="4"/>
  <c r="T305" i="4"/>
  <c r="H306" i="4"/>
  <c r="I306" i="4"/>
  <c r="J306" i="4"/>
  <c r="K306" i="4"/>
  <c r="L306" i="4"/>
  <c r="M306" i="4"/>
  <c r="N306" i="4"/>
  <c r="O306" i="4"/>
  <c r="P306" i="4"/>
  <c r="Q306" i="4"/>
  <c r="R306" i="4"/>
  <c r="S306" i="4"/>
  <c r="T306" i="4"/>
  <c r="H307" i="4"/>
  <c r="I307" i="4"/>
  <c r="J307" i="4"/>
  <c r="K307" i="4"/>
  <c r="L307" i="4"/>
  <c r="M307" i="4"/>
  <c r="N307" i="4"/>
  <c r="O307" i="4"/>
  <c r="P307" i="4"/>
  <c r="Q307" i="4"/>
  <c r="R307" i="4"/>
  <c r="S307" i="4"/>
  <c r="T307" i="4"/>
  <c r="H308" i="4"/>
  <c r="I308" i="4"/>
  <c r="J308" i="4"/>
  <c r="K308" i="4"/>
  <c r="L308" i="4"/>
  <c r="M308" i="4"/>
  <c r="N308" i="4"/>
  <c r="O308" i="4"/>
  <c r="P308" i="4"/>
  <c r="Q308" i="4"/>
  <c r="R308" i="4"/>
  <c r="S308" i="4"/>
  <c r="T308" i="4"/>
  <c r="H309" i="4"/>
  <c r="I309" i="4"/>
  <c r="J309" i="4"/>
  <c r="K309" i="4"/>
  <c r="L309" i="4"/>
  <c r="M309" i="4"/>
  <c r="N309" i="4"/>
  <c r="O309" i="4"/>
  <c r="P309" i="4"/>
  <c r="Q309" i="4"/>
  <c r="R309" i="4"/>
  <c r="S309" i="4"/>
  <c r="T309" i="4"/>
  <c r="H310" i="4"/>
  <c r="I310" i="4"/>
  <c r="J310" i="4"/>
  <c r="K310" i="4"/>
  <c r="L310" i="4"/>
  <c r="M310" i="4"/>
  <c r="N310" i="4"/>
  <c r="O310" i="4"/>
  <c r="P310" i="4"/>
  <c r="Q310" i="4"/>
  <c r="R310" i="4"/>
  <c r="S310" i="4"/>
  <c r="T310" i="4"/>
  <c r="H311" i="4"/>
  <c r="I311" i="4"/>
  <c r="J311" i="4"/>
  <c r="K311" i="4"/>
  <c r="L311" i="4"/>
  <c r="M311" i="4"/>
  <c r="N311" i="4"/>
  <c r="O311" i="4"/>
  <c r="P311" i="4"/>
  <c r="Q311" i="4"/>
  <c r="R311" i="4"/>
  <c r="S311" i="4"/>
  <c r="T311" i="4"/>
  <c r="H312" i="4"/>
  <c r="I312" i="4"/>
  <c r="J312" i="4"/>
  <c r="K312" i="4"/>
  <c r="L312" i="4"/>
  <c r="M312" i="4"/>
  <c r="N312" i="4"/>
  <c r="O312" i="4"/>
  <c r="P312" i="4"/>
  <c r="Q312" i="4"/>
  <c r="R312" i="4"/>
  <c r="S312" i="4"/>
  <c r="T312" i="4"/>
  <c r="H313" i="4"/>
  <c r="I313" i="4"/>
  <c r="J313" i="4"/>
  <c r="K313" i="4"/>
  <c r="L313" i="4"/>
  <c r="M313" i="4"/>
  <c r="N313" i="4"/>
  <c r="O313" i="4"/>
  <c r="P313" i="4"/>
  <c r="Q313" i="4"/>
  <c r="R313" i="4"/>
  <c r="S313" i="4"/>
  <c r="T313" i="4"/>
  <c r="H314" i="4"/>
  <c r="I314" i="4"/>
  <c r="J314" i="4"/>
  <c r="K314" i="4"/>
  <c r="L314" i="4"/>
  <c r="M314" i="4"/>
  <c r="N314" i="4"/>
  <c r="O314" i="4"/>
  <c r="P314" i="4"/>
  <c r="Q314" i="4"/>
  <c r="R314" i="4"/>
  <c r="S314" i="4"/>
  <c r="T314" i="4"/>
  <c r="H315" i="4"/>
  <c r="I315" i="4"/>
  <c r="J315" i="4"/>
  <c r="K315" i="4"/>
  <c r="L315" i="4"/>
  <c r="M315" i="4"/>
  <c r="N315" i="4"/>
  <c r="O315" i="4"/>
  <c r="P315" i="4"/>
  <c r="Q315" i="4"/>
  <c r="R315" i="4"/>
  <c r="S315" i="4"/>
  <c r="T315" i="4"/>
  <c r="H316" i="4"/>
  <c r="I316" i="4"/>
  <c r="J316" i="4"/>
  <c r="K316" i="4"/>
  <c r="L316" i="4"/>
  <c r="M316" i="4"/>
  <c r="N316" i="4"/>
  <c r="O316" i="4"/>
  <c r="P316" i="4"/>
  <c r="Q316" i="4"/>
  <c r="R316" i="4"/>
  <c r="S316" i="4"/>
  <c r="T316" i="4"/>
  <c r="H317" i="4"/>
  <c r="I317" i="4"/>
  <c r="J317" i="4"/>
  <c r="K317" i="4"/>
  <c r="L317" i="4"/>
  <c r="M317" i="4"/>
  <c r="N317" i="4"/>
  <c r="O317" i="4"/>
  <c r="P317" i="4"/>
  <c r="Q317" i="4"/>
  <c r="R317" i="4"/>
  <c r="S317" i="4"/>
  <c r="T317" i="4"/>
  <c r="H318" i="4"/>
  <c r="I318" i="4"/>
  <c r="J318" i="4"/>
  <c r="K318" i="4"/>
  <c r="L318" i="4"/>
  <c r="M318" i="4"/>
  <c r="N318" i="4"/>
  <c r="O318" i="4"/>
  <c r="P318" i="4"/>
  <c r="Q318" i="4"/>
  <c r="R318" i="4"/>
  <c r="S318" i="4"/>
  <c r="T318" i="4"/>
  <c r="H319" i="4"/>
  <c r="I319" i="4"/>
  <c r="J319" i="4"/>
  <c r="K319" i="4"/>
  <c r="L319" i="4"/>
  <c r="M319" i="4"/>
  <c r="N319" i="4"/>
  <c r="O319" i="4"/>
  <c r="P319" i="4"/>
  <c r="Q319" i="4"/>
  <c r="R319" i="4"/>
  <c r="S319" i="4"/>
  <c r="T319" i="4"/>
  <c r="H320" i="4"/>
  <c r="I320" i="4"/>
  <c r="J320" i="4"/>
  <c r="K320" i="4"/>
  <c r="L320" i="4"/>
  <c r="M320" i="4"/>
  <c r="N320" i="4"/>
  <c r="O320" i="4"/>
  <c r="P320" i="4"/>
  <c r="Q320" i="4"/>
  <c r="R320" i="4"/>
  <c r="S320" i="4"/>
  <c r="T320" i="4"/>
  <c r="H321" i="4"/>
  <c r="I321" i="4"/>
  <c r="J321" i="4"/>
  <c r="K321" i="4"/>
  <c r="L321" i="4"/>
  <c r="M321" i="4"/>
  <c r="N321" i="4"/>
  <c r="O321" i="4"/>
  <c r="P321" i="4"/>
  <c r="Q321" i="4"/>
  <c r="R321" i="4"/>
  <c r="S321" i="4"/>
  <c r="T321" i="4"/>
  <c r="H322" i="4"/>
  <c r="I322" i="4"/>
  <c r="J322" i="4"/>
  <c r="K322" i="4"/>
  <c r="L322" i="4"/>
  <c r="M322" i="4"/>
  <c r="N322" i="4"/>
  <c r="O322" i="4"/>
  <c r="P322" i="4"/>
  <c r="Q322" i="4"/>
  <c r="R322" i="4"/>
  <c r="S322" i="4"/>
  <c r="T322" i="4"/>
  <c r="H323" i="4"/>
  <c r="I323" i="4"/>
  <c r="J323" i="4"/>
  <c r="K323" i="4"/>
  <c r="L323" i="4"/>
  <c r="M323" i="4"/>
  <c r="N323" i="4"/>
  <c r="O323" i="4"/>
  <c r="P323" i="4"/>
  <c r="Q323" i="4"/>
  <c r="R323" i="4"/>
  <c r="S323" i="4"/>
  <c r="T323" i="4"/>
  <c r="H324" i="4"/>
  <c r="I324" i="4"/>
  <c r="J324" i="4"/>
  <c r="K324" i="4"/>
  <c r="L324" i="4"/>
  <c r="M324" i="4"/>
  <c r="N324" i="4"/>
  <c r="O324" i="4"/>
  <c r="P324" i="4"/>
  <c r="Q324" i="4"/>
  <c r="R324" i="4"/>
  <c r="S324" i="4"/>
  <c r="T324" i="4"/>
  <c r="H325" i="4"/>
  <c r="I325" i="4"/>
  <c r="J325" i="4"/>
  <c r="K325" i="4"/>
  <c r="L325" i="4"/>
  <c r="M325" i="4"/>
  <c r="N325" i="4"/>
  <c r="O325" i="4"/>
  <c r="P325" i="4"/>
  <c r="Q325" i="4"/>
  <c r="R325" i="4"/>
  <c r="S325" i="4"/>
  <c r="T325" i="4"/>
  <c r="H326" i="4"/>
  <c r="I326" i="4"/>
  <c r="J326" i="4"/>
  <c r="K326" i="4"/>
  <c r="L326" i="4"/>
  <c r="M326" i="4"/>
  <c r="N326" i="4"/>
  <c r="O326" i="4"/>
  <c r="P326" i="4"/>
  <c r="Q326" i="4"/>
  <c r="R326" i="4"/>
  <c r="S326" i="4"/>
  <c r="T326" i="4"/>
  <c r="H327" i="4"/>
  <c r="I327" i="4"/>
  <c r="J327" i="4"/>
  <c r="K327" i="4"/>
  <c r="L327" i="4"/>
  <c r="M327" i="4"/>
  <c r="N327" i="4"/>
  <c r="O327" i="4"/>
  <c r="P327" i="4"/>
  <c r="Q327" i="4"/>
  <c r="R327" i="4"/>
  <c r="S327" i="4"/>
  <c r="T327" i="4"/>
  <c r="H328" i="4"/>
  <c r="I328" i="4"/>
  <c r="J328" i="4"/>
  <c r="K328" i="4"/>
  <c r="L328" i="4"/>
  <c r="M328" i="4"/>
  <c r="N328" i="4"/>
  <c r="O328" i="4"/>
  <c r="P328" i="4"/>
  <c r="Q328" i="4"/>
  <c r="R328" i="4"/>
  <c r="S328" i="4"/>
  <c r="T328" i="4"/>
  <c r="H329" i="4"/>
  <c r="I329" i="4"/>
  <c r="J329" i="4"/>
  <c r="K329" i="4"/>
  <c r="L329" i="4"/>
  <c r="M329" i="4"/>
  <c r="N329" i="4"/>
  <c r="O329" i="4"/>
  <c r="P329" i="4"/>
  <c r="Q329" i="4"/>
  <c r="R329" i="4"/>
  <c r="S329" i="4"/>
  <c r="T329" i="4"/>
  <c r="H330" i="4"/>
  <c r="I330" i="4"/>
  <c r="J330" i="4"/>
  <c r="K330" i="4"/>
  <c r="L330" i="4"/>
  <c r="M330" i="4"/>
  <c r="N330" i="4"/>
  <c r="O330" i="4"/>
  <c r="P330" i="4"/>
  <c r="Q330" i="4"/>
  <c r="R330" i="4"/>
  <c r="S330" i="4"/>
  <c r="T330" i="4"/>
  <c r="H331" i="4"/>
  <c r="I331" i="4"/>
  <c r="J331" i="4"/>
  <c r="K331" i="4"/>
  <c r="L331" i="4"/>
  <c r="M331" i="4"/>
  <c r="N331" i="4"/>
  <c r="O331" i="4"/>
  <c r="P331" i="4"/>
  <c r="Q331" i="4"/>
  <c r="R331" i="4"/>
  <c r="S331" i="4"/>
  <c r="T331" i="4"/>
  <c r="H332" i="4"/>
  <c r="I332" i="4"/>
  <c r="J332" i="4"/>
  <c r="K332" i="4"/>
  <c r="L332" i="4"/>
  <c r="M332" i="4"/>
  <c r="N332" i="4"/>
  <c r="O332" i="4"/>
  <c r="P332" i="4"/>
  <c r="Q332" i="4"/>
  <c r="R332" i="4"/>
  <c r="S332" i="4"/>
  <c r="T332" i="4"/>
  <c r="H333" i="4"/>
  <c r="I333" i="4"/>
  <c r="J333" i="4"/>
  <c r="K333" i="4"/>
  <c r="L333" i="4"/>
  <c r="M333" i="4"/>
  <c r="N333" i="4"/>
  <c r="O333" i="4"/>
  <c r="P333" i="4"/>
  <c r="Q333" i="4"/>
  <c r="R333" i="4"/>
  <c r="S333" i="4"/>
  <c r="T333" i="4"/>
  <c r="H334" i="4"/>
  <c r="I334" i="4"/>
  <c r="J334" i="4"/>
  <c r="K334" i="4"/>
  <c r="L334" i="4"/>
  <c r="M334" i="4"/>
  <c r="N334" i="4"/>
  <c r="O334" i="4"/>
  <c r="P334" i="4"/>
  <c r="Q334" i="4"/>
  <c r="R334" i="4"/>
  <c r="S334" i="4"/>
  <c r="T334" i="4"/>
  <c r="H335" i="4"/>
  <c r="I335" i="4"/>
  <c r="J335" i="4"/>
  <c r="K335" i="4"/>
  <c r="L335" i="4"/>
  <c r="M335" i="4"/>
  <c r="N335" i="4"/>
  <c r="O335" i="4"/>
  <c r="P335" i="4"/>
  <c r="Q335" i="4"/>
  <c r="R335" i="4"/>
  <c r="S335" i="4"/>
  <c r="T335" i="4"/>
  <c r="H336" i="4"/>
  <c r="I336" i="4"/>
  <c r="J336" i="4"/>
  <c r="K336" i="4"/>
  <c r="L336" i="4"/>
  <c r="M336" i="4"/>
  <c r="N336" i="4"/>
  <c r="O336" i="4"/>
  <c r="P336" i="4"/>
  <c r="Q336" i="4"/>
  <c r="R336" i="4"/>
  <c r="S336" i="4"/>
  <c r="T336" i="4"/>
  <c r="H337" i="4"/>
  <c r="I337" i="4"/>
  <c r="J337" i="4"/>
  <c r="K337" i="4"/>
  <c r="L337" i="4"/>
  <c r="M337" i="4"/>
  <c r="N337" i="4"/>
  <c r="O337" i="4"/>
  <c r="P337" i="4"/>
  <c r="Q337" i="4"/>
  <c r="R337" i="4"/>
  <c r="S337" i="4"/>
  <c r="T337" i="4"/>
  <c r="H338" i="4"/>
  <c r="I338" i="4"/>
  <c r="J338" i="4"/>
  <c r="K338" i="4"/>
  <c r="L338" i="4"/>
  <c r="M338" i="4"/>
  <c r="N338" i="4"/>
  <c r="O338" i="4"/>
  <c r="P338" i="4"/>
  <c r="Q338" i="4"/>
  <c r="R338" i="4"/>
  <c r="S338" i="4"/>
  <c r="T338" i="4"/>
  <c r="H339" i="4"/>
  <c r="I339" i="4"/>
  <c r="J339" i="4"/>
  <c r="K339" i="4"/>
  <c r="L339" i="4"/>
  <c r="M339" i="4"/>
  <c r="N339" i="4"/>
  <c r="O339" i="4"/>
  <c r="P339" i="4"/>
  <c r="Q339" i="4"/>
  <c r="R339" i="4"/>
  <c r="S339" i="4"/>
  <c r="T339" i="4"/>
  <c r="H340" i="4"/>
  <c r="I340" i="4"/>
  <c r="J340" i="4"/>
  <c r="K340" i="4"/>
  <c r="L340" i="4"/>
  <c r="M340" i="4"/>
  <c r="N340" i="4"/>
  <c r="O340" i="4"/>
  <c r="P340" i="4"/>
  <c r="Q340" i="4"/>
  <c r="R340" i="4"/>
  <c r="S340" i="4"/>
  <c r="T340" i="4"/>
  <c r="H341" i="4"/>
  <c r="I341" i="4"/>
  <c r="J341" i="4"/>
  <c r="K341" i="4"/>
  <c r="L341" i="4"/>
  <c r="M341" i="4"/>
  <c r="N341" i="4"/>
  <c r="O341" i="4"/>
  <c r="P341" i="4"/>
  <c r="Q341" i="4"/>
  <c r="R341" i="4"/>
  <c r="S341" i="4"/>
  <c r="T341" i="4"/>
  <c r="H342" i="4"/>
  <c r="I342" i="4"/>
  <c r="J342" i="4"/>
  <c r="K342" i="4"/>
  <c r="L342" i="4"/>
  <c r="M342" i="4"/>
  <c r="N342" i="4"/>
  <c r="O342" i="4"/>
  <c r="P342" i="4"/>
  <c r="Q342" i="4"/>
  <c r="R342" i="4"/>
  <c r="S342" i="4"/>
  <c r="T342" i="4"/>
  <c r="H343" i="4"/>
  <c r="I343" i="4"/>
  <c r="J343" i="4"/>
  <c r="K343" i="4"/>
  <c r="L343" i="4"/>
  <c r="M343" i="4"/>
  <c r="N343" i="4"/>
  <c r="O343" i="4"/>
  <c r="P343" i="4"/>
  <c r="Q343" i="4"/>
  <c r="R343" i="4"/>
  <c r="S343" i="4"/>
  <c r="T343" i="4"/>
  <c r="H344" i="4"/>
  <c r="I344" i="4"/>
  <c r="J344" i="4"/>
  <c r="K344" i="4"/>
  <c r="L344" i="4"/>
  <c r="M344" i="4"/>
  <c r="N344" i="4"/>
  <c r="O344" i="4"/>
  <c r="P344" i="4"/>
  <c r="Q344" i="4"/>
  <c r="R344" i="4"/>
  <c r="S344" i="4"/>
  <c r="T344" i="4"/>
  <c r="H345" i="4"/>
  <c r="I345" i="4"/>
  <c r="J345" i="4"/>
  <c r="K345" i="4"/>
  <c r="L345" i="4"/>
  <c r="M345" i="4"/>
  <c r="N345" i="4"/>
  <c r="O345" i="4"/>
  <c r="P345" i="4"/>
  <c r="Q345" i="4"/>
  <c r="R345" i="4"/>
  <c r="S345" i="4"/>
  <c r="T345" i="4"/>
  <c r="H346" i="4"/>
  <c r="I346" i="4"/>
  <c r="J346" i="4"/>
  <c r="K346" i="4"/>
  <c r="L346" i="4"/>
  <c r="M346" i="4"/>
  <c r="N346" i="4"/>
  <c r="O346" i="4"/>
  <c r="P346" i="4"/>
  <c r="Q346" i="4"/>
  <c r="R346" i="4"/>
  <c r="S346" i="4"/>
  <c r="T346" i="4"/>
  <c r="H347" i="4"/>
  <c r="I347" i="4"/>
  <c r="J347" i="4"/>
  <c r="K347" i="4"/>
  <c r="L347" i="4"/>
  <c r="M347" i="4"/>
  <c r="N347" i="4"/>
  <c r="O347" i="4"/>
  <c r="P347" i="4"/>
  <c r="Q347" i="4"/>
  <c r="R347" i="4"/>
  <c r="S347" i="4"/>
  <c r="T347" i="4"/>
  <c r="H348" i="4"/>
  <c r="I348" i="4"/>
  <c r="J348" i="4"/>
  <c r="K348" i="4"/>
  <c r="L348" i="4"/>
  <c r="M348" i="4"/>
  <c r="N348" i="4"/>
  <c r="O348" i="4"/>
  <c r="P348" i="4"/>
  <c r="Q348" i="4"/>
  <c r="R348" i="4"/>
  <c r="S348" i="4"/>
  <c r="T348" i="4"/>
  <c r="H349" i="4"/>
  <c r="I349" i="4"/>
  <c r="J349" i="4"/>
  <c r="K349" i="4"/>
  <c r="L349" i="4"/>
  <c r="M349" i="4"/>
  <c r="N349" i="4"/>
  <c r="O349" i="4"/>
  <c r="P349" i="4"/>
  <c r="Q349" i="4"/>
  <c r="R349" i="4"/>
  <c r="S349" i="4"/>
  <c r="T349" i="4"/>
  <c r="H350" i="4"/>
  <c r="I350" i="4"/>
  <c r="J350" i="4"/>
  <c r="K350" i="4"/>
  <c r="L350" i="4"/>
  <c r="M350" i="4"/>
  <c r="N350" i="4"/>
  <c r="O350" i="4"/>
  <c r="P350" i="4"/>
  <c r="Q350" i="4"/>
  <c r="R350" i="4"/>
  <c r="S350" i="4"/>
  <c r="T350" i="4"/>
  <c r="H351" i="4"/>
  <c r="I351" i="4"/>
  <c r="J351" i="4"/>
  <c r="K351" i="4"/>
  <c r="L351" i="4"/>
  <c r="M351" i="4"/>
  <c r="N351" i="4"/>
  <c r="O351" i="4"/>
  <c r="P351" i="4"/>
  <c r="Q351" i="4"/>
  <c r="R351" i="4"/>
  <c r="S351" i="4"/>
  <c r="T351" i="4"/>
  <c r="H352" i="4"/>
  <c r="I352" i="4"/>
  <c r="J352" i="4"/>
  <c r="K352" i="4"/>
  <c r="L352" i="4"/>
  <c r="M352" i="4"/>
  <c r="N352" i="4"/>
  <c r="O352" i="4"/>
  <c r="P352" i="4"/>
  <c r="Q352" i="4"/>
  <c r="R352" i="4"/>
  <c r="S352" i="4"/>
  <c r="T352" i="4"/>
  <c r="H353" i="4"/>
  <c r="I353" i="4"/>
  <c r="J353" i="4"/>
  <c r="K353" i="4"/>
  <c r="L353" i="4"/>
  <c r="M353" i="4"/>
  <c r="N353" i="4"/>
  <c r="O353" i="4"/>
  <c r="P353" i="4"/>
  <c r="Q353" i="4"/>
  <c r="R353" i="4"/>
  <c r="S353" i="4"/>
  <c r="T353" i="4"/>
  <c r="H354" i="4"/>
  <c r="I354" i="4"/>
  <c r="J354" i="4"/>
  <c r="K354" i="4"/>
  <c r="L354" i="4"/>
  <c r="M354" i="4"/>
  <c r="N354" i="4"/>
  <c r="O354" i="4"/>
  <c r="P354" i="4"/>
  <c r="Q354" i="4"/>
  <c r="R354" i="4"/>
  <c r="S354" i="4"/>
  <c r="T354" i="4"/>
  <c r="H355" i="4"/>
  <c r="I355" i="4"/>
  <c r="J355" i="4"/>
  <c r="K355" i="4"/>
  <c r="L355" i="4"/>
  <c r="M355" i="4"/>
  <c r="N355" i="4"/>
  <c r="O355" i="4"/>
  <c r="P355" i="4"/>
  <c r="Q355" i="4"/>
  <c r="R355" i="4"/>
  <c r="S355" i="4"/>
  <c r="T355" i="4"/>
  <c r="H356" i="4"/>
  <c r="I356" i="4"/>
  <c r="J356" i="4"/>
  <c r="K356" i="4"/>
  <c r="L356" i="4"/>
  <c r="M356" i="4"/>
  <c r="N356" i="4"/>
  <c r="O356" i="4"/>
  <c r="P356" i="4"/>
  <c r="Q356" i="4"/>
  <c r="R356" i="4"/>
  <c r="S356" i="4"/>
  <c r="T356" i="4"/>
  <c r="H357" i="4"/>
  <c r="I357" i="4"/>
  <c r="J357" i="4"/>
  <c r="K357" i="4"/>
  <c r="L357" i="4"/>
  <c r="M357" i="4"/>
  <c r="N357" i="4"/>
  <c r="O357" i="4"/>
  <c r="P357" i="4"/>
  <c r="Q357" i="4"/>
  <c r="R357" i="4"/>
  <c r="S357" i="4"/>
  <c r="T357" i="4"/>
  <c r="H358" i="4"/>
  <c r="I358" i="4"/>
  <c r="J358" i="4"/>
  <c r="K358" i="4"/>
  <c r="L358" i="4"/>
  <c r="M358" i="4"/>
  <c r="N358" i="4"/>
  <c r="O358" i="4"/>
  <c r="P358" i="4"/>
  <c r="Q358" i="4"/>
  <c r="R358" i="4"/>
  <c r="S358" i="4"/>
  <c r="T358" i="4"/>
  <c r="H359" i="4"/>
  <c r="I359" i="4"/>
  <c r="J359" i="4"/>
  <c r="K359" i="4"/>
  <c r="L359" i="4"/>
  <c r="M359" i="4"/>
  <c r="N359" i="4"/>
  <c r="O359" i="4"/>
  <c r="P359" i="4"/>
  <c r="Q359" i="4"/>
  <c r="R359" i="4"/>
  <c r="S359" i="4"/>
  <c r="T359" i="4"/>
  <c r="H360" i="4"/>
  <c r="I360" i="4"/>
  <c r="J360" i="4"/>
  <c r="K360" i="4"/>
  <c r="L360" i="4"/>
  <c r="M360" i="4"/>
  <c r="N360" i="4"/>
  <c r="O360" i="4"/>
  <c r="P360" i="4"/>
  <c r="Q360" i="4"/>
  <c r="R360" i="4"/>
  <c r="S360" i="4"/>
  <c r="T360" i="4"/>
  <c r="H361" i="4"/>
  <c r="I361" i="4"/>
  <c r="J361" i="4"/>
  <c r="K361" i="4"/>
  <c r="L361" i="4"/>
  <c r="M361" i="4"/>
  <c r="N361" i="4"/>
  <c r="O361" i="4"/>
  <c r="P361" i="4"/>
  <c r="Q361" i="4"/>
  <c r="R361" i="4"/>
  <c r="S361" i="4"/>
  <c r="T361" i="4"/>
  <c r="H362" i="4"/>
  <c r="I362" i="4"/>
  <c r="J362" i="4"/>
  <c r="K362" i="4"/>
  <c r="L362" i="4"/>
  <c r="M362" i="4"/>
  <c r="N362" i="4"/>
  <c r="O362" i="4"/>
  <c r="P362" i="4"/>
  <c r="Q362" i="4"/>
  <c r="R362" i="4"/>
  <c r="S362" i="4"/>
  <c r="T362" i="4"/>
  <c r="H363" i="4"/>
  <c r="I363" i="4"/>
  <c r="J363" i="4"/>
  <c r="K363" i="4"/>
  <c r="L363" i="4"/>
  <c r="M363" i="4"/>
  <c r="N363" i="4"/>
  <c r="O363" i="4"/>
  <c r="P363" i="4"/>
  <c r="Q363" i="4"/>
  <c r="R363" i="4"/>
  <c r="S363" i="4"/>
  <c r="T363" i="4"/>
  <c r="H364" i="4"/>
  <c r="I364" i="4"/>
  <c r="J364" i="4"/>
  <c r="K364" i="4"/>
  <c r="L364" i="4"/>
  <c r="M364" i="4"/>
  <c r="N364" i="4"/>
  <c r="O364" i="4"/>
  <c r="P364" i="4"/>
  <c r="Q364" i="4"/>
  <c r="R364" i="4"/>
  <c r="S364" i="4"/>
  <c r="T364" i="4"/>
  <c r="H365" i="4"/>
  <c r="I365" i="4"/>
  <c r="J365" i="4"/>
  <c r="K365" i="4"/>
  <c r="L365" i="4"/>
  <c r="M365" i="4"/>
  <c r="N365" i="4"/>
  <c r="O365" i="4"/>
  <c r="P365" i="4"/>
  <c r="Q365" i="4"/>
  <c r="R365" i="4"/>
  <c r="S365" i="4"/>
  <c r="T365" i="4"/>
  <c r="H366" i="4"/>
  <c r="I366" i="4"/>
  <c r="J366" i="4"/>
  <c r="K366" i="4"/>
  <c r="L366" i="4"/>
  <c r="M366" i="4"/>
  <c r="N366" i="4"/>
  <c r="O366" i="4"/>
  <c r="P366" i="4"/>
  <c r="Q366" i="4"/>
  <c r="R366" i="4"/>
  <c r="S366" i="4"/>
  <c r="T366" i="4"/>
  <c r="H367" i="4"/>
  <c r="I367" i="4"/>
  <c r="J367" i="4"/>
  <c r="K367" i="4"/>
  <c r="L367" i="4"/>
  <c r="M367" i="4"/>
  <c r="N367" i="4"/>
  <c r="O367" i="4"/>
  <c r="P367" i="4"/>
  <c r="Q367" i="4"/>
  <c r="R367" i="4"/>
  <c r="S367" i="4"/>
  <c r="T367" i="4"/>
  <c r="H368" i="4"/>
  <c r="I368" i="4"/>
  <c r="J368" i="4"/>
  <c r="K368" i="4"/>
  <c r="L368" i="4"/>
  <c r="M368" i="4"/>
  <c r="N368" i="4"/>
  <c r="O368" i="4"/>
  <c r="P368" i="4"/>
  <c r="Q368" i="4"/>
  <c r="R368" i="4"/>
  <c r="S368" i="4"/>
  <c r="T368" i="4"/>
  <c r="H369" i="4"/>
  <c r="I369" i="4"/>
  <c r="J369" i="4"/>
  <c r="K369" i="4"/>
  <c r="L369" i="4"/>
  <c r="M369" i="4"/>
  <c r="N369" i="4"/>
  <c r="O369" i="4"/>
  <c r="P369" i="4"/>
  <c r="Q369" i="4"/>
  <c r="R369" i="4"/>
  <c r="S369" i="4"/>
  <c r="T369" i="4"/>
  <c r="H370" i="4"/>
  <c r="I370" i="4"/>
  <c r="J370" i="4"/>
  <c r="K370" i="4"/>
  <c r="L370" i="4"/>
  <c r="M370" i="4"/>
  <c r="N370" i="4"/>
  <c r="O370" i="4"/>
  <c r="P370" i="4"/>
  <c r="Q370" i="4"/>
  <c r="R370" i="4"/>
  <c r="S370" i="4"/>
  <c r="T370" i="4"/>
  <c r="H371" i="4"/>
  <c r="I371" i="4"/>
  <c r="J371" i="4"/>
  <c r="K371" i="4"/>
  <c r="L371" i="4"/>
  <c r="M371" i="4"/>
  <c r="N371" i="4"/>
  <c r="O371" i="4"/>
  <c r="P371" i="4"/>
  <c r="Q371" i="4"/>
  <c r="R371" i="4"/>
  <c r="S371" i="4"/>
  <c r="T371" i="4"/>
  <c r="H372" i="4"/>
  <c r="I372" i="4"/>
  <c r="J372" i="4"/>
  <c r="K372" i="4"/>
  <c r="L372" i="4"/>
  <c r="M372" i="4"/>
  <c r="N372" i="4"/>
  <c r="O372" i="4"/>
  <c r="P372" i="4"/>
  <c r="Q372" i="4"/>
  <c r="R372" i="4"/>
  <c r="S372" i="4"/>
  <c r="T372" i="4"/>
  <c r="H373" i="4"/>
  <c r="I373" i="4"/>
  <c r="J373" i="4"/>
  <c r="K373" i="4"/>
  <c r="L373" i="4"/>
  <c r="M373" i="4"/>
  <c r="N373" i="4"/>
  <c r="O373" i="4"/>
  <c r="P373" i="4"/>
  <c r="Q373" i="4"/>
  <c r="R373" i="4"/>
  <c r="S373" i="4"/>
  <c r="T373" i="4"/>
  <c r="H374" i="4"/>
  <c r="I374" i="4"/>
  <c r="J374" i="4"/>
  <c r="K374" i="4"/>
  <c r="L374" i="4"/>
  <c r="M374" i="4"/>
  <c r="N374" i="4"/>
  <c r="O374" i="4"/>
  <c r="P374" i="4"/>
  <c r="Q374" i="4"/>
  <c r="R374" i="4"/>
  <c r="S374" i="4"/>
  <c r="T374" i="4"/>
  <c r="H375" i="4"/>
  <c r="I375" i="4"/>
  <c r="J375" i="4"/>
  <c r="K375" i="4"/>
  <c r="L375" i="4"/>
  <c r="M375" i="4"/>
  <c r="N375" i="4"/>
  <c r="O375" i="4"/>
  <c r="P375" i="4"/>
  <c r="Q375" i="4"/>
  <c r="R375" i="4"/>
  <c r="S375" i="4"/>
  <c r="T375" i="4"/>
  <c r="H376" i="4"/>
  <c r="I376" i="4"/>
  <c r="J376" i="4"/>
  <c r="K376" i="4"/>
  <c r="L376" i="4"/>
  <c r="M376" i="4"/>
  <c r="N376" i="4"/>
  <c r="O376" i="4"/>
  <c r="P376" i="4"/>
  <c r="Q376" i="4"/>
  <c r="R376" i="4"/>
  <c r="S376" i="4"/>
  <c r="T376" i="4"/>
  <c r="H377" i="4"/>
  <c r="I377" i="4"/>
  <c r="J377" i="4"/>
  <c r="K377" i="4"/>
  <c r="L377" i="4"/>
  <c r="M377" i="4"/>
  <c r="N377" i="4"/>
  <c r="O377" i="4"/>
  <c r="P377" i="4"/>
  <c r="Q377" i="4"/>
  <c r="R377" i="4"/>
  <c r="S377" i="4"/>
  <c r="T377" i="4"/>
  <c r="H378" i="4"/>
  <c r="I378" i="4"/>
  <c r="J378" i="4"/>
  <c r="K378" i="4"/>
  <c r="L378" i="4"/>
  <c r="M378" i="4"/>
  <c r="N378" i="4"/>
  <c r="O378" i="4"/>
  <c r="P378" i="4"/>
  <c r="Q378" i="4"/>
  <c r="R378" i="4"/>
  <c r="S378" i="4"/>
  <c r="T378" i="4"/>
  <c r="H379" i="4"/>
  <c r="I379" i="4"/>
  <c r="J379" i="4"/>
  <c r="K379" i="4"/>
  <c r="L379" i="4"/>
  <c r="M379" i="4"/>
  <c r="N379" i="4"/>
  <c r="O379" i="4"/>
  <c r="P379" i="4"/>
  <c r="Q379" i="4"/>
  <c r="R379" i="4"/>
  <c r="S379" i="4"/>
  <c r="T379" i="4"/>
  <c r="H380" i="4"/>
  <c r="I380" i="4"/>
  <c r="J380" i="4"/>
  <c r="K380" i="4"/>
  <c r="L380" i="4"/>
  <c r="M380" i="4"/>
  <c r="N380" i="4"/>
  <c r="O380" i="4"/>
  <c r="P380" i="4"/>
  <c r="Q380" i="4"/>
  <c r="R380" i="4"/>
  <c r="S380" i="4"/>
  <c r="T380" i="4"/>
  <c r="H381" i="4"/>
  <c r="I381" i="4"/>
  <c r="J381" i="4"/>
  <c r="K381" i="4"/>
  <c r="L381" i="4"/>
  <c r="M381" i="4"/>
  <c r="N381" i="4"/>
  <c r="O381" i="4"/>
  <c r="P381" i="4"/>
  <c r="Q381" i="4"/>
  <c r="R381" i="4"/>
  <c r="S381" i="4"/>
  <c r="T381" i="4"/>
  <c r="H382" i="4"/>
  <c r="I382" i="4"/>
  <c r="J382" i="4"/>
  <c r="K382" i="4"/>
  <c r="L382" i="4"/>
  <c r="M382" i="4"/>
  <c r="N382" i="4"/>
  <c r="O382" i="4"/>
  <c r="P382" i="4"/>
  <c r="Q382" i="4"/>
  <c r="R382" i="4"/>
  <c r="S382" i="4"/>
  <c r="T382" i="4"/>
  <c r="H383" i="4"/>
  <c r="I383" i="4"/>
  <c r="J383" i="4"/>
  <c r="K383" i="4"/>
  <c r="L383" i="4"/>
  <c r="M383" i="4"/>
  <c r="N383" i="4"/>
  <c r="O383" i="4"/>
  <c r="P383" i="4"/>
  <c r="Q383" i="4"/>
  <c r="R383" i="4"/>
  <c r="S383" i="4"/>
  <c r="T383" i="4"/>
  <c r="H384" i="4"/>
  <c r="I384" i="4"/>
  <c r="J384" i="4"/>
  <c r="K384" i="4"/>
  <c r="L384" i="4"/>
  <c r="M384" i="4"/>
  <c r="N384" i="4"/>
  <c r="O384" i="4"/>
  <c r="P384" i="4"/>
  <c r="Q384" i="4"/>
  <c r="R384" i="4"/>
  <c r="S384" i="4"/>
  <c r="T384" i="4"/>
  <c r="H385" i="4"/>
  <c r="I385" i="4"/>
  <c r="J385" i="4"/>
  <c r="K385" i="4"/>
  <c r="L385" i="4"/>
  <c r="M385" i="4"/>
  <c r="N385" i="4"/>
  <c r="O385" i="4"/>
  <c r="P385" i="4"/>
  <c r="Q385" i="4"/>
  <c r="R385" i="4"/>
  <c r="S385" i="4"/>
  <c r="T385" i="4"/>
  <c r="H386" i="4"/>
  <c r="I386" i="4"/>
  <c r="J386" i="4"/>
  <c r="K386" i="4"/>
  <c r="L386" i="4"/>
  <c r="M386" i="4"/>
  <c r="N386" i="4"/>
  <c r="O386" i="4"/>
  <c r="P386" i="4"/>
  <c r="Q386" i="4"/>
  <c r="R386" i="4"/>
  <c r="S386" i="4"/>
  <c r="T386" i="4"/>
  <c r="H387" i="4"/>
  <c r="I387" i="4"/>
  <c r="J387" i="4"/>
  <c r="K387" i="4"/>
  <c r="L387" i="4"/>
  <c r="M387" i="4"/>
  <c r="N387" i="4"/>
  <c r="O387" i="4"/>
  <c r="P387" i="4"/>
  <c r="Q387" i="4"/>
  <c r="R387" i="4"/>
  <c r="S387" i="4"/>
  <c r="T387" i="4"/>
  <c r="H388" i="4"/>
  <c r="I388" i="4"/>
  <c r="J388" i="4"/>
  <c r="K388" i="4"/>
  <c r="L388" i="4"/>
  <c r="M388" i="4"/>
  <c r="N388" i="4"/>
  <c r="O388" i="4"/>
  <c r="P388" i="4"/>
  <c r="Q388" i="4"/>
  <c r="R388" i="4"/>
  <c r="S388" i="4"/>
  <c r="T388" i="4"/>
  <c r="H389" i="4"/>
  <c r="I389" i="4"/>
  <c r="J389" i="4"/>
  <c r="K389" i="4"/>
  <c r="L389" i="4"/>
  <c r="M389" i="4"/>
  <c r="N389" i="4"/>
  <c r="O389" i="4"/>
  <c r="P389" i="4"/>
  <c r="Q389" i="4"/>
  <c r="R389" i="4"/>
  <c r="S389" i="4"/>
  <c r="T389" i="4"/>
  <c r="H390" i="4"/>
  <c r="I390" i="4"/>
  <c r="J390" i="4"/>
  <c r="K390" i="4"/>
  <c r="L390" i="4"/>
  <c r="M390" i="4"/>
  <c r="N390" i="4"/>
  <c r="O390" i="4"/>
  <c r="P390" i="4"/>
  <c r="Q390" i="4"/>
  <c r="R390" i="4"/>
  <c r="S390" i="4"/>
  <c r="T390" i="4"/>
  <c r="H391" i="4"/>
  <c r="I391" i="4"/>
  <c r="J391" i="4"/>
  <c r="K391" i="4"/>
  <c r="L391" i="4"/>
  <c r="M391" i="4"/>
  <c r="N391" i="4"/>
  <c r="O391" i="4"/>
  <c r="P391" i="4"/>
  <c r="Q391" i="4"/>
  <c r="R391" i="4"/>
  <c r="S391" i="4"/>
  <c r="T391" i="4"/>
  <c r="H392" i="4"/>
  <c r="I392" i="4"/>
  <c r="J392" i="4"/>
  <c r="K392" i="4"/>
  <c r="L392" i="4"/>
  <c r="M392" i="4"/>
  <c r="N392" i="4"/>
  <c r="O392" i="4"/>
  <c r="P392" i="4"/>
  <c r="Q392" i="4"/>
  <c r="R392" i="4"/>
  <c r="S392" i="4"/>
  <c r="T392" i="4"/>
  <c r="H393" i="4"/>
  <c r="I393" i="4"/>
  <c r="J393" i="4"/>
  <c r="K393" i="4"/>
  <c r="L393" i="4"/>
  <c r="M393" i="4"/>
  <c r="N393" i="4"/>
  <c r="O393" i="4"/>
  <c r="P393" i="4"/>
  <c r="Q393" i="4"/>
  <c r="R393" i="4"/>
  <c r="S393" i="4"/>
  <c r="T393" i="4"/>
  <c r="H394" i="4"/>
  <c r="I394" i="4"/>
  <c r="J394" i="4"/>
  <c r="K394" i="4"/>
  <c r="L394" i="4"/>
  <c r="M394" i="4"/>
  <c r="N394" i="4"/>
  <c r="O394" i="4"/>
  <c r="P394" i="4"/>
  <c r="Q394" i="4"/>
  <c r="R394" i="4"/>
  <c r="S394" i="4"/>
  <c r="T394" i="4"/>
  <c r="H395" i="4"/>
  <c r="I395" i="4"/>
  <c r="J395" i="4"/>
  <c r="K395" i="4"/>
  <c r="L395" i="4"/>
  <c r="M395" i="4"/>
  <c r="N395" i="4"/>
  <c r="O395" i="4"/>
  <c r="P395" i="4"/>
  <c r="Q395" i="4"/>
  <c r="R395" i="4"/>
  <c r="S395" i="4"/>
  <c r="T395" i="4"/>
  <c r="H396" i="4"/>
  <c r="I396" i="4"/>
  <c r="J396" i="4"/>
  <c r="K396" i="4"/>
  <c r="L396" i="4"/>
  <c r="M396" i="4"/>
  <c r="N396" i="4"/>
  <c r="O396" i="4"/>
  <c r="P396" i="4"/>
  <c r="Q396" i="4"/>
  <c r="R396" i="4"/>
  <c r="S396" i="4"/>
  <c r="T396" i="4"/>
  <c r="H397" i="4"/>
  <c r="I397" i="4"/>
  <c r="J397" i="4"/>
  <c r="K397" i="4"/>
  <c r="L397" i="4"/>
  <c r="M397" i="4"/>
  <c r="N397" i="4"/>
  <c r="O397" i="4"/>
  <c r="P397" i="4"/>
  <c r="Q397" i="4"/>
  <c r="R397" i="4"/>
  <c r="S397" i="4"/>
  <c r="T397" i="4"/>
  <c r="H398" i="4"/>
  <c r="I398" i="4"/>
  <c r="J398" i="4"/>
  <c r="K398" i="4"/>
  <c r="L398" i="4"/>
  <c r="M398" i="4"/>
  <c r="N398" i="4"/>
  <c r="O398" i="4"/>
  <c r="P398" i="4"/>
  <c r="Q398" i="4"/>
  <c r="R398" i="4"/>
  <c r="S398" i="4"/>
  <c r="T398" i="4"/>
  <c r="H399" i="4"/>
  <c r="I399" i="4"/>
  <c r="J399" i="4"/>
  <c r="K399" i="4"/>
  <c r="L399" i="4"/>
  <c r="M399" i="4"/>
  <c r="N399" i="4"/>
  <c r="O399" i="4"/>
  <c r="P399" i="4"/>
  <c r="Q399" i="4"/>
  <c r="R399" i="4"/>
  <c r="S399" i="4"/>
  <c r="T399" i="4"/>
  <c r="H400" i="4"/>
  <c r="I400" i="4"/>
  <c r="J400" i="4"/>
  <c r="K400" i="4"/>
  <c r="L400" i="4"/>
  <c r="M400" i="4"/>
  <c r="N400" i="4"/>
  <c r="O400" i="4"/>
  <c r="P400" i="4"/>
  <c r="Q400" i="4"/>
  <c r="R400" i="4"/>
  <c r="S400" i="4"/>
  <c r="T400" i="4"/>
  <c r="H401" i="4"/>
  <c r="I401" i="4"/>
  <c r="J401" i="4"/>
  <c r="K401" i="4"/>
  <c r="L401" i="4"/>
  <c r="M401" i="4"/>
  <c r="N401" i="4"/>
  <c r="O401" i="4"/>
  <c r="P401" i="4"/>
  <c r="Q401" i="4"/>
  <c r="R401" i="4"/>
  <c r="S401" i="4"/>
  <c r="T401" i="4"/>
  <c r="H402" i="4"/>
  <c r="I402" i="4"/>
  <c r="J402" i="4"/>
  <c r="K402" i="4"/>
  <c r="L402" i="4"/>
  <c r="M402" i="4"/>
  <c r="N402" i="4"/>
  <c r="O402" i="4"/>
  <c r="P402" i="4"/>
  <c r="Q402" i="4"/>
  <c r="R402" i="4"/>
  <c r="S402" i="4"/>
  <c r="T402" i="4"/>
  <c r="H403" i="4"/>
  <c r="I403" i="4"/>
  <c r="J403" i="4"/>
  <c r="K403" i="4"/>
  <c r="L403" i="4"/>
  <c r="M403" i="4"/>
  <c r="N403" i="4"/>
  <c r="O403" i="4"/>
  <c r="P403" i="4"/>
  <c r="Q403" i="4"/>
  <c r="R403" i="4"/>
  <c r="S403" i="4"/>
  <c r="T403" i="4"/>
  <c r="H404" i="4"/>
  <c r="I404" i="4"/>
  <c r="J404" i="4"/>
  <c r="K404" i="4"/>
  <c r="L404" i="4"/>
  <c r="M404" i="4"/>
  <c r="N404" i="4"/>
  <c r="O404" i="4"/>
  <c r="P404" i="4"/>
  <c r="Q404" i="4"/>
  <c r="R404" i="4"/>
  <c r="S404" i="4"/>
  <c r="T404" i="4"/>
  <c r="H405" i="4"/>
  <c r="I405" i="4"/>
  <c r="J405" i="4"/>
  <c r="K405" i="4"/>
  <c r="L405" i="4"/>
  <c r="M405" i="4"/>
  <c r="N405" i="4"/>
  <c r="O405" i="4"/>
  <c r="P405" i="4"/>
  <c r="Q405" i="4"/>
  <c r="R405" i="4"/>
  <c r="S405" i="4"/>
  <c r="T405" i="4"/>
  <c r="H406" i="4"/>
  <c r="I406" i="4"/>
  <c r="J406" i="4"/>
  <c r="K406" i="4"/>
  <c r="L406" i="4"/>
  <c r="M406" i="4"/>
  <c r="N406" i="4"/>
  <c r="O406" i="4"/>
  <c r="P406" i="4"/>
  <c r="Q406" i="4"/>
  <c r="R406" i="4"/>
  <c r="S406" i="4"/>
  <c r="T406" i="4"/>
  <c r="H407" i="4"/>
  <c r="I407" i="4"/>
  <c r="J407" i="4"/>
  <c r="K407" i="4"/>
  <c r="L407" i="4"/>
  <c r="M407" i="4"/>
  <c r="N407" i="4"/>
  <c r="O407" i="4"/>
  <c r="P407" i="4"/>
  <c r="Q407" i="4"/>
  <c r="R407" i="4"/>
  <c r="S407" i="4"/>
  <c r="T407" i="4"/>
  <c r="H408" i="4"/>
  <c r="I408" i="4"/>
  <c r="J408" i="4"/>
  <c r="K408" i="4"/>
  <c r="L408" i="4"/>
  <c r="M408" i="4"/>
  <c r="N408" i="4"/>
  <c r="O408" i="4"/>
  <c r="P408" i="4"/>
  <c r="Q408" i="4"/>
  <c r="R408" i="4"/>
  <c r="S408" i="4"/>
  <c r="T408" i="4"/>
  <c r="H409" i="4"/>
  <c r="I409" i="4"/>
  <c r="J409" i="4"/>
  <c r="K409" i="4"/>
  <c r="L409" i="4"/>
  <c r="M409" i="4"/>
  <c r="N409" i="4"/>
  <c r="O409" i="4"/>
  <c r="P409" i="4"/>
  <c r="Q409" i="4"/>
  <c r="R409" i="4"/>
  <c r="S409" i="4"/>
  <c r="T409" i="4"/>
  <c r="H410" i="4"/>
  <c r="I410" i="4"/>
  <c r="J410" i="4"/>
  <c r="K410" i="4"/>
  <c r="L410" i="4"/>
  <c r="M410" i="4"/>
  <c r="N410" i="4"/>
  <c r="O410" i="4"/>
  <c r="P410" i="4"/>
  <c r="Q410" i="4"/>
  <c r="R410" i="4"/>
  <c r="S410" i="4"/>
  <c r="T410" i="4"/>
  <c r="H411" i="4"/>
  <c r="I411" i="4"/>
  <c r="J411" i="4"/>
  <c r="K411" i="4"/>
  <c r="L411" i="4"/>
  <c r="M411" i="4"/>
  <c r="N411" i="4"/>
  <c r="O411" i="4"/>
  <c r="P411" i="4"/>
  <c r="Q411" i="4"/>
  <c r="R411" i="4"/>
  <c r="S411" i="4"/>
  <c r="T411" i="4"/>
  <c r="H412" i="4"/>
  <c r="I412" i="4"/>
  <c r="J412" i="4"/>
  <c r="K412" i="4"/>
  <c r="L412" i="4"/>
  <c r="M412" i="4"/>
  <c r="N412" i="4"/>
  <c r="O412" i="4"/>
  <c r="P412" i="4"/>
  <c r="Q412" i="4"/>
  <c r="R412" i="4"/>
  <c r="S412" i="4"/>
  <c r="T412" i="4"/>
  <c r="H413" i="4"/>
  <c r="I413" i="4"/>
  <c r="J413" i="4"/>
  <c r="K413" i="4"/>
  <c r="L413" i="4"/>
  <c r="M413" i="4"/>
  <c r="N413" i="4"/>
  <c r="O413" i="4"/>
  <c r="P413" i="4"/>
  <c r="Q413" i="4"/>
  <c r="R413" i="4"/>
  <c r="S413" i="4"/>
  <c r="T413" i="4"/>
  <c r="H414" i="4"/>
  <c r="I414" i="4"/>
  <c r="J414" i="4"/>
  <c r="K414" i="4"/>
  <c r="L414" i="4"/>
  <c r="M414" i="4"/>
  <c r="N414" i="4"/>
  <c r="O414" i="4"/>
  <c r="P414" i="4"/>
  <c r="Q414" i="4"/>
  <c r="R414" i="4"/>
  <c r="S414" i="4"/>
  <c r="T414" i="4"/>
  <c r="H415" i="4"/>
  <c r="I415" i="4"/>
  <c r="J415" i="4"/>
  <c r="K415" i="4"/>
  <c r="L415" i="4"/>
  <c r="M415" i="4"/>
  <c r="N415" i="4"/>
  <c r="O415" i="4"/>
  <c r="P415" i="4"/>
  <c r="Q415" i="4"/>
  <c r="R415" i="4"/>
  <c r="S415" i="4"/>
  <c r="T415" i="4"/>
  <c r="H416" i="4"/>
  <c r="I416" i="4"/>
  <c r="J416" i="4"/>
  <c r="K416" i="4"/>
  <c r="L416" i="4"/>
  <c r="M416" i="4"/>
  <c r="N416" i="4"/>
  <c r="O416" i="4"/>
  <c r="P416" i="4"/>
  <c r="Q416" i="4"/>
  <c r="R416" i="4"/>
  <c r="S416" i="4"/>
  <c r="T416" i="4"/>
  <c r="H417" i="4"/>
  <c r="I417" i="4"/>
  <c r="J417" i="4"/>
  <c r="K417" i="4"/>
  <c r="L417" i="4"/>
  <c r="M417" i="4"/>
  <c r="N417" i="4"/>
  <c r="O417" i="4"/>
  <c r="P417" i="4"/>
  <c r="Q417" i="4"/>
  <c r="R417" i="4"/>
  <c r="S417" i="4"/>
  <c r="T417" i="4"/>
  <c r="H418" i="4"/>
  <c r="I418" i="4"/>
  <c r="J418" i="4"/>
  <c r="K418" i="4"/>
  <c r="L418" i="4"/>
  <c r="M418" i="4"/>
  <c r="N418" i="4"/>
  <c r="O418" i="4"/>
  <c r="P418" i="4"/>
  <c r="Q418" i="4"/>
  <c r="R418" i="4"/>
  <c r="S418" i="4"/>
  <c r="T418" i="4"/>
  <c r="H419" i="4"/>
  <c r="I419" i="4"/>
  <c r="J419" i="4"/>
  <c r="K419" i="4"/>
  <c r="L419" i="4"/>
  <c r="M419" i="4"/>
  <c r="N419" i="4"/>
  <c r="O419" i="4"/>
  <c r="P419" i="4"/>
  <c r="Q419" i="4"/>
  <c r="R419" i="4"/>
  <c r="S419" i="4"/>
  <c r="T419" i="4"/>
  <c r="H420" i="4"/>
  <c r="I420" i="4"/>
  <c r="J420" i="4"/>
  <c r="K420" i="4"/>
  <c r="L420" i="4"/>
  <c r="M420" i="4"/>
  <c r="N420" i="4"/>
  <c r="O420" i="4"/>
  <c r="P420" i="4"/>
  <c r="Q420" i="4"/>
  <c r="R420" i="4"/>
  <c r="S420" i="4"/>
  <c r="T420" i="4"/>
  <c r="H421" i="4"/>
  <c r="I421" i="4"/>
  <c r="J421" i="4"/>
  <c r="K421" i="4"/>
  <c r="L421" i="4"/>
  <c r="M421" i="4"/>
  <c r="N421" i="4"/>
  <c r="O421" i="4"/>
  <c r="P421" i="4"/>
  <c r="Q421" i="4"/>
  <c r="R421" i="4"/>
  <c r="S421" i="4"/>
  <c r="T421" i="4"/>
  <c r="H422" i="4"/>
  <c r="I422" i="4"/>
  <c r="J422" i="4"/>
  <c r="K422" i="4"/>
  <c r="L422" i="4"/>
  <c r="M422" i="4"/>
  <c r="N422" i="4"/>
  <c r="O422" i="4"/>
  <c r="P422" i="4"/>
  <c r="Q422" i="4"/>
  <c r="R422" i="4"/>
  <c r="S422" i="4"/>
  <c r="T422" i="4"/>
  <c r="H423" i="4"/>
  <c r="I423" i="4"/>
  <c r="J423" i="4"/>
  <c r="K423" i="4"/>
  <c r="L423" i="4"/>
  <c r="M423" i="4"/>
  <c r="N423" i="4"/>
  <c r="O423" i="4"/>
  <c r="P423" i="4"/>
  <c r="Q423" i="4"/>
  <c r="R423" i="4"/>
  <c r="S423" i="4"/>
  <c r="T423" i="4"/>
  <c r="H424" i="4"/>
  <c r="I424" i="4"/>
  <c r="J424" i="4"/>
  <c r="K424" i="4"/>
  <c r="L424" i="4"/>
  <c r="M424" i="4"/>
  <c r="N424" i="4"/>
  <c r="O424" i="4"/>
  <c r="P424" i="4"/>
  <c r="Q424" i="4"/>
  <c r="R424" i="4"/>
  <c r="S424" i="4"/>
  <c r="T424" i="4"/>
  <c r="H425" i="4"/>
  <c r="I425" i="4"/>
  <c r="J425" i="4"/>
  <c r="K425" i="4"/>
  <c r="L425" i="4"/>
  <c r="M425" i="4"/>
  <c r="N425" i="4"/>
  <c r="O425" i="4"/>
  <c r="P425" i="4"/>
  <c r="Q425" i="4"/>
  <c r="R425" i="4"/>
  <c r="S425" i="4"/>
  <c r="T425" i="4"/>
  <c r="H426" i="4"/>
  <c r="I426" i="4"/>
  <c r="J426" i="4"/>
  <c r="K426" i="4"/>
  <c r="L426" i="4"/>
  <c r="M426" i="4"/>
  <c r="N426" i="4"/>
  <c r="O426" i="4"/>
  <c r="P426" i="4"/>
  <c r="Q426" i="4"/>
  <c r="R426" i="4"/>
  <c r="S426" i="4"/>
  <c r="T426" i="4"/>
  <c r="H427" i="4"/>
  <c r="I427" i="4"/>
  <c r="J427" i="4"/>
  <c r="K427" i="4"/>
  <c r="L427" i="4"/>
  <c r="M427" i="4"/>
  <c r="N427" i="4"/>
  <c r="O427" i="4"/>
  <c r="P427" i="4"/>
  <c r="Q427" i="4"/>
  <c r="R427" i="4"/>
  <c r="S427" i="4"/>
  <c r="T427" i="4"/>
  <c r="H428" i="4"/>
  <c r="I428" i="4"/>
  <c r="J428" i="4"/>
  <c r="K428" i="4"/>
  <c r="L428" i="4"/>
  <c r="M428" i="4"/>
  <c r="N428" i="4"/>
  <c r="O428" i="4"/>
  <c r="P428" i="4"/>
  <c r="Q428" i="4"/>
  <c r="R428" i="4"/>
  <c r="S428" i="4"/>
  <c r="T428" i="4"/>
  <c r="H429" i="4"/>
  <c r="I429" i="4"/>
  <c r="J429" i="4"/>
  <c r="K429" i="4"/>
  <c r="L429" i="4"/>
  <c r="M429" i="4"/>
  <c r="N429" i="4"/>
  <c r="O429" i="4"/>
  <c r="P429" i="4"/>
  <c r="Q429" i="4"/>
  <c r="R429" i="4"/>
  <c r="S429" i="4"/>
  <c r="T429" i="4"/>
  <c r="H430" i="4"/>
  <c r="I430" i="4"/>
  <c r="J430" i="4"/>
  <c r="K430" i="4"/>
  <c r="L430" i="4"/>
  <c r="M430" i="4"/>
  <c r="N430" i="4"/>
  <c r="O430" i="4"/>
  <c r="P430" i="4"/>
  <c r="Q430" i="4"/>
  <c r="R430" i="4"/>
  <c r="S430" i="4"/>
  <c r="T430" i="4"/>
  <c r="H431" i="4"/>
  <c r="I431" i="4"/>
  <c r="J431" i="4"/>
  <c r="K431" i="4"/>
  <c r="L431" i="4"/>
  <c r="M431" i="4"/>
  <c r="N431" i="4"/>
  <c r="O431" i="4"/>
  <c r="P431" i="4"/>
  <c r="Q431" i="4"/>
  <c r="R431" i="4"/>
  <c r="S431" i="4"/>
  <c r="T431" i="4"/>
  <c r="H432" i="4"/>
  <c r="I432" i="4"/>
  <c r="J432" i="4"/>
  <c r="K432" i="4"/>
  <c r="L432" i="4"/>
  <c r="M432" i="4"/>
  <c r="N432" i="4"/>
  <c r="O432" i="4"/>
  <c r="P432" i="4"/>
  <c r="Q432" i="4"/>
  <c r="R432" i="4"/>
  <c r="S432" i="4"/>
  <c r="T432" i="4"/>
  <c r="H433" i="4"/>
  <c r="I433" i="4"/>
  <c r="J433" i="4"/>
  <c r="K433" i="4"/>
  <c r="L433" i="4"/>
  <c r="M433" i="4"/>
  <c r="N433" i="4"/>
  <c r="O433" i="4"/>
  <c r="P433" i="4"/>
  <c r="Q433" i="4"/>
  <c r="R433" i="4"/>
  <c r="S433" i="4"/>
  <c r="T433" i="4"/>
  <c r="H434" i="4"/>
  <c r="I434" i="4"/>
  <c r="J434" i="4"/>
  <c r="K434" i="4"/>
  <c r="L434" i="4"/>
  <c r="M434" i="4"/>
  <c r="N434" i="4"/>
  <c r="O434" i="4"/>
  <c r="P434" i="4"/>
  <c r="Q434" i="4"/>
  <c r="R434" i="4"/>
  <c r="S434" i="4"/>
  <c r="T434" i="4"/>
  <c r="H435" i="4"/>
  <c r="I435" i="4"/>
  <c r="J435" i="4"/>
  <c r="K435" i="4"/>
  <c r="L435" i="4"/>
  <c r="M435" i="4"/>
  <c r="N435" i="4"/>
  <c r="O435" i="4"/>
  <c r="P435" i="4"/>
  <c r="Q435" i="4"/>
  <c r="R435" i="4"/>
  <c r="S435" i="4"/>
  <c r="T435" i="4"/>
  <c r="H436" i="4"/>
  <c r="I436" i="4"/>
  <c r="J436" i="4"/>
  <c r="K436" i="4"/>
  <c r="L436" i="4"/>
  <c r="M436" i="4"/>
  <c r="N436" i="4"/>
  <c r="O436" i="4"/>
  <c r="P436" i="4"/>
  <c r="Q436" i="4"/>
  <c r="R436" i="4"/>
  <c r="S436" i="4"/>
  <c r="T436" i="4"/>
  <c r="H437" i="4"/>
  <c r="I437" i="4"/>
  <c r="J437" i="4"/>
  <c r="K437" i="4"/>
  <c r="L437" i="4"/>
  <c r="M437" i="4"/>
  <c r="N437" i="4"/>
  <c r="O437" i="4"/>
  <c r="P437" i="4"/>
  <c r="Q437" i="4"/>
  <c r="R437" i="4"/>
  <c r="S437" i="4"/>
  <c r="T437" i="4"/>
  <c r="H438" i="4"/>
  <c r="I438" i="4"/>
  <c r="J438" i="4"/>
  <c r="K438" i="4"/>
  <c r="L438" i="4"/>
  <c r="M438" i="4"/>
  <c r="N438" i="4"/>
  <c r="O438" i="4"/>
  <c r="P438" i="4"/>
  <c r="Q438" i="4"/>
  <c r="R438" i="4"/>
  <c r="S438" i="4"/>
  <c r="T438" i="4"/>
  <c r="H439" i="4"/>
  <c r="I439" i="4"/>
  <c r="J439" i="4"/>
  <c r="K439" i="4"/>
  <c r="L439" i="4"/>
  <c r="M439" i="4"/>
  <c r="N439" i="4"/>
  <c r="O439" i="4"/>
  <c r="P439" i="4"/>
  <c r="Q439" i="4"/>
  <c r="R439" i="4"/>
  <c r="S439" i="4"/>
  <c r="T439" i="4"/>
  <c r="H440" i="4"/>
  <c r="I440" i="4"/>
  <c r="J440" i="4"/>
  <c r="K440" i="4"/>
  <c r="L440" i="4"/>
  <c r="M440" i="4"/>
  <c r="N440" i="4"/>
  <c r="O440" i="4"/>
  <c r="P440" i="4"/>
  <c r="Q440" i="4"/>
  <c r="R440" i="4"/>
  <c r="S440" i="4"/>
  <c r="T440" i="4"/>
  <c r="H441" i="4"/>
  <c r="I441" i="4"/>
  <c r="J441" i="4"/>
  <c r="K441" i="4"/>
  <c r="L441" i="4"/>
  <c r="M441" i="4"/>
  <c r="N441" i="4"/>
  <c r="O441" i="4"/>
  <c r="P441" i="4"/>
  <c r="Q441" i="4"/>
  <c r="R441" i="4"/>
  <c r="S441" i="4"/>
  <c r="T441" i="4"/>
  <c r="H442" i="4"/>
  <c r="I442" i="4"/>
  <c r="J442" i="4"/>
  <c r="K442" i="4"/>
  <c r="L442" i="4"/>
  <c r="M442" i="4"/>
  <c r="N442" i="4"/>
  <c r="O442" i="4"/>
  <c r="P442" i="4"/>
  <c r="Q442" i="4"/>
  <c r="R442" i="4"/>
  <c r="S442" i="4"/>
  <c r="T442" i="4"/>
  <c r="H443" i="4"/>
  <c r="I443" i="4"/>
  <c r="J443" i="4"/>
  <c r="K443" i="4"/>
  <c r="L443" i="4"/>
  <c r="M443" i="4"/>
  <c r="N443" i="4"/>
  <c r="O443" i="4"/>
  <c r="P443" i="4"/>
  <c r="Q443" i="4"/>
  <c r="R443" i="4"/>
  <c r="S443" i="4"/>
  <c r="T443" i="4"/>
  <c r="H444" i="4"/>
  <c r="I444" i="4"/>
  <c r="J444" i="4"/>
  <c r="K444" i="4"/>
  <c r="L444" i="4"/>
  <c r="M444" i="4"/>
  <c r="N444" i="4"/>
  <c r="O444" i="4"/>
  <c r="P444" i="4"/>
  <c r="Q444" i="4"/>
  <c r="R444" i="4"/>
  <c r="S444" i="4"/>
  <c r="T444" i="4"/>
  <c r="H445" i="4"/>
  <c r="I445" i="4"/>
  <c r="J445" i="4"/>
  <c r="K445" i="4"/>
  <c r="L445" i="4"/>
  <c r="M445" i="4"/>
  <c r="N445" i="4"/>
  <c r="O445" i="4"/>
  <c r="P445" i="4"/>
  <c r="Q445" i="4"/>
  <c r="R445" i="4"/>
  <c r="S445" i="4"/>
  <c r="T445" i="4"/>
  <c r="H446" i="4"/>
  <c r="I446" i="4"/>
  <c r="J446" i="4"/>
  <c r="K446" i="4"/>
  <c r="L446" i="4"/>
  <c r="M446" i="4"/>
  <c r="N446" i="4"/>
  <c r="O446" i="4"/>
  <c r="P446" i="4"/>
  <c r="Q446" i="4"/>
  <c r="R446" i="4"/>
  <c r="S446" i="4"/>
  <c r="T446" i="4"/>
  <c r="H447" i="4"/>
  <c r="I447" i="4"/>
  <c r="J447" i="4"/>
  <c r="K447" i="4"/>
  <c r="L447" i="4"/>
  <c r="M447" i="4"/>
  <c r="N447" i="4"/>
  <c r="O447" i="4"/>
  <c r="P447" i="4"/>
  <c r="Q447" i="4"/>
  <c r="R447" i="4"/>
  <c r="S447" i="4"/>
  <c r="T447" i="4"/>
  <c r="H448" i="4"/>
  <c r="I448" i="4"/>
  <c r="J448" i="4"/>
  <c r="K448" i="4"/>
  <c r="L448" i="4"/>
  <c r="M448" i="4"/>
  <c r="N448" i="4"/>
  <c r="O448" i="4"/>
  <c r="P448" i="4"/>
  <c r="Q448" i="4"/>
  <c r="R448" i="4"/>
  <c r="S448" i="4"/>
  <c r="T448" i="4"/>
  <c r="H449" i="4"/>
  <c r="I449" i="4"/>
  <c r="J449" i="4"/>
  <c r="K449" i="4"/>
  <c r="L449" i="4"/>
  <c r="M449" i="4"/>
  <c r="N449" i="4"/>
  <c r="O449" i="4"/>
  <c r="P449" i="4"/>
  <c r="Q449" i="4"/>
  <c r="R449" i="4"/>
  <c r="S449" i="4"/>
  <c r="T449" i="4"/>
  <c r="H450" i="4"/>
  <c r="I450" i="4"/>
  <c r="J450" i="4"/>
  <c r="K450" i="4"/>
  <c r="L450" i="4"/>
  <c r="M450" i="4"/>
  <c r="N450" i="4"/>
  <c r="O450" i="4"/>
  <c r="P450" i="4"/>
  <c r="Q450" i="4"/>
  <c r="R450" i="4"/>
  <c r="S450" i="4"/>
  <c r="T450" i="4"/>
  <c r="H451" i="4"/>
  <c r="I451" i="4"/>
  <c r="J451" i="4"/>
  <c r="K451" i="4"/>
  <c r="L451" i="4"/>
  <c r="M451" i="4"/>
  <c r="N451" i="4"/>
  <c r="O451" i="4"/>
  <c r="P451" i="4"/>
  <c r="Q451" i="4"/>
  <c r="R451" i="4"/>
  <c r="S451" i="4"/>
  <c r="T451" i="4"/>
  <c r="H452" i="4"/>
  <c r="I452" i="4"/>
  <c r="J452" i="4"/>
  <c r="K452" i="4"/>
  <c r="L452" i="4"/>
  <c r="M452" i="4"/>
  <c r="N452" i="4"/>
  <c r="O452" i="4"/>
  <c r="P452" i="4"/>
  <c r="Q452" i="4"/>
  <c r="R452" i="4"/>
  <c r="S452" i="4"/>
  <c r="T452" i="4"/>
  <c r="H453" i="4"/>
  <c r="I453" i="4"/>
  <c r="J453" i="4"/>
  <c r="K453" i="4"/>
  <c r="L453" i="4"/>
  <c r="M453" i="4"/>
  <c r="N453" i="4"/>
  <c r="O453" i="4"/>
  <c r="P453" i="4"/>
  <c r="Q453" i="4"/>
  <c r="R453" i="4"/>
  <c r="S453" i="4"/>
  <c r="T453" i="4"/>
  <c r="H454" i="4"/>
  <c r="I454" i="4"/>
  <c r="J454" i="4"/>
  <c r="K454" i="4"/>
  <c r="L454" i="4"/>
  <c r="M454" i="4"/>
  <c r="N454" i="4"/>
  <c r="O454" i="4"/>
  <c r="P454" i="4"/>
  <c r="Q454" i="4"/>
  <c r="R454" i="4"/>
  <c r="S454" i="4"/>
  <c r="T454" i="4"/>
  <c r="H455" i="4"/>
  <c r="I455" i="4"/>
  <c r="J455" i="4"/>
  <c r="K455" i="4"/>
  <c r="L455" i="4"/>
  <c r="M455" i="4"/>
  <c r="N455" i="4"/>
  <c r="O455" i="4"/>
  <c r="P455" i="4"/>
  <c r="Q455" i="4"/>
  <c r="R455" i="4"/>
  <c r="S455" i="4"/>
  <c r="T455" i="4"/>
  <c r="H456" i="4"/>
  <c r="I456" i="4"/>
  <c r="J456" i="4"/>
  <c r="K456" i="4"/>
  <c r="L456" i="4"/>
  <c r="M456" i="4"/>
  <c r="N456" i="4"/>
  <c r="O456" i="4"/>
  <c r="P456" i="4"/>
  <c r="Q456" i="4"/>
  <c r="R456" i="4"/>
  <c r="S456" i="4"/>
  <c r="T456" i="4"/>
  <c r="H457" i="4"/>
  <c r="I457" i="4"/>
  <c r="J457" i="4"/>
  <c r="K457" i="4"/>
  <c r="L457" i="4"/>
  <c r="M457" i="4"/>
  <c r="N457" i="4"/>
  <c r="O457" i="4"/>
  <c r="P457" i="4"/>
  <c r="Q457" i="4"/>
  <c r="R457" i="4"/>
  <c r="S457" i="4"/>
  <c r="T457" i="4"/>
  <c r="H458" i="4"/>
  <c r="I458" i="4"/>
  <c r="J458" i="4"/>
  <c r="K458" i="4"/>
  <c r="L458" i="4"/>
  <c r="M458" i="4"/>
  <c r="N458" i="4"/>
  <c r="O458" i="4"/>
  <c r="P458" i="4"/>
  <c r="Q458" i="4"/>
  <c r="R458" i="4"/>
  <c r="S458" i="4"/>
  <c r="T458" i="4"/>
  <c r="H459" i="4"/>
  <c r="I459" i="4"/>
  <c r="J459" i="4"/>
  <c r="K459" i="4"/>
  <c r="L459" i="4"/>
  <c r="M459" i="4"/>
  <c r="N459" i="4"/>
  <c r="O459" i="4"/>
  <c r="P459" i="4"/>
  <c r="Q459" i="4"/>
  <c r="R459" i="4"/>
  <c r="S459" i="4"/>
  <c r="T459" i="4"/>
  <c r="H460" i="4"/>
  <c r="I460" i="4"/>
  <c r="J460" i="4"/>
  <c r="K460" i="4"/>
  <c r="L460" i="4"/>
  <c r="M460" i="4"/>
  <c r="N460" i="4"/>
  <c r="O460" i="4"/>
  <c r="P460" i="4"/>
  <c r="Q460" i="4"/>
  <c r="R460" i="4"/>
  <c r="S460" i="4"/>
  <c r="T460" i="4"/>
  <c r="H461" i="4"/>
  <c r="I461" i="4"/>
  <c r="J461" i="4"/>
  <c r="K461" i="4"/>
  <c r="L461" i="4"/>
  <c r="M461" i="4"/>
  <c r="N461" i="4"/>
  <c r="O461" i="4"/>
  <c r="P461" i="4"/>
  <c r="Q461" i="4"/>
  <c r="R461" i="4"/>
  <c r="S461" i="4"/>
  <c r="T461" i="4"/>
  <c r="H462" i="4"/>
  <c r="I462" i="4"/>
  <c r="J462" i="4"/>
  <c r="K462" i="4"/>
  <c r="L462" i="4"/>
  <c r="M462" i="4"/>
  <c r="N462" i="4"/>
  <c r="O462" i="4"/>
  <c r="P462" i="4"/>
  <c r="Q462" i="4"/>
  <c r="R462" i="4"/>
  <c r="S462" i="4"/>
  <c r="T462" i="4"/>
  <c r="H463" i="4"/>
  <c r="I463" i="4"/>
  <c r="J463" i="4"/>
  <c r="K463" i="4"/>
  <c r="L463" i="4"/>
  <c r="M463" i="4"/>
  <c r="N463" i="4"/>
  <c r="O463" i="4"/>
  <c r="P463" i="4"/>
  <c r="Q463" i="4"/>
  <c r="R463" i="4"/>
  <c r="S463" i="4"/>
  <c r="T463" i="4"/>
  <c r="H464" i="4"/>
  <c r="I464" i="4"/>
  <c r="J464" i="4"/>
  <c r="K464" i="4"/>
  <c r="L464" i="4"/>
  <c r="M464" i="4"/>
  <c r="N464" i="4"/>
  <c r="O464" i="4"/>
  <c r="P464" i="4"/>
  <c r="Q464" i="4"/>
  <c r="R464" i="4"/>
  <c r="S464" i="4"/>
  <c r="T464" i="4"/>
  <c r="H465" i="4"/>
  <c r="I465" i="4"/>
  <c r="J465" i="4"/>
  <c r="K465" i="4"/>
  <c r="L465" i="4"/>
  <c r="M465" i="4"/>
  <c r="N465" i="4"/>
  <c r="O465" i="4"/>
  <c r="P465" i="4"/>
  <c r="Q465" i="4"/>
  <c r="R465" i="4"/>
  <c r="S465" i="4"/>
  <c r="T465" i="4"/>
  <c r="H466" i="4"/>
  <c r="I466" i="4"/>
  <c r="J466" i="4"/>
  <c r="K466" i="4"/>
  <c r="L466" i="4"/>
  <c r="M466" i="4"/>
  <c r="N466" i="4"/>
  <c r="O466" i="4"/>
  <c r="P466" i="4"/>
  <c r="Q466" i="4"/>
  <c r="R466" i="4"/>
  <c r="S466" i="4"/>
  <c r="T466" i="4"/>
  <c r="H467" i="4"/>
  <c r="I467" i="4"/>
  <c r="J467" i="4"/>
  <c r="K467" i="4"/>
  <c r="L467" i="4"/>
  <c r="M467" i="4"/>
  <c r="N467" i="4"/>
  <c r="O467" i="4"/>
  <c r="P467" i="4"/>
  <c r="Q467" i="4"/>
  <c r="R467" i="4"/>
  <c r="S467" i="4"/>
  <c r="T467" i="4"/>
  <c r="H468" i="4"/>
  <c r="I468" i="4"/>
  <c r="J468" i="4"/>
  <c r="K468" i="4"/>
  <c r="L468" i="4"/>
  <c r="M468" i="4"/>
  <c r="N468" i="4"/>
  <c r="O468" i="4"/>
  <c r="P468" i="4"/>
  <c r="Q468" i="4"/>
  <c r="R468" i="4"/>
  <c r="S468" i="4"/>
  <c r="T468" i="4"/>
  <c r="H469" i="4"/>
  <c r="I469" i="4"/>
  <c r="J469" i="4"/>
  <c r="K469" i="4"/>
  <c r="L469" i="4"/>
  <c r="M469" i="4"/>
  <c r="N469" i="4"/>
  <c r="O469" i="4"/>
  <c r="P469" i="4"/>
  <c r="Q469" i="4"/>
  <c r="R469" i="4"/>
  <c r="S469" i="4"/>
  <c r="T469" i="4"/>
  <c r="H470" i="4"/>
  <c r="I470" i="4"/>
  <c r="J470" i="4"/>
  <c r="K470" i="4"/>
  <c r="L470" i="4"/>
  <c r="M470" i="4"/>
  <c r="N470" i="4"/>
  <c r="O470" i="4"/>
  <c r="P470" i="4"/>
  <c r="Q470" i="4"/>
  <c r="R470" i="4"/>
  <c r="S470" i="4"/>
  <c r="T470" i="4"/>
  <c r="H471" i="4"/>
  <c r="I471" i="4"/>
  <c r="J471" i="4"/>
  <c r="K471" i="4"/>
  <c r="L471" i="4"/>
  <c r="M471" i="4"/>
  <c r="N471" i="4"/>
  <c r="O471" i="4"/>
  <c r="P471" i="4"/>
  <c r="Q471" i="4"/>
  <c r="R471" i="4"/>
  <c r="S471" i="4"/>
  <c r="T471" i="4"/>
  <c r="H472" i="4"/>
  <c r="I472" i="4"/>
  <c r="J472" i="4"/>
  <c r="K472" i="4"/>
  <c r="L472" i="4"/>
  <c r="M472" i="4"/>
  <c r="N472" i="4"/>
  <c r="O472" i="4"/>
  <c r="P472" i="4"/>
  <c r="Q472" i="4"/>
  <c r="R472" i="4"/>
  <c r="S472" i="4"/>
  <c r="T472" i="4"/>
  <c r="H473" i="4"/>
  <c r="I473" i="4"/>
  <c r="J473" i="4"/>
  <c r="K473" i="4"/>
  <c r="L473" i="4"/>
  <c r="M473" i="4"/>
  <c r="N473" i="4"/>
  <c r="O473" i="4"/>
  <c r="P473" i="4"/>
  <c r="Q473" i="4"/>
  <c r="R473" i="4"/>
  <c r="S473" i="4"/>
  <c r="T473" i="4"/>
  <c r="H474" i="4"/>
  <c r="I474" i="4"/>
  <c r="J474" i="4"/>
  <c r="K474" i="4"/>
  <c r="L474" i="4"/>
  <c r="M474" i="4"/>
  <c r="N474" i="4"/>
  <c r="O474" i="4"/>
  <c r="P474" i="4"/>
  <c r="Q474" i="4"/>
  <c r="R474" i="4"/>
  <c r="S474" i="4"/>
  <c r="T474" i="4"/>
  <c r="H475" i="4"/>
  <c r="I475" i="4"/>
  <c r="J475" i="4"/>
  <c r="K475" i="4"/>
  <c r="L475" i="4"/>
  <c r="M475" i="4"/>
  <c r="N475" i="4"/>
  <c r="O475" i="4"/>
  <c r="P475" i="4"/>
  <c r="Q475" i="4"/>
  <c r="R475" i="4"/>
  <c r="S475" i="4"/>
  <c r="T475" i="4"/>
  <c r="H476" i="4"/>
  <c r="I476" i="4"/>
  <c r="J476" i="4"/>
  <c r="K476" i="4"/>
  <c r="L476" i="4"/>
  <c r="M476" i="4"/>
  <c r="N476" i="4"/>
  <c r="O476" i="4"/>
  <c r="P476" i="4"/>
  <c r="Q476" i="4"/>
  <c r="R476" i="4"/>
  <c r="S476" i="4"/>
  <c r="T476" i="4"/>
  <c r="H477" i="4"/>
  <c r="I477" i="4"/>
  <c r="J477" i="4"/>
  <c r="K477" i="4"/>
  <c r="L477" i="4"/>
  <c r="M477" i="4"/>
  <c r="N477" i="4"/>
  <c r="O477" i="4"/>
  <c r="P477" i="4"/>
  <c r="Q477" i="4"/>
  <c r="R477" i="4"/>
  <c r="S477" i="4"/>
  <c r="T477" i="4"/>
  <c r="H478" i="4"/>
  <c r="I478" i="4"/>
  <c r="J478" i="4"/>
  <c r="K478" i="4"/>
  <c r="L478" i="4"/>
  <c r="M478" i="4"/>
  <c r="N478" i="4"/>
  <c r="O478" i="4"/>
  <c r="P478" i="4"/>
  <c r="Q478" i="4"/>
  <c r="R478" i="4"/>
  <c r="S478" i="4"/>
  <c r="T478" i="4"/>
  <c r="H479" i="4"/>
  <c r="I479" i="4"/>
  <c r="J479" i="4"/>
  <c r="K479" i="4"/>
  <c r="L479" i="4"/>
  <c r="M479" i="4"/>
  <c r="N479" i="4"/>
  <c r="O479" i="4"/>
  <c r="P479" i="4"/>
  <c r="Q479" i="4"/>
  <c r="R479" i="4"/>
  <c r="S479" i="4"/>
  <c r="T479" i="4"/>
  <c r="H480" i="4"/>
  <c r="I480" i="4"/>
  <c r="J480" i="4"/>
  <c r="K480" i="4"/>
  <c r="L480" i="4"/>
  <c r="M480" i="4"/>
  <c r="N480" i="4"/>
  <c r="O480" i="4"/>
  <c r="P480" i="4"/>
  <c r="Q480" i="4"/>
  <c r="R480" i="4"/>
  <c r="S480" i="4"/>
  <c r="T480" i="4"/>
  <c r="H481" i="4"/>
  <c r="I481" i="4"/>
  <c r="J481" i="4"/>
  <c r="K481" i="4"/>
  <c r="L481" i="4"/>
  <c r="M481" i="4"/>
  <c r="N481" i="4"/>
  <c r="O481" i="4"/>
  <c r="P481" i="4"/>
  <c r="Q481" i="4"/>
  <c r="R481" i="4"/>
  <c r="S481" i="4"/>
  <c r="T481" i="4"/>
  <c r="H482" i="4"/>
  <c r="I482" i="4"/>
  <c r="J482" i="4"/>
  <c r="K482" i="4"/>
  <c r="L482" i="4"/>
  <c r="M482" i="4"/>
  <c r="N482" i="4"/>
  <c r="O482" i="4"/>
  <c r="P482" i="4"/>
  <c r="Q482" i="4"/>
  <c r="R482" i="4"/>
  <c r="S482" i="4"/>
  <c r="T482" i="4"/>
  <c r="H483" i="4"/>
  <c r="I483" i="4"/>
  <c r="J483" i="4"/>
  <c r="K483" i="4"/>
  <c r="L483" i="4"/>
  <c r="M483" i="4"/>
  <c r="N483" i="4"/>
  <c r="O483" i="4"/>
  <c r="P483" i="4"/>
  <c r="Q483" i="4"/>
  <c r="R483" i="4"/>
  <c r="S483" i="4"/>
  <c r="T483" i="4"/>
  <c r="H484" i="4"/>
  <c r="I484" i="4"/>
  <c r="J484" i="4"/>
  <c r="K484" i="4"/>
  <c r="L484" i="4"/>
  <c r="M484" i="4"/>
  <c r="N484" i="4"/>
  <c r="O484" i="4"/>
  <c r="P484" i="4"/>
  <c r="Q484" i="4"/>
  <c r="R484" i="4"/>
  <c r="S484" i="4"/>
  <c r="T484" i="4"/>
  <c r="H485" i="4"/>
  <c r="I485" i="4"/>
  <c r="J485" i="4"/>
  <c r="K485" i="4"/>
  <c r="L485" i="4"/>
  <c r="M485" i="4"/>
  <c r="N485" i="4"/>
  <c r="O485" i="4"/>
  <c r="P485" i="4"/>
  <c r="Q485" i="4"/>
  <c r="R485" i="4"/>
  <c r="S485" i="4"/>
  <c r="T485" i="4"/>
  <c r="H486" i="4"/>
  <c r="I486" i="4"/>
  <c r="J486" i="4"/>
  <c r="K486" i="4"/>
  <c r="L486" i="4"/>
  <c r="M486" i="4"/>
  <c r="N486" i="4"/>
  <c r="O486" i="4"/>
  <c r="P486" i="4"/>
  <c r="Q486" i="4"/>
  <c r="R486" i="4"/>
  <c r="S486" i="4"/>
  <c r="T486" i="4"/>
  <c r="H487" i="4"/>
  <c r="I487" i="4"/>
  <c r="J487" i="4"/>
  <c r="K487" i="4"/>
  <c r="L487" i="4"/>
  <c r="M487" i="4"/>
  <c r="N487" i="4"/>
  <c r="O487" i="4"/>
  <c r="P487" i="4"/>
  <c r="Q487" i="4"/>
  <c r="R487" i="4"/>
  <c r="S487" i="4"/>
  <c r="T487" i="4"/>
  <c r="H488" i="4"/>
  <c r="I488" i="4"/>
  <c r="J488" i="4"/>
  <c r="K488" i="4"/>
  <c r="L488" i="4"/>
  <c r="M488" i="4"/>
  <c r="N488" i="4"/>
  <c r="O488" i="4"/>
  <c r="P488" i="4"/>
  <c r="Q488" i="4"/>
  <c r="R488" i="4"/>
  <c r="S488" i="4"/>
  <c r="T488" i="4"/>
  <c r="H489" i="4"/>
  <c r="I489" i="4"/>
  <c r="J489" i="4"/>
  <c r="K489" i="4"/>
  <c r="L489" i="4"/>
  <c r="M489" i="4"/>
  <c r="N489" i="4"/>
  <c r="O489" i="4"/>
  <c r="P489" i="4"/>
  <c r="Q489" i="4"/>
  <c r="R489" i="4"/>
  <c r="S489" i="4"/>
  <c r="T489" i="4"/>
  <c r="H490" i="4"/>
  <c r="I490" i="4"/>
  <c r="J490" i="4"/>
  <c r="K490" i="4"/>
  <c r="L490" i="4"/>
  <c r="M490" i="4"/>
  <c r="N490" i="4"/>
  <c r="O490" i="4"/>
  <c r="P490" i="4"/>
  <c r="Q490" i="4"/>
  <c r="R490" i="4"/>
  <c r="S490" i="4"/>
  <c r="T490" i="4"/>
  <c r="H491" i="4"/>
  <c r="I491" i="4"/>
  <c r="J491" i="4"/>
  <c r="K491" i="4"/>
  <c r="L491" i="4"/>
  <c r="M491" i="4"/>
  <c r="N491" i="4"/>
  <c r="O491" i="4"/>
  <c r="P491" i="4"/>
  <c r="Q491" i="4"/>
  <c r="R491" i="4"/>
  <c r="S491" i="4"/>
  <c r="T491" i="4"/>
  <c r="H492" i="4"/>
  <c r="I492" i="4"/>
  <c r="J492" i="4"/>
  <c r="K492" i="4"/>
  <c r="L492" i="4"/>
  <c r="M492" i="4"/>
  <c r="N492" i="4"/>
  <c r="O492" i="4"/>
  <c r="P492" i="4"/>
  <c r="Q492" i="4"/>
  <c r="R492" i="4"/>
  <c r="S492" i="4"/>
  <c r="T492" i="4"/>
  <c r="H493" i="4"/>
  <c r="I493" i="4"/>
  <c r="J493" i="4"/>
  <c r="K493" i="4"/>
  <c r="L493" i="4"/>
  <c r="M493" i="4"/>
  <c r="N493" i="4"/>
  <c r="O493" i="4"/>
  <c r="P493" i="4"/>
  <c r="Q493" i="4"/>
  <c r="R493" i="4"/>
  <c r="S493" i="4"/>
  <c r="T493" i="4"/>
  <c r="H494" i="4"/>
  <c r="I494" i="4"/>
  <c r="J494" i="4"/>
  <c r="K494" i="4"/>
  <c r="L494" i="4"/>
  <c r="M494" i="4"/>
  <c r="N494" i="4"/>
  <c r="O494" i="4"/>
  <c r="P494" i="4"/>
  <c r="Q494" i="4"/>
  <c r="R494" i="4"/>
  <c r="S494" i="4"/>
  <c r="T494" i="4"/>
  <c r="H495" i="4"/>
  <c r="I495" i="4"/>
  <c r="J495" i="4"/>
  <c r="K495" i="4"/>
  <c r="L495" i="4"/>
  <c r="M495" i="4"/>
  <c r="N495" i="4"/>
  <c r="O495" i="4"/>
  <c r="P495" i="4"/>
  <c r="Q495" i="4"/>
  <c r="R495" i="4"/>
  <c r="S495" i="4"/>
  <c r="T495" i="4"/>
  <c r="H496" i="4"/>
  <c r="I496" i="4"/>
  <c r="J496" i="4"/>
  <c r="K496" i="4"/>
  <c r="L496" i="4"/>
  <c r="M496" i="4"/>
  <c r="N496" i="4"/>
  <c r="O496" i="4"/>
  <c r="P496" i="4"/>
  <c r="Q496" i="4"/>
  <c r="R496" i="4"/>
  <c r="S496" i="4"/>
  <c r="T496" i="4"/>
  <c r="H497" i="4"/>
  <c r="I497" i="4"/>
  <c r="J497" i="4"/>
  <c r="K497" i="4"/>
  <c r="L497" i="4"/>
  <c r="M497" i="4"/>
  <c r="N497" i="4"/>
  <c r="O497" i="4"/>
  <c r="P497" i="4"/>
  <c r="Q497" i="4"/>
  <c r="R497" i="4"/>
  <c r="S497" i="4"/>
  <c r="T497" i="4"/>
  <c r="H498" i="4"/>
  <c r="I498" i="4"/>
  <c r="J498" i="4"/>
  <c r="K498" i="4"/>
  <c r="L498" i="4"/>
  <c r="M498" i="4"/>
  <c r="N498" i="4"/>
  <c r="O498" i="4"/>
  <c r="P498" i="4"/>
  <c r="Q498" i="4"/>
  <c r="R498" i="4"/>
  <c r="S498" i="4"/>
  <c r="T498" i="4"/>
  <c r="H499" i="4"/>
  <c r="I499" i="4"/>
  <c r="J499" i="4"/>
  <c r="K499" i="4"/>
  <c r="L499" i="4"/>
  <c r="M499" i="4"/>
  <c r="N499" i="4"/>
  <c r="O499" i="4"/>
  <c r="P499" i="4"/>
  <c r="Q499" i="4"/>
  <c r="R499" i="4"/>
  <c r="S499" i="4"/>
  <c r="T499" i="4"/>
  <c r="H500" i="4"/>
  <c r="I500" i="4"/>
  <c r="J500" i="4"/>
  <c r="K500" i="4"/>
  <c r="L500" i="4"/>
  <c r="M500" i="4"/>
  <c r="N500" i="4"/>
  <c r="O500" i="4"/>
  <c r="P500" i="4"/>
  <c r="Q500" i="4"/>
  <c r="R500" i="4"/>
  <c r="S500" i="4"/>
  <c r="T500" i="4"/>
  <c r="H501" i="4"/>
  <c r="I501" i="4"/>
  <c r="J501" i="4"/>
  <c r="K501" i="4"/>
  <c r="L501" i="4"/>
  <c r="M501" i="4"/>
  <c r="N501" i="4"/>
  <c r="O501" i="4"/>
  <c r="P501" i="4"/>
  <c r="Q501" i="4"/>
  <c r="R501" i="4"/>
  <c r="S501" i="4"/>
  <c r="T501" i="4"/>
  <c r="H502" i="4"/>
  <c r="I502" i="4"/>
  <c r="J502" i="4"/>
  <c r="K502" i="4"/>
  <c r="L502" i="4"/>
  <c r="M502" i="4"/>
  <c r="N502" i="4"/>
  <c r="O502" i="4"/>
  <c r="P502" i="4"/>
  <c r="Q502" i="4"/>
  <c r="R502" i="4"/>
  <c r="S502" i="4"/>
  <c r="T502" i="4"/>
  <c r="H503" i="4"/>
  <c r="I503" i="4"/>
  <c r="J503" i="4"/>
  <c r="K503" i="4"/>
  <c r="L503" i="4"/>
  <c r="M503" i="4"/>
  <c r="N503" i="4"/>
  <c r="O503" i="4"/>
  <c r="P503" i="4"/>
  <c r="Q503" i="4"/>
  <c r="R503" i="4"/>
  <c r="S503" i="4"/>
  <c r="T503" i="4"/>
  <c r="H504" i="4"/>
  <c r="I504" i="4"/>
  <c r="J504" i="4"/>
  <c r="K504" i="4"/>
  <c r="L504" i="4"/>
  <c r="M504" i="4"/>
  <c r="N504" i="4"/>
  <c r="O504" i="4"/>
  <c r="P504" i="4"/>
  <c r="Q504" i="4"/>
  <c r="R504" i="4"/>
  <c r="S504" i="4"/>
  <c r="T504" i="4"/>
  <c r="H505" i="4"/>
  <c r="I505" i="4"/>
  <c r="J505" i="4"/>
  <c r="K505" i="4"/>
  <c r="L505" i="4"/>
  <c r="M505" i="4"/>
  <c r="N505" i="4"/>
  <c r="O505" i="4"/>
  <c r="P505" i="4"/>
  <c r="Q505" i="4"/>
  <c r="R505" i="4"/>
  <c r="S505" i="4"/>
  <c r="T505" i="4"/>
  <c r="H506" i="4"/>
  <c r="I506" i="4"/>
  <c r="J506" i="4"/>
  <c r="K506" i="4"/>
  <c r="L506" i="4"/>
  <c r="M506" i="4"/>
  <c r="N506" i="4"/>
  <c r="O506" i="4"/>
  <c r="P506" i="4"/>
  <c r="Q506" i="4"/>
  <c r="R506" i="4"/>
  <c r="S506" i="4"/>
  <c r="T506" i="4"/>
  <c r="H507" i="4"/>
  <c r="I507" i="4"/>
  <c r="J507" i="4"/>
  <c r="K507" i="4"/>
  <c r="L507" i="4"/>
  <c r="M507" i="4"/>
  <c r="N507" i="4"/>
  <c r="O507" i="4"/>
  <c r="P507" i="4"/>
  <c r="Q507" i="4"/>
  <c r="R507" i="4"/>
  <c r="S507" i="4"/>
  <c r="T507" i="4"/>
  <c r="H508" i="4"/>
  <c r="I508" i="4"/>
  <c r="J508" i="4"/>
  <c r="K508" i="4"/>
  <c r="L508" i="4"/>
  <c r="M508" i="4"/>
  <c r="N508" i="4"/>
  <c r="O508" i="4"/>
  <c r="P508" i="4"/>
  <c r="Q508" i="4"/>
  <c r="R508" i="4"/>
  <c r="S508" i="4"/>
  <c r="T508" i="4"/>
  <c r="H509" i="4"/>
  <c r="I509" i="4"/>
  <c r="J509" i="4"/>
  <c r="K509" i="4"/>
  <c r="L509" i="4"/>
  <c r="M509" i="4"/>
  <c r="N509" i="4"/>
  <c r="O509" i="4"/>
  <c r="P509" i="4"/>
  <c r="Q509" i="4"/>
  <c r="R509" i="4"/>
  <c r="S509" i="4"/>
  <c r="T509" i="4"/>
  <c r="H510" i="4"/>
  <c r="I510" i="4"/>
  <c r="J510" i="4"/>
  <c r="K510" i="4"/>
  <c r="L510" i="4"/>
  <c r="M510" i="4"/>
  <c r="N510" i="4"/>
  <c r="O510" i="4"/>
  <c r="P510" i="4"/>
  <c r="Q510" i="4"/>
  <c r="R510" i="4"/>
  <c r="S510" i="4"/>
  <c r="T510" i="4"/>
  <c r="H511" i="4"/>
  <c r="I511" i="4"/>
  <c r="J511" i="4"/>
  <c r="K511" i="4"/>
  <c r="L511" i="4"/>
  <c r="M511" i="4"/>
  <c r="N511" i="4"/>
  <c r="O511" i="4"/>
  <c r="P511" i="4"/>
  <c r="Q511" i="4"/>
  <c r="R511" i="4"/>
  <c r="S511" i="4"/>
  <c r="T511" i="4"/>
  <c r="H512" i="4"/>
  <c r="I512" i="4"/>
  <c r="J512" i="4"/>
  <c r="K512" i="4"/>
  <c r="L512" i="4"/>
  <c r="M512" i="4"/>
  <c r="N512" i="4"/>
  <c r="O512" i="4"/>
  <c r="P512" i="4"/>
  <c r="Q512" i="4"/>
  <c r="R512" i="4"/>
  <c r="S512" i="4"/>
  <c r="T512" i="4"/>
  <c r="H513" i="4"/>
  <c r="I513" i="4"/>
  <c r="J513" i="4"/>
  <c r="K513" i="4"/>
  <c r="L513" i="4"/>
  <c r="M513" i="4"/>
  <c r="N513" i="4"/>
  <c r="O513" i="4"/>
  <c r="P513" i="4"/>
  <c r="Q513" i="4"/>
  <c r="R513" i="4"/>
  <c r="S513" i="4"/>
  <c r="T513" i="4"/>
  <c r="H514" i="4"/>
  <c r="I514" i="4"/>
  <c r="J514" i="4"/>
  <c r="K514" i="4"/>
  <c r="L514" i="4"/>
  <c r="M514" i="4"/>
  <c r="N514" i="4"/>
  <c r="O514" i="4"/>
  <c r="P514" i="4"/>
  <c r="Q514" i="4"/>
  <c r="R514" i="4"/>
  <c r="S514" i="4"/>
  <c r="T514" i="4"/>
  <c r="H515" i="4"/>
  <c r="I515" i="4"/>
  <c r="J515" i="4"/>
  <c r="K515" i="4"/>
  <c r="L515" i="4"/>
  <c r="M515" i="4"/>
  <c r="N515" i="4"/>
  <c r="O515" i="4"/>
  <c r="P515" i="4"/>
  <c r="Q515" i="4"/>
  <c r="R515" i="4"/>
  <c r="S515" i="4"/>
  <c r="T515" i="4"/>
  <c r="H516" i="4"/>
  <c r="I516" i="4"/>
  <c r="J516" i="4"/>
  <c r="K516" i="4"/>
  <c r="L516" i="4"/>
  <c r="M516" i="4"/>
  <c r="N516" i="4"/>
  <c r="O516" i="4"/>
  <c r="P516" i="4"/>
  <c r="Q516" i="4"/>
  <c r="R516" i="4"/>
  <c r="S516" i="4"/>
  <c r="T516" i="4"/>
  <c r="H517" i="4"/>
  <c r="I517" i="4"/>
  <c r="J517" i="4"/>
  <c r="K517" i="4"/>
  <c r="L517" i="4"/>
  <c r="M517" i="4"/>
  <c r="N517" i="4"/>
  <c r="O517" i="4"/>
  <c r="P517" i="4"/>
  <c r="Q517" i="4"/>
  <c r="R517" i="4"/>
  <c r="S517" i="4"/>
  <c r="T517" i="4"/>
  <c r="H518" i="4"/>
  <c r="I518" i="4"/>
  <c r="J518" i="4"/>
  <c r="K518" i="4"/>
  <c r="L518" i="4"/>
  <c r="M518" i="4"/>
  <c r="N518" i="4"/>
  <c r="O518" i="4"/>
  <c r="P518" i="4"/>
  <c r="Q518" i="4"/>
  <c r="R518" i="4"/>
  <c r="S518" i="4"/>
  <c r="T518" i="4"/>
  <c r="H519" i="4"/>
  <c r="I519" i="4"/>
  <c r="J519" i="4"/>
  <c r="K519" i="4"/>
  <c r="L519" i="4"/>
  <c r="M519" i="4"/>
  <c r="N519" i="4"/>
  <c r="O519" i="4"/>
  <c r="P519" i="4"/>
  <c r="Q519" i="4"/>
  <c r="R519" i="4"/>
  <c r="S519" i="4"/>
  <c r="T519" i="4"/>
  <c r="H520" i="4"/>
  <c r="I520" i="4"/>
  <c r="J520" i="4"/>
  <c r="K520" i="4"/>
  <c r="L520" i="4"/>
  <c r="M520" i="4"/>
  <c r="N520" i="4"/>
  <c r="O520" i="4"/>
  <c r="P520" i="4"/>
  <c r="Q520" i="4"/>
  <c r="R520" i="4"/>
  <c r="S520" i="4"/>
  <c r="T520" i="4"/>
  <c r="H521" i="4"/>
  <c r="I521" i="4"/>
  <c r="J521" i="4"/>
  <c r="K521" i="4"/>
  <c r="L521" i="4"/>
  <c r="M521" i="4"/>
  <c r="N521" i="4"/>
  <c r="O521" i="4"/>
  <c r="P521" i="4"/>
  <c r="Q521" i="4"/>
  <c r="R521" i="4"/>
  <c r="S521" i="4"/>
  <c r="T521" i="4"/>
  <c r="H522" i="4"/>
  <c r="I522" i="4"/>
  <c r="J522" i="4"/>
  <c r="K522" i="4"/>
  <c r="L522" i="4"/>
  <c r="M522" i="4"/>
  <c r="N522" i="4"/>
  <c r="O522" i="4"/>
  <c r="P522" i="4"/>
  <c r="Q522" i="4"/>
  <c r="R522" i="4"/>
  <c r="S522" i="4"/>
  <c r="T522" i="4"/>
  <c r="H523" i="4"/>
  <c r="I523" i="4"/>
  <c r="J523" i="4"/>
  <c r="K523" i="4"/>
  <c r="L523" i="4"/>
  <c r="M523" i="4"/>
  <c r="N523" i="4"/>
  <c r="O523" i="4"/>
  <c r="P523" i="4"/>
  <c r="Q523" i="4"/>
  <c r="R523" i="4"/>
  <c r="S523" i="4"/>
  <c r="T523" i="4"/>
  <c r="H524" i="4"/>
  <c r="I524" i="4"/>
  <c r="J524" i="4"/>
  <c r="K524" i="4"/>
  <c r="L524" i="4"/>
  <c r="M524" i="4"/>
  <c r="N524" i="4"/>
  <c r="O524" i="4"/>
  <c r="P524" i="4"/>
  <c r="Q524" i="4"/>
  <c r="R524" i="4"/>
  <c r="S524" i="4"/>
  <c r="T524" i="4"/>
  <c r="H525" i="4"/>
  <c r="I525" i="4"/>
  <c r="J525" i="4"/>
  <c r="K525" i="4"/>
  <c r="L525" i="4"/>
  <c r="M525" i="4"/>
  <c r="N525" i="4"/>
  <c r="O525" i="4"/>
  <c r="P525" i="4"/>
  <c r="Q525" i="4"/>
  <c r="R525" i="4"/>
  <c r="S525" i="4"/>
  <c r="T525" i="4"/>
  <c r="H526" i="4"/>
  <c r="I526" i="4"/>
  <c r="J526" i="4"/>
  <c r="K526" i="4"/>
  <c r="L526" i="4"/>
  <c r="M526" i="4"/>
  <c r="N526" i="4"/>
  <c r="O526" i="4"/>
  <c r="P526" i="4"/>
  <c r="Q526" i="4"/>
  <c r="R526" i="4"/>
  <c r="S526" i="4"/>
  <c r="T526" i="4"/>
  <c r="H527" i="4"/>
  <c r="I527" i="4"/>
  <c r="J527" i="4"/>
  <c r="K527" i="4"/>
  <c r="L527" i="4"/>
  <c r="M527" i="4"/>
  <c r="N527" i="4"/>
  <c r="O527" i="4"/>
  <c r="P527" i="4"/>
  <c r="Q527" i="4"/>
  <c r="R527" i="4"/>
  <c r="S527" i="4"/>
  <c r="T527" i="4"/>
  <c r="H528" i="4"/>
  <c r="I528" i="4"/>
  <c r="J528" i="4"/>
  <c r="K528" i="4"/>
  <c r="L528" i="4"/>
  <c r="M528" i="4"/>
  <c r="N528" i="4"/>
  <c r="O528" i="4"/>
  <c r="P528" i="4"/>
  <c r="Q528" i="4"/>
  <c r="R528" i="4"/>
  <c r="S528" i="4"/>
  <c r="T528" i="4"/>
  <c r="H529" i="4"/>
  <c r="I529" i="4"/>
  <c r="J529" i="4"/>
  <c r="K529" i="4"/>
  <c r="L529" i="4"/>
  <c r="M529" i="4"/>
  <c r="N529" i="4"/>
  <c r="O529" i="4"/>
  <c r="P529" i="4"/>
  <c r="Q529" i="4"/>
  <c r="R529" i="4"/>
  <c r="S529" i="4"/>
  <c r="T529" i="4"/>
  <c r="H530" i="4"/>
  <c r="I530" i="4"/>
  <c r="J530" i="4"/>
  <c r="K530" i="4"/>
  <c r="L530" i="4"/>
  <c r="M530" i="4"/>
  <c r="N530" i="4"/>
  <c r="O530" i="4"/>
  <c r="P530" i="4"/>
  <c r="Q530" i="4"/>
  <c r="R530" i="4"/>
  <c r="S530" i="4"/>
  <c r="T530" i="4"/>
  <c r="H531" i="4"/>
  <c r="I531" i="4"/>
  <c r="J531" i="4"/>
  <c r="K531" i="4"/>
  <c r="L531" i="4"/>
  <c r="M531" i="4"/>
  <c r="N531" i="4"/>
  <c r="O531" i="4"/>
  <c r="P531" i="4"/>
  <c r="Q531" i="4"/>
  <c r="R531" i="4"/>
  <c r="S531" i="4"/>
  <c r="T531" i="4"/>
  <c r="H532" i="4"/>
  <c r="I532" i="4"/>
  <c r="J532" i="4"/>
  <c r="K532" i="4"/>
  <c r="L532" i="4"/>
  <c r="M532" i="4"/>
  <c r="N532" i="4"/>
  <c r="O532" i="4"/>
  <c r="P532" i="4"/>
  <c r="Q532" i="4"/>
  <c r="R532" i="4"/>
  <c r="S532" i="4"/>
  <c r="T532" i="4"/>
  <c r="H533" i="4"/>
  <c r="I533" i="4"/>
  <c r="J533" i="4"/>
  <c r="K533" i="4"/>
  <c r="L533" i="4"/>
  <c r="M533" i="4"/>
  <c r="N533" i="4"/>
  <c r="O533" i="4"/>
  <c r="P533" i="4"/>
  <c r="Q533" i="4"/>
  <c r="R533" i="4"/>
  <c r="S533" i="4"/>
  <c r="T533" i="4"/>
  <c r="H534" i="4"/>
  <c r="I534" i="4"/>
  <c r="J534" i="4"/>
  <c r="K534" i="4"/>
  <c r="L534" i="4"/>
  <c r="M534" i="4"/>
  <c r="N534" i="4"/>
  <c r="O534" i="4"/>
  <c r="P534" i="4"/>
  <c r="Q534" i="4"/>
  <c r="R534" i="4"/>
  <c r="S534" i="4"/>
  <c r="T534" i="4"/>
  <c r="H535" i="4"/>
  <c r="I535" i="4"/>
  <c r="J535" i="4"/>
  <c r="K535" i="4"/>
  <c r="L535" i="4"/>
  <c r="M535" i="4"/>
  <c r="N535" i="4"/>
  <c r="O535" i="4"/>
  <c r="P535" i="4"/>
  <c r="Q535" i="4"/>
  <c r="R535" i="4"/>
  <c r="S535" i="4"/>
  <c r="T535" i="4"/>
  <c r="H536" i="4"/>
  <c r="I536" i="4"/>
  <c r="J536" i="4"/>
  <c r="K536" i="4"/>
  <c r="L536" i="4"/>
  <c r="M536" i="4"/>
  <c r="N536" i="4"/>
  <c r="O536" i="4"/>
  <c r="P536" i="4"/>
  <c r="Q536" i="4"/>
  <c r="R536" i="4"/>
  <c r="S536" i="4"/>
  <c r="T536" i="4"/>
  <c r="H537" i="4"/>
  <c r="I537" i="4"/>
  <c r="J537" i="4"/>
  <c r="K537" i="4"/>
  <c r="L537" i="4"/>
  <c r="M537" i="4"/>
  <c r="N537" i="4"/>
  <c r="O537" i="4"/>
  <c r="P537" i="4"/>
  <c r="Q537" i="4"/>
  <c r="R537" i="4"/>
  <c r="S537" i="4"/>
  <c r="T537" i="4"/>
  <c r="H538" i="4"/>
  <c r="I538" i="4"/>
  <c r="J538" i="4"/>
  <c r="K538" i="4"/>
  <c r="L538" i="4"/>
  <c r="M538" i="4"/>
  <c r="N538" i="4"/>
  <c r="O538" i="4"/>
  <c r="P538" i="4"/>
  <c r="Q538" i="4"/>
  <c r="R538" i="4"/>
  <c r="S538" i="4"/>
  <c r="T538" i="4"/>
  <c r="H539" i="4"/>
  <c r="I539" i="4"/>
  <c r="J539" i="4"/>
  <c r="K539" i="4"/>
  <c r="L539" i="4"/>
  <c r="M539" i="4"/>
  <c r="N539" i="4"/>
  <c r="O539" i="4"/>
  <c r="P539" i="4"/>
  <c r="Q539" i="4"/>
  <c r="R539" i="4"/>
  <c r="S539" i="4"/>
  <c r="T539" i="4"/>
  <c r="H540" i="4"/>
  <c r="I540" i="4"/>
  <c r="J540" i="4"/>
  <c r="K540" i="4"/>
  <c r="L540" i="4"/>
  <c r="M540" i="4"/>
  <c r="N540" i="4"/>
  <c r="O540" i="4"/>
  <c r="P540" i="4"/>
  <c r="Q540" i="4"/>
  <c r="R540" i="4"/>
  <c r="S540" i="4"/>
  <c r="T540" i="4"/>
  <c r="H541" i="4"/>
  <c r="I541" i="4"/>
  <c r="J541" i="4"/>
  <c r="K541" i="4"/>
  <c r="L541" i="4"/>
  <c r="M541" i="4"/>
  <c r="N541" i="4"/>
  <c r="O541" i="4"/>
  <c r="P541" i="4"/>
  <c r="Q541" i="4"/>
  <c r="R541" i="4"/>
  <c r="S541" i="4"/>
  <c r="T541" i="4"/>
  <c r="H542" i="4"/>
  <c r="I542" i="4"/>
  <c r="J542" i="4"/>
  <c r="K542" i="4"/>
  <c r="L542" i="4"/>
  <c r="M542" i="4"/>
  <c r="N542" i="4"/>
  <c r="O542" i="4"/>
  <c r="P542" i="4"/>
  <c r="Q542" i="4"/>
  <c r="R542" i="4"/>
  <c r="S542" i="4"/>
  <c r="T542" i="4"/>
  <c r="H543" i="4"/>
  <c r="I543" i="4"/>
  <c r="J543" i="4"/>
  <c r="K543" i="4"/>
  <c r="L543" i="4"/>
  <c r="M543" i="4"/>
  <c r="N543" i="4"/>
  <c r="O543" i="4"/>
  <c r="P543" i="4"/>
  <c r="Q543" i="4"/>
  <c r="R543" i="4"/>
  <c r="S543" i="4"/>
  <c r="T543" i="4"/>
  <c r="H544" i="4"/>
  <c r="I544" i="4"/>
  <c r="J544" i="4"/>
  <c r="K544" i="4"/>
  <c r="L544" i="4"/>
  <c r="M544" i="4"/>
  <c r="N544" i="4"/>
  <c r="O544" i="4"/>
  <c r="P544" i="4"/>
  <c r="Q544" i="4"/>
  <c r="R544" i="4"/>
  <c r="S544" i="4"/>
  <c r="T544" i="4"/>
  <c r="H545" i="4"/>
  <c r="I545" i="4"/>
  <c r="J545" i="4"/>
  <c r="K545" i="4"/>
  <c r="L545" i="4"/>
  <c r="M545" i="4"/>
  <c r="N545" i="4"/>
  <c r="O545" i="4"/>
  <c r="P545" i="4"/>
  <c r="Q545" i="4"/>
  <c r="R545" i="4"/>
  <c r="S545" i="4"/>
  <c r="T545" i="4"/>
  <c r="H546" i="4"/>
  <c r="I546" i="4"/>
  <c r="J546" i="4"/>
  <c r="K546" i="4"/>
  <c r="L546" i="4"/>
  <c r="M546" i="4"/>
  <c r="N546" i="4"/>
  <c r="O546" i="4"/>
  <c r="P546" i="4"/>
  <c r="Q546" i="4"/>
  <c r="R546" i="4"/>
  <c r="S546" i="4"/>
  <c r="T546" i="4"/>
  <c r="H547" i="4"/>
  <c r="I547" i="4"/>
  <c r="J547" i="4"/>
  <c r="K547" i="4"/>
  <c r="L547" i="4"/>
  <c r="M547" i="4"/>
  <c r="N547" i="4"/>
  <c r="O547" i="4"/>
  <c r="P547" i="4"/>
  <c r="Q547" i="4"/>
  <c r="R547" i="4"/>
  <c r="S547" i="4"/>
  <c r="T547" i="4"/>
  <c r="H548" i="4"/>
  <c r="I548" i="4"/>
  <c r="J548" i="4"/>
  <c r="K548" i="4"/>
  <c r="L548" i="4"/>
  <c r="M548" i="4"/>
  <c r="N548" i="4"/>
  <c r="O548" i="4"/>
  <c r="P548" i="4"/>
  <c r="Q548" i="4"/>
  <c r="R548" i="4"/>
  <c r="S548" i="4"/>
  <c r="T548" i="4"/>
  <c r="H549" i="4"/>
  <c r="I549" i="4"/>
  <c r="J549" i="4"/>
  <c r="K549" i="4"/>
  <c r="L549" i="4"/>
  <c r="M549" i="4"/>
  <c r="N549" i="4"/>
  <c r="O549" i="4"/>
  <c r="P549" i="4"/>
  <c r="Q549" i="4"/>
  <c r="R549" i="4"/>
  <c r="S549" i="4"/>
  <c r="T549" i="4"/>
  <c r="H550" i="4"/>
  <c r="I550" i="4"/>
  <c r="J550" i="4"/>
  <c r="K550" i="4"/>
  <c r="L550" i="4"/>
  <c r="M550" i="4"/>
  <c r="N550" i="4"/>
  <c r="O550" i="4"/>
  <c r="P550" i="4"/>
  <c r="Q550" i="4"/>
  <c r="R550" i="4"/>
  <c r="S550" i="4"/>
  <c r="T550" i="4"/>
  <c r="H551" i="4"/>
  <c r="I551" i="4"/>
  <c r="J551" i="4"/>
  <c r="K551" i="4"/>
  <c r="L551" i="4"/>
  <c r="M551" i="4"/>
  <c r="N551" i="4"/>
  <c r="O551" i="4"/>
  <c r="P551" i="4"/>
  <c r="Q551" i="4"/>
  <c r="R551" i="4"/>
  <c r="S551" i="4"/>
  <c r="T551" i="4"/>
  <c r="H552" i="4"/>
  <c r="I552" i="4"/>
  <c r="J552" i="4"/>
  <c r="K552" i="4"/>
  <c r="L552" i="4"/>
  <c r="M552" i="4"/>
  <c r="N552" i="4"/>
  <c r="O552" i="4"/>
  <c r="P552" i="4"/>
  <c r="Q552" i="4"/>
  <c r="R552" i="4"/>
  <c r="S552" i="4"/>
  <c r="T552" i="4"/>
  <c r="H553" i="4"/>
  <c r="I553" i="4"/>
  <c r="J553" i="4"/>
  <c r="K553" i="4"/>
  <c r="L553" i="4"/>
  <c r="M553" i="4"/>
  <c r="N553" i="4"/>
  <c r="O553" i="4"/>
  <c r="P553" i="4"/>
  <c r="Q553" i="4"/>
  <c r="R553" i="4"/>
  <c r="S553" i="4"/>
  <c r="T553" i="4"/>
  <c r="H554" i="4"/>
  <c r="I554" i="4"/>
  <c r="J554" i="4"/>
  <c r="K554" i="4"/>
  <c r="L554" i="4"/>
  <c r="M554" i="4"/>
  <c r="N554" i="4"/>
  <c r="O554" i="4"/>
  <c r="P554" i="4"/>
  <c r="Q554" i="4"/>
  <c r="R554" i="4"/>
  <c r="S554" i="4"/>
  <c r="T554" i="4"/>
  <c r="H555" i="4"/>
  <c r="I555" i="4"/>
  <c r="J555" i="4"/>
  <c r="K555" i="4"/>
  <c r="L555" i="4"/>
  <c r="M555" i="4"/>
  <c r="N555" i="4"/>
  <c r="O555" i="4"/>
  <c r="P555" i="4"/>
  <c r="Q555" i="4"/>
  <c r="R555" i="4"/>
  <c r="S555" i="4"/>
  <c r="T555" i="4"/>
  <c r="H556" i="4"/>
  <c r="I556" i="4"/>
  <c r="J556" i="4"/>
  <c r="K556" i="4"/>
  <c r="L556" i="4"/>
  <c r="M556" i="4"/>
  <c r="N556" i="4"/>
  <c r="O556" i="4"/>
  <c r="P556" i="4"/>
  <c r="Q556" i="4"/>
  <c r="R556" i="4"/>
  <c r="S556" i="4"/>
  <c r="T556" i="4"/>
  <c r="H557" i="4"/>
  <c r="I557" i="4"/>
  <c r="J557" i="4"/>
  <c r="K557" i="4"/>
  <c r="L557" i="4"/>
  <c r="M557" i="4"/>
  <c r="N557" i="4"/>
  <c r="O557" i="4"/>
  <c r="P557" i="4"/>
  <c r="Q557" i="4"/>
  <c r="R557" i="4"/>
  <c r="S557" i="4"/>
  <c r="T557" i="4"/>
  <c r="H558" i="4"/>
  <c r="I558" i="4"/>
  <c r="J558" i="4"/>
  <c r="K558" i="4"/>
  <c r="L558" i="4"/>
  <c r="M558" i="4"/>
  <c r="N558" i="4"/>
  <c r="O558" i="4"/>
  <c r="P558" i="4"/>
  <c r="Q558" i="4"/>
  <c r="R558" i="4"/>
  <c r="S558" i="4"/>
  <c r="T558" i="4"/>
  <c r="H559" i="4"/>
  <c r="I559" i="4"/>
  <c r="J559" i="4"/>
  <c r="K559" i="4"/>
  <c r="L559" i="4"/>
  <c r="M559" i="4"/>
  <c r="N559" i="4"/>
  <c r="O559" i="4"/>
  <c r="P559" i="4"/>
  <c r="Q559" i="4"/>
  <c r="R559" i="4"/>
  <c r="S559" i="4"/>
  <c r="T559" i="4"/>
  <c r="H560" i="4"/>
  <c r="I560" i="4"/>
  <c r="J560" i="4"/>
  <c r="K560" i="4"/>
  <c r="L560" i="4"/>
  <c r="M560" i="4"/>
  <c r="N560" i="4"/>
  <c r="O560" i="4"/>
  <c r="P560" i="4"/>
  <c r="Q560" i="4"/>
  <c r="R560" i="4"/>
  <c r="S560" i="4"/>
  <c r="T560" i="4"/>
  <c r="H561" i="4"/>
  <c r="I561" i="4"/>
  <c r="J561" i="4"/>
  <c r="K561" i="4"/>
  <c r="L561" i="4"/>
  <c r="M561" i="4"/>
  <c r="N561" i="4"/>
  <c r="O561" i="4"/>
  <c r="P561" i="4"/>
  <c r="Q561" i="4"/>
  <c r="R561" i="4"/>
  <c r="S561" i="4"/>
  <c r="T561" i="4"/>
  <c r="H562" i="4"/>
  <c r="I562" i="4"/>
  <c r="J562" i="4"/>
  <c r="K562" i="4"/>
  <c r="L562" i="4"/>
  <c r="M562" i="4"/>
  <c r="N562" i="4"/>
  <c r="O562" i="4"/>
  <c r="P562" i="4"/>
  <c r="Q562" i="4"/>
  <c r="R562" i="4"/>
  <c r="S562" i="4"/>
  <c r="T562" i="4"/>
  <c r="H563" i="4"/>
  <c r="I563" i="4"/>
  <c r="J563" i="4"/>
  <c r="K563" i="4"/>
  <c r="L563" i="4"/>
  <c r="M563" i="4"/>
  <c r="N563" i="4"/>
  <c r="O563" i="4"/>
  <c r="P563" i="4"/>
  <c r="Q563" i="4"/>
  <c r="R563" i="4"/>
  <c r="S563" i="4"/>
  <c r="T563" i="4"/>
  <c r="H564" i="4"/>
  <c r="I564" i="4"/>
  <c r="J564" i="4"/>
  <c r="K564" i="4"/>
  <c r="L564" i="4"/>
  <c r="M564" i="4"/>
  <c r="N564" i="4"/>
  <c r="O564" i="4"/>
  <c r="P564" i="4"/>
  <c r="Q564" i="4"/>
  <c r="R564" i="4"/>
  <c r="S564" i="4"/>
  <c r="T564" i="4"/>
  <c r="H565" i="4"/>
  <c r="I565" i="4"/>
  <c r="J565" i="4"/>
  <c r="K565" i="4"/>
  <c r="L565" i="4"/>
  <c r="M565" i="4"/>
  <c r="N565" i="4"/>
  <c r="O565" i="4"/>
  <c r="P565" i="4"/>
  <c r="Q565" i="4"/>
  <c r="R565" i="4"/>
  <c r="S565" i="4"/>
  <c r="T565" i="4"/>
  <c r="H566" i="4"/>
  <c r="I566" i="4"/>
  <c r="J566" i="4"/>
  <c r="K566" i="4"/>
  <c r="L566" i="4"/>
  <c r="M566" i="4"/>
  <c r="N566" i="4"/>
  <c r="O566" i="4"/>
  <c r="P566" i="4"/>
  <c r="Q566" i="4"/>
  <c r="R566" i="4"/>
  <c r="S566" i="4"/>
  <c r="T566" i="4"/>
  <c r="H567" i="4"/>
  <c r="I567" i="4"/>
  <c r="J567" i="4"/>
  <c r="K567" i="4"/>
  <c r="L567" i="4"/>
  <c r="M567" i="4"/>
  <c r="N567" i="4"/>
  <c r="O567" i="4"/>
  <c r="P567" i="4"/>
  <c r="Q567" i="4"/>
  <c r="R567" i="4"/>
  <c r="S567" i="4"/>
  <c r="T567" i="4"/>
  <c r="H568" i="4"/>
  <c r="I568" i="4"/>
  <c r="J568" i="4"/>
  <c r="K568" i="4"/>
  <c r="L568" i="4"/>
  <c r="M568" i="4"/>
  <c r="N568" i="4"/>
  <c r="O568" i="4"/>
  <c r="P568" i="4"/>
  <c r="Q568" i="4"/>
  <c r="R568" i="4"/>
  <c r="S568" i="4"/>
  <c r="T568" i="4"/>
  <c r="H569" i="4"/>
  <c r="I569" i="4"/>
  <c r="J569" i="4"/>
  <c r="K569" i="4"/>
  <c r="L569" i="4"/>
  <c r="M569" i="4"/>
  <c r="N569" i="4"/>
  <c r="O569" i="4"/>
  <c r="P569" i="4"/>
  <c r="Q569" i="4"/>
  <c r="R569" i="4"/>
  <c r="S569" i="4"/>
  <c r="T569" i="4"/>
  <c r="H570" i="4"/>
  <c r="I570" i="4"/>
  <c r="J570" i="4"/>
  <c r="K570" i="4"/>
  <c r="L570" i="4"/>
  <c r="M570" i="4"/>
  <c r="N570" i="4"/>
  <c r="O570" i="4"/>
  <c r="P570" i="4"/>
  <c r="Q570" i="4"/>
  <c r="R570" i="4"/>
  <c r="S570" i="4"/>
  <c r="T570" i="4"/>
  <c r="H571" i="4"/>
  <c r="I571" i="4"/>
  <c r="J571" i="4"/>
  <c r="K571" i="4"/>
  <c r="L571" i="4"/>
  <c r="M571" i="4"/>
  <c r="N571" i="4"/>
  <c r="O571" i="4"/>
  <c r="P571" i="4"/>
  <c r="Q571" i="4"/>
  <c r="R571" i="4"/>
  <c r="S571" i="4"/>
  <c r="T571" i="4"/>
  <c r="H572" i="4"/>
  <c r="I572" i="4"/>
  <c r="J572" i="4"/>
  <c r="K572" i="4"/>
  <c r="L572" i="4"/>
  <c r="M572" i="4"/>
  <c r="N572" i="4"/>
  <c r="O572" i="4"/>
  <c r="P572" i="4"/>
  <c r="Q572" i="4"/>
  <c r="R572" i="4"/>
  <c r="S572" i="4"/>
  <c r="T572" i="4"/>
  <c r="H573" i="4"/>
  <c r="I573" i="4"/>
  <c r="J573" i="4"/>
  <c r="K573" i="4"/>
  <c r="L573" i="4"/>
  <c r="M573" i="4"/>
  <c r="N573" i="4"/>
  <c r="O573" i="4"/>
  <c r="P573" i="4"/>
  <c r="Q573" i="4"/>
  <c r="R573" i="4"/>
  <c r="S573" i="4"/>
  <c r="T573" i="4"/>
  <c r="H574" i="4"/>
  <c r="I574" i="4"/>
  <c r="J574" i="4"/>
  <c r="K574" i="4"/>
  <c r="L574" i="4"/>
  <c r="M574" i="4"/>
  <c r="N574" i="4"/>
  <c r="O574" i="4"/>
  <c r="P574" i="4"/>
  <c r="Q574" i="4"/>
  <c r="R574" i="4"/>
  <c r="S574" i="4"/>
  <c r="T574" i="4"/>
  <c r="H575" i="4"/>
  <c r="I575" i="4"/>
  <c r="J575" i="4"/>
  <c r="K575" i="4"/>
  <c r="L575" i="4"/>
  <c r="M575" i="4"/>
  <c r="N575" i="4"/>
  <c r="O575" i="4"/>
  <c r="P575" i="4"/>
  <c r="Q575" i="4"/>
  <c r="R575" i="4"/>
  <c r="S575" i="4"/>
  <c r="T575" i="4"/>
  <c r="H576" i="4"/>
  <c r="I576" i="4"/>
  <c r="J576" i="4"/>
  <c r="K576" i="4"/>
  <c r="L576" i="4"/>
  <c r="M576" i="4"/>
  <c r="N576" i="4"/>
  <c r="O576" i="4"/>
  <c r="P576" i="4"/>
  <c r="Q576" i="4"/>
  <c r="R576" i="4"/>
  <c r="S576" i="4"/>
  <c r="T576" i="4"/>
  <c r="H577" i="4"/>
  <c r="I577" i="4"/>
  <c r="J577" i="4"/>
  <c r="K577" i="4"/>
  <c r="L577" i="4"/>
  <c r="M577" i="4"/>
  <c r="N577" i="4"/>
  <c r="O577" i="4"/>
  <c r="P577" i="4"/>
  <c r="Q577" i="4"/>
  <c r="R577" i="4"/>
  <c r="S577" i="4"/>
  <c r="T577" i="4"/>
  <c r="H578" i="4"/>
  <c r="I578" i="4"/>
  <c r="J578" i="4"/>
  <c r="K578" i="4"/>
  <c r="L578" i="4"/>
  <c r="M578" i="4"/>
  <c r="N578" i="4"/>
  <c r="O578" i="4"/>
  <c r="P578" i="4"/>
  <c r="Q578" i="4"/>
  <c r="R578" i="4"/>
  <c r="S578" i="4"/>
  <c r="T578" i="4"/>
  <c r="H579" i="4"/>
  <c r="I579" i="4"/>
  <c r="J579" i="4"/>
  <c r="K579" i="4"/>
  <c r="L579" i="4"/>
  <c r="M579" i="4"/>
  <c r="N579" i="4"/>
  <c r="O579" i="4"/>
  <c r="P579" i="4"/>
  <c r="Q579" i="4"/>
  <c r="R579" i="4"/>
  <c r="S579" i="4"/>
  <c r="T579" i="4"/>
  <c r="H580" i="4"/>
  <c r="I580" i="4"/>
  <c r="J580" i="4"/>
  <c r="K580" i="4"/>
  <c r="L580" i="4"/>
  <c r="M580" i="4"/>
  <c r="N580" i="4"/>
  <c r="O580" i="4"/>
  <c r="P580" i="4"/>
  <c r="Q580" i="4"/>
  <c r="R580" i="4"/>
  <c r="S580" i="4"/>
  <c r="T580" i="4"/>
  <c r="H581" i="4"/>
  <c r="I581" i="4"/>
  <c r="J581" i="4"/>
  <c r="K581" i="4"/>
  <c r="L581" i="4"/>
  <c r="M581" i="4"/>
  <c r="N581" i="4"/>
  <c r="O581" i="4"/>
  <c r="P581" i="4"/>
  <c r="Q581" i="4"/>
  <c r="R581" i="4"/>
  <c r="S581" i="4"/>
  <c r="T581" i="4"/>
  <c r="H582" i="4"/>
  <c r="I582" i="4"/>
  <c r="J582" i="4"/>
  <c r="K582" i="4"/>
  <c r="L582" i="4"/>
  <c r="M582" i="4"/>
  <c r="N582" i="4"/>
  <c r="O582" i="4"/>
  <c r="P582" i="4"/>
  <c r="Q582" i="4"/>
  <c r="R582" i="4"/>
  <c r="S582" i="4"/>
  <c r="T582" i="4"/>
  <c r="H583" i="4"/>
  <c r="I583" i="4"/>
  <c r="J583" i="4"/>
  <c r="K583" i="4"/>
  <c r="L583" i="4"/>
  <c r="M583" i="4"/>
  <c r="N583" i="4"/>
  <c r="O583" i="4"/>
  <c r="P583" i="4"/>
  <c r="Q583" i="4"/>
  <c r="R583" i="4"/>
  <c r="S583" i="4"/>
  <c r="T583" i="4"/>
  <c r="H584" i="4"/>
  <c r="I584" i="4"/>
  <c r="J584" i="4"/>
  <c r="K584" i="4"/>
  <c r="L584" i="4"/>
  <c r="M584" i="4"/>
  <c r="N584" i="4"/>
  <c r="O584" i="4"/>
  <c r="P584" i="4"/>
  <c r="Q584" i="4"/>
  <c r="R584" i="4"/>
  <c r="S584" i="4"/>
  <c r="T584" i="4"/>
  <c r="H585" i="4"/>
  <c r="I585" i="4"/>
  <c r="J585" i="4"/>
  <c r="K585" i="4"/>
  <c r="L585" i="4"/>
  <c r="M585" i="4"/>
  <c r="N585" i="4"/>
  <c r="O585" i="4"/>
  <c r="P585" i="4"/>
  <c r="Q585" i="4"/>
  <c r="R585" i="4"/>
  <c r="S585" i="4"/>
  <c r="T585" i="4"/>
  <c r="H586" i="4"/>
  <c r="I586" i="4"/>
  <c r="J586" i="4"/>
  <c r="K586" i="4"/>
  <c r="L586" i="4"/>
  <c r="M586" i="4"/>
  <c r="N586" i="4"/>
  <c r="O586" i="4"/>
  <c r="P586" i="4"/>
  <c r="Q586" i="4"/>
  <c r="R586" i="4"/>
  <c r="S586" i="4"/>
  <c r="T586" i="4"/>
  <c r="H587" i="4"/>
  <c r="I587" i="4"/>
  <c r="J587" i="4"/>
  <c r="K587" i="4"/>
  <c r="L587" i="4"/>
  <c r="M587" i="4"/>
  <c r="N587" i="4"/>
  <c r="O587" i="4"/>
  <c r="P587" i="4"/>
  <c r="Q587" i="4"/>
  <c r="R587" i="4"/>
  <c r="S587" i="4"/>
  <c r="T587" i="4"/>
  <c r="H588" i="4"/>
  <c r="I588" i="4"/>
  <c r="J588" i="4"/>
  <c r="K588" i="4"/>
  <c r="L588" i="4"/>
  <c r="M588" i="4"/>
  <c r="N588" i="4"/>
  <c r="O588" i="4"/>
  <c r="P588" i="4"/>
  <c r="Q588" i="4"/>
  <c r="R588" i="4"/>
  <c r="S588" i="4"/>
  <c r="T588" i="4"/>
  <c r="H589" i="4"/>
  <c r="I589" i="4"/>
  <c r="J589" i="4"/>
  <c r="K589" i="4"/>
  <c r="L589" i="4"/>
  <c r="M589" i="4"/>
  <c r="N589" i="4"/>
  <c r="O589" i="4"/>
  <c r="P589" i="4"/>
  <c r="Q589" i="4"/>
  <c r="R589" i="4"/>
  <c r="S589" i="4"/>
  <c r="T589" i="4"/>
  <c r="H590" i="4"/>
  <c r="I590" i="4"/>
  <c r="J590" i="4"/>
  <c r="K590" i="4"/>
  <c r="L590" i="4"/>
  <c r="M590" i="4"/>
  <c r="N590" i="4"/>
  <c r="O590" i="4"/>
  <c r="P590" i="4"/>
  <c r="Q590" i="4"/>
  <c r="R590" i="4"/>
  <c r="S590" i="4"/>
  <c r="T590" i="4"/>
  <c r="H591" i="4"/>
  <c r="I591" i="4"/>
  <c r="J591" i="4"/>
  <c r="K591" i="4"/>
  <c r="L591" i="4"/>
  <c r="M591" i="4"/>
  <c r="N591" i="4"/>
  <c r="O591" i="4"/>
  <c r="P591" i="4"/>
  <c r="Q591" i="4"/>
  <c r="R591" i="4"/>
  <c r="S591" i="4"/>
  <c r="T591" i="4"/>
  <c r="H592" i="4"/>
  <c r="I592" i="4"/>
  <c r="J592" i="4"/>
  <c r="K592" i="4"/>
  <c r="L592" i="4"/>
  <c r="M592" i="4"/>
  <c r="N592" i="4"/>
  <c r="O592" i="4"/>
  <c r="P592" i="4"/>
  <c r="Q592" i="4"/>
  <c r="R592" i="4"/>
  <c r="S592" i="4"/>
  <c r="T592" i="4"/>
  <c r="H593" i="4"/>
  <c r="I593" i="4"/>
  <c r="J593" i="4"/>
  <c r="K593" i="4"/>
  <c r="L593" i="4"/>
  <c r="M593" i="4"/>
  <c r="N593" i="4"/>
  <c r="O593" i="4"/>
  <c r="P593" i="4"/>
  <c r="Q593" i="4"/>
  <c r="R593" i="4"/>
  <c r="S593" i="4"/>
  <c r="T593" i="4"/>
  <c r="H594" i="4"/>
  <c r="I594" i="4"/>
  <c r="J594" i="4"/>
  <c r="K594" i="4"/>
  <c r="L594" i="4"/>
  <c r="M594" i="4"/>
  <c r="N594" i="4"/>
  <c r="O594" i="4"/>
  <c r="P594" i="4"/>
  <c r="Q594" i="4"/>
  <c r="R594" i="4"/>
  <c r="S594" i="4"/>
  <c r="T594" i="4"/>
  <c r="H595" i="4"/>
  <c r="I595" i="4"/>
  <c r="J595" i="4"/>
  <c r="K595" i="4"/>
  <c r="L595" i="4"/>
  <c r="M595" i="4"/>
  <c r="N595" i="4"/>
  <c r="O595" i="4"/>
  <c r="P595" i="4"/>
  <c r="Q595" i="4"/>
  <c r="R595" i="4"/>
  <c r="S595" i="4"/>
  <c r="T595" i="4"/>
  <c r="H596" i="4"/>
  <c r="I596" i="4"/>
  <c r="J596" i="4"/>
  <c r="K596" i="4"/>
  <c r="L596" i="4"/>
  <c r="M596" i="4"/>
  <c r="N596" i="4"/>
  <c r="O596" i="4"/>
  <c r="P596" i="4"/>
  <c r="Q596" i="4"/>
  <c r="R596" i="4"/>
  <c r="S596" i="4"/>
  <c r="T596" i="4"/>
  <c r="H597" i="4"/>
  <c r="I597" i="4"/>
  <c r="J597" i="4"/>
  <c r="K597" i="4"/>
  <c r="L597" i="4"/>
  <c r="M597" i="4"/>
  <c r="N597" i="4"/>
  <c r="O597" i="4"/>
  <c r="P597" i="4"/>
  <c r="Q597" i="4"/>
  <c r="R597" i="4"/>
  <c r="S597" i="4"/>
  <c r="T597" i="4"/>
  <c r="H598" i="4"/>
  <c r="I598" i="4"/>
  <c r="J598" i="4"/>
  <c r="K598" i="4"/>
  <c r="L598" i="4"/>
  <c r="M598" i="4"/>
  <c r="N598" i="4"/>
  <c r="O598" i="4"/>
  <c r="P598" i="4"/>
  <c r="Q598" i="4"/>
  <c r="R598" i="4"/>
  <c r="S598" i="4"/>
  <c r="T598" i="4"/>
  <c r="H599" i="4"/>
  <c r="I599" i="4"/>
  <c r="J599" i="4"/>
  <c r="K599" i="4"/>
  <c r="L599" i="4"/>
  <c r="M599" i="4"/>
  <c r="N599" i="4"/>
  <c r="O599" i="4"/>
  <c r="P599" i="4"/>
  <c r="Q599" i="4"/>
  <c r="R599" i="4"/>
  <c r="S599" i="4"/>
  <c r="T599" i="4"/>
  <c r="H600" i="4"/>
  <c r="I600" i="4"/>
  <c r="J600" i="4"/>
  <c r="K600" i="4"/>
  <c r="L600" i="4"/>
  <c r="M600" i="4"/>
  <c r="N600" i="4"/>
  <c r="O600" i="4"/>
  <c r="P600" i="4"/>
  <c r="Q600" i="4"/>
  <c r="R600" i="4"/>
  <c r="S600" i="4"/>
  <c r="T600" i="4"/>
  <c r="H601" i="4"/>
  <c r="I601" i="4"/>
  <c r="J601" i="4"/>
  <c r="K601" i="4"/>
  <c r="L601" i="4"/>
  <c r="M601" i="4"/>
  <c r="N601" i="4"/>
  <c r="O601" i="4"/>
  <c r="P601" i="4"/>
  <c r="Q601" i="4"/>
  <c r="R601" i="4"/>
  <c r="S601" i="4"/>
  <c r="T601" i="4"/>
  <c r="H602" i="4"/>
  <c r="I602" i="4"/>
  <c r="J602" i="4"/>
  <c r="K602" i="4"/>
  <c r="L602" i="4"/>
  <c r="M602" i="4"/>
  <c r="N602" i="4"/>
  <c r="O602" i="4"/>
  <c r="P602" i="4"/>
  <c r="Q602" i="4"/>
  <c r="R602" i="4"/>
  <c r="S602" i="4"/>
  <c r="T602" i="4"/>
  <c r="H603" i="4"/>
  <c r="I603" i="4"/>
  <c r="J603" i="4"/>
  <c r="K603" i="4"/>
  <c r="L603" i="4"/>
  <c r="M603" i="4"/>
  <c r="N603" i="4"/>
  <c r="O603" i="4"/>
  <c r="P603" i="4"/>
  <c r="Q603" i="4"/>
  <c r="R603" i="4"/>
  <c r="S603" i="4"/>
  <c r="T603" i="4"/>
  <c r="H604" i="4"/>
  <c r="I604" i="4"/>
  <c r="J604" i="4"/>
  <c r="K604" i="4"/>
  <c r="L604" i="4"/>
  <c r="M604" i="4"/>
  <c r="N604" i="4"/>
  <c r="O604" i="4"/>
  <c r="P604" i="4"/>
  <c r="Q604" i="4"/>
  <c r="R604" i="4"/>
  <c r="S604" i="4"/>
  <c r="T604" i="4"/>
  <c r="H605" i="4"/>
  <c r="I605" i="4"/>
  <c r="J605" i="4"/>
  <c r="K605" i="4"/>
  <c r="L605" i="4"/>
  <c r="M605" i="4"/>
  <c r="N605" i="4"/>
  <c r="O605" i="4"/>
  <c r="P605" i="4"/>
  <c r="Q605" i="4"/>
  <c r="R605" i="4"/>
  <c r="S605" i="4"/>
  <c r="T605" i="4"/>
  <c r="H606" i="4"/>
  <c r="I606" i="4"/>
  <c r="J606" i="4"/>
  <c r="K606" i="4"/>
  <c r="L606" i="4"/>
  <c r="M606" i="4"/>
  <c r="N606" i="4"/>
  <c r="O606" i="4"/>
  <c r="P606" i="4"/>
  <c r="Q606" i="4"/>
  <c r="R606" i="4"/>
  <c r="S606" i="4"/>
  <c r="T606" i="4"/>
  <c r="H607" i="4"/>
  <c r="I607" i="4"/>
  <c r="J607" i="4"/>
  <c r="K607" i="4"/>
  <c r="L607" i="4"/>
  <c r="M607" i="4"/>
  <c r="N607" i="4"/>
  <c r="O607" i="4"/>
  <c r="P607" i="4"/>
  <c r="Q607" i="4"/>
  <c r="R607" i="4"/>
  <c r="S607" i="4"/>
  <c r="T607" i="4"/>
  <c r="H608" i="4"/>
  <c r="I608" i="4"/>
  <c r="J608" i="4"/>
  <c r="K608" i="4"/>
  <c r="L608" i="4"/>
  <c r="M608" i="4"/>
  <c r="N608" i="4"/>
  <c r="O608" i="4"/>
  <c r="P608" i="4"/>
  <c r="Q608" i="4"/>
  <c r="R608" i="4"/>
  <c r="S608" i="4"/>
  <c r="T608" i="4"/>
  <c r="H609" i="4"/>
  <c r="I609" i="4"/>
  <c r="J609" i="4"/>
  <c r="K609" i="4"/>
  <c r="L609" i="4"/>
  <c r="M609" i="4"/>
  <c r="N609" i="4"/>
  <c r="O609" i="4"/>
  <c r="P609" i="4"/>
  <c r="Q609" i="4"/>
  <c r="R609" i="4"/>
  <c r="S609" i="4"/>
  <c r="T609" i="4"/>
  <c r="H610" i="4"/>
  <c r="I610" i="4"/>
  <c r="J610" i="4"/>
  <c r="K610" i="4"/>
  <c r="L610" i="4"/>
  <c r="M610" i="4"/>
  <c r="N610" i="4"/>
  <c r="O610" i="4"/>
  <c r="P610" i="4"/>
  <c r="Q610" i="4"/>
  <c r="R610" i="4"/>
  <c r="S610" i="4"/>
  <c r="T610" i="4"/>
  <c r="H611" i="4"/>
  <c r="I611" i="4"/>
  <c r="J611" i="4"/>
  <c r="K611" i="4"/>
  <c r="L611" i="4"/>
  <c r="M611" i="4"/>
  <c r="N611" i="4"/>
  <c r="O611" i="4"/>
  <c r="P611" i="4"/>
  <c r="Q611" i="4"/>
  <c r="R611" i="4"/>
  <c r="S611" i="4"/>
  <c r="T611" i="4"/>
  <c r="H612" i="4"/>
  <c r="I612" i="4"/>
  <c r="J612" i="4"/>
  <c r="K612" i="4"/>
  <c r="L612" i="4"/>
  <c r="M612" i="4"/>
  <c r="N612" i="4"/>
  <c r="O612" i="4"/>
  <c r="P612" i="4"/>
  <c r="Q612" i="4"/>
  <c r="R612" i="4"/>
  <c r="S612" i="4"/>
  <c r="T612" i="4"/>
  <c r="H613" i="4"/>
  <c r="I613" i="4"/>
  <c r="J613" i="4"/>
  <c r="K613" i="4"/>
  <c r="L613" i="4"/>
  <c r="M613" i="4"/>
  <c r="N613" i="4"/>
  <c r="O613" i="4"/>
  <c r="P613" i="4"/>
  <c r="Q613" i="4"/>
  <c r="R613" i="4"/>
  <c r="S613" i="4"/>
  <c r="T613" i="4"/>
  <c r="H614" i="4"/>
  <c r="I614" i="4"/>
  <c r="J614" i="4"/>
  <c r="K614" i="4"/>
  <c r="L614" i="4"/>
  <c r="M614" i="4"/>
  <c r="N614" i="4"/>
  <c r="O614" i="4"/>
  <c r="P614" i="4"/>
  <c r="Q614" i="4"/>
  <c r="R614" i="4"/>
  <c r="S614" i="4"/>
  <c r="T614" i="4"/>
  <c r="H615" i="4"/>
  <c r="I615" i="4"/>
  <c r="J615" i="4"/>
  <c r="K615" i="4"/>
  <c r="L615" i="4"/>
  <c r="M615" i="4"/>
  <c r="N615" i="4"/>
  <c r="O615" i="4"/>
  <c r="P615" i="4"/>
  <c r="Q615" i="4"/>
  <c r="R615" i="4"/>
  <c r="S615" i="4"/>
  <c r="T615" i="4"/>
  <c r="H616" i="4"/>
  <c r="I616" i="4"/>
  <c r="J616" i="4"/>
  <c r="K616" i="4"/>
  <c r="L616" i="4"/>
  <c r="M616" i="4"/>
  <c r="N616" i="4"/>
  <c r="O616" i="4"/>
  <c r="P616" i="4"/>
  <c r="Q616" i="4"/>
  <c r="R616" i="4"/>
  <c r="S616" i="4"/>
  <c r="T616" i="4"/>
  <c r="H617" i="4"/>
  <c r="I617" i="4"/>
  <c r="J617" i="4"/>
  <c r="K617" i="4"/>
  <c r="L617" i="4"/>
  <c r="M617" i="4"/>
  <c r="N617" i="4"/>
  <c r="O617" i="4"/>
  <c r="P617" i="4"/>
  <c r="Q617" i="4"/>
  <c r="R617" i="4"/>
  <c r="S617" i="4"/>
  <c r="T617" i="4"/>
  <c r="H618" i="4"/>
  <c r="I618" i="4"/>
  <c r="J618" i="4"/>
  <c r="K618" i="4"/>
  <c r="L618" i="4"/>
  <c r="M618" i="4"/>
  <c r="N618" i="4"/>
  <c r="O618" i="4"/>
  <c r="P618" i="4"/>
  <c r="Q618" i="4"/>
  <c r="R618" i="4"/>
  <c r="S618" i="4"/>
  <c r="T618" i="4"/>
  <c r="H619" i="4"/>
  <c r="I619" i="4"/>
  <c r="J619" i="4"/>
  <c r="K619" i="4"/>
  <c r="L619" i="4"/>
  <c r="M619" i="4"/>
  <c r="N619" i="4"/>
  <c r="O619" i="4"/>
  <c r="P619" i="4"/>
  <c r="Q619" i="4"/>
  <c r="R619" i="4"/>
  <c r="S619" i="4"/>
  <c r="T619" i="4"/>
  <c r="H620" i="4"/>
  <c r="I620" i="4"/>
  <c r="J620" i="4"/>
  <c r="K620" i="4"/>
  <c r="L620" i="4"/>
  <c r="M620" i="4"/>
  <c r="N620" i="4"/>
  <c r="O620" i="4"/>
  <c r="P620" i="4"/>
  <c r="Q620" i="4"/>
  <c r="R620" i="4"/>
  <c r="S620" i="4"/>
  <c r="T620" i="4"/>
  <c r="H621" i="4"/>
  <c r="I621" i="4"/>
  <c r="J621" i="4"/>
  <c r="K621" i="4"/>
  <c r="L621" i="4"/>
  <c r="M621" i="4"/>
  <c r="N621" i="4"/>
  <c r="O621" i="4"/>
  <c r="P621" i="4"/>
  <c r="Q621" i="4"/>
  <c r="R621" i="4"/>
  <c r="S621" i="4"/>
  <c r="T621" i="4"/>
  <c r="H622" i="4"/>
  <c r="I622" i="4"/>
  <c r="J622" i="4"/>
  <c r="K622" i="4"/>
  <c r="L622" i="4"/>
  <c r="M622" i="4"/>
  <c r="N622" i="4"/>
  <c r="O622" i="4"/>
  <c r="P622" i="4"/>
  <c r="Q622" i="4"/>
  <c r="R622" i="4"/>
  <c r="S622" i="4"/>
  <c r="T622" i="4"/>
  <c r="H623" i="4"/>
  <c r="I623" i="4"/>
  <c r="J623" i="4"/>
  <c r="K623" i="4"/>
  <c r="L623" i="4"/>
  <c r="M623" i="4"/>
  <c r="N623" i="4"/>
  <c r="O623" i="4"/>
  <c r="P623" i="4"/>
  <c r="Q623" i="4"/>
  <c r="R623" i="4"/>
  <c r="S623" i="4"/>
  <c r="T623" i="4"/>
  <c r="H624" i="4"/>
  <c r="I624" i="4"/>
  <c r="J624" i="4"/>
  <c r="K624" i="4"/>
  <c r="L624" i="4"/>
  <c r="M624" i="4"/>
  <c r="N624" i="4"/>
  <c r="O624" i="4"/>
  <c r="P624" i="4"/>
  <c r="Q624" i="4"/>
  <c r="R624" i="4"/>
  <c r="S624" i="4"/>
  <c r="T624" i="4"/>
  <c r="H625" i="4"/>
  <c r="I625" i="4"/>
  <c r="J625" i="4"/>
  <c r="K625" i="4"/>
  <c r="L625" i="4"/>
  <c r="M625" i="4"/>
  <c r="N625" i="4"/>
  <c r="O625" i="4"/>
  <c r="P625" i="4"/>
  <c r="Q625" i="4"/>
  <c r="R625" i="4"/>
  <c r="S625" i="4"/>
  <c r="T625" i="4"/>
  <c r="H626" i="4"/>
  <c r="I626" i="4"/>
  <c r="J626" i="4"/>
  <c r="K626" i="4"/>
  <c r="L626" i="4"/>
  <c r="M626" i="4"/>
  <c r="N626" i="4"/>
  <c r="O626" i="4"/>
  <c r="P626" i="4"/>
  <c r="Q626" i="4"/>
  <c r="R626" i="4"/>
  <c r="S626" i="4"/>
  <c r="T626" i="4"/>
  <c r="H627" i="4"/>
  <c r="I627" i="4"/>
  <c r="J627" i="4"/>
  <c r="K627" i="4"/>
  <c r="L627" i="4"/>
  <c r="M627" i="4"/>
  <c r="N627" i="4"/>
  <c r="O627" i="4"/>
  <c r="P627" i="4"/>
  <c r="Q627" i="4"/>
  <c r="R627" i="4"/>
  <c r="S627" i="4"/>
  <c r="T627" i="4"/>
  <c r="H628" i="4"/>
  <c r="I628" i="4"/>
  <c r="J628" i="4"/>
  <c r="K628" i="4"/>
  <c r="L628" i="4"/>
  <c r="M628" i="4"/>
  <c r="N628" i="4"/>
  <c r="O628" i="4"/>
  <c r="P628" i="4"/>
  <c r="Q628" i="4"/>
  <c r="R628" i="4"/>
  <c r="S628" i="4"/>
  <c r="T628" i="4"/>
  <c r="H629" i="4"/>
  <c r="I629" i="4"/>
  <c r="J629" i="4"/>
  <c r="K629" i="4"/>
  <c r="L629" i="4"/>
  <c r="M629" i="4"/>
  <c r="N629" i="4"/>
  <c r="O629" i="4"/>
  <c r="P629" i="4"/>
  <c r="Q629" i="4"/>
  <c r="R629" i="4"/>
  <c r="S629" i="4"/>
  <c r="T629" i="4"/>
  <c r="H630" i="4"/>
  <c r="I630" i="4"/>
  <c r="J630" i="4"/>
  <c r="K630" i="4"/>
  <c r="L630" i="4"/>
  <c r="M630" i="4"/>
  <c r="N630" i="4"/>
  <c r="O630" i="4"/>
  <c r="P630" i="4"/>
  <c r="Q630" i="4"/>
  <c r="R630" i="4"/>
  <c r="S630" i="4"/>
  <c r="T630" i="4"/>
  <c r="H631" i="4"/>
  <c r="I631" i="4"/>
  <c r="J631" i="4"/>
  <c r="K631" i="4"/>
  <c r="L631" i="4"/>
  <c r="M631" i="4"/>
  <c r="N631" i="4"/>
  <c r="O631" i="4"/>
  <c r="P631" i="4"/>
  <c r="Q631" i="4"/>
  <c r="R631" i="4"/>
  <c r="S631" i="4"/>
  <c r="T631" i="4"/>
  <c r="H632" i="4"/>
  <c r="I632" i="4"/>
  <c r="J632" i="4"/>
  <c r="K632" i="4"/>
  <c r="L632" i="4"/>
  <c r="M632" i="4"/>
  <c r="N632" i="4"/>
  <c r="O632" i="4"/>
  <c r="P632" i="4"/>
  <c r="Q632" i="4"/>
  <c r="R632" i="4"/>
  <c r="S632" i="4"/>
  <c r="T632" i="4"/>
  <c r="H633" i="4"/>
  <c r="I633" i="4"/>
  <c r="J633" i="4"/>
  <c r="K633" i="4"/>
  <c r="L633" i="4"/>
  <c r="M633" i="4"/>
  <c r="N633" i="4"/>
  <c r="O633" i="4"/>
  <c r="P633" i="4"/>
  <c r="Q633" i="4"/>
  <c r="R633" i="4"/>
  <c r="S633" i="4"/>
  <c r="T633" i="4"/>
  <c r="H634" i="4"/>
  <c r="I634" i="4"/>
  <c r="J634" i="4"/>
  <c r="K634" i="4"/>
  <c r="L634" i="4"/>
  <c r="M634" i="4"/>
  <c r="N634" i="4"/>
  <c r="O634" i="4"/>
  <c r="P634" i="4"/>
  <c r="Q634" i="4"/>
  <c r="R634" i="4"/>
  <c r="S634" i="4"/>
  <c r="T634" i="4"/>
  <c r="H635" i="4"/>
  <c r="I635" i="4"/>
  <c r="J635" i="4"/>
  <c r="K635" i="4"/>
  <c r="L635" i="4"/>
  <c r="M635" i="4"/>
  <c r="N635" i="4"/>
  <c r="O635" i="4"/>
  <c r="P635" i="4"/>
  <c r="Q635" i="4"/>
  <c r="R635" i="4"/>
  <c r="S635" i="4"/>
  <c r="T635" i="4"/>
  <c r="H636" i="4"/>
  <c r="I636" i="4"/>
  <c r="J636" i="4"/>
  <c r="K636" i="4"/>
  <c r="L636" i="4"/>
  <c r="M636" i="4"/>
  <c r="N636" i="4"/>
  <c r="O636" i="4"/>
  <c r="P636" i="4"/>
  <c r="Q636" i="4"/>
  <c r="R636" i="4"/>
  <c r="S636" i="4"/>
  <c r="T636" i="4"/>
  <c r="H637" i="4"/>
  <c r="I637" i="4"/>
  <c r="J637" i="4"/>
  <c r="K637" i="4"/>
  <c r="L637" i="4"/>
  <c r="M637" i="4"/>
  <c r="N637" i="4"/>
  <c r="O637" i="4"/>
  <c r="P637" i="4"/>
  <c r="Q637" i="4"/>
  <c r="R637" i="4"/>
  <c r="S637" i="4"/>
  <c r="T637" i="4"/>
  <c r="H638" i="4"/>
  <c r="I638" i="4"/>
  <c r="J638" i="4"/>
  <c r="K638" i="4"/>
  <c r="L638" i="4"/>
  <c r="M638" i="4"/>
  <c r="N638" i="4"/>
  <c r="O638" i="4"/>
  <c r="P638" i="4"/>
  <c r="Q638" i="4"/>
  <c r="R638" i="4"/>
  <c r="S638" i="4"/>
  <c r="T638" i="4"/>
  <c r="H639" i="4"/>
  <c r="I639" i="4"/>
  <c r="J639" i="4"/>
  <c r="K639" i="4"/>
  <c r="L639" i="4"/>
  <c r="M639" i="4"/>
  <c r="N639" i="4"/>
  <c r="O639" i="4"/>
  <c r="P639" i="4"/>
  <c r="Q639" i="4"/>
  <c r="R639" i="4"/>
  <c r="S639" i="4"/>
  <c r="T639" i="4"/>
  <c r="H640" i="4"/>
  <c r="I640" i="4"/>
  <c r="J640" i="4"/>
  <c r="K640" i="4"/>
  <c r="L640" i="4"/>
  <c r="M640" i="4"/>
  <c r="N640" i="4"/>
  <c r="O640" i="4"/>
  <c r="P640" i="4"/>
  <c r="Q640" i="4"/>
  <c r="R640" i="4"/>
  <c r="S640" i="4"/>
  <c r="T640" i="4"/>
  <c r="H641" i="4"/>
  <c r="I641" i="4"/>
  <c r="J641" i="4"/>
  <c r="K641" i="4"/>
  <c r="L641" i="4"/>
  <c r="M641" i="4"/>
  <c r="N641" i="4"/>
  <c r="O641" i="4"/>
  <c r="P641" i="4"/>
  <c r="Q641" i="4"/>
  <c r="R641" i="4"/>
  <c r="S641" i="4"/>
  <c r="T641" i="4"/>
  <c r="H642" i="4"/>
  <c r="I642" i="4"/>
  <c r="J642" i="4"/>
  <c r="K642" i="4"/>
  <c r="L642" i="4"/>
  <c r="M642" i="4"/>
  <c r="N642" i="4"/>
  <c r="O642" i="4"/>
  <c r="P642" i="4"/>
  <c r="Q642" i="4"/>
  <c r="R642" i="4"/>
  <c r="S642" i="4"/>
  <c r="T642" i="4"/>
  <c r="H643" i="4"/>
  <c r="I643" i="4"/>
  <c r="J643" i="4"/>
  <c r="K643" i="4"/>
  <c r="L643" i="4"/>
  <c r="M643" i="4"/>
  <c r="N643" i="4"/>
  <c r="O643" i="4"/>
  <c r="P643" i="4"/>
  <c r="Q643" i="4"/>
  <c r="R643" i="4"/>
  <c r="S643" i="4"/>
  <c r="T643" i="4"/>
  <c r="H644" i="4"/>
  <c r="I644" i="4"/>
  <c r="J644" i="4"/>
  <c r="K644" i="4"/>
  <c r="L644" i="4"/>
  <c r="M644" i="4"/>
  <c r="N644" i="4"/>
  <c r="O644" i="4"/>
  <c r="P644" i="4"/>
  <c r="Q644" i="4"/>
  <c r="R644" i="4"/>
  <c r="S644" i="4"/>
  <c r="T644" i="4"/>
  <c r="H645" i="4"/>
  <c r="I645" i="4"/>
  <c r="J645" i="4"/>
  <c r="K645" i="4"/>
  <c r="L645" i="4"/>
  <c r="M645" i="4"/>
  <c r="N645" i="4"/>
  <c r="O645" i="4"/>
  <c r="P645" i="4"/>
  <c r="Q645" i="4"/>
  <c r="R645" i="4"/>
  <c r="S645" i="4"/>
  <c r="T645" i="4"/>
  <c r="H646" i="4"/>
  <c r="I646" i="4"/>
  <c r="J646" i="4"/>
  <c r="K646" i="4"/>
  <c r="L646" i="4"/>
  <c r="M646" i="4"/>
  <c r="N646" i="4"/>
  <c r="O646" i="4"/>
  <c r="P646" i="4"/>
  <c r="Q646" i="4"/>
  <c r="R646" i="4"/>
  <c r="S646" i="4"/>
  <c r="T646" i="4"/>
  <c r="H647" i="4"/>
  <c r="I647" i="4"/>
  <c r="J647" i="4"/>
  <c r="K647" i="4"/>
  <c r="L647" i="4"/>
  <c r="M647" i="4"/>
  <c r="N647" i="4"/>
  <c r="O647" i="4"/>
  <c r="P647" i="4"/>
  <c r="Q647" i="4"/>
  <c r="R647" i="4"/>
  <c r="S647" i="4"/>
  <c r="T647" i="4"/>
  <c r="H648" i="4"/>
  <c r="I648" i="4"/>
  <c r="J648" i="4"/>
  <c r="K648" i="4"/>
  <c r="L648" i="4"/>
  <c r="M648" i="4"/>
  <c r="N648" i="4"/>
  <c r="O648" i="4"/>
  <c r="P648" i="4"/>
  <c r="Q648" i="4"/>
  <c r="R648" i="4"/>
  <c r="S648" i="4"/>
  <c r="T648" i="4"/>
  <c r="H649" i="4"/>
  <c r="I649" i="4"/>
  <c r="J649" i="4"/>
  <c r="K649" i="4"/>
  <c r="L649" i="4"/>
  <c r="M649" i="4"/>
  <c r="N649" i="4"/>
  <c r="O649" i="4"/>
  <c r="P649" i="4"/>
  <c r="Q649" i="4"/>
  <c r="R649" i="4"/>
  <c r="S649" i="4"/>
  <c r="T649" i="4"/>
  <c r="H650" i="4"/>
  <c r="I650" i="4"/>
  <c r="J650" i="4"/>
  <c r="K650" i="4"/>
  <c r="L650" i="4"/>
  <c r="M650" i="4"/>
  <c r="N650" i="4"/>
  <c r="O650" i="4"/>
  <c r="P650" i="4"/>
  <c r="Q650" i="4"/>
  <c r="R650" i="4"/>
  <c r="S650" i="4"/>
  <c r="T650" i="4"/>
  <c r="H651" i="4"/>
  <c r="I651" i="4"/>
  <c r="J651" i="4"/>
  <c r="K651" i="4"/>
  <c r="L651" i="4"/>
  <c r="M651" i="4"/>
  <c r="N651" i="4"/>
  <c r="O651" i="4"/>
  <c r="P651" i="4"/>
  <c r="Q651" i="4"/>
  <c r="R651" i="4"/>
  <c r="S651" i="4"/>
  <c r="T651" i="4"/>
  <c r="H652" i="4"/>
  <c r="I652" i="4"/>
  <c r="J652" i="4"/>
  <c r="K652" i="4"/>
  <c r="L652" i="4"/>
  <c r="M652" i="4"/>
  <c r="N652" i="4"/>
  <c r="O652" i="4"/>
  <c r="P652" i="4"/>
  <c r="Q652" i="4"/>
  <c r="R652" i="4"/>
  <c r="S652" i="4"/>
  <c r="T652" i="4"/>
  <c r="H653" i="4"/>
  <c r="I653" i="4"/>
  <c r="J653" i="4"/>
  <c r="K653" i="4"/>
  <c r="L653" i="4"/>
  <c r="M653" i="4"/>
  <c r="N653" i="4"/>
  <c r="O653" i="4"/>
  <c r="P653" i="4"/>
  <c r="Q653" i="4"/>
  <c r="R653" i="4"/>
  <c r="S653" i="4"/>
  <c r="T653" i="4"/>
  <c r="H654" i="4"/>
  <c r="I654" i="4"/>
  <c r="J654" i="4"/>
  <c r="K654" i="4"/>
  <c r="L654" i="4"/>
  <c r="M654" i="4"/>
  <c r="N654" i="4"/>
  <c r="O654" i="4"/>
  <c r="P654" i="4"/>
  <c r="Q654" i="4"/>
  <c r="R654" i="4"/>
  <c r="S654" i="4"/>
  <c r="T654" i="4"/>
  <c r="H655" i="4"/>
  <c r="I655" i="4"/>
  <c r="J655" i="4"/>
  <c r="K655" i="4"/>
  <c r="L655" i="4"/>
  <c r="M655" i="4"/>
  <c r="N655" i="4"/>
  <c r="O655" i="4"/>
  <c r="P655" i="4"/>
  <c r="Q655" i="4"/>
  <c r="R655" i="4"/>
  <c r="S655" i="4"/>
  <c r="T655" i="4"/>
  <c r="H656" i="4"/>
  <c r="I656" i="4"/>
  <c r="J656" i="4"/>
  <c r="K656" i="4"/>
  <c r="L656" i="4"/>
  <c r="M656" i="4"/>
  <c r="N656" i="4"/>
  <c r="O656" i="4"/>
  <c r="P656" i="4"/>
  <c r="Q656" i="4"/>
  <c r="R656" i="4"/>
  <c r="S656" i="4"/>
  <c r="T656" i="4"/>
  <c r="H657" i="4"/>
  <c r="I657" i="4"/>
  <c r="J657" i="4"/>
  <c r="K657" i="4"/>
  <c r="L657" i="4"/>
  <c r="M657" i="4"/>
  <c r="N657" i="4"/>
  <c r="O657" i="4"/>
  <c r="P657" i="4"/>
  <c r="Q657" i="4"/>
  <c r="R657" i="4"/>
  <c r="S657" i="4"/>
  <c r="T657" i="4"/>
  <c r="H658" i="4"/>
  <c r="I658" i="4"/>
  <c r="J658" i="4"/>
  <c r="K658" i="4"/>
  <c r="L658" i="4"/>
  <c r="M658" i="4"/>
  <c r="N658" i="4"/>
  <c r="O658" i="4"/>
  <c r="P658" i="4"/>
  <c r="Q658" i="4"/>
  <c r="R658" i="4"/>
  <c r="S658" i="4"/>
  <c r="T658" i="4"/>
  <c r="H659" i="4"/>
  <c r="I659" i="4"/>
  <c r="J659" i="4"/>
  <c r="K659" i="4"/>
  <c r="L659" i="4"/>
  <c r="M659" i="4"/>
  <c r="N659" i="4"/>
  <c r="O659" i="4"/>
  <c r="P659" i="4"/>
  <c r="Q659" i="4"/>
  <c r="R659" i="4"/>
  <c r="S659" i="4"/>
  <c r="T659" i="4"/>
  <c r="H660" i="4"/>
  <c r="I660" i="4"/>
  <c r="J660" i="4"/>
  <c r="K660" i="4"/>
  <c r="L660" i="4"/>
  <c r="M660" i="4"/>
  <c r="N660" i="4"/>
  <c r="O660" i="4"/>
  <c r="P660" i="4"/>
  <c r="Q660" i="4"/>
  <c r="R660" i="4"/>
  <c r="S660" i="4"/>
  <c r="T660" i="4"/>
  <c r="H661" i="4"/>
  <c r="I661" i="4"/>
  <c r="J661" i="4"/>
  <c r="K661" i="4"/>
  <c r="L661" i="4"/>
  <c r="M661" i="4"/>
  <c r="N661" i="4"/>
  <c r="O661" i="4"/>
  <c r="P661" i="4"/>
  <c r="Q661" i="4"/>
  <c r="R661" i="4"/>
  <c r="S661" i="4"/>
  <c r="T661" i="4"/>
  <c r="H662" i="4"/>
  <c r="I662" i="4"/>
  <c r="J662" i="4"/>
  <c r="K662" i="4"/>
  <c r="L662" i="4"/>
  <c r="M662" i="4"/>
  <c r="N662" i="4"/>
  <c r="O662" i="4"/>
  <c r="P662" i="4"/>
  <c r="Q662" i="4"/>
  <c r="R662" i="4"/>
  <c r="S662" i="4"/>
  <c r="T662" i="4"/>
  <c r="H663" i="4"/>
  <c r="I663" i="4"/>
  <c r="J663" i="4"/>
  <c r="K663" i="4"/>
  <c r="L663" i="4"/>
  <c r="M663" i="4"/>
  <c r="N663" i="4"/>
  <c r="O663" i="4"/>
  <c r="P663" i="4"/>
  <c r="Q663" i="4"/>
  <c r="R663" i="4"/>
  <c r="S663" i="4"/>
  <c r="T663" i="4"/>
  <c r="H664" i="4"/>
  <c r="I664" i="4"/>
  <c r="J664" i="4"/>
  <c r="K664" i="4"/>
  <c r="L664" i="4"/>
  <c r="M664" i="4"/>
  <c r="N664" i="4"/>
  <c r="O664" i="4"/>
  <c r="P664" i="4"/>
  <c r="Q664" i="4"/>
  <c r="R664" i="4"/>
  <c r="S664" i="4"/>
  <c r="T664" i="4"/>
  <c r="H665" i="4"/>
  <c r="I665" i="4"/>
  <c r="J665" i="4"/>
  <c r="K665" i="4"/>
  <c r="L665" i="4"/>
  <c r="M665" i="4"/>
  <c r="N665" i="4"/>
  <c r="O665" i="4"/>
  <c r="P665" i="4"/>
  <c r="Q665" i="4"/>
  <c r="R665" i="4"/>
  <c r="S665" i="4"/>
  <c r="T665" i="4"/>
  <c r="H666" i="4"/>
  <c r="I666" i="4"/>
  <c r="J666" i="4"/>
  <c r="K666" i="4"/>
  <c r="L666" i="4"/>
  <c r="M666" i="4"/>
  <c r="N666" i="4"/>
  <c r="O666" i="4"/>
  <c r="P666" i="4"/>
  <c r="Q666" i="4"/>
  <c r="R666" i="4"/>
  <c r="S666" i="4"/>
  <c r="T666" i="4"/>
  <c r="H667" i="4"/>
  <c r="I667" i="4"/>
  <c r="J667" i="4"/>
  <c r="K667" i="4"/>
  <c r="L667" i="4"/>
  <c r="M667" i="4"/>
  <c r="N667" i="4"/>
  <c r="O667" i="4"/>
  <c r="P667" i="4"/>
  <c r="Q667" i="4"/>
  <c r="R667" i="4"/>
  <c r="S667" i="4"/>
  <c r="T667" i="4"/>
  <c r="H668" i="4"/>
  <c r="I668" i="4"/>
  <c r="J668" i="4"/>
  <c r="K668" i="4"/>
  <c r="L668" i="4"/>
  <c r="M668" i="4"/>
  <c r="N668" i="4"/>
  <c r="O668" i="4"/>
  <c r="P668" i="4"/>
  <c r="Q668" i="4"/>
  <c r="R668" i="4"/>
  <c r="S668" i="4"/>
  <c r="T668" i="4"/>
  <c r="H669" i="4"/>
  <c r="I669" i="4"/>
  <c r="J669" i="4"/>
  <c r="K669" i="4"/>
  <c r="L669" i="4"/>
  <c r="M669" i="4"/>
  <c r="N669" i="4"/>
  <c r="O669" i="4"/>
  <c r="P669" i="4"/>
  <c r="Q669" i="4"/>
  <c r="R669" i="4"/>
  <c r="S669" i="4"/>
  <c r="T669" i="4"/>
  <c r="H670" i="4"/>
  <c r="I670" i="4"/>
  <c r="J670" i="4"/>
  <c r="K670" i="4"/>
  <c r="L670" i="4"/>
  <c r="M670" i="4"/>
  <c r="N670" i="4"/>
  <c r="O670" i="4"/>
  <c r="P670" i="4"/>
  <c r="Q670" i="4"/>
  <c r="R670" i="4"/>
  <c r="S670" i="4"/>
  <c r="T670" i="4"/>
  <c r="H671" i="4"/>
  <c r="I671" i="4"/>
  <c r="J671" i="4"/>
  <c r="K671" i="4"/>
  <c r="L671" i="4"/>
  <c r="M671" i="4"/>
  <c r="N671" i="4"/>
  <c r="O671" i="4"/>
  <c r="P671" i="4"/>
  <c r="Q671" i="4"/>
  <c r="R671" i="4"/>
  <c r="S671" i="4"/>
  <c r="T671" i="4"/>
  <c r="H672" i="4"/>
  <c r="I672" i="4"/>
  <c r="J672" i="4"/>
  <c r="K672" i="4"/>
  <c r="L672" i="4"/>
  <c r="M672" i="4"/>
  <c r="N672" i="4"/>
  <c r="O672" i="4"/>
  <c r="P672" i="4"/>
  <c r="Q672" i="4"/>
  <c r="R672" i="4"/>
  <c r="S672" i="4"/>
  <c r="T672" i="4"/>
  <c r="H673" i="4"/>
  <c r="I673" i="4"/>
  <c r="J673" i="4"/>
  <c r="K673" i="4"/>
  <c r="L673" i="4"/>
  <c r="M673" i="4"/>
  <c r="N673" i="4"/>
  <c r="O673" i="4"/>
  <c r="P673" i="4"/>
  <c r="Q673" i="4"/>
  <c r="R673" i="4"/>
  <c r="S673" i="4"/>
  <c r="T673" i="4"/>
  <c r="H674" i="4"/>
  <c r="I674" i="4"/>
  <c r="J674" i="4"/>
  <c r="K674" i="4"/>
  <c r="L674" i="4"/>
  <c r="M674" i="4"/>
  <c r="N674" i="4"/>
  <c r="O674" i="4"/>
  <c r="P674" i="4"/>
  <c r="Q674" i="4"/>
  <c r="R674" i="4"/>
  <c r="S674" i="4"/>
  <c r="T674" i="4"/>
  <c r="H675" i="4"/>
  <c r="I675" i="4"/>
  <c r="J675" i="4"/>
  <c r="K675" i="4"/>
  <c r="L675" i="4"/>
  <c r="M675" i="4"/>
  <c r="N675" i="4"/>
  <c r="O675" i="4"/>
  <c r="P675" i="4"/>
  <c r="Q675" i="4"/>
  <c r="R675" i="4"/>
  <c r="S675" i="4"/>
  <c r="T675" i="4"/>
  <c r="H676" i="4"/>
  <c r="I676" i="4"/>
  <c r="J676" i="4"/>
  <c r="K676" i="4"/>
  <c r="L676" i="4"/>
  <c r="M676" i="4"/>
  <c r="N676" i="4"/>
  <c r="O676" i="4"/>
  <c r="P676" i="4"/>
  <c r="Q676" i="4"/>
  <c r="R676" i="4"/>
  <c r="S676" i="4"/>
  <c r="T676" i="4"/>
  <c r="H677" i="4"/>
  <c r="I677" i="4"/>
  <c r="J677" i="4"/>
  <c r="K677" i="4"/>
  <c r="L677" i="4"/>
  <c r="M677" i="4"/>
  <c r="N677" i="4"/>
  <c r="O677" i="4"/>
  <c r="P677" i="4"/>
  <c r="Q677" i="4"/>
  <c r="R677" i="4"/>
  <c r="S677" i="4"/>
  <c r="T677" i="4"/>
  <c r="H678" i="4"/>
  <c r="I678" i="4"/>
  <c r="J678" i="4"/>
  <c r="K678" i="4"/>
  <c r="L678" i="4"/>
  <c r="M678" i="4"/>
  <c r="N678" i="4"/>
  <c r="O678" i="4"/>
  <c r="P678" i="4"/>
  <c r="Q678" i="4"/>
  <c r="R678" i="4"/>
  <c r="S678" i="4"/>
  <c r="T678" i="4"/>
  <c r="H679" i="4"/>
  <c r="I679" i="4"/>
  <c r="J679" i="4"/>
  <c r="K679" i="4"/>
  <c r="L679" i="4"/>
  <c r="M679" i="4"/>
  <c r="N679" i="4"/>
  <c r="O679" i="4"/>
  <c r="P679" i="4"/>
  <c r="Q679" i="4"/>
  <c r="R679" i="4"/>
  <c r="S679" i="4"/>
  <c r="T679" i="4"/>
  <c r="H680" i="4"/>
  <c r="I680" i="4"/>
  <c r="J680" i="4"/>
  <c r="K680" i="4"/>
  <c r="L680" i="4"/>
  <c r="M680" i="4"/>
  <c r="N680" i="4"/>
  <c r="O680" i="4"/>
  <c r="P680" i="4"/>
  <c r="Q680" i="4"/>
  <c r="R680" i="4"/>
  <c r="S680" i="4"/>
  <c r="T680" i="4"/>
  <c r="H681" i="4"/>
  <c r="I681" i="4"/>
  <c r="J681" i="4"/>
  <c r="K681" i="4"/>
  <c r="L681" i="4"/>
  <c r="M681" i="4"/>
  <c r="N681" i="4"/>
  <c r="O681" i="4"/>
  <c r="P681" i="4"/>
  <c r="Q681" i="4"/>
  <c r="R681" i="4"/>
  <c r="S681" i="4"/>
  <c r="T681" i="4"/>
  <c r="H682" i="4"/>
  <c r="I682" i="4"/>
  <c r="J682" i="4"/>
  <c r="K682" i="4"/>
  <c r="L682" i="4"/>
  <c r="M682" i="4"/>
  <c r="N682" i="4"/>
  <c r="O682" i="4"/>
  <c r="P682" i="4"/>
  <c r="Q682" i="4"/>
  <c r="R682" i="4"/>
  <c r="S682" i="4"/>
  <c r="T682" i="4"/>
  <c r="H683" i="4"/>
  <c r="I683" i="4"/>
  <c r="J683" i="4"/>
  <c r="K683" i="4"/>
  <c r="L683" i="4"/>
  <c r="M683" i="4"/>
  <c r="N683" i="4"/>
  <c r="O683" i="4"/>
  <c r="P683" i="4"/>
  <c r="Q683" i="4"/>
  <c r="R683" i="4"/>
  <c r="S683" i="4"/>
  <c r="T683" i="4"/>
  <c r="H684" i="4"/>
  <c r="I684" i="4"/>
  <c r="J684" i="4"/>
  <c r="K684" i="4"/>
  <c r="L684" i="4"/>
  <c r="M684" i="4"/>
  <c r="N684" i="4"/>
  <c r="O684" i="4"/>
  <c r="P684" i="4"/>
  <c r="Q684" i="4"/>
  <c r="R684" i="4"/>
  <c r="S684" i="4"/>
  <c r="T684" i="4"/>
  <c r="H685" i="4"/>
  <c r="I685" i="4"/>
  <c r="J685" i="4"/>
  <c r="K685" i="4"/>
  <c r="L685" i="4"/>
  <c r="M685" i="4"/>
  <c r="N685" i="4"/>
  <c r="O685" i="4"/>
  <c r="P685" i="4"/>
  <c r="Q685" i="4"/>
  <c r="R685" i="4"/>
  <c r="S685" i="4"/>
  <c r="T685" i="4"/>
  <c r="H686" i="4"/>
  <c r="I686" i="4"/>
  <c r="J686" i="4"/>
  <c r="K686" i="4"/>
  <c r="L686" i="4"/>
  <c r="M686" i="4"/>
  <c r="N686" i="4"/>
  <c r="O686" i="4"/>
  <c r="P686" i="4"/>
  <c r="Q686" i="4"/>
  <c r="R686" i="4"/>
  <c r="S686" i="4"/>
  <c r="T686" i="4"/>
  <c r="H687" i="4"/>
  <c r="I687" i="4"/>
  <c r="J687" i="4"/>
  <c r="K687" i="4"/>
  <c r="L687" i="4"/>
  <c r="M687" i="4"/>
  <c r="N687" i="4"/>
  <c r="O687" i="4"/>
  <c r="P687" i="4"/>
  <c r="Q687" i="4"/>
  <c r="R687" i="4"/>
  <c r="S687" i="4"/>
  <c r="T687" i="4"/>
  <c r="H688" i="4"/>
  <c r="I688" i="4"/>
  <c r="J688" i="4"/>
  <c r="K688" i="4"/>
  <c r="L688" i="4"/>
  <c r="M688" i="4"/>
  <c r="N688" i="4"/>
  <c r="O688" i="4"/>
  <c r="P688" i="4"/>
  <c r="Q688" i="4"/>
  <c r="R688" i="4"/>
  <c r="S688" i="4"/>
  <c r="T688" i="4"/>
  <c r="H689" i="4"/>
  <c r="I689" i="4"/>
  <c r="J689" i="4"/>
  <c r="K689" i="4"/>
  <c r="L689" i="4"/>
  <c r="M689" i="4"/>
  <c r="N689" i="4"/>
  <c r="O689" i="4"/>
  <c r="P689" i="4"/>
  <c r="Q689" i="4"/>
  <c r="R689" i="4"/>
  <c r="S689" i="4"/>
  <c r="T689" i="4"/>
  <c r="H690" i="4"/>
  <c r="I690" i="4"/>
  <c r="J690" i="4"/>
  <c r="K690" i="4"/>
  <c r="L690" i="4"/>
  <c r="M690" i="4"/>
  <c r="N690" i="4"/>
  <c r="O690" i="4"/>
  <c r="P690" i="4"/>
  <c r="Q690" i="4"/>
  <c r="R690" i="4"/>
  <c r="S690" i="4"/>
  <c r="T690" i="4"/>
  <c r="H691" i="4"/>
  <c r="I691" i="4"/>
  <c r="J691" i="4"/>
  <c r="K691" i="4"/>
  <c r="L691" i="4"/>
  <c r="M691" i="4"/>
  <c r="N691" i="4"/>
  <c r="O691" i="4"/>
  <c r="P691" i="4"/>
  <c r="Q691" i="4"/>
  <c r="R691" i="4"/>
  <c r="S691" i="4"/>
  <c r="T691" i="4"/>
  <c r="H692" i="4"/>
  <c r="I692" i="4"/>
  <c r="J692" i="4"/>
  <c r="K692" i="4"/>
  <c r="L692" i="4"/>
  <c r="M692" i="4"/>
  <c r="N692" i="4"/>
  <c r="O692" i="4"/>
  <c r="P692" i="4"/>
  <c r="Q692" i="4"/>
  <c r="R692" i="4"/>
  <c r="S692" i="4"/>
  <c r="T692" i="4"/>
  <c r="H693" i="4"/>
  <c r="I693" i="4"/>
  <c r="J693" i="4"/>
  <c r="K693" i="4"/>
  <c r="L693" i="4"/>
  <c r="M693" i="4"/>
  <c r="N693" i="4"/>
  <c r="O693" i="4"/>
  <c r="P693" i="4"/>
  <c r="Q693" i="4"/>
  <c r="R693" i="4"/>
  <c r="S693" i="4"/>
  <c r="T693" i="4"/>
  <c r="H694" i="4"/>
  <c r="I694" i="4"/>
  <c r="J694" i="4"/>
  <c r="K694" i="4"/>
  <c r="L694" i="4"/>
  <c r="M694" i="4"/>
  <c r="N694" i="4"/>
  <c r="O694" i="4"/>
  <c r="P694" i="4"/>
  <c r="Q694" i="4"/>
  <c r="R694" i="4"/>
  <c r="S694" i="4"/>
  <c r="T694" i="4"/>
  <c r="H695" i="4"/>
  <c r="I695" i="4"/>
  <c r="J695" i="4"/>
  <c r="K695" i="4"/>
  <c r="L695" i="4"/>
  <c r="M695" i="4"/>
  <c r="N695" i="4"/>
  <c r="O695" i="4"/>
  <c r="P695" i="4"/>
  <c r="Q695" i="4"/>
  <c r="R695" i="4"/>
  <c r="S695" i="4"/>
  <c r="T695" i="4"/>
  <c r="H696" i="4"/>
  <c r="I696" i="4"/>
  <c r="J696" i="4"/>
  <c r="K696" i="4"/>
  <c r="L696" i="4"/>
  <c r="M696" i="4"/>
  <c r="N696" i="4"/>
  <c r="O696" i="4"/>
  <c r="P696" i="4"/>
  <c r="Q696" i="4"/>
  <c r="R696" i="4"/>
  <c r="S696" i="4"/>
  <c r="T696" i="4"/>
  <c r="H697" i="4"/>
  <c r="I697" i="4"/>
  <c r="J697" i="4"/>
  <c r="K697" i="4"/>
  <c r="L697" i="4"/>
  <c r="M697" i="4"/>
  <c r="N697" i="4"/>
  <c r="O697" i="4"/>
  <c r="P697" i="4"/>
  <c r="Q697" i="4"/>
  <c r="R697" i="4"/>
  <c r="S697" i="4"/>
  <c r="T697" i="4"/>
  <c r="H698" i="4"/>
  <c r="I698" i="4"/>
  <c r="J698" i="4"/>
  <c r="K698" i="4"/>
  <c r="L698" i="4"/>
  <c r="M698" i="4"/>
  <c r="N698" i="4"/>
  <c r="O698" i="4"/>
  <c r="P698" i="4"/>
  <c r="Q698" i="4"/>
  <c r="R698" i="4"/>
  <c r="S698" i="4"/>
  <c r="T698" i="4"/>
  <c r="H699" i="4"/>
  <c r="I699" i="4"/>
  <c r="J699" i="4"/>
  <c r="K699" i="4"/>
  <c r="L699" i="4"/>
  <c r="M699" i="4"/>
  <c r="N699" i="4"/>
  <c r="O699" i="4"/>
  <c r="P699" i="4"/>
  <c r="Q699" i="4"/>
  <c r="R699" i="4"/>
  <c r="S699" i="4"/>
  <c r="T699" i="4"/>
  <c r="H700" i="4"/>
  <c r="I700" i="4"/>
  <c r="J700" i="4"/>
  <c r="K700" i="4"/>
  <c r="L700" i="4"/>
  <c r="M700" i="4"/>
  <c r="N700" i="4"/>
  <c r="O700" i="4"/>
  <c r="P700" i="4"/>
  <c r="Q700" i="4"/>
  <c r="R700" i="4"/>
  <c r="S700" i="4"/>
  <c r="T700" i="4"/>
  <c r="H701" i="4"/>
  <c r="I701" i="4"/>
  <c r="J701" i="4"/>
  <c r="K701" i="4"/>
  <c r="L701" i="4"/>
  <c r="M701" i="4"/>
  <c r="N701" i="4"/>
  <c r="O701" i="4"/>
  <c r="P701" i="4"/>
  <c r="Q701" i="4"/>
  <c r="R701" i="4"/>
  <c r="S701" i="4"/>
  <c r="T701" i="4"/>
  <c r="H702" i="4"/>
  <c r="I702" i="4"/>
  <c r="J702" i="4"/>
  <c r="K702" i="4"/>
  <c r="L702" i="4"/>
  <c r="M702" i="4"/>
  <c r="N702" i="4"/>
  <c r="O702" i="4"/>
  <c r="P702" i="4"/>
  <c r="Q702" i="4"/>
  <c r="R702" i="4"/>
  <c r="S702" i="4"/>
  <c r="T702" i="4"/>
  <c r="H703" i="4"/>
  <c r="I703" i="4"/>
  <c r="J703" i="4"/>
  <c r="K703" i="4"/>
  <c r="L703" i="4"/>
  <c r="M703" i="4"/>
  <c r="N703" i="4"/>
  <c r="O703" i="4"/>
  <c r="P703" i="4"/>
  <c r="Q703" i="4"/>
  <c r="R703" i="4"/>
  <c r="S703" i="4"/>
  <c r="T703" i="4"/>
  <c r="H704" i="4"/>
  <c r="I704" i="4"/>
  <c r="J704" i="4"/>
  <c r="K704" i="4"/>
  <c r="L704" i="4"/>
  <c r="M704" i="4"/>
  <c r="N704" i="4"/>
  <c r="O704" i="4"/>
  <c r="P704" i="4"/>
  <c r="Q704" i="4"/>
  <c r="R704" i="4"/>
  <c r="S704" i="4"/>
  <c r="T704" i="4"/>
  <c r="H705" i="4"/>
  <c r="I705" i="4"/>
  <c r="J705" i="4"/>
  <c r="K705" i="4"/>
  <c r="L705" i="4"/>
  <c r="M705" i="4"/>
  <c r="N705" i="4"/>
  <c r="O705" i="4"/>
  <c r="P705" i="4"/>
  <c r="Q705" i="4"/>
  <c r="R705" i="4"/>
  <c r="S705" i="4"/>
  <c r="T705" i="4"/>
  <c r="H706" i="4"/>
  <c r="I706" i="4"/>
  <c r="J706" i="4"/>
  <c r="K706" i="4"/>
  <c r="L706" i="4"/>
  <c r="M706" i="4"/>
  <c r="N706" i="4"/>
  <c r="O706" i="4"/>
  <c r="P706" i="4"/>
  <c r="Q706" i="4"/>
  <c r="R706" i="4"/>
  <c r="S706" i="4"/>
  <c r="T706" i="4"/>
  <c r="H707" i="4"/>
  <c r="I707" i="4"/>
  <c r="J707" i="4"/>
  <c r="K707" i="4"/>
  <c r="L707" i="4"/>
  <c r="M707" i="4"/>
  <c r="N707" i="4"/>
  <c r="O707" i="4"/>
  <c r="P707" i="4"/>
  <c r="Q707" i="4"/>
  <c r="R707" i="4"/>
  <c r="S707" i="4"/>
  <c r="T707" i="4"/>
  <c r="H708" i="4"/>
  <c r="I708" i="4"/>
  <c r="J708" i="4"/>
  <c r="K708" i="4"/>
  <c r="L708" i="4"/>
  <c r="M708" i="4"/>
  <c r="N708" i="4"/>
  <c r="O708" i="4"/>
  <c r="P708" i="4"/>
  <c r="Q708" i="4"/>
  <c r="R708" i="4"/>
  <c r="S708" i="4"/>
  <c r="T708" i="4"/>
  <c r="H709" i="4"/>
  <c r="I709" i="4"/>
  <c r="J709" i="4"/>
  <c r="K709" i="4"/>
  <c r="L709" i="4"/>
  <c r="M709" i="4"/>
  <c r="N709" i="4"/>
  <c r="O709" i="4"/>
  <c r="P709" i="4"/>
  <c r="Q709" i="4"/>
  <c r="R709" i="4"/>
  <c r="S709" i="4"/>
  <c r="T709" i="4"/>
  <c r="H710" i="4"/>
  <c r="I710" i="4"/>
  <c r="J710" i="4"/>
  <c r="K710" i="4"/>
  <c r="L710" i="4"/>
  <c r="M710" i="4"/>
  <c r="N710" i="4"/>
  <c r="O710" i="4"/>
  <c r="P710" i="4"/>
  <c r="Q710" i="4"/>
  <c r="R710" i="4"/>
  <c r="S710" i="4"/>
  <c r="T710" i="4"/>
  <c r="H711" i="4"/>
  <c r="I711" i="4"/>
  <c r="J711" i="4"/>
  <c r="K711" i="4"/>
  <c r="L711" i="4"/>
  <c r="M711" i="4"/>
  <c r="N711" i="4"/>
  <c r="O711" i="4"/>
  <c r="P711" i="4"/>
  <c r="Q711" i="4"/>
  <c r="R711" i="4"/>
  <c r="S711" i="4"/>
  <c r="T711" i="4"/>
  <c r="H712" i="4"/>
  <c r="I712" i="4"/>
  <c r="J712" i="4"/>
  <c r="K712" i="4"/>
  <c r="L712" i="4"/>
  <c r="M712" i="4"/>
  <c r="N712" i="4"/>
  <c r="O712" i="4"/>
  <c r="P712" i="4"/>
  <c r="Q712" i="4"/>
  <c r="R712" i="4"/>
  <c r="S712" i="4"/>
  <c r="T712" i="4"/>
  <c r="H713" i="4"/>
  <c r="I713" i="4"/>
  <c r="J713" i="4"/>
  <c r="K713" i="4"/>
  <c r="L713" i="4"/>
  <c r="M713" i="4"/>
  <c r="N713" i="4"/>
  <c r="O713" i="4"/>
  <c r="P713" i="4"/>
  <c r="Q713" i="4"/>
  <c r="R713" i="4"/>
  <c r="S713" i="4"/>
  <c r="T713" i="4"/>
  <c r="H714" i="4"/>
  <c r="I714" i="4"/>
  <c r="J714" i="4"/>
  <c r="K714" i="4"/>
  <c r="L714" i="4"/>
  <c r="M714" i="4"/>
  <c r="N714" i="4"/>
  <c r="O714" i="4"/>
  <c r="P714" i="4"/>
  <c r="Q714" i="4"/>
  <c r="R714" i="4"/>
  <c r="S714" i="4"/>
  <c r="T714" i="4"/>
  <c r="H715" i="4"/>
  <c r="I715" i="4"/>
  <c r="J715" i="4"/>
  <c r="K715" i="4"/>
  <c r="L715" i="4"/>
  <c r="M715" i="4"/>
  <c r="N715" i="4"/>
  <c r="O715" i="4"/>
  <c r="P715" i="4"/>
  <c r="Q715" i="4"/>
  <c r="R715" i="4"/>
  <c r="S715" i="4"/>
  <c r="T715" i="4"/>
  <c r="H716" i="4"/>
  <c r="I716" i="4"/>
  <c r="J716" i="4"/>
  <c r="K716" i="4"/>
  <c r="L716" i="4"/>
  <c r="M716" i="4"/>
  <c r="N716" i="4"/>
  <c r="O716" i="4"/>
  <c r="P716" i="4"/>
  <c r="Q716" i="4"/>
  <c r="R716" i="4"/>
  <c r="S716" i="4"/>
  <c r="T716" i="4"/>
  <c r="H717" i="4"/>
  <c r="I717" i="4"/>
  <c r="J717" i="4"/>
  <c r="K717" i="4"/>
  <c r="L717" i="4"/>
  <c r="M717" i="4"/>
  <c r="N717" i="4"/>
  <c r="O717" i="4"/>
  <c r="P717" i="4"/>
  <c r="Q717" i="4"/>
  <c r="R717" i="4"/>
  <c r="S717" i="4"/>
  <c r="T717" i="4"/>
  <c r="H718" i="4"/>
  <c r="I718" i="4"/>
  <c r="J718" i="4"/>
  <c r="K718" i="4"/>
  <c r="L718" i="4"/>
  <c r="M718" i="4"/>
  <c r="N718" i="4"/>
  <c r="O718" i="4"/>
  <c r="P718" i="4"/>
  <c r="Q718" i="4"/>
  <c r="R718" i="4"/>
  <c r="S718" i="4"/>
  <c r="T718" i="4"/>
  <c r="H719" i="4"/>
  <c r="I719" i="4"/>
  <c r="J719" i="4"/>
  <c r="K719" i="4"/>
  <c r="L719" i="4"/>
  <c r="M719" i="4"/>
  <c r="N719" i="4"/>
  <c r="O719" i="4"/>
  <c r="P719" i="4"/>
  <c r="Q719" i="4"/>
  <c r="R719" i="4"/>
  <c r="S719" i="4"/>
  <c r="T719" i="4"/>
  <c r="H720" i="4"/>
  <c r="I720" i="4"/>
  <c r="J720" i="4"/>
  <c r="K720" i="4"/>
  <c r="L720" i="4"/>
  <c r="M720" i="4"/>
  <c r="N720" i="4"/>
  <c r="O720" i="4"/>
  <c r="P720" i="4"/>
  <c r="Q720" i="4"/>
  <c r="R720" i="4"/>
  <c r="S720" i="4"/>
  <c r="T720" i="4"/>
  <c r="H721" i="4"/>
  <c r="I721" i="4"/>
  <c r="J721" i="4"/>
  <c r="K721" i="4"/>
  <c r="L721" i="4"/>
  <c r="M721" i="4"/>
  <c r="N721" i="4"/>
  <c r="O721" i="4"/>
  <c r="P721" i="4"/>
  <c r="Q721" i="4"/>
  <c r="R721" i="4"/>
  <c r="S721" i="4"/>
  <c r="T721" i="4"/>
  <c r="H722" i="4"/>
  <c r="I722" i="4"/>
  <c r="J722" i="4"/>
  <c r="K722" i="4"/>
  <c r="L722" i="4"/>
  <c r="M722" i="4"/>
  <c r="N722" i="4"/>
  <c r="O722" i="4"/>
  <c r="P722" i="4"/>
  <c r="Q722" i="4"/>
  <c r="R722" i="4"/>
  <c r="S722" i="4"/>
  <c r="T722" i="4"/>
  <c r="H723" i="4"/>
  <c r="I723" i="4"/>
  <c r="J723" i="4"/>
  <c r="K723" i="4"/>
  <c r="L723" i="4"/>
  <c r="M723" i="4"/>
  <c r="N723" i="4"/>
  <c r="O723" i="4"/>
  <c r="P723" i="4"/>
  <c r="Q723" i="4"/>
  <c r="R723" i="4"/>
  <c r="S723" i="4"/>
  <c r="T723" i="4"/>
  <c r="H724" i="4"/>
  <c r="I724" i="4"/>
  <c r="J724" i="4"/>
  <c r="K724" i="4"/>
  <c r="L724" i="4"/>
  <c r="M724" i="4"/>
  <c r="N724" i="4"/>
  <c r="O724" i="4"/>
  <c r="P724" i="4"/>
  <c r="Q724" i="4"/>
  <c r="R724" i="4"/>
  <c r="S724" i="4"/>
  <c r="T724" i="4"/>
  <c r="H725" i="4"/>
  <c r="I725" i="4"/>
  <c r="J725" i="4"/>
  <c r="K725" i="4"/>
  <c r="L725" i="4"/>
  <c r="M725" i="4"/>
  <c r="N725" i="4"/>
  <c r="O725" i="4"/>
  <c r="P725" i="4"/>
  <c r="Q725" i="4"/>
  <c r="R725" i="4"/>
  <c r="S725" i="4"/>
  <c r="T725" i="4"/>
  <c r="H726" i="4"/>
  <c r="I726" i="4"/>
  <c r="J726" i="4"/>
  <c r="K726" i="4"/>
  <c r="L726" i="4"/>
  <c r="M726" i="4"/>
  <c r="N726" i="4"/>
  <c r="O726" i="4"/>
  <c r="P726" i="4"/>
  <c r="Q726" i="4"/>
  <c r="R726" i="4"/>
  <c r="S726" i="4"/>
  <c r="T726" i="4"/>
  <c r="H727" i="4"/>
  <c r="I727" i="4"/>
  <c r="J727" i="4"/>
  <c r="K727" i="4"/>
  <c r="L727" i="4"/>
  <c r="M727" i="4"/>
  <c r="N727" i="4"/>
  <c r="O727" i="4"/>
  <c r="P727" i="4"/>
  <c r="Q727" i="4"/>
  <c r="R727" i="4"/>
  <c r="S727" i="4"/>
  <c r="T727" i="4"/>
  <c r="H728" i="4"/>
  <c r="I728" i="4"/>
  <c r="J728" i="4"/>
  <c r="K728" i="4"/>
  <c r="L728" i="4"/>
  <c r="M728" i="4"/>
  <c r="N728" i="4"/>
  <c r="O728" i="4"/>
  <c r="P728" i="4"/>
  <c r="Q728" i="4"/>
  <c r="R728" i="4"/>
  <c r="S728" i="4"/>
  <c r="T728" i="4"/>
  <c r="H729" i="4"/>
  <c r="I729" i="4"/>
  <c r="J729" i="4"/>
  <c r="K729" i="4"/>
  <c r="L729" i="4"/>
  <c r="M729" i="4"/>
  <c r="N729" i="4"/>
  <c r="O729" i="4"/>
  <c r="P729" i="4"/>
  <c r="Q729" i="4"/>
  <c r="R729" i="4"/>
  <c r="S729" i="4"/>
  <c r="T729" i="4"/>
  <c r="H730" i="4"/>
  <c r="I730" i="4"/>
  <c r="J730" i="4"/>
  <c r="K730" i="4"/>
  <c r="L730" i="4"/>
  <c r="M730" i="4"/>
  <c r="N730" i="4"/>
  <c r="O730" i="4"/>
  <c r="P730" i="4"/>
  <c r="Q730" i="4"/>
  <c r="R730" i="4"/>
  <c r="S730" i="4"/>
  <c r="T730" i="4"/>
  <c r="H731" i="4"/>
  <c r="I731" i="4"/>
  <c r="J731" i="4"/>
  <c r="K731" i="4"/>
  <c r="L731" i="4"/>
  <c r="M731" i="4"/>
  <c r="N731" i="4"/>
  <c r="O731" i="4"/>
  <c r="P731" i="4"/>
  <c r="Q731" i="4"/>
  <c r="R731" i="4"/>
  <c r="S731" i="4"/>
  <c r="T731" i="4"/>
  <c r="H732" i="4"/>
  <c r="I732" i="4"/>
  <c r="J732" i="4"/>
  <c r="K732" i="4"/>
  <c r="L732" i="4"/>
  <c r="M732" i="4"/>
  <c r="N732" i="4"/>
  <c r="O732" i="4"/>
  <c r="P732" i="4"/>
  <c r="Q732" i="4"/>
  <c r="R732" i="4"/>
  <c r="S732" i="4"/>
  <c r="T732" i="4"/>
  <c r="H733" i="4"/>
  <c r="I733" i="4"/>
  <c r="J733" i="4"/>
  <c r="K733" i="4"/>
  <c r="L733" i="4"/>
  <c r="M733" i="4"/>
  <c r="N733" i="4"/>
  <c r="O733" i="4"/>
  <c r="P733" i="4"/>
  <c r="Q733" i="4"/>
  <c r="R733" i="4"/>
  <c r="S733" i="4"/>
  <c r="T733" i="4"/>
  <c r="H734" i="4"/>
  <c r="I734" i="4"/>
  <c r="J734" i="4"/>
  <c r="K734" i="4"/>
  <c r="L734" i="4"/>
  <c r="M734" i="4"/>
  <c r="N734" i="4"/>
  <c r="O734" i="4"/>
  <c r="P734" i="4"/>
  <c r="Q734" i="4"/>
  <c r="R734" i="4"/>
  <c r="S734" i="4"/>
  <c r="T734" i="4"/>
  <c r="H735" i="4"/>
  <c r="I735" i="4"/>
  <c r="J735" i="4"/>
  <c r="K735" i="4"/>
  <c r="L735" i="4"/>
  <c r="M735" i="4"/>
  <c r="N735" i="4"/>
  <c r="O735" i="4"/>
  <c r="P735" i="4"/>
  <c r="Q735" i="4"/>
  <c r="R735" i="4"/>
  <c r="S735" i="4"/>
  <c r="T735" i="4"/>
  <c r="H736" i="4"/>
  <c r="I736" i="4"/>
  <c r="J736" i="4"/>
  <c r="K736" i="4"/>
  <c r="L736" i="4"/>
  <c r="M736" i="4"/>
  <c r="N736" i="4"/>
  <c r="O736" i="4"/>
  <c r="P736" i="4"/>
  <c r="Q736" i="4"/>
  <c r="R736" i="4"/>
  <c r="S736" i="4"/>
  <c r="T736" i="4"/>
  <c r="H737" i="4"/>
  <c r="I737" i="4"/>
  <c r="J737" i="4"/>
  <c r="K737" i="4"/>
  <c r="L737" i="4"/>
  <c r="M737" i="4"/>
  <c r="N737" i="4"/>
  <c r="O737" i="4"/>
  <c r="P737" i="4"/>
  <c r="Q737" i="4"/>
  <c r="R737" i="4"/>
  <c r="S737" i="4"/>
  <c r="T737" i="4"/>
  <c r="H738" i="4"/>
  <c r="I738" i="4"/>
  <c r="J738" i="4"/>
  <c r="K738" i="4"/>
  <c r="L738" i="4"/>
  <c r="M738" i="4"/>
  <c r="N738" i="4"/>
  <c r="O738" i="4"/>
  <c r="P738" i="4"/>
  <c r="Q738" i="4"/>
  <c r="R738" i="4"/>
  <c r="S738" i="4"/>
  <c r="T738" i="4"/>
  <c r="H739" i="4"/>
  <c r="I739" i="4"/>
  <c r="J739" i="4"/>
  <c r="K739" i="4"/>
  <c r="L739" i="4"/>
  <c r="M739" i="4"/>
  <c r="N739" i="4"/>
  <c r="O739" i="4"/>
  <c r="P739" i="4"/>
  <c r="Q739" i="4"/>
  <c r="R739" i="4"/>
  <c r="S739" i="4"/>
  <c r="T739" i="4"/>
  <c r="H740" i="4"/>
  <c r="I740" i="4"/>
  <c r="J740" i="4"/>
  <c r="K740" i="4"/>
  <c r="L740" i="4"/>
  <c r="M740" i="4"/>
  <c r="N740" i="4"/>
  <c r="O740" i="4"/>
  <c r="P740" i="4"/>
  <c r="Q740" i="4"/>
  <c r="R740" i="4"/>
  <c r="S740" i="4"/>
  <c r="T740" i="4"/>
  <c r="H741" i="4"/>
  <c r="I741" i="4"/>
  <c r="J741" i="4"/>
  <c r="K741" i="4"/>
  <c r="L741" i="4"/>
  <c r="M741" i="4"/>
  <c r="N741" i="4"/>
  <c r="O741" i="4"/>
  <c r="P741" i="4"/>
  <c r="Q741" i="4"/>
  <c r="R741" i="4"/>
  <c r="S741" i="4"/>
  <c r="T741" i="4"/>
  <c r="H742" i="4"/>
  <c r="I742" i="4"/>
  <c r="J742" i="4"/>
  <c r="K742" i="4"/>
  <c r="L742" i="4"/>
  <c r="M742" i="4"/>
  <c r="N742" i="4"/>
  <c r="O742" i="4"/>
  <c r="P742" i="4"/>
  <c r="Q742" i="4"/>
  <c r="R742" i="4"/>
  <c r="S742" i="4"/>
  <c r="T742" i="4"/>
  <c r="H743" i="4"/>
  <c r="I743" i="4"/>
  <c r="J743" i="4"/>
  <c r="K743" i="4"/>
  <c r="L743" i="4"/>
  <c r="M743" i="4"/>
  <c r="N743" i="4"/>
  <c r="O743" i="4"/>
  <c r="P743" i="4"/>
  <c r="Q743" i="4"/>
  <c r="R743" i="4"/>
  <c r="S743" i="4"/>
  <c r="T743" i="4"/>
  <c r="H744" i="4"/>
  <c r="I744" i="4"/>
  <c r="J744" i="4"/>
  <c r="K744" i="4"/>
  <c r="L744" i="4"/>
  <c r="M744" i="4"/>
  <c r="N744" i="4"/>
  <c r="O744" i="4"/>
  <c r="P744" i="4"/>
  <c r="Q744" i="4"/>
  <c r="R744" i="4"/>
  <c r="S744" i="4"/>
  <c r="T744" i="4"/>
  <c r="H745" i="4"/>
  <c r="I745" i="4"/>
  <c r="J745" i="4"/>
  <c r="K745" i="4"/>
  <c r="L745" i="4"/>
  <c r="M745" i="4"/>
  <c r="N745" i="4"/>
  <c r="O745" i="4"/>
  <c r="P745" i="4"/>
  <c r="Q745" i="4"/>
  <c r="R745" i="4"/>
  <c r="S745" i="4"/>
  <c r="T745" i="4"/>
  <c r="H746" i="4"/>
  <c r="I746" i="4"/>
  <c r="J746" i="4"/>
  <c r="K746" i="4"/>
  <c r="L746" i="4"/>
  <c r="M746" i="4"/>
  <c r="N746" i="4"/>
  <c r="O746" i="4"/>
  <c r="P746" i="4"/>
  <c r="Q746" i="4"/>
  <c r="R746" i="4"/>
  <c r="S746" i="4"/>
  <c r="T746" i="4"/>
  <c r="H747" i="4"/>
  <c r="I747" i="4"/>
  <c r="J747" i="4"/>
  <c r="K747" i="4"/>
  <c r="L747" i="4"/>
  <c r="M747" i="4"/>
  <c r="N747" i="4"/>
  <c r="O747" i="4"/>
  <c r="P747" i="4"/>
  <c r="Q747" i="4"/>
  <c r="R747" i="4"/>
  <c r="S747" i="4"/>
  <c r="T747" i="4"/>
  <c r="H748" i="4"/>
  <c r="I748" i="4"/>
  <c r="J748" i="4"/>
  <c r="K748" i="4"/>
  <c r="L748" i="4"/>
  <c r="M748" i="4"/>
  <c r="N748" i="4"/>
  <c r="O748" i="4"/>
  <c r="P748" i="4"/>
  <c r="Q748" i="4"/>
  <c r="R748" i="4"/>
  <c r="S748" i="4"/>
  <c r="T748" i="4"/>
  <c r="H749" i="4"/>
  <c r="I749" i="4"/>
  <c r="J749" i="4"/>
  <c r="K749" i="4"/>
  <c r="L749" i="4"/>
  <c r="M749" i="4"/>
  <c r="N749" i="4"/>
  <c r="O749" i="4"/>
  <c r="P749" i="4"/>
  <c r="Q749" i="4"/>
  <c r="R749" i="4"/>
  <c r="S749" i="4"/>
  <c r="T749" i="4"/>
  <c r="H750" i="4"/>
  <c r="I750" i="4"/>
  <c r="J750" i="4"/>
  <c r="K750" i="4"/>
  <c r="L750" i="4"/>
  <c r="M750" i="4"/>
  <c r="N750" i="4"/>
  <c r="O750" i="4"/>
  <c r="P750" i="4"/>
  <c r="Q750" i="4"/>
  <c r="R750" i="4"/>
  <c r="S750" i="4"/>
  <c r="T750" i="4"/>
  <c r="H751" i="4"/>
  <c r="I751" i="4"/>
  <c r="J751" i="4"/>
  <c r="K751" i="4"/>
  <c r="L751" i="4"/>
  <c r="M751" i="4"/>
  <c r="N751" i="4"/>
  <c r="O751" i="4"/>
  <c r="P751" i="4"/>
  <c r="Q751" i="4"/>
  <c r="R751" i="4"/>
  <c r="S751" i="4"/>
  <c r="T751" i="4"/>
  <c r="H752" i="4"/>
  <c r="I752" i="4"/>
  <c r="J752" i="4"/>
  <c r="K752" i="4"/>
  <c r="L752" i="4"/>
  <c r="M752" i="4"/>
  <c r="N752" i="4"/>
  <c r="O752" i="4"/>
  <c r="P752" i="4"/>
  <c r="Q752" i="4"/>
  <c r="R752" i="4"/>
  <c r="S752" i="4"/>
  <c r="T752" i="4"/>
  <c r="H753" i="4"/>
  <c r="I753" i="4"/>
  <c r="J753" i="4"/>
  <c r="K753" i="4"/>
  <c r="L753" i="4"/>
  <c r="M753" i="4"/>
  <c r="N753" i="4"/>
  <c r="O753" i="4"/>
  <c r="P753" i="4"/>
  <c r="Q753" i="4"/>
  <c r="R753" i="4"/>
  <c r="S753" i="4"/>
  <c r="T753" i="4"/>
  <c r="H754" i="4"/>
  <c r="I754" i="4"/>
  <c r="J754" i="4"/>
  <c r="K754" i="4"/>
  <c r="L754" i="4"/>
  <c r="M754" i="4"/>
  <c r="N754" i="4"/>
  <c r="O754" i="4"/>
  <c r="P754" i="4"/>
  <c r="Q754" i="4"/>
  <c r="R754" i="4"/>
  <c r="S754" i="4"/>
  <c r="T754" i="4"/>
  <c r="H755" i="4"/>
  <c r="I755" i="4"/>
  <c r="J755" i="4"/>
  <c r="K755" i="4"/>
  <c r="L755" i="4"/>
  <c r="M755" i="4"/>
  <c r="N755" i="4"/>
  <c r="O755" i="4"/>
  <c r="P755" i="4"/>
  <c r="Q755" i="4"/>
  <c r="R755" i="4"/>
  <c r="S755" i="4"/>
  <c r="T755" i="4"/>
  <c r="H756" i="4"/>
  <c r="I756" i="4"/>
  <c r="J756" i="4"/>
  <c r="K756" i="4"/>
  <c r="L756" i="4"/>
  <c r="M756" i="4"/>
  <c r="N756" i="4"/>
  <c r="O756" i="4"/>
  <c r="P756" i="4"/>
  <c r="Q756" i="4"/>
  <c r="R756" i="4"/>
  <c r="S756" i="4"/>
  <c r="T756" i="4"/>
  <c r="H757" i="4"/>
  <c r="I757" i="4"/>
  <c r="J757" i="4"/>
  <c r="K757" i="4"/>
  <c r="L757" i="4"/>
  <c r="M757" i="4"/>
  <c r="N757" i="4"/>
  <c r="O757" i="4"/>
  <c r="P757" i="4"/>
  <c r="Q757" i="4"/>
  <c r="R757" i="4"/>
  <c r="S757" i="4"/>
  <c r="T757" i="4"/>
  <c r="H758" i="4"/>
  <c r="I758" i="4"/>
  <c r="J758" i="4"/>
  <c r="K758" i="4"/>
  <c r="L758" i="4"/>
  <c r="M758" i="4"/>
  <c r="N758" i="4"/>
  <c r="O758" i="4"/>
  <c r="P758" i="4"/>
  <c r="Q758" i="4"/>
  <c r="R758" i="4"/>
  <c r="S758" i="4"/>
  <c r="T758" i="4"/>
  <c r="H759" i="4"/>
  <c r="I759" i="4"/>
  <c r="J759" i="4"/>
  <c r="K759" i="4"/>
  <c r="L759" i="4"/>
  <c r="M759" i="4"/>
  <c r="N759" i="4"/>
  <c r="O759" i="4"/>
  <c r="P759" i="4"/>
  <c r="Q759" i="4"/>
  <c r="R759" i="4"/>
  <c r="S759" i="4"/>
  <c r="T759" i="4"/>
  <c r="H760" i="4"/>
  <c r="I760" i="4"/>
  <c r="J760" i="4"/>
  <c r="K760" i="4"/>
  <c r="L760" i="4"/>
  <c r="M760" i="4"/>
  <c r="N760" i="4"/>
  <c r="O760" i="4"/>
  <c r="P760" i="4"/>
  <c r="Q760" i="4"/>
  <c r="R760" i="4"/>
  <c r="S760" i="4"/>
  <c r="T760" i="4"/>
  <c r="H761" i="4"/>
  <c r="I761" i="4"/>
  <c r="J761" i="4"/>
  <c r="K761" i="4"/>
  <c r="L761" i="4"/>
  <c r="M761" i="4"/>
  <c r="N761" i="4"/>
  <c r="O761" i="4"/>
  <c r="P761" i="4"/>
  <c r="Q761" i="4"/>
  <c r="R761" i="4"/>
  <c r="S761" i="4"/>
  <c r="T761" i="4"/>
  <c r="H762" i="4"/>
  <c r="I762" i="4"/>
  <c r="J762" i="4"/>
  <c r="K762" i="4"/>
  <c r="L762" i="4"/>
  <c r="M762" i="4"/>
  <c r="N762" i="4"/>
  <c r="O762" i="4"/>
  <c r="P762" i="4"/>
  <c r="Q762" i="4"/>
  <c r="R762" i="4"/>
  <c r="S762" i="4"/>
  <c r="T762" i="4"/>
  <c r="H763" i="4"/>
  <c r="I763" i="4"/>
  <c r="J763" i="4"/>
  <c r="K763" i="4"/>
  <c r="L763" i="4"/>
  <c r="M763" i="4"/>
  <c r="N763" i="4"/>
  <c r="O763" i="4"/>
  <c r="P763" i="4"/>
  <c r="Q763" i="4"/>
  <c r="R763" i="4"/>
  <c r="S763" i="4"/>
  <c r="T763" i="4"/>
  <c r="H764" i="4"/>
  <c r="I764" i="4"/>
  <c r="J764" i="4"/>
  <c r="K764" i="4"/>
  <c r="L764" i="4"/>
  <c r="M764" i="4"/>
  <c r="N764" i="4"/>
  <c r="O764" i="4"/>
  <c r="P764" i="4"/>
  <c r="Q764" i="4"/>
  <c r="R764" i="4"/>
  <c r="S764" i="4"/>
  <c r="T764" i="4"/>
  <c r="H765" i="4"/>
  <c r="I765" i="4"/>
  <c r="J765" i="4"/>
  <c r="K765" i="4"/>
  <c r="L765" i="4"/>
  <c r="M765" i="4"/>
  <c r="N765" i="4"/>
  <c r="O765" i="4"/>
  <c r="P765" i="4"/>
  <c r="Q765" i="4"/>
  <c r="R765" i="4"/>
  <c r="S765" i="4"/>
  <c r="T765" i="4"/>
  <c r="H766" i="4"/>
  <c r="I766" i="4"/>
  <c r="J766" i="4"/>
  <c r="K766" i="4"/>
  <c r="L766" i="4"/>
  <c r="M766" i="4"/>
  <c r="N766" i="4"/>
  <c r="O766" i="4"/>
  <c r="P766" i="4"/>
  <c r="Q766" i="4"/>
  <c r="R766" i="4"/>
  <c r="S766" i="4"/>
  <c r="T766" i="4"/>
  <c r="H767" i="4"/>
  <c r="I767" i="4"/>
  <c r="J767" i="4"/>
  <c r="K767" i="4"/>
  <c r="L767" i="4"/>
  <c r="M767" i="4"/>
  <c r="N767" i="4"/>
  <c r="O767" i="4"/>
  <c r="P767" i="4"/>
  <c r="Q767" i="4"/>
  <c r="R767" i="4"/>
  <c r="S767" i="4"/>
  <c r="T767" i="4"/>
  <c r="H768" i="4"/>
  <c r="I768" i="4"/>
  <c r="J768" i="4"/>
  <c r="K768" i="4"/>
  <c r="L768" i="4"/>
  <c r="M768" i="4"/>
  <c r="N768" i="4"/>
  <c r="O768" i="4"/>
  <c r="P768" i="4"/>
  <c r="Q768" i="4"/>
  <c r="R768" i="4"/>
  <c r="S768" i="4"/>
  <c r="T768" i="4"/>
  <c r="H769" i="4"/>
  <c r="I769" i="4"/>
  <c r="J769" i="4"/>
  <c r="K769" i="4"/>
  <c r="L769" i="4"/>
  <c r="M769" i="4"/>
  <c r="N769" i="4"/>
  <c r="O769" i="4"/>
  <c r="P769" i="4"/>
  <c r="Q769" i="4"/>
  <c r="R769" i="4"/>
  <c r="S769" i="4"/>
  <c r="T769" i="4"/>
  <c r="H770" i="4"/>
  <c r="I770" i="4"/>
  <c r="J770" i="4"/>
  <c r="K770" i="4"/>
  <c r="L770" i="4"/>
  <c r="M770" i="4"/>
  <c r="N770" i="4"/>
  <c r="O770" i="4"/>
  <c r="P770" i="4"/>
  <c r="Q770" i="4"/>
  <c r="R770" i="4"/>
  <c r="S770" i="4"/>
  <c r="T770" i="4"/>
  <c r="H771" i="4"/>
  <c r="I771" i="4"/>
  <c r="J771" i="4"/>
  <c r="K771" i="4"/>
  <c r="L771" i="4"/>
  <c r="M771" i="4"/>
  <c r="N771" i="4"/>
  <c r="O771" i="4"/>
  <c r="P771" i="4"/>
  <c r="Q771" i="4"/>
  <c r="R771" i="4"/>
  <c r="S771" i="4"/>
  <c r="T771" i="4"/>
  <c r="H772" i="4"/>
  <c r="I772" i="4"/>
  <c r="J772" i="4"/>
  <c r="K772" i="4"/>
  <c r="L772" i="4"/>
  <c r="M772" i="4"/>
  <c r="N772" i="4"/>
  <c r="O772" i="4"/>
  <c r="P772" i="4"/>
  <c r="Q772" i="4"/>
  <c r="R772" i="4"/>
  <c r="S772" i="4"/>
  <c r="T772" i="4"/>
  <c r="H773" i="4"/>
  <c r="I773" i="4"/>
  <c r="J773" i="4"/>
  <c r="K773" i="4"/>
  <c r="L773" i="4"/>
  <c r="M773" i="4"/>
  <c r="N773" i="4"/>
  <c r="O773" i="4"/>
  <c r="P773" i="4"/>
  <c r="Q773" i="4"/>
  <c r="R773" i="4"/>
  <c r="S773" i="4"/>
  <c r="T773" i="4"/>
  <c r="H774" i="4"/>
  <c r="I774" i="4"/>
  <c r="J774" i="4"/>
  <c r="K774" i="4"/>
  <c r="L774" i="4"/>
  <c r="M774" i="4"/>
  <c r="N774" i="4"/>
  <c r="O774" i="4"/>
  <c r="P774" i="4"/>
  <c r="Q774" i="4"/>
  <c r="R774" i="4"/>
  <c r="S774" i="4"/>
  <c r="T774" i="4"/>
  <c r="H775" i="4"/>
  <c r="I775" i="4"/>
  <c r="J775" i="4"/>
  <c r="K775" i="4"/>
  <c r="L775" i="4"/>
  <c r="M775" i="4"/>
  <c r="N775" i="4"/>
  <c r="O775" i="4"/>
  <c r="P775" i="4"/>
  <c r="Q775" i="4"/>
  <c r="R775" i="4"/>
  <c r="S775" i="4"/>
  <c r="T775" i="4"/>
  <c r="H776" i="4"/>
  <c r="I776" i="4"/>
  <c r="J776" i="4"/>
  <c r="K776" i="4"/>
  <c r="L776" i="4"/>
  <c r="M776" i="4"/>
  <c r="N776" i="4"/>
  <c r="O776" i="4"/>
  <c r="P776" i="4"/>
  <c r="Q776" i="4"/>
  <c r="R776" i="4"/>
  <c r="S776" i="4"/>
  <c r="T776" i="4"/>
  <c r="H777" i="4"/>
  <c r="I777" i="4"/>
  <c r="J777" i="4"/>
  <c r="K777" i="4"/>
  <c r="L777" i="4"/>
  <c r="M777" i="4"/>
  <c r="N777" i="4"/>
  <c r="O777" i="4"/>
  <c r="P777" i="4"/>
  <c r="Q777" i="4"/>
  <c r="R777" i="4"/>
  <c r="S777" i="4"/>
  <c r="T777" i="4"/>
  <c r="H778" i="4"/>
  <c r="I778" i="4"/>
  <c r="J778" i="4"/>
  <c r="K778" i="4"/>
  <c r="L778" i="4"/>
  <c r="M778" i="4"/>
  <c r="N778" i="4"/>
  <c r="O778" i="4"/>
  <c r="P778" i="4"/>
  <c r="Q778" i="4"/>
  <c r="R778" i="4"/>
  <c r="S778" i="4"/>
  <c r="T778" i="4"/>
  <c r="H779" i="4"/>
  <c r="I779" i="4"/>
  <c r="J779" i="4"/>
  <c r="K779" i="4"/>
  <c r="L779" i="4"/>
  <c r="M779" i="4"/>
  <c r="N779" i="4"/>
  <c r="O779" i="4"/>
  <c r="P779" i="4"/>
  <c r="Q779" i="4"/>
  <c r="R779" i="4"/>
  <c r="S779" i="4"/>
  <c r="T779" i="4"/>
  <c r="H780" i="4"/>
  <c r="I780" i="4"/>
  <c r="J780" i="4"/>
  <c r="K780" i="4"/>
  <c r="L780" i="4"/>
  <c r="M780" i="4"/>
  <c r="N780" i="4"/>
  <c r="O780" i="4"/>
  <c r="P780" i="4"/>
  <c r="Q780" i="4"/>
  <c r="R780" i="4"/>
  <c r="S780" i="4"/>
  <c r="T780" i="4"/>
  <c r="H781" i="4"/>
  <c r="I781" i="4"/>
  <c r="J781" i="4"/>
  <c r="K781" i="4"/>
  <c r="L781" i="4"/>
  <c r="M781" i="4"/>
  <c r="N781" i="4"/>
  <c r="O781" i="4"/>
  <c r="P781" i="4"/>
  <c r="Q781" i="4"/>
  <c r="R781" i="4"/>
  <c r="S781" i="4"/>
  <c r="T781" i="4"/>
  <c r="H782" i="4"/>
  <c r="I782" i="4"/>
  <c r="J782" i="4"/>
  <c r="K782" i="4"/>
  <c r="L782" i="4"/>
  <c r="M782" i="4"/>
  <c r="N782" i="4"/>
  <c r="O782" i="4"/>
  <c r="P782" i="4"/>
  <c r="Q782" i="4"/>
  <c r="R782" i="4"/>
  <c r="S782" i="4"/>
  <c r="T782" i="4"/>
  <c r="H783" i="4"/>
  <c r="I783" i="4"/>
  <c r="J783" i="4"/>
  <c r="K783" i="4"/>
  <c r="L783" i="4"/>
  <c r="M783" i="4"/>
  <c r="N783" i="4"/>
  <c r="O783" i="4"/>
  <c r="P783" i="4"/>
  <c r="Q783" i="4"/>
  <c r="R783" i="4"/>
  <c r="S783" i="4"/>
  <c r="T783" i="4"/>
  <c r="H784" i="4"/>
  <c r="I784" i="4"/>
  <c r="J784" i="4"/>
  <c r="K784" i="4"/>
  <c r="L784" i="4"/>
  <c r="M784" i="4"/>
  <c r="N784" i="4"/>
  <c r="O784" i="4"/>
  <c r="P784" i="4"/>
  <c r="Q784" i="4"/>
  <c r="R784" i="4"/>
  <c r="S784" i="4"/>
  <c r="T784" i="4"/>
  <c r="H785" i="4"/>
  <c r="I785" i="4"/>
  <c r="J785" i="4"/>
  <c r="K785" i="4"/>
  <c r="L785" i="4"/>
  <c r="M785" i="4"/>
  <c r="N785" i="4"/>
  <c r="O785" i="4"/>
  <c r="P785" i="4"/>
  <c r="Q785" i="4"/>
  <c r="R785" i="4"/>
  <c r="S785" i="4"/>
  <c r="T785" i="4"/>
  <c r="H786" i="4"/>
  <c r="I786" i="4"/>
  <c r="J786" i="4"/>
  <c r="K786" i="4"/>
  <c r="L786" i="4"/>
  <c r="M786" i="4"/>
  <c r="N786" i="4"/>
  <c r="O786" i="4"/>
  <c r="P786" i="4"/>
  <c r="Q786" i="4"/>
  <c r="R786" i="4"/>
  <c r="S786" i="4"/>
  <c r="T786" i="4"/>
  <c r="H787" i="4"/>
  <c r="I787" i="4"/>
  <c r="J787" i="4"/>
  <c r="K787" i="4"/>
  <c r="L787" i="4"/>
  <c r="M787" i="4"/>
  <c r="N787" i="4"/>
  <c r="O787" i="4"/>
  <c r="P787" i="4"/>
  <c r="Q787" i="4"/>
  <c r="R787" i="4"/>
  <c r="S787" i="4"/>
  <c r="T787" i="4"/>
  <c r="H788" i="4"/>
  <c r="I788" i="4"/>
  <c r="J788" i="4"/>
  <c r="K788" i="4"/>
  <c r="L788" i="4"/>
  <c r="M788" i="4"/>
  <c r="N788" i="4"/>
  <c r="O788" i="4"/>
  <c r="P788" i="4"/>
  <c r="Q788" i="4"/>
  <c r="R788" i="4"/>
  <c r="S788" i="4"/>
  <c r="T788" i="4"/>
  <c r="H789" i="4"/>
  <c r="I789" i="4"/>
  <c r="J789" i="4"/>
  <c r="K789" i="4"/>
  <c r="L789" i="4"/>
  <c r="M789" i="4"/>
  <c r="N789" i="4"/>
  <c r="O789" i="4"/>
  <c r="P789" i="4"/>
  <c r="Q789" i="4"/>
  <c r="R789" i="4"/>
  <c r="S789" i="4"/>
  <c r="T789" i="4"/>
  <c r="H790" i="4"/>
  <c r="I790" i="4"/>
  <c r="J790" i="4"/>
  <c r="K790" i="4"/>
  <c r="L790" i="4"/>
  <c r="M790" i="4"/>
  <c r="N790" i="4"/>
  <c r="O790" i="4"/>
  <c r="P790" i="4"/>
  <c r="Q790" i="4"/>
  <c r="R790" i="4"/>
  <c r="S790" i="4"/>
  <c r="T790" i="4"/>
  <c r="H791" i="4"/>
  <c r="I791" i="4"/>
  <c r="J791" i="4"/>
  <c r="K791" i="4"/>
  <c r="L791" i="4"/>
  <c r="M791" i="4"/>
  <c r="N791" i="4"/>
  <c r="O791" i="4"/>
  <c r="P791" i="4"/>
  <c r="Q791" i="4"/>
  <c r="R791" i="4"/>
  <c r="S791" i="4"/>
  <c r="T791" i="4"/>
  <c r="H792" i="4"/>
  <c r="I792" i="4"/>
  <c r="J792" i="4"/>
  <c r="K792" i="4"/>
  <c r="L792" i="4"/>
  <c r="M792" i="4"/>
  <c r="N792" i="4"/>
  <c r="O792" i="4"/>
  <c r="P792" i="4"/>
  <c r="Q792" i="4"/>
  <c r="R792" i="4"/>
  <c r="S792" i="4"/>
  <c r="T792" i="4"/>
  <c r="H793" i="4"/>
  <c r="I793" i="4"/>
  <c r="J793" i="4"/>
  <c r="K793" i="4"/>
  <c r="L793" i="4"/>
  <c r="M793" i="4"/>
  <c r="N793" i="4"/>
  <c r="O793" i="4"/>
  <c r="P793" i="4"/>
  <c r="Q793" i="4"/>
  <c r="R793" i="4"/>
  <c r="S793" i="4"/>
  <c r="T793" i="4"/>
  <c r="H794" i="4"/>
  <c r="I794" i="4"/>
  <c r="J794" i="4"/>
  <c r="K794" i="4"/>
  <c r="L794" i="4"/>
  <c r="M794" i="4"/>
  <c r="N794" i="4"/>
  <c r="O794" i="4"/>
  <c r="P794" i="4"/>
  <c r="Q794" i="4"/>
  <c r="R794" i="4"/>
  <c r="S794" i="4"/>
  <c r="T794" i="4"/>
  <c r="H795" i="4"/>
  <c r="I795" i="4"/>
  <c r="J795" i="4"/>
  <c r="K795" i="4"/>
  <c r="L795" i="4"/>
  <c r="M795" i="4"/>
  <c r="N795" i="4"/>
  <c r="O795" i="4"/>
  <c r="P795" i="4"/>
  <c r="Q795" i="4"/>
  <c r="R795" i="4"/>
  <c r="S795" i="4"/>
  <c r="T795" i="4"/>
  <c r="H796" i="4"/>
  <c r="I796" i="4"/>
  <c r="J796" i="4"/>
  <c r="K796" i="4"/>
  <c r="L796" i="4"/>
  <c r="M796" i="4"/>
  <c r="N796" i="4"/>
  <c r="O796" i="4"/>
  <c r="P796" i="4"/>
  <c r="Q796" i="4"/>
  <c r="R796" i="4"/>
  <c r="S796" i="4"/>
  <c r="T796" i="4"/>
  <c r="H797" i="4"/>
  <c r="I797" i="4"/>
  <c r="J797" i="4"/>
  <c r="K797" i="4"/>
  <c r="L797" i="4"/>
  <c r="M797" i="4"/>
  <c r="N797" i="4"/>
  <c r="O797" i="4"/>
  <c r="P797" i="4"/>
  <c r="Q797" i="4"/>
  <c r="R797" i="4"/>
  <c r="S797" i="4"/>
  <c r="T797" i="4"/>
  <c r="H798" i="4"/>
  <c r="I798" i="4"/>
  <c r="J798" i="4"/>
  <c r="K798" i="4"/>
  <c r="L798" i="4"/>
  <c r="M798" i="4"/>
  <c r="N798" i="4"/>
  <c r="O798" i="4"/>
  <c r="P798" i="4"/>
  <c r="Q798" i="4"/>
  <c r="R798" i="4"/>
  <c r="S798" i="4"/>
  <c r="T798" i="4"/>
  <c r="H799" i="4"/>
  <c r="I799" i="4"/>
  <c r="J799" i="4"/>
  <c r="K799" i="4"/>
  <c r="L799" i="4"/>
  <c r="M799" i="4"/>
  <c r="N799" i="4"/>
  <c r="O799" i="4"/>
  <c r="P799" i="4"/>
  <c r="Q799" i="4"/>
  <c r="R799" i="4"/>
  <c r="S799" i="4"/>
  <c r="T799" i="4"/>
  <c r="H800" i="4"/>
  <c r="I800" i="4"/>
  <c r="J800" i="4"/>
  <c r="K800" i="4"/>
  <c r="L800" i="4"/>
  <c r="M800" i="4"/>
  <c r="N800" i="4"/>
  <c r="O800" i="4"/>
  <c r="P800" i="4"/>
  <c r="Q800" i="4"/>
  <c r="R800" i="4"/>
  <c r="S800" i="4"/>
  <c r="T800" i="4"/>
  <c r="H801" i="4"/>
  <c r="I801" i="4"/>
  <c r="J801" i="4"/>
  <c r="K801" i="4"/>
  <c r="L801" i="4"/>
  <c r="M801" i="4"/>
  <c r="N801" i="4"/>
  <c r="O801" i="4"/>
  <c r="P801" i="4"/>
  <c r="Q801" i="4"/>
  <c r="R801" i="4"/>
  <c r="S801" i="4"/>
  <c r="T801" i="4"/>
  <c r="H802" i="4"/>
  <c r="I802" i="4"/>
  <c r="J802" i="4"/>
  <c r="K802" i="4"/>
  <c r="L802" i="4"/>
  <c r="M802" i="4"/>
  <c r="N802" i="4"/>
  <c r="O802" i="4"/>
  <c r="P802" i="4"/>
  <c r="Q802" i="4"/>
  <c r="R802" i="4"/>
  <c r="S802" i="4"/>
  <c r="T802" i="4"/>
  <c r="H803" i="4"/>
  <c r="I803" i="4"/>
  <c r="J803" i="4"/>
  <c r="K803" i="4"/>
  <c r="L803" i="4"/>
  <c r="M803" i="4"/>
  <c r="N803" i="4"/>
  <c r="O803" i="4"/>
  <c r="P803" i="4"/>
  <c r="Q803" i="4"/>
  <c r="R803" i="4"/>
  <c r="S803" i="4"/>
  <c r="T803" i="4"/>
  <c r="H804" i="4"/>
  <c r="I804" i="4"/>
  <c r="J804" i="4"/>
  <c r="K804" i="4"/>
  <c r="L804" i="4"/>
  <c r="M804" i="4"/>
  <c r="N804" i="4"/>
  <c r="O804" i="4"/>
  <c r="P804" i="4"/>
  <c r="Q804" i="4"/>
  <c r="R804" i="4"/>
  <c r="S804" i="4"/>
  <c r="T804" i="4"/>
  <c r="H805" i="4"/>
  <c r="I805" i="4"/>
  <c r="J805" i="4"/>
  <c r="K805" i="4"/>
  <c r="L805" i="4"/>
  <c r="M805" i="4"/>
  <c r="N805" i="4"/>
  <c r="O805" i="4"/>
  <c r="P805" i="4"/>
  <c r="Q805" i="4"/>
  <c r="R805" i="4"/>
  <c r="S805" i="4"/>
  <c r="T805" i="4"/>
  <c r="H806" i="4"/>
  <c r="I806" i="4"/>
  <c r="J806" i="4"/>
  <c r="K806" i="4"/>
  <c r="L806" i="4"/>
  <c r="M806" i="4"/>
  <c r="N806" i="4"/>
  <c r="O806" i="4"/>
  <c r="P806" i="4"/>
  <c r="Q806" i="4"/>
  <c r="R806" i="4"/>
  <c r="S806" i="4"/>
  <c r="T806" i="4"/>
  <c r="H807" i="4"/>
  <c r="I807" i="4"/>
  <c r="J807" i="4"/>
  <c r="K807" i="4"/>
  <c r="L807" i="4"/>
  <c r="M807" i="4"/>
  <c r="N807" i="4"/>
  <c r="O807" i="4"/>
  <c r="P807" i="4"/>
  <c r="Q807" i="4"/>
  <c r="R807" i="4"/>
  <c r="S807" i="4"/>
  <c r="T807" i="4"/>
  <c r="H808" i="4"/>
  <c r="I808" i="4"/>
  <c r="J808" i="4"/>
  <c r="K808" i="4"/>
  <c r="L808" i="4"/>
  <c r="M808" i="4"/>
  <c r="N808" i="4"/>
  <c r="O808" i="4"/>
  <c r="P808" i="4"/>
  <c r="Q808" i="4"/>
  <c r="R808" i="4"/>
  <c r="S808" i="4"/>
  <c r="T808" i="4"/>
  <c r="H809" i="4"/>
  <c r="I809" i="4"/>
  <c r="J809" i="4"/>
  <c r="K809" i="4"/>
  <c r="L809" i="4"/>
  <c r="M809" i="4"/>
  <c r="N809" i="4"/>
  <c r="O809" i="4"/>
  <c r="P809" i="4"/>
  <c r="Q809" i="4"/>
  <c r="R809" i="4"/>
  <c r="S809" i="4"/>
  <c r="T809" i="4"/>
  <c r="H810" i="4"/>
  <c r="I810" i="4"/>
  <c r="J810" i="4"/>
  <c r="K810" i="4"/>
  <c r="L810" i="4"/>
  <c r="M810" i="4"/>
  <c r="N810" i="4"/>
  <c r="O810" i="4"/>
  <c r="P810" i="4"/>
  <c r="Q810" i="4"/>
  <c r="R810" i="4"/>
  <c r="S810" i="4"/>
  <c r="T810" i="4"/>
  <c r="H811" i="4"/>
  <c r="I811" i="4"/>
  <c r="J811" i="4"/>
  <c r="K811" i="4"/>
  <c r="L811" i="4"/>
  <c r="M811" i="4"/>
  <c r="N811" i="4"/>
  <c r="O811" i="4"/>
  <c r="P811" i="4"/>
  <c r="Q811" i="4"/>
  <c r="R811" i="4"/>
  <c r="S811" i="4"/>
  <c r="T811" i="4"/>
  <c r="H812" i="4"/>
  <c r="I812" i="4"/>
  <c r="J812" i="4"/>
  <c r="K812" i="4"/>
  <c r="L812" i="4"/>
  <c r="M812" i="4"/>
  <c r="N812" i="4"/>
  <c r="O812" i="4"/>
  <c r="P812" i="4"/>
  <c r="Q812" i="4"/>
  <c r="R812" i="4"/>
  <c r="S812" i="4"/>
  <c r="T812" i="4"/>
  <c r="H813" i="4"/>
  <c r="I813" i="4"/>
  <c r="J813" i="4"/>
  <c r="K813" i="4"/>
  <c r="L813" i="4"/>
  <c r="M813" i="4"/>
  <c r="N813" i="4"/>
  <c r="O813" i="4"/>
  <c r="P813" i="4"/>
  <c r="Q813" i="4"/>
  <c r="R813" i="4"/>
  <c r="S813" i="4"/>
  <c r="T813" i="4"/>
  <c r="H814" i="4"/>
  <c r="I814" i="4"/>
  <c r="J814" i="4"/>
  <c r="K814" i="4"/>
  <c r="L814" i="4"/>
  <c r="M814" i="4"/>
  <c r="N814" i="4"/>
  <c r="O814" i="4"/>
  <c r="P814" i="4"/>
  <c r="Q814" i="4"/>
  <c r="R814" i="4"/>
  <c r="S814" i="4"/>
  <c r="T814" i="4"/>
  <c r="H815" i="4"/>
  <c r="I815" i="4"/>
  <c r="J815" i="4"/>
  <c r="K815" i="4"/>
  <c r="L815" i="4"/>
  <c r="M815" i="4"/>
  <c r="N815" i="4"/>
  <c r="O815" i="4"/>
  <c r="P815" i="4"/>
  <c r="Q815" i="4"/>
  <c r="R815" i="4"/>
  <c r="S815" i="4"/>
  <c r="T815" i="4"/>
  <c r="H816" i="4"/>
  <c r="I816" i="4"/>
  <c r="J816" i="4"/>
  <c r="K816" i="4"/>
  <c r="L816" i="4"/>
  <c r="M816" i="4"/>
  <c r="N816" i="4"/>
  <c r="O816" i="4"/>
  <c r="P816" i="4"/>
  <c r="Q816" i="4"/>
  <c r="R816" i="4"/>
  <c r="S816" i="4"/>
  <c r="T816" i="4"/>
  <c r="H817" i="4"/>
  <c r="I817" i="4"/>
  <c r="J817" i="4"/>
  <c r="K817" i="4"/>
  <c r="L817" i="4"/>
  <c r="M817" i="4"/>
  <c r="N817" i="4"/>
  <c r="O817" i="4"/>
  <c r="P817" i="4"/>
  <c r="Q817" i="4"/>
  <c r="R817" i="4"/>
  <c r="S817" i="4"/>
  <c r="T817" i="4"/>
  <c r="H818" i="4"/>
  <c r="I818" i="4"/>
  <c r="J818" i="4"/>
  <c r="K818" i="4"/>
  <c r="L818" i="4"/>
  <c r="M818" i="4"/>
  <c r="N818" i="4"/>
  <c r="O818" i="4"/>
  <c r="P818" i="4"/>
  <c r="Q818" i="4"/>
  <c r="R818" i="4"/>
  <c r="S818" i="4"/>
  <c r="T818" i="4"/>
  <c r="H819" i="4"/>
  <c r="I819" i="4"/>
  <c r="J819" i="4"/>
  <c r="K819" i="4"/>
  <c r="L819" i="4"/>
  <c r="M819" i="4"/>
  <c r="N819" i="4"/>
  <c r="O819" i="4"/>
  <c r="P819" i="4"/>
  <c r="Q819" i="4"/>
  <c r="R819" i="4"/>
  <c r="S819" i="4"/>
  <c r="T819" i="4"/>
  <c r="H820" i="4"/>
  <c r="I820" i="4"/>
  <c r="J820" i="4"/>
  <c r="K820" i="4"/>
  <c r="L820" i="4"/>
  <c r="M820" i="4"/>
  <c r="N820" i="4"/>
  <c r="O820" i="4"/>
  <c r="P820" i="4"/>
  <c r="Q820" i="4"/>
  <c r="R820" i="4"/>
  <c r="S820" i="4"/>
  <c r="T820" i="4"/>
  <c r="H821" i="4"/>
  <c r="I821" i="4"/>
  <c r="J821" i="4"/>
  <c r="K821" i="4"/>
  <c r="L821" i="4"/>
  <c r="M821" i="4"/>
  <c r="N821" i="4"/>
  <c r="O821" i="4"/>
  <c r="P821" i="4"/>
  <c r="Q821" i="4"/>
  <c r="R821" i="4"/>
  <c r="S821" i="4"/>
  <c r="T821" i="4"/>
  <c r="H822" i="4"/>
  <c r="I822" i="4"/>
  <c r="J822" i="4"/>
  <c r="K822" i="4"/>
  <c r="L822" i="4"/>
  <c r="M822" i="4"/>
  <c r="N822" i="4"/>
  <c r="O822" i="4"/>
  <c r="P822" i="4"/>
  <c r="Q822" i="4"/>
  <c r="R822" i="4"/>
  <c r="S822" i="4"/>
  <c r="T822" i="4"/>
  <c r="H823" i="4"/>
  <c r="I823" i="4"/>
  <c r="J823" i="4"/>
  <c r="K823" i="4"/>
  <c r="L823" i="4"/>
  <c r="M823" i="4"/>
  <c r="N823" i="4"/>
  <c r="O823" i="4"/>
  <c r="P823" i="4"/>
  <c r="Q823" i="4"/>
  <c r="R823" i="4"/>
  <c r="S823" i="4"/>
  <c r="T823" i="4"/>
  <c r="H824" i="4"/>
  <c r="I824" i="4"/>
  <c r="J824" i="4"/>
  <c r="K824" i="4"/>
  <c r="L824" i="4"/>
  <c r="M824" i="4"/>
  <c r="N824" i="4"/>
  <c r="O824" i="4"/>
  <c r="P824" i="4"/>
  <c r="Q824" i="4"/>
  <c r="R824" i="4"/>
  <c r="S824" i="4"/>
  <c r="T824" i="4"/>
  <c r="H825" i="4"/>
  <c r="I825" i="4"/>
  <c r="J825" i="4"/>
  <c r="K825" i="4"/>
  <c r="L825" i="4"/>
  <c r="M825" i="4"/>
  <c r="N825" i="4"/>
  <c r="O825" i="4"/>
  <c r="P825" i="4"/>
  <c r="Q825" i="4"/>
  <c r="R825" i="4"/>
  <c r="S825" i="4"/>
  <c r="T825" i="4"/>
  <c r="H826" i="4"/>
  <c r="I826" i="4"/>
  <c r="J826" i="4"/>
  <c r="K826" i="4"/>
  <c r="L826" i="4"/>
  <c r="M826" i="4"/>
  <c r="N826" i="4"/>
  <c r="O826" i="4"/>
  <c r="P826" i="4"/>
  <c r="Q826" i="4"/>
  <c r="R826" i="4"/>
  <c r="S826" i="4"/>
  <c r="T826" i="4"/>
  <c r="H827" i="4"/>
  <c r="I827" i="4"/>
  <c r="J827" i="4"/>
  <c r="K827" i="4"/>
  <c r="L827" i="4"/>
  <c r="M827" i="4"/>
  <c r="N827" i="4"/>
  <c r="O827" i="4"/>
  <c r="P827" i="4"/>
  <c r="Q827" i="4"/>
  <c r="R827" i="4"/>
  <c r="S827" i="4"/>
  <c r="T827" i="4"/>
  <c r="H828" i="4"/>
  <c r="I828" i="4"/>
  <c r="J828" i="4"/>
  <c r="K828" i="4"/>
  <c r="L828" i="4"/>
  <c r="M828" i="4"/>
  <c r="N828" i="4"/>
  <c r="O828" i="4"/>
  <c r="P828" i="4"/>
  <c r="Q828" i="4"/>
  <c r="R828" i="4"/>
  <c r="S828" i="4"/>
  <c r="T828" i="4"/>
  <c r="H829" i="4"/>
  <c r="I829" i="4"/>
  <c r="J829" i="4"/>
  <c r="K829" i="4"/>
  <c r="L829" i="4"/>
  <c r="M829" i="4"/>
  <c r="N829" i="4"/>
  <c r="O829" i="4"/>
  <c r="P829" i="4"/>
  <c r="Q829" i="4"/>
  <c r="R829" i="4"/>
  <c r="S829" i="4"/>
  <c r="T829" i="4"/>
  <c r="H830" i="4"/>
  <c r="I830" i="4"/>
  <c r="J830" i="4"/>
  <c r="K830" i="4"/>
  <c r="L830" i="4"/>
  <c r="M830" i="4"/>
  <c r="N830" i="4"/>
  <c r="O830" i="4"/>
  <c r="P830" i="4"/>
  <c r="Q830" i="4"/>
  <c r="R830" i="4"/>
  <c r="S830" i="4"/>
  <c r="T830" i="4"/>
  <c r="H831" i="4"/>
  <c r="I831" i="4"/>
  <c r="J831" i="4"/>
  <c r="K831" i="4"/>
  <c r="L831" i="4"/>
  <c r="M831" i="4"/>
  <c r="N831" i="4"/>
  <c r="O831" i="4"/>
  <c r="P831" i="4"/>
  <c r="Q831" i="4"/>
  <c r="R831" i="4"/>
  <c r="S831" i="4"/>
  <c r="T831" i="4"/>
  <c r="H832" i="4"/>
  <c r="I832" i="4"/>
  <c r="J832" i="4"/>
  <c r="K832" i="4"/>
  <c r="L832" i="4"/>
  <c r="M832" i="4"/>
  <c r="N832" i="4"/>
  <c r="O832" i="4"/>
  <c r="P832" i="4"/>
  <c r="Q832" i="4"/>
  <c r="R832" i="4"/>
  <c r="S832" i="4"/>
  <c r="T832" i="4"/>
  <c r="H833" i="4"/>
  <c r="I833" i="4"/>
  <c r="J833" i="4"/>
  <c r="K833" i="4"/>
  <c r="L833" i="4"/>
  <c r="M833" i="4"/>
  <c r="N833" i="4"/>
  <c r="O833" i="4"/>
  <c r="P833" i="4"/>
  <c r="Q833" i="4"/>
  <c r="R833" i="4"/>
  <c r="S833" i="4"/>
  <c r="T833" i="4"/>
  <c r="H834" i="4"/>
  <c r="I834" i="4"/>
  <c r="J834" i="4"/>
  <c r="K834" i="4"/>
  <c r="L834" i="4"/>
  <c r="M834" i="4"/>
  <c r="N834" i="4"/>
  <c r="O834" i="4"/>
  <c r="P834" i="4"/>
  <c r="Q834" i="4"/>
  <c r="R834" i="4"/>
  <c r="S834" i="4"/>
  <c r="T834" i="4"/>
  <c r="H835" i="4"/>
  <c r="I835" i="4"/>
  <c r="J835" i="4"/>
  <c r="K835" i="4"/>
  <c r="L835" i="4"/>
  <c r="M835" i="4"/>
  <c r="N835" i="4"/>
  <c r="O835" i="4"/>
  <c r="P835" i="4"/>
  <c r="Q835" i="4"/>
  <c r="R835" i="4"/>
  <c r="S835" i="4"/>
  <c r="T835" i="4"/>
  <c r="H836" i="4"/>
  <c r="I836" i="4"/>
  <c r="J836" i="4"/>
  <c r="K836" i="4"/>
  <c r="L836" i="4"/>
  <c r="M836" i="4"/>
  <c r="N836" i="4"/>
  <c r="O836" i="4"/>
  <c r="P836" i="4"/>
  <c r="Q836" i="4"/>
  <c r="R836" i="4"/>
  <c r="S836" i="4"/>
  <c r="T836" i="4"/>
  <c r="H837" i="4"/>
  <c r="I837" i="4"/>
  <c r="J837" i="4"/>
  <c r="K837" i="4"/>
  <c r="L837" i="4"/>
  <c r="M837" i="4"/>
  <c r="N837" i="4"/>
  <c r="O837" i="4"/>
  <c r="P837" i="4"/>
  <c r="Q837" i="4"/>
  <c r="R837" i="4"/>
  <c r="S837" i="4"/>
  <c r="T837" i="4"/>
  <c r="H838" i="4"/>
  <c r="I838" i="4"/>
  <c r="J838" i="4"/>
  <c r="K838" i="4"/>
  <c r="L838" i="4"/>
  <c r="M838" i="4"/>
  <c r="N838" i="4"/>
  <c r="O838" i="4"/>
  <c r="P838" i="4"/>
  <c r="Q838" i="4"/>
  <c r="R838" i="4"/>
  <c r="S838" i="4"/>
  <c r="T838" i="4"/>
  <c r="H839" i="4"/>
  <c r="I839" i="4"/>
  <c r="J839" i="4"/>
  <c r="K839" i="4"/>
  <c r="L839" i="4"/>
  <c r="M839" i="4"/>
  <c r="N839" i="4"/>
  <c r="O839" i="4"/>
  <c r="P839" i="4"/>
  <c r="Q839" i="4"/>
  <c r="R839" i="4"/>
  <c r="S839" i="4"/>
  <c r="T839" i="4"/>
  <c r="H840" i="4"/>
  <c r="I840" i="4"/>
  <c r="J840" i="4"/>
  <c r="K840" i="4"/>
  <c r="L840" i="4"/>
  <c r="M840" i="4"/>
  <c r="N840" i="4"/>
  <c r="O840" i="4"/>
  <c r="P840" i="4"/>
  <c r="Q840" i="4"/>
  <c r="R840" i="4"/>
  <c r="S840" i="4"/>
  <c r="T840" i="4"/>
  <c r="H841" i="4"/>
  <c r="I841" i="4"/>
  <c r="J841" i="4"/>
  <c r="K841" i="4"/>
  <c r="L841" i="4"/>
  <c r="M841" i="4"/>
  <c r="N841" i="4"/>
  <c r="O841" i="4"/>
  <c r="P841" i="4"/>
  <c r="Q841" i="4"/>
  <c r="R841" i="4"/>
  <c r="S841" i="4"/>
  <c r="T841" i="4"/>
  <c r="H842" i="4"/>
  <c r="I842" i="4"/>
  <c r="J842" i="4"/>
  <c r="K842" i="4"/>
  <c r="L842" i="4"/>
  <c r="M842" i="4"/>
  <c r="N842" i="4"/>
  <c r="O842" i="4"/>
  <c r="P842" i="4"/>
  <c r="Q842" i="4"/>
  <c r="R842" i="4"/>
  <c r="S842" i="4"/>
  <c r="T842" i="4"/>
  <c r="H843" i="4"/>
  <c r="I843" i="4"/>
  <c r="J843" i="4"/>
  <c r="K843" i="4"/>
  <c r="L843" i="4"/>
  <c r="M843" i="4"/>
  <c r="N843" i="4"/>
  <c r="O843" i="4"/>
  <c r="P843" i="4"/>
  <c r="Q843" i="4"/>
  <c r="R843" i="4"/>
  <c r="S843" i="4"/>
  <c r="T843" i="4"/>
  <c r="H844" i="4"/>
  <c r="I844" i="4"/>
  <c r="J844" i="4"/>
  <c r="K844" i="4"/>
  <c r="L844" i="4"/>
  <c r="M844" i="4"/>
  <c r="N844" i="4"/>
  <c r="O844" i="4"/>
  <c r="P844" i="4"/>
  <c r="Q844" i="4"/>
  <c r="R844" i="4"/>
  <c r="S844" i="4"/>
  <c r="T844" i="4"/>
  <c r="H845" i="4"/>
  <c r="I845" i="4"/>
  <c r="J845" i="4"/>
  <c r="K845" i="4"/>
  <c r="L845" i="4"/>
  <c r="M845" i="4"/>
  <c r="N845" i="4"/>
  <c r="O845" i="4"/>
  <c r="P845" i="4"/>
  <c r="Q845" i="4"/>
  <c r="R845" i="4"/>
  <c r="S845" i="4"/>
  <c r="T845" i="4"/>
  <c r="H846" i="4"/>
  <c r="I846" i="4"/>
  <c r="J846" i="4"/>
  <c r="K846" i="4"/>
  <c r="L846" i="4"/>
  <c r="M846" i="4"/>
  <c r="N846" i="4"/>
  <c r="O846" i="4"/>
  <c r="P846" i="4"/>
  <c r="Q846" i="4"/>
  <c r="R846" i="4"/>
  <c r="S846" i="4"/>
  <c r="T846" i="4"/>
  <c r="H847" i="4"/>
  <c r="I847" i="4"/>
  <c r="J847" i="4"/>
  <c r="K847" i="4"/>
  <c r="L847" i="4"/>
  <c r="M847" i="4"/>
  <c r="N847" i="4"/>
  <c r="O847" i="4"/>
  <c r="P847" i="4"/>
  <c r="Q847" i="4"/>
  <c r="R847" i="4"/>
  <c r="S847" i="4"/>
  <c r="T847" i="4"/>
  <c r="H848" i="4"/>
  <c r="I848" i="4"/>
  <c r="J848" i="4"/>
  <c r="K848" i="4"/>
  <c r="L848" i="4"/>
  <c r="M848" i="4"/>
  <c r="N848" i="4"/>
  <c r="O848" i="4"/>
  <c r="P848" i="4"/>
  <c r="Q848" i="4"/>
  <c r="R848" i="4"/>
  <c r="S848" i="4"/>
  <c r="T848" i="4"/>
  <c r="H849" i="4"/>
  <c r="I849" i="4"/>
  <c r="J849" i="4"/>
  <c r="K849" i="4"/>
  <c r="L849" i="4"/>
  <c r="M849" i="4"/>
  <c r="N849" i="4"/>
  <c r="O849" i="4"/>
  <c r="P849" i="4"/>
  <c r="Q849" i="4"/>
  <c r="R849" i="4"/>
  <c r="S849" i="4"/>
  <c r="T849" i="4"/>
  <c r="H850" i="4"/>
  <c r="I850" i="4"/>
  <c r="J850" i="4"/>
  <c r="K850" i="4"/>
  <c r="L850" i="4"/>
  <c r="M850" i="4"/>
  <c r="N850" i="4"/>
  <c r="O850" i="4"/>
  <c r="P850" i="4"/>
  <c r="Q850" i="4"/>
  <c r="R850" i="4"/>
  <c r="S850" i="4"/>
  <c r="T850" i="4"/>
  <c r="H851" i="4"/>
  <c r="I851" i="4"/>
  <c r="J851" i="4"/>
  <c r="K851" i="4"/>
  <c r="L851" i="4"/>
  <c r="M851" i="4"/>
  <c r="N851" i="4"/>
  <c r="O851" i="4"/>
  <c r="P851" i="4"/>
  <c r="Q851" i="4"/>
  <c r="R851" i="4"/>
  <c r="S851" i="4"/>
  <c r="T851" i="4"/>
  <c r="H852" i="4"/>
  <c r="I852" i="4"/>
  <c r="J852" i="4"/>
  <c r="K852" i="4"/>
  <c r="L852" i="4"/>
  <c r="M852" i="4"/>
  <c r="N852" i="4"/>
  <c r="O852" i="4"/>
  <c r="P852" i="4"/>
  <c r="Q852" i="4"/>
  <c r="R852" i="4"/>
  <c r="S852" i="4"/>
  <c r="T852" i="4"/>
  <c r="H853" i="4"/>
  <c r="I853" i="4"/>
  <c r="J853" i="4"/>
  <c r="K853" i="4"/>
  <c r="L853" i="4"/>
  <c r="M853" i="4"/>
  <c r="N853" i="4"/>
  <c r="O853" i="4"/>
  <c r="P853" i="4"/>
  <c r="Q853" i="4"/>
  <c r="R853" i="4"/>
  <c r="S853" i="4"/>
  <c r="T853" i="4"/>
  <c r="H854" i="4"/>
  <c r="I854" i="4"/>
  <c r="J854" i="4"/>
  <c r="K854" i="4"/>
  <c r="L854" i="4"/>
  <c r="M854" i="4"/>
  <c r="N854" i="4"/>
  <c r="O854" i="4"/>
  <c r="P854" i="4"/>
  <c r="Q854" i="4"/>
  <c r="R854" i="4"/>
  <c r="S854" i="4"/>
  <c r="T854" i="4"/>
  <c r="H855" i="4"/>
  <c r="I855" i="4"/>
  <c r="J855" i="4"/>
  <c r="K855" i="4"/>
  <c r="L855" i="4"/>
  <c r="M855" i="4"/>
  <c r="N855" i="4"/>
  <c r="O855" i="4"/>
  <c r="P855" i="4"/>
  <c r="Q855" i="4"/>
  <c r="R855" i="4"/>
  <c r="S855" i="4"/>
  <c r="T855" i="4"/>
  <c r="H856" i="4"/>
  <c r="I856" i="4"/>
  <c r="J856" i="4"/>
  <c r="K856" i="4"/>
  <c r="L856" i="4"/>
  <c r="M856" i="4"/>
  <c r="N856" i="4"/>
  <c r="O856" i="4"/>
  <c r="P856" i="4"/>
  <c r="Q856" i="4"/>
  <c r="R856" i="4"/>
  <c r="S856" i="4"/>
  <c r="T856" i="4"/>
  <c r="H857" i="4"/>
  <c r="I857" i="4"/>
  <c r="J857" i="4"/>
  <c r="K857" i="4"/>
  <c r="L857" i="4"/>
  <c r="M857" i="4"/>
  <c r="N857" i="4"/>
  <c r="O857" i="4"/>
  <c r="P857" i="4"/>
  <c r="Q857" i="4"/>
  <c r="R857" i="4"/>
  <c r="S857" i="4"/>
  <c r="T857" i="4"/>
  <c r="H858" i="4"/>
  <c r="I858" i="4"/>
  <c r="J858" i="4"/>
  <c r="K858" i="4"/>
  <c r="L858" i="4"/>
  <c r="M858" i="4"/>
  <c r="N858" i="4"/>
  <c r="O858" i="4"/>
  <c r="P858" i="4"/>
  <c r="Q858" i="4"/>
  <c r="R858" i="4"/>
  <c r="S858" i="4"/>
  <c r="T858" i="4"/>
  <c r="H859" i="4"/>
  <c r="I859" i="4"/>
  <c r="J859" i="4"/>
  <c r="K859" i="4"/>
  <c r="L859" i="4"/>
  <c r="M859" i="4"/>
  <c r="N859" i="4"/>
  <c r="O859" i="4"/>
  <c r="P859" i="4"/>
  <c r="Q859" i="4"/>
  <c r="R859" i="4"/>
  <c r="S859" i="4"/>
  <c r="T859" i="4"/>
  <c r="H860" i="4"/>
  <c r="I860" i="4"/>
  <c r="J860" i="4"/>
  <c r="K860" i="4"/>
  <c r="L860" i="4"/>
  <c r="M860" i="4"/>
  <c r="N860" i="4"/>
  <c r="O860" i="4"/>
  <c r="P860" i="4"/>
  <c r="Q860" i="4"/>
  <c r="R860" i="4"/>
  <c r="S860" i="4"/>
  <c r="T860" i="4"/>
  <c r="H861" i="4"/>
  <c r="I861" i="4"/>
  <c r="J861" i="4"/>
  <c r="K861" i="4"/>
  <c r="L861" i="4"/>
  <c r="M861" i="4"/>
  <c r="N861" i="4"/>
  <c r="O861" i="4"/>
  <c r="P861" i="4"/>
  <c r="Q861" i="4"/>
  <c r="R861" i="4"/>
  <c r="S861" i="4"/>
  <c r="T861" i="4"/>
  <c r="H862" i="4"/>
  <c r="I862" i="4"/>
  <c r="J862" i="4"/>
  <c r="K862" i="4"/>
  <c r="L862" i="4"/>
  <c r="M862" i="4"/>
  <c r="N862" i="4"/>
  <c r="O862" i="4"/>
  <c r="P862" i="4"/>
  <c r="Q862" i="4"/>
  <c r="R862" i="4"/>
  <c r="S862" i="4"/>
  <c r="T862" i="4"/>
  <c r="H863" i="4"/>
  <c r="I863" i="4"/>
  <c r="J863" i="4"/>
  <c r="K863" i="4"/>
  <c r="L863" i="4"/>
  <c r="M863" i="4"/>
  <c r="N863" i="4"/>
  <c r="O863" i="4"/>
  <c r="P863" i="4"/>
  <c r="Q863" i="4"/>
  <c r="R863" i="4"/>
  <c r="S863" i="4"/>
  <c r="T863" i="4"/>
  <c r="H864" i="4"/>
  <c r="I864" i="4"/>
  <c r="J864" i="4"/>
  <c r="K864" i="4"/>
  <c r="L864" i="4"/>
  <c r="M864" i="4"/>
  <c r="N864" i="4"/>
  <c r="O864" i="4"/>
  <c r="P864" i="4"/>
  <c r="Q864" i="4"/>
  <c r="R864" i="4"/>
  <c r="S864" i="4"/>
  <c r="T864" i="4"/>
  <c r="H865" i="4"/>
  <c r="I865" i="4"/>
  <c r="J865" i="4"/>
  <c r="K865" i="4"/>
  <c r="L865" i="4"/>
  <c r="M865" i="4"/>
  <c r="N865" i="4"/>
  <c r="O865" i="4"/>
  <c r="P865" i="4"/>
  <c r="Q865" i="4"/>
  <c r="R865" i="4"/>
  <c r="S865" i="4"/>
  <c r="T865" i="4"/>
  <c r="H866" i="4"/>
  <c r="I866" i="4"/>
  <c r="J866" i="4"/>
  <c r="K866" i="4"/>
  <c r="L866" i="4"/>
  <c r="M866" i="4"/>
  <c r="N866" i="4"/>
  <c r="O866" i="4"/>
  <c r="P866" i="4"/>
  <c r="Q866" i="4"/>
  <c r="R866" i="4"/>
  <c r="S866" i="4"/>
  <c r="T866" i="4"/>
  <c r="H867" i="4"/>
  <c r="I867" i="4"/>
  <c r="J867" i="4"/>
  <c r="K867" i="4"/>
  <c r="L867" i="4"/>
  <c r="M867" i="4"/>
  <c r="N867" i="4"/>
  <c r="O867" i="4"/>
  <c r="P867" i="4"/>
  <c r="Q867" i="4"/>
  <c r="R867" i="4"/>
  <c r="S867" i="4"/>
  <c r="T867" i="4"/>
  <c r="H868" i="4"/>
  <c r="I868" i="4"/>
  <c r="J868" i="4"/>
  <c r="K868" i="4"/>
  <c r="L868" i="4"/>
  <c r="M868" i="4"/>
  <c r="N868" i="4"/>
  <c r="O868" i="4"/>
  <c r="P868" i="4"/>
  <c r="Q868" i="4"/>
  <c r="R868" i="4"/>
  <c r="S868" i="4"/>
  <c r="T868" i="4"/>
  <c r="H869" i="4"/>
  <c r="I869" i="4"/>
  <c r="J869" i="4"/>
  <c r="K869" i="4"/>
  <c r="L869" i="4"/>
  <c r="M869" i="4"/>
  <c r="N869" i="4"/>
  <c r="O869" i="4"/>
  <c r="P869" i="4"/>
  <c r="Q869" i="4"/>
  <c r="R869" i="4"/>
  <c r="S869" i="4"/>
  <c r="T869" i="4"/>
  <c r="H870" i="4"/>
  <c r="I870" i="4"/>
  <c r="J870" i="4"/>
  <c r="K870" i="4"/>
  <c r="L870" i="4"/>
  <c r="M870" i="4"/>
  <c r="N870" i="4"/>
  <c r="O870" i="4"/>
  <c r="P870" i="4"/>
  <c r="Q870" i="4"/>
  <c r="R870" i="4"/>
  <c r="S870" i="4"/>
  <c r="T870" i="4"/>
  <c r="H871" i="4"/>
  <c r="I871" i="4"/>
  <c r="J871" i="4"/>
  <c r="K871" i="4"/>
  <c r="L871" i="4"/>
  <c r="M871" i="4"/>
  <c r="N871" i="4"/>
  <c r="O871" i="4"/>
  <c r="P871" i="4"/>
  <c r="Q871" i="4"/>
  <c r="R871" i="4"/>
  <c r="S871" i="4"/>
  <c r="T871" i="4"/>
  <c r="H872" i="4"/>
  <c r="I872" i="4"/>
  <c r="J872" i="4"/>
  <c r="K872" i="4"/>
  <c r="L872" i="4"/>
  <c r="M872" i="4"/>
  <c r="N872" i="4"/>
  <c r="O872" i="4"/>
  <c r="P872" i="4"/>
  <c r="Q872" i="4"/>
  <c r="R872" i="4"/>
  <c r="S872" i="4"/>
  <c r="T872" i="4"/>
  <c r="H873" i="4"/>
  <c r="I873" i="4"/>
  <c r="J873" i="4"/>
  <c r="K873" i="4"/>
  <c r="L873" i="4"/>
  <c r="M873" i="4"/>
  <c r="N873" i="4"/>
  <c r="O873" i="4"/>
  <c r="P873" i="4"/>
  <c r="Q873" i="4"/>
  <c r="R873" i="4"/>
  <c r="S873" i="4"/>
  <c r="T873" i="4"/>
  <c r="H874" i="4"/>
  <c r="I874" i="4"/>
  <c r="J874" i="4"/>
  <c r="K874" i="4"/>
  <c r="L874" i="4"/>
  <c r="M874" i="4"/>
  <c r="N874" i="4"/>
  <c r="O874" i="4"/>
  <c r="P874" i="4"/>
  <c r="Q874" i="4"/>
  <c r="R874" i="4"/>
  <c r="S874" i="4"/>
  <c r="T874" i="4"/>
  <c r="H875" i="4"/>
  <c r="I875" i="4"/>
  <c r="J875" i="4"/>
  <c r="K875" i="4"/>
  <c r="L875" i="4"/>
  <c r="M875" i="4"/>
  <c r="N875" i="4"/>
  <c r="O875" i="4"/>
  <c r="P875" i="4"/>
  <c r="Q875" i="4"/>
  <c r="R875" i="4"/>
  <c r="S875" i="4"/>
  <c r="T875" i="4"/>
  <c r="H876" i="4"/>
  <c r="I876" i="4"/>
  <c r="J876" i="4"/>
  <c r="K876" i="4"/>
  <c r="L876" i="4"/>
  <c r="M876" i="4"/>
  <c r="N876" i="4"/>
  <c r="O876" i="4"/>
  <c r="P876" i="4"/>
  <c r="Q876" i="4"/>
  <c r="R876" i="4"/>
  <c r="S876" i="4"/>
  <c r="T876" i="4"/>
  <c r="H877" i="4"/>
  <c r="I877" i="4"/>
  <c r="J877" i="4"/>
  <c r="K877" i="4"/>
  <c r="L877" i="4"/>
  <c r="M877" i="4"/>
  <c r="N877" i="4"/>
  <c r="O877" i="4"/>
  <c r="P877" i="4"/>
  <c r="Q877" i="4"/>
  <c r="R877" i="4"/>
  <c r="S877" i="4"/>
  <c r="T877" i="4"/>
  <c r="H878" i="4"/>
  <c r="I878" i="4"/>
  <c r="J878" i="4"/>
  <c r="K878" i="4"/>
  <c r="L878" i="4"/>
  <c r="M878" i="4"/>
  <c r="N878" i="4"/>
  <c r="O878" i="4"/>
  <c r="P878" i="4"/>
  <c r="Q878" i="4"/>
  <c r="R878" i="4"/>
  <c r="S878" i="4"/>
  <c r="T878" i="4"/>
  <c r="H879" i="4"/>
  <c r="I879" i="4"/>
  <c r="J879" i="4"/>
  <c r="K879" i="4"/>
  <c r="L879" i="4"/>
  <c r="M879" i="4"/>
  <c r="N879" i="4"/>
  <c r="O879" i="4"/>
  <c r="P879" i="4"/>
  <c r="Q879" i="4"/>
  <c r="R879" i="4"/>
  <c r="S879" i="4"/>
  <c r="T879" i="4"/>
  <c r="H880" i="4"/>
  <c r="I880" i="4"/>
  <c r="J880" i="4"/>
  <c r="K880" i="4"/>
  <c r="L880" i="4"/>
  <c r="M880" i="4"/>
  <c r="N880" i="4"/>
  <c r="O880" i="4"/>
  <c r="P880" i="4"/>
  <c r="Q880" i="4"/>
  <c r="R880" i="4"/>
  <c r="S880" i="4"/>
  <c r="T880" i="4"/>
  <c r="H881" i="4"/>
  <c r="I881" i="4"/>
  <c r="J881" i="4"/>
  <c r="K881" i="4"/>
  <c r="L881" i="4"/>
  <c r="M881" i="4"/>
  <c r="N881" i="4"/>
  <c r="O881" i="4"/>
  <c r="P881" i="4"/>
  <c r="Q881" i="4"/>
  <c r="R881" i="4"/>
  <c r="S881" i="4"/>
  <c r="T881" i="4"/>
  <c r="H882" i="4"/>
  <c r="I882" i="4"/>
  <c r="J882" i="4"/>
  <c r="K882" i="4"/>
  <c r="L882" i="4"/>
  <c r="M882" i="4"/>
  <c r="N882" i="4"/>
  <c r="O882" i="4"/>
  <c r="P882" i="4"/>
  <c r="Q882" i="4"/>
  <c r="R882" i="4"/>
  <c r="S882" i="4"/>
  <c r="T882" i="4"/>
  <c r="H883" i="4"/>
  <c r="I883" i="4"/>
  <c r="J883" i="4"/>
  <c r="K883" i="4"/>
  <c r="L883" i="4"/>
  <c r="M883" i="4"/>
  <c r="N883" i="4"/>
  <c r="O883" i="4"/>
  <c r="P883" i="4"/>
  <c r="Q883" i="4"/>
  <c r="R883" i="4"/>
  <c r="S883" i="4"/>
  <c r="T883" i="4"/>
  <c r="H884" i="4"/>
  <c r="I884" i="4"/>
  <c r="J884" i="4"/>
  <c r="K884" i="4"/>
  <c r="L884" i="4"/>
  <c r="M884" i="4"/>
  <c r="N884" i="4"/>
  <c r="O884" i="4"/>
  <c r="P884" i="4"/>
  <c r="Q884" i="4"/>
  <c r="R884" i="4"/>
  <c r="S884" i="4"/>
  <c r="T884" i="4"/>
  <c r="H885" i="4"/>
  <c r="I885" i="4"/>
  <c r="J885" i="4"/>
  <c r="K885" i="4"/>
  <c r="L885" i="4"/>
  <c r="M885" i="4"/>
  <c r="N885" i="4"/>
  <c r="O885" i="4"/>
  <c r="P885" i="4"/>
  <c r="Q885" i="4"/>
  <c r="R885" i="4"/>
  <c r="S885" i="4"/>
  <c r="T885" i="4"/>
  <c r="H886" i="4"/>
  <c r="I886" i="4"/>
  <c r="J886" i="4"/>
  <c r="K886" i="4"/>
  <c r="L886" i="4"/>
  <c r="M886" i="4"/>
  <c r="N886" i="4"/>
  <c r="O886" i="4"/>
  <c r="P886" i="4"/>
  <c r="Q886" i="4"/>
  <c r="R886" i="4"/>
  <c r="S886" i="4"/>
  <c r="T886" i="4"/>
  <c r="H887" i="4"/>
  <c r="I887" i="4"/>
  <c r="J887" i="4"/>
  <c r="K887" i="4"/>
  <c r="L887" i="4"/>
  <c r="M887" i="4"/>
  <c r="N887" i="4"/>
  <c r="O887" i="4"/>
  <c r="P887" i="4"/>
  <c r="Q887" i="4"/>
  <c r="R887" i="4"/>
  <c r="S887" i="4"/>
  <c r="T887" i="4"/>
  <c r="H888" i="4"/>
  <c r="I888" i="4"/>
  <c r="J888" i="4"/>
  <c r="K888" i="4"/>
  <c r="L888" i="4"/>
  <c r="M888" i="4"/>
  <c r="N888" i="4"/>
  <c r="O888" i="4"/>
  <c r="P888" i="4"/>
  <c r="Q888" i="4"/>
  <c r="R888" i="4"/>
  <c r="S888" i="4"/>
  <c r="T888" i="4"/>
  <c r="H889" i="4"/>
  <c r="I889" i="4"/>
  <c r="J889" i="4"/>
  <c r="K889" i="4"/>
  <c r="L889" i="4"/>
  <c r="M889" i="4"/>
  <c r="N889" i="4"/>
  <c r="O889" i="4"/>
  <c r="P889" i="4"/>
  <c r="Q889" i="4"/>
  <c r="R889" i="4"/>
  <c r="S889" i="4"/>
  <c r="T889" i="4"/>
  <c r="H890" i="4"/>
  <c r="I890" i="4"/>
  <c r="J890" i="4"/>
  <c r="K890" i="4"/>
  <c r="L890" i="4"/>
  <c r="M890" i="4"/>
  <c r="N890" i="4"/>
  <c r="O890" i="4"/>
  <c r="P890" i="4"/>
  <c r="Q890" i="4"/>
  <c r="R890" i="4"/>
  <c r="S890" i="4"/>
  <c r="T890" i="4"/>
  <c r="H891" i="4"/>
  <c r="I891" i="4"/>
  <c r="J891" i="4"/>
  <c r="K891" i="4"/>
  <c r="L891" i="4"/>
  <c r="M891" i="4"/>
  <c r="N891" i="4"/>
  <c r="O891" i="4"/>
  <c r="P891" i="4"/>
  <c r="Q891" i="4"/>
  <c r="R891" i="4"/>
  <c r="S891" i="4"/>
  <c r="T891" i="4"/>
  <c r="H892" i="4"/>
  <c r="I892" i="4"/>
  <c r="J892" i="4"/>
  <c r="K892" i="4"/>
  <c r="L892" i="4"/>
  <c r="M892" i="4"/>
  <c r="N892" i="4"/>
  <c r="O892" i="4"/>
  <c r="P892" i="4"/>
  <c r="Q892" i="4"/>
  <c r="R892" i="4"/>
  <c r="S892" i="4"/>
  <c r="T892" i="4"/>
  <c r="H893" i="4"/>
  <c r="I893" i="4"/>
  <c r="J893" i="4"/>
  <c r="K893" i="4"/>
  <c r="L893" i="4"/>
  <c r="M893" i="4"/>
  <c r="N893" i="4"/>
  <c r="O893" i="4"/>
  <c r="P893" i="4"/>
  <c r="Q893" i="4"/>
  <c r="R893" i="4"/>
  <c r="S893" i="4"/>
  <c r="T893" i="4"/>
  <c r="H894" i="4"/>
  <c r="I894" i="4"/>
  <c r="J894" i="4"/>
  <c r="K894" i="4"/>
  <c r="L894" i="4"/>
  <c r="M894" i="4"/>
  <c r="N894" i="4"/>
  <c r="O894" i="4"/>
  <c r="P894" i="4"/>
  <c r="Q894" i="4"/>
  <c r="R894" i="4"/>
  <c r="S894" i="4"/>
  <c r="T894" i="4"/>
  <c r="H895" i="4"/>
  <c r="I895" i="4"/>
  <c r="J895" i="4"/>
  <c r="K895" i="4"/>
  <c r="L895" i="4"/>
  <c r="M895" i="4"/>
  <c r="N895" i="4"/>
  <c r="O895" i="4"/>
  <c r="P895" i="4"/>
  <c r="Q895" i="4"/>
  <c r="R895" i="4"/>
  <c r="S895" i="4"/>
  <c r="T895" i="4"/>
  <c r="H896" i="4"/>
  <c r="I896" i="4"/>
  <c r="J896" i="4"/>
  <c r="K896" i="4"/>
  <c r="L896" i="4"/>
  <c r="M896" i="4"/>
  <c r="N896" i="4"/>
  <c r="O896" i="4"/>
  <c r="P896" i="4"/>
  <c r="Q896" i="4"/>
  <c r="R896" i="4"/>
  <c r="S896" i="4"/>
  <c r="T896" i="4"/>
  <c r="H897" i="4"/>
  <c r="I897" i="4"/>
  <c r="J897" i="4"/>
  <c r="K897" i="4"/>
  <c r="L897" i="4"/>
  <c r="M897" i="4"/>
  <c r="N897" i="4"/>
  <c r="O897" i="4"/>
  <c r="P897" i="4"/>
  <c r="Q897" i="4"/>
  <c r="R897" i="4"/>
  <c r="S897" i="4"/>
  <c r="T897" i="4"/>
  <c r="H898" i="4"/>
  <c r="I898" i="4"/>
  <c r="J898" i="4"/>
  <c r="K898" i="4"/>
  <c r="L898" i="4"/>
  <c r="M898" i="4"/>
  <c r="N898" i="4"/>
  <c r="O898" i="4"/>
  <c r="P898" i="4"/>
  <c r="Q898" i="4"/>
  <c r="R898" i="4"/>
  <c r="S898" i="4"/>
  <c r="T898" i="4"/>
  <c r="H899" i="4"/>
  <c r="I899" i="4"/>
  <c r="J899" i="4"/>
  <c r="K899" i="4"/>
  <c r="L899" i="4"/>
  <c r="M899" i="4"/>
  <c r="N899" i="4"/>
  <c r="O899" i="4"/>
  <c r="P899" i="4"/>
  <c r="Q899" i="4"/>
  <c r="R899" i="4"/>
  <c r="S899" i="4"/>
  <c r="T899" i="4"/>
  <c r="H900" i="4"/>
  <c r="I900" i="4"/>
  <c r="J900" i="4"/>
  <c r="K900" i="4"/>
  <c r="L900" i="4"/>
  <c r="M900" i="4"/>
  <c r="N900" i="4"/>
  <c r="O900" i="4"/>
  <c r="P900" i="4"/>
  <c r="Q900" i="4"/>
  <c r="R900" i="4"/>
  <c r="S900" i="4"/>
  <c r="T900" i="4"/>
  <c r="H901" i="4"/>
  <c r="I901" i="4"/>
  <c r="J901" i="4"/>
  <c r="K901" i="4"/>
  <c r="L901" i="4"/>
  <c r="M901" i="4"/>
  <c r="N901" i="4"/>
  <c r="O901" i="4"/>
  <c r="P901" i="4"/>
  <c r="Q901" i="4"/>
  <c r="R901" i="4"/>
  <c r="S901" i="4"/>
  <c r="T901" i="4"/>
  <c r="H902" i="4"/>
  <c r="I902" i="4"/>
  <c r="J902" i="4"/>
  <c r="K902" i="4"/>
  <c r="L902" i="4"/>
  <c r="M902" i="4"/>
  <c r="N902" i="4"/>
  <c r="O902" i="4"/>
  <c r="P902" i="4"/>
  <c r="Q902" i="4"/>
  <c r="R902" i="4"/>
  <c r="S902" i="4"/>
  <c r="T902" i="4"/>
  <c r="H903" i="4"/>
  <c r="I903" i="4"/>
  <c r="J903" i="4"/>
  <c r="K903" i="4"/>
  <c r="L903" i="4"/>
  <c r="M903" i="4"/>
  <c r="N903" i="4"/>
  <c r="O903" i="4"/>
  <c r="P903" i="4"/>
  <c r="Q903" i="4"/>
  <c r="R903" i="4"/>
  <c r="S903" i="4"/>
  <c r="T903" i="4"/>
  <c r="H904" i="4"/>
  <c r="I904" i="4"/>
  <c r="J904" i="4"/>
  <c r="K904" i="4"/>
  <c r="L904" i="4"/>
  <c r="M904" i="4"/>
  <c r="N904" i="4"/>
  <c r="O904" i="4"/>
  <c r="P904" i="4"/>
  <c r="Q904" i="4"/>
  <c r="R904" i="4"/>
  <c r="S904" i="4"/>
  <c r="T904" i="4"/>
  <c r="H905" i="4"/>
  <c r="I905" i="4"/>
  <c r="J905" i="4"/>
  <c r="K905" i="4"/>
  <c r="L905" i="4"/>
  <c r="M905" i="4"/>
  <c r="N905" i="4"/>
  <c r="O905" i="4"/>
  <c r="P905" i="4"/>
  <c r="Q905" i="4"/>
  <c r="R905" i="4"/>
  <c r="S905" i="4"/>
  <c r="T905" i="4"/>
  <c r="H906" i="4"/>
  <c r="I906" i="4"/>
  <c r="J906" i="4"/>
  <c r="K906" i="4"/>
  <c r="L906" i="4"/>
  <c r="M906" i="4"/>
  <c r="N906" i="4"/>
  <c r="O906" i="4"/>
  <c r="P906" i="4"/>
  <c r="Q906" i="4"/>
  <c r="R906" i="4"/>
  <c r="S906" i="4"/>
  <c r="T906" i="4"/>
  <c r="H907" i="4"/>
  <c r="I907" i="4"/>
  <c r="J907" i="4"/>
  <c r="K907" i="4"/>
  <c r="L907" i="4"/>
  <c r="M907" i="4"/>
  <c r="N907" i="4"/>
  <c r="O907" i="4"/>
  <c r="P907" i="4"/>
  <c r="Q907" i="4"/>
  <c r="R907" i="4"/>
  <c r="S907" i="4"/>
  <c r="T907" i="4"/>
  <c r="H908" i="4"/>
  <c r="I908" i="4"/>
  <c r="J908" i="4"/>
  <c r="K908" i="4"/>
  <c r="L908" i="4"/>
  <c r="M908" i="4"/>
  <c r="N908" i="4"/>
  <c r="O908" i="4"/>
  <c r="P908" i="4"/>
  <c r="Q908" i="4"/>
  <c r="R908" i="4"/>
  <c r="S908" i="4"/>
  <c r="T908" i="4"/>
  <c r="H909" i="4"/>
  <c r="I909" i="4"/>
  <c r="J909" i="4"/>
  <c r="K909" i="4"/>
  <c r="L909" i="4"/>
  <c r="M909" i="4"/>
  <c r="N909" i="4"/>
  <c r="O909" i="4"/>
  <c r="P909" i="4"/>
  <c r="Q909" i="4"/>
  <c r="R909" i="4"/>
  <c r="S909" i="4"/>
  <c r="T909" i="4"/>
  <c r="H910" i="4"/>
  <c r="I910" i="4"/>
  <c r="J910" i="4"/>
  <c r="K910" i="4"/>
  <c r="L910" i="4"/>
  <c r="M910" i="4"/>
  <c r="N910" i="4"/>
  <c r="O910" i="4"/>
  <c r="P910" i="4"/>
  <c r="Q910" i="4"/>
  <c r="R910" i="4"/>
  <c r="S910" i="4"/>
  <c r="T910" i="4"/>
  <c r="H911" i="4"/>
  <c r="I911" i="4"/>
  <c r="J911" i="4"/>
  <c r="K911" i="4"/>
  <c r="L911" i="4"/>
  <c r="M911" i="4"/>
  <c r="N911" i="4"/>
  <c r="O911" i="4"/>
  <c r="P911" i="4"/>
  <c r="Q911" i="4"/>
  <c r="R911" i="4"/>
  <c r="S911" i="4"/>
  <c r="T911" i="4"/>
  <c r="H912" i="4"/>
  <c r="I912" i="4"/>
  <c r="J912" i="4"/>
  <c r="K912" i="4"/>
  <c r="L912" i="4"/>
  <c r="M912" i="4"/>
  <c r="N912" i="4"/>
  <c r="O912" i="4"/>
  <c r="P912" i="4"/>
  <c r="Q912" i="4"/>
  <c r="R912" i="4"/>
  <c r="S912" i="4"/>
  <c r="T912" i="4"/>
  <c r="H913" i="4"/>
  <c r="I913" i="4"/>
  <c r="J913" i="4"/>
  <c r="K913" i="4"/>
  <c r="L913" i="4"/>
  <c r="M913" i="4"/>
  <c r="N913" i="4"/>
  <c r="O913" i="4"/>
  <c r="P913" i="4"/>
  <c r="Q913" i="4"/>
  <c r="R913" i="4"/>
  <c r="S913" i="4"/>
  <c r="T913" i="4"/>
  <c r="H914" i="4"/>
  <c r="I914" i="4"/>
  <c r="J914" i="4"/>
  <c r="K914" i="4"/>
  <c r="L914" i="4"/>
  <c r="M914" i="4"/>
  <c r="N914" i="4"/>
  <c r="O914" i="4"/>
  <c r="P914" i="4"/>
  <c r="Q914" i="4"/>
  <c r="R914" i="4"/>
  <c r="S914" i="4"/>
  <c r="T914" i="4"/>
  <c r="H915" i="4"/>
  <c r="I915" i="4"/>
  <c r="J915" i="4"/>
  <c r="K915" i="4"/>
  <c r="L915" i="4"/>
  <c r="M915" i="4"/>
  <c r="N915" i="4"/>
  <c r="O915" i="4"/>
  <c r="P915" i="4"/>
  <c r="Q915" i="4"/>
  <c r="R915" i="4"/>
  <c r="S915" i="4"/>
  <c r="T915" i="4"/>
  <c r="H916" i="4"/>
  <c r="I916" i="4"/>
  <c r="J916" i="4"/>
  <c r="K916" i="4"/>
  <c r="L916" i="4"/>
  <c r="M916" i="4"/>
  <c r="N916" i="4"/>
  <c r="O916" i="4"/>
  <c r="P916" i="4"/>
  <c r="Q916" i="4"/>
  <c r="R916" i="4"/>
  <c r="S916" i="4"/>
  <c r="T916" i="4"/>
  <c r="H917" i="4"/>
  <c r="I917" i="4"/>
  <c r="J917" i="4"/>
  <c r="K917" i="4"/>
  <c r="L917" i="4"/>
  <c r="M917" i="4"/>
  <c r="N917" i="4"/>
  <c r="O917" i="4"/>
  <c r="P917" i="4"/>
  <c r="Q917" i="4"/>
  <c r="R917" i="4"/>
  <c r="S917" i="4"/>
  <c r="T917" i="4"/>
  <c r="H918" i="4"/>
  <c r="I918" i="4"/>
  <c r="J918" i="4"/>
  <c r="K918" i="4"/>
  <c r="L918" i="4"/>
  <c r="M918" i="4"/>
  <c r="N918" i="4"/>
  <c r="O918" i="4"/>
  <c r="P918" i="4"/>
  <c r="Q918" i="4"/>
  <c r="R918" i="4"/>
  <c r="S918" i="4"/>
  <c r="T918" i="4"/>
  <c r="H919" i="4"/>
  <c r="I919" i="4"/>
  <c r="J919" i="4"/>
  <c r="K919" i="4"/>
  <c r="L919" i="4"/>
  <c r="M919" i="4"/>
  <c r="N919" i="4"/>
  <c r="O919" i="4"/>
  <c r="P919" i="4"/>
  <c r="Q919" i="4"/>
  <c r="R919" i="4"/>
  <c r="S919" i="4"/>
  <c r="T919" i="4"/>
  <c r="H920" i="4"/>
  <c r="I920" i="4"/>
  <c r="J920" i="4"/>
  <c r="K920" i="4"/>
  <c r="L920" i="4"/>
  <c r="M920" i="4"/>
  <c r="N920" i="4"/>
  <c r="O920" i="4"/>
  <c r="P920" i="4"/>
  <c r="Q920" i="4"/>
  <c r="R920" i="4"/>
  <c r="S920" i="4"/>
  <c r="T920" i="4"/>
  <c r="H921" i="4"/>
  <c r="I921" i="4"/>
  <c r="J921" i="4"/>
  <c r="K921" i="4"/>
  <c r="L921" i="4"/>
  <c r="M921" i="4"/>
  <c r="N921" i="4"/>
  <c r="O921" i="4"/>
  <c r="P921" i="4"/>
  <c r="Q921" i="4"/>
  <c r="R921" i="4"/>
  <c r="S921" i="4"/>
  <c r="T921" i="4"/>
  <c r="H922" i="4"/>
  <c r="I922" i="4"/>
  <c r="J922" i="4"/>
  <c r="K922" i="4"/>
  <c r="L922" i="4"/>
  <c r="M922" i="4"/>
  <c r="N922" i="4"/>
  <c r="O922" i="4"/>
  <c r="P922" i="4"/>
  <c r="Q922" i="4"/>
  <c r="R922" i="4"/>
  <c r="S922" i="4"/>
  <c r="T922" i="4"/>
  <c r="H923" i="4"/>
  <c r="I923" i="4"/>
  <c r="J923" i="4"/>
  <c r="K923" i="4"/>
  <c r="L923" i="4"/>
  <c r="M923" i="4"/>
  <c r="N923" i="4"/>
  <c r="O923" i="4"/>
  <c r="P923" i="4"/>
  <c r="Q923" i="4"/>
  <c r="R923" i="4"/>
  <c r="S923" i="4"/>
  <c r="T923" i="4"/>
  <c r="H924" i="4"/>
  <c r="I924" i="4"/>
  <c r="J924" i="4"/>
  <c r="K924" i="4"/>
  <c r="L924" i="4"/>
  <c r="M924" i="4"/>
  <c r="N924" i="4"/>
  <c r="O924" i="4"/>
  <c r="P924" i="4"/>
  <c r="Q924" i="4"/>
  <c r="R924" i="4"/>
  <c r="S924" i="4"/>
  <c r="T924" i="4"/>
  <c r="H925" i="4"/>
  <c r="I925" i="4"/>
  <c r="J925" i="4"/>
  <c r="K925" i="4"/>
  <c r="L925" i="4"/>
  <c r="M925" i="4"/>
  <c r="N925" i="4"/>
  <c r="O925" i="4"/>
  <c r="P925" i="4"/>
  <c r="Q925" i="4"/>
  <c r="R925" i="4"/>
  <c r="S925" i="4"/>
  <c r="T925" i="4"/>
  <c r="H926" i="4"/>
  <c r="I926" i="4"/>
  <c r="J926" i="4"/>
  <c r="K926" i="4"/>
  <c r="L926" i="4"/>
  <c r="M926" i="4"/>
  <c r="N926" i="4"/>
  <c r="O926" i="4"/>
  <c r="P926" i="4"/>
  <c r="Q926" i="4"/>
  <c r="R926" i="4"/>
  <c r="S926" i="4"/>
  <c r="T926" i="4"/>
  <c r="H927" i="4"/>
  <c r="I927" i="4"/>
  <c r="J927" i="4"/>
  <c r="K927" i="4"/>
  <c r="L927" i="4"/>
  <c r="M927" i="4"/>
  <c r="N927" i="4"/>
  <c r="O927" i="4"/>
  <c r="P927" i="4"/>
  <c r="Q927" i="4"/>
  <c r="R927" i="4"/>
  <c r="S927" i="4"/>
  <c r="T927" i="4"/>
  <c r="H928" i="4"/>
  <c r="I928" i="4"/>
  <c r="J928" i="4"/>
  <c r="K928" i="4"/>
  <c r="L928" i="4"/>
  <c r="M928" i="4"/>
  <c r="N928" i="4"/>
  <c r="O928" i="4"/>
  <c r="P928" i="4"/>
  <c r="Q928" i="4"/>
  <c r="R928" i="4"/>
  <c r="S928" i="4"/>
  <c r="T928" i="4"/>
  <c r="H929" i="4"/>
  <c r="I929" i="4"/>
  <c r="J929" i="4"/>
  <c r="K929" i="4"/>
  <c r="L929" i="4"/>
  <c r="M929" i="4"/>
  <c r="N929" i="4"/>
  <c r="O929" i="4"/>
  <c r="P929" i="4"/>
  <c r="Q929" i="4"/>
  <c r="R929" i="4"/>
  <c r="S929" i="4"/>
  <c r="T929" i="4"/>
  <c r="H930" i="4"/>
  <c r="I930" i="4"/>
  <c r="J930" i="4"/>
  <c r="K930" i="4"/>
  <c r="L930" i="4"/>
  <c r="M930" i="4"/>
  <c r="N930" i="4"/>
  <c r="O930" i="4"/>
  <c r="P930" i="4"/>
  <c r="Q930" i="4"/>
  <c r="R930" i="4"/>
  <c r="S930" i="4"/>
  <c r="T930" i="4"/>
  <c r="H931" i="4"/>
  <c r="I931" i="4"/>
  <c r="J931" i="4"/>
  <c r="K931" i="4"/>
  <c r="L931" i="4"/>
  <c r="M931" i="4"/>
  <c r="N931" i="4"/>
  <c r="O931" i="4"/>
  <c r="P931" i="4"/>
  <c r="Q931" i="4"/>
  <c r="R931" i="4"/>
  <c r="S931" i="4"/>
  <c r="T931" i="4"/>
  <c r="H932" i="4"/>
  <c r="I932" i="4"/>
  <c r="J932" i="4"/>
  <c r="K932" i="4"/>
  <c r="L932" i="4"/>
  <c r="M932" i="4"/>
  <c r="N932" i="4"/>
  <c r="O932" i="4"/>
  <c r="P932" i="4"/>
  <c r="Q932" i="4"/>
  <c r="R932" i="4"/>
  <c r="S932" i="4"/>
  <c r="T932" i="4"/>
  <c r="H933" i="4"/>
  <c r="I933" i="4"/>
  <c r="J933" i="4"/>
  <c r="K933" i="4"/>
  <c r="L933" i="4"/>
  <c r="M933" i="4"/>
  <c r="N933" i="4"/>
  <c r="O933" i="4"/>
  <c r="P933" i="4"/>
  <c r="Q933" i="4"/>
  <c r="R933" i="4"/>
  <c r="S933" i="4"/>
  <c r="T933" i="4"/>
  <c r="H934" i="4"/>
  <c r="I934" i="4"/>
  <c r="J934" i="4"/>
  <c r="K934" i="4"/>
  <c r="L934" i="4"/>
  <c r="M934" i="4"/>
  <c r="N934" i="4"/>
  <c r="O934" i="4"/>
  <c r="P934" i="4"/>
  <c r="Q934" i="4"/>
  <c r="R934" i="4"/>
  <c r="S934" i="4"/>
  <c r="T934" i="4"/>
  <c r="H935" i="4"/>
  <c r="I935" i="4"/>
  <c r="J935" i="4"/>
  <c r="K935" i="4"/>
  <c r="L935" i="4"/>
  <c r="M935" i="4"/>
  <c r="N935" i="4"/>
  <c r="O935" i="4"/>
  <c r="P935" i="4"/>
  <c r="Q935" i="4"/>
  <c r="R935" i="4"/>
  <c r="S935" i="4"/>
  <c r="T935" i="4"/>
  <c r="H936" i="4"/>
  <c r="I936" i="4"/>
  <c r="J936" i="4"/>
  <c r="K936" i="4"/>
  <c r="L936" i="4"/>
  <c r="M936" i="4"/>
  <c r="N936" i="4"/>
  <c r="O936" i="4"/>
  <c r="P936" i="4"/>
  <c r="Q936" i="4"/>
  <c r="R936" i="4"/>
  <c r="S936" i="4"/>
  <c r="T936" i="4"/>
  <c r="H937" i="4"/>
  <c r="I937" i="4"/>
  <c r="J937" i="4"/>
  <c r="K937" i="4"/>
  <c r="L937" i="4"/>
  <c r="M937" i="4"/>
  <c r="N937" i="4"/>
  <c r="O937" i="4"/>
  <c r="P937" i="4"/>
  <c r="Q937" i="4"/>
  <c r="R937" i="4"/>
  <c r="S937" i="4"/>
  <c r="T937" i="4"/>
  <c r="H938" i="4"/>
  <c r="I938" i="4"/>
  <c r="J938" i="4"/>
  <c r="K938" i="4"/>
  <c r="L938" i="4"/>
  <c r="M938" i="4"/>
  <c r="N938" i="4"/>
  <c r="O938" i="4"/>
  <c r="P938" i="4"/>
  <c r="Q938" i="4"/>
  <c r="R938" i="4"/>
  <c r="S938" i="4"/>
  <c r="T938" i="4"/>
  <c r="H939" i="4"/>
  <c r="I939" i="4"/>
  <c r="J939" i="4"/>
  <c r="K939" i="4"/>
  <c r="L939" i="4"/>
  <c r="M939" i="4"/>
  <c r="N939" i="4"/>
  <c r="O939" i="4"/>
  <c r="P939" i="4"/>
  <c r="Q939" i="4"/>
  <c r="R939" i="4"/>
  <c r="S939" i="4"/>
  <c r="T939" i="4"/>
  <c r="H940" i="4"/>
  <c r="I940" i="4"/>
  <c r="J940" i="4"/>
  <c r="K940" i="4"/>
  <c r="L940" i="4"/>
  <c r="M940" i="4"/>
  <c r="N940" i="4"/>
  <c r="O940" i="4"/>
  <c r="P940" i="4"/>
  <c r="Q940" i="4"/>
  <c r="R940" i="4"/>
  <c r="S940" i="4"/>
  <c r="T940" i="4"/>
  <c r="H941" i="4"/>
  <c r="I941" i="4"/>
  <c r="J941" i="4"/>
  <c r="K941" i="4"/>
  <c r="L941" i="4"/>
  <c r="M941" i="4"/>
  <c r="N941" i="4"/>
  <c r="O941" i="4"/>
  <c r="P941" i="4"/>
  <c r="Q941" i="4"/>
  <c r="R941" i="4"/>
  <c r="S941" i="4"/>
  <c r="T941" i="4"/>
  <c r="H942" i="4"/>
  <c r="I942" i="4"/>
  <c r="J942" i="4"/>
  <c r="K942" i="4"/>
  <c r="L942" i="4"/>
  <c r="M942" i="4"/>
  <c r="N942" i="4"/>
  <c r="O942" i="4"/>
  <c r="P942" i="4"/>
  <c r="Q942" i="4"/>
  <c r="R942" i="4"/>
  <c r="S942" i="4"/>
  <c r="T942" i="4"/>
  <c r="H943" i="4"/>
  <c r="I943" i="4"/>
  <c r="J943" i="4"/>
  <c r="K943" i="4"/>
  <c r="L943" i="4"/>
  <c r="M943" i="4"/>
  <c r="N943" i="4"/>
  <c r="O943" i="4"/>
  <c r="P943" i="4"/>
  <c r="Q943" i="4"/>
  <c r="R943" i="4"/>
  <c r="S943" i="4"/>
  <c r="T943" i="4"/>
  <c r="H944" i="4"/>
  <c r="I944" i="4"/>
  <c r="J944" i="4"/>
  <c r="K944" i="4"/>
  <c r="L944" i="4"/>
  <c r="M944" i="4"/>
  <c r="N944" i="4"/>
  <c r="O944" i="4"/>
  <c r="P944" i="4"/>
  <c r="Q944" i="4"/>
  <c r="R944" i="4"/>
  <c r="S944" i="4"/>
  <c r="T944" i="4"/>
  <c r="H945" i="4"/>
  <c r="I945" i="4"/>
  <c r="J945" i="4"/>
  <c r="K945" i="4"/>
  <c r="L945" i="4"/>
  <c r="M945" i="4"/>
  <c r="N945" i="4"/>
  <c r="O945" i="4"/>
  <c r="P945" i="4"/>
  <c r="Q945" i="4"/>
  <c r="R945" i="4"/>
  <c r="S945" i="4"/>
  <c r="T945" i="4"/>
  <c r="H946" i="4"/>
  <c r="I946" i="4"/>
  <c r="J946" i="4"/>
  <c r="K946" i="4"/>
  <c r="L946" i="4"/>
  <c r="M946" i="4"/>
  <c r="N946" i="4"/>
  <c r="O946" i="4"/>
  <c r="P946" i="4"/>
  <c r="Q946" i="4"/>
  <c r="R946" i="4"/>
  <c r="S946" i="4"/>
  <c r="T946" i="4"/>
  <c r="H947" i="4"/>
  <c r="I947" i="4"/>
  <c r="J947" i="4"/>
  <c r="K947" i="4"/>
  <c r="L947" i="4"/>
  <c r="M947" i="4"/>
  <c r="N947" i="4"/>
  <c r="O947" i="4"/>
  <c r="P947" i="4"/>
  <c r="Q947" i="4"/>
  <c r="R947" i="4"/>
  <c r="S947" i="4"/>
  <c r="T947" i="4"/>
  <c r="H948" i="4"/>
  <c r="I948" i="4"/>
  <c r="J948" i="4"/>
  <c r="K948" i="4"/>
  <c r="L948" i="4"/>
  <c r="M948" i="4"/>
  <c r="N948" i="4"/>
  <c r="O948" i="4"/>
  <c r="P948" i="4"/>
  <c r="Q948" i="4"/>
  <c r="R948" i="4"/>
  <c r="S948" i="4"/>
  <c r="T948" i="4"/>
  <c r="H949" i="4"/>
  <c r="I949" i="4"/>
  <c r="J949" i="4"/>
  <c r="K949" i="4"/>
  <c r="L949" i="4"/>
  <c r="M949" i="4"/>
  <c r="N949" i="4"/>
  <c r="O949" i="4"/>
  <c r="P949" i="4"/>
  <c r="Q949" i="4"/>
  <c r="R949" i="4"/>
  <c r="S949" i="4"/>
  <c r="T949" i="4"/>
  <c r="H950" i="4"/>
  <c r="I950" i="4"/>
  <c r="J950" i="4"/>
  <c r="K950" i="4"/>
  <c r="L950" i="4"/>
  <c r="M950" i="4"/>
  <c r="N950" i="4"/>
  <c r="O950" i="4"/>
  <c r="P950" i="4"/>
  <c r="Q950" i="4"/>
  <c r="R950" i="4"/>
  <c r="S950" i="4"/>
  <c r="T950" i="4"/>
  <c r="H951" i="4"/>
  <c r="I951" i="4"/>
  <c r="J951" i="4"/>
  <c r="K951" i="4"/>
  <c r="L951" i="4"/>
  <c r="M951" i="4"/>
  <c r="N951" i="4"/>
  <c r="O951" i="4"/>
  <c r="P951" i="4"/>
  <c r="Q951" i="4"/>
  <c r="R951" i="4"/>
  <c r="S951" i="4"/>
  <c r="T951" i="4"/>
  <c r="H952" i="4"/>
  <c r="I952" i="4"/>
  <c r="J952" i="4"/>
  <c r="K952" i="4"/>
  <c r="L952" i="4"/>
  <c r="M952" i="4"/>
  <c r="N952" i="4"/>
  <c r="O952" i="4"/>
  <c r="P952" i="4"/>
  <c r="Q952" i="4"/>
  <c r="R952" i="4"/>
  <c r="S952" i="4"/>
  <c r="T952" i="4"/>
  <c r="H953" i="4"/>
  <c r="I953" i="4"/>
  <c r="J953" i="4"/>
  <c r="K953" i="4"/>
  <c r="L953" i="4"/>
  <c r="M953" i="4"/>
  <c r="N953" i="4"/>
  <c r="O953" i="4"/>
  <c r="P953" i="4"/>
  <c r="Q953" i="4"/>
  <c r="R953" i="4"/>
  <c r="S953" i="4"/>
  <c r="T953" i="4"/>
  <c r="H954" i="4"/>
  <c r="I954" i="4"/>
  <c r="J954" i="4"/>
  <c r="K954" i="4"/>
  <c r="L954" i="4"/>
  <c r="M954" i="4"/>
  <c r="N954" i="4"/>
  <c r="O954" i="4"/>
  <c r="P954" i="4"/>
  <c r="Q954" i="4"/>
  <c r="R954" i="4"/>
  <c r="S954" i="4"/>
  <c r="T954" i="4"/>
  <c r="H955" i="4"/>
  <c r="I955" i="4"/>
  <c r="J955" i="4"/>
  <c r="K955" i="4"/>
  <c r="L955" i="4"/>
  <c r="M955" i="4"/>
  <c r="N955" i="4"/>
  <c r="O955" i="4"/>
  <c r="P955" i="4"/>
  <c r="Q955" i="4"/>
  <c r="R955" i="4"/>
  <c r="S955" i="4"/>
  <c r="T955" i="4"/>
  <c r="H956" i="4"/>
  <c r="I956" i="4"/>
  <c r="J956" i="4"/>
  <c r="K956" i="4"/>
  <c r="L956" i="4"/>
  <c r="M956" i="4"/>
  <c r="N956" i="4"/>
  <c r="O956" i="4"/>
  <c r="P956" i="4"/>
  <c r="Q956" i="4"/>
  <c r="R956" i="4"/>
  <c r="S956" i="4"/>
  <c r="T956" i="4"/>
  <c r="H957" i="4"/>
  <c r="I957" i="4"/>
  <c r="J957" i="4"/>
  <c r="K957" i="4"/>
  <c r="L957" i="4"/>
  <c r="M957" i="4"/>
  <c r="N957" i="4"/>
  <c r="O957" i="4"/>
  <c r="P957" i="4"/>
  <c r="Q957" i="4"/>
  <c r="R957" i="4"/>
  <c r="S957" i="4"/>
  <c r="T957" i="4"/>
  <c r="H958" i="4"/>
  <c r="I958" i="4"/>
  <c r="J958" i="4"/>
  <c r="K958" i="4"/>
  <c r="L958" i="4"/>
  <c r="M958" i="4"/>
  <c r="N958" i="4"/>
  <c r="O958" i="4"/>
  <c r="P958" i="4"/>
  <c r="Q958" i="4"/>
  <c r="R958" i="4"/>
  <c r="S958" i="4"/>
  <c r="T958" i="4"/>
  <c r="H959" i="4"/>
  <c r="I959" i="4"/>
  <c r="J959" i="4"/>
  <c r="K959" i="4"/>
  <c r="L959" i="4"/>
  <c r="M959" i="4"/>
  <c r="N959" i="4"/>
  <c r="O959" i="4"/>
  <c r="P959" i="4"/>
  <c r="Q959" i="4"/>
  <c r="R959" i="4"/>
  <c r="S959" i="4"/>
  <c r="T959" i="4"/>
  <c r="H960" i="4"/>
  <c r="I960" i="4"/>
  <c r="J960" i="4"/>
  <c r="K960" i="4"/>
  <c r="L960" i="4"/>
  <c r="M960" i="4"/>
  <c r="N960" i="4"/>
  <c r="O960" i="4"/>
  <c r="P960" i="4"/>
  <c r="Q960" i="4"/>
  <c r="R960" i="4"/>
  <c r="S960" i="4"/>
  <c r="T960" i="4"/>
  <c r="H961" i="4"/>
  <c r="I961" i="4"/>
  <c r="J961" i="4"/>
  <c r="K961" i="4"/>
  <c r="L961" i="4"/>
  <c r="M961" i="4"/>
  <c r="N961" i="4"/>
  <c r="O961" i="4"/>
  <c r="P961" i="4"/>
  <c r="Q961" i="4"/>
  <c r="R961" i="4"/>
  <c r="S961" i="4"/>
  <c r="T961" i="4"/>
  <c r="H962" i="4"/>
  <c r="I962" i="4"/>
  <c r="J962" i="4"/>
  <c r="K962" i="4"/>
  <c r="L962" i="4"/>
  <c r="M962" i="4"/>
  <c r="N962" i="4"/>
  <c r="O962" i="4"/>
  <c r="P962" i="4"/>
  <c r="Q962" i="4"/>
  <c r="R962" i="4"/>
  <c r="S962" i="4"/>
  <c r="T962" i="4"/>
  <c r="H963" i="4"/>
  <c r="I963" i="4"/>
  <c r="J963" i="4"/>
  <c r="K963" i="4"/>
  <c r="L963" i="4"/>
  <c r="M963" i="4"/>
  <c r="N963" i="4"/>
  <c r="O963" i="4"/>
  <c r="P963" i="4"/>
  <c r="Q963" i="4"/>
  <c r="R963" i="4"/>
  <c r="S963" i="4"/>
  <c r="T963" i="4"/>
  <c r="H964" i="4"/>
  <c r="I964" i="4"/>
  <c r="J964" i="4"/>
  <c r="K964" i="4"/>
  <c r="L964" i="4"/>
  <c r="M964" i="4"/>
  <c r="N964" i="4"/>
  <c r="O964" i="4"/>
  <c r="P964" i="4"/>
  <c r="Q964" i="4"/>
  <c r="R964" i="4"/>
  <c r="S964" i="4"/>
  <c r="T964" i="4"/>
  <c r="H965" i="4"/>
  <c r="I965" i="4"/>
  <c r="J965" i="4"/>
  <c r="K965" i="4"/>
  <c r="L965" i="4"/>
  <c r="M965" i="4"/>
  <c r="N965" i="4"/>
  <c r="O965" i="4"/>
  <c r="P965" i="4"/>
  <c r="Q965" i="4"/>
  <c r="R965" i="4"/>
  <c r="S965" i="4"/>
  <c r="T965" i="4"/>
  <c r="H966" i="4"/>
  <c r="I966" i="4"/>
  <c r="J966" i="4"/>
  <c r="K966" i="4"/>
  <c r="L966" i="4"/>
  <c r="M966" i="4"/>
  <c r="N966" i="4"/>
  <c r="O966" i="4"/>
  <c r="P966" i="4"/>
  <c r="Q966" i="4"/>
  <c r="R966" i="4"/>
  <c r="S966" i="4"/>
  <c r="T966" i="4"/>
  <c r="H967" i="4"/>
  <c r="I967" i="4"/>
  <c r="J967" i="4"/>
  <c r="K967" i="4"/>
  <c r="L967" i="4"/>
  <c r="M967" i="4"/>
  <c r="N967" i="4"/>
  <c r="O967" i="4"/>
  <c r="P967" i="4"/>
  <c r="Q967" i="4"/>
  <c r="R967" i="4"/>
  <c r="S967" i="4"/>
  <c r="T967" i="4"/>
  <c r="H968" i="4"/>
  <c r="I968" i="4"/>
  <c r="J968" i="4"/>
  <c r="K968" i="4"/>
  <c r="L968" i="4"/>
  <c r="M968" i="4"/>
  <c r="N968" i="4"/>
  <c r="O968" i="4"/>
  <c r="P968" i="4"/>
  <c r="Q968" i="4"/>
  <c r="R968" i="4"/>
  <c r="S968" i="4"/>
  <c r="T968" i="4"/>
  <c r="H969" i="4"/>
  <c r="I969" i="4"/>
  <c r="J969" i="4"/>
  <c r="K969" i="4"/>
  <c r="L969" i="4"/>
  <c r="M969" i="4"/>
  <c r="N969" i="4"/>
  <c r="O969" i="4"/>
  <c r="P969" i="4"/>
  <c r="Q969" i="4"/>
  <c r="R969" i="4"/>
  <c r="S969" i="4"/>
  <c r="T969" i="4"/>
  <c r="H970" i="4"/>
  <c r="I970" i="4"/>
  <c r="J970" i="4"/>
  <c r="K970" i="4"/>
  <c r="L970" i="4"/>
  <c r="M970" i="4"/>
  <c r="N970" i="4"/>
  <c r="O970" i="4"/>
  <c r="P970" i="4"/>
  <c r="Q970" i="4"/>
  <c r="R970" i="4"/>
  <c r="S970" i="4"/>
  <c r="T970" i="4"/>
  <c r="H971" i="4"/>
  <c r="I971" i="4"/>
  <c r="J971" i="4"/>
  <c r="K971" i="4"/>
  <c r="L971" i="4"/>
  <c r="M971" i="4"/>
  <c r="N971" i="4"/>
  <c r="O971" i="4"/>
  <c r="P971" i="4"/>
  <c r="Q971" i="4"/>
  <c r="R971" i="4"/>
  <c r="S971" i="4"/>
  <c r="T971" i="4"/>
  <c r="H972" i="4"/>
  <c r="I972" i="4"/>
  <c r="J972" i="4"/>
  <c r="K972" i="4"/>
  <c r="L972" i="4"/>
  <c r="M972" i="4"/>
  <c r="N972" i="4"/>
  <c r="O972" i="4"/>
  <c r="P972" i="4"/>
  <c r="Q972" i="4"/>
  <c r="R972" i="4"/>
  <c r="S972" i="4"/>
  <c r="T972" i="4"/>
  <c r="H973" i="4"/>
  <c r="I973" i="4"/>
  <c r="J973" i="4"/>
  <c r="K973" i="4"/>
  <c r="L973" i="4"/>
  <c r="M973" i="4"/>
  <c r="N973" i="4"/>
  <c r="O973" i="4"/>
  <c r="P973" i="4"/>
  <c r="Q973" i="4"/>
  <c r="R973" i="4"/>
  <c r="S973" i="4"/>
  <c r="T973" i="4"/>
  <c r="H974" i="4"/>
  <c r="I974" i="4"/>
  <c r="J974" i="4"/>
  <c r="K974" i="4"/>
  <c r="L974" i="4"/>
  <c r="M974" i="4"/>
  <c r="N974" i="4"/>
  <c r="O974" i="4"/>
  <c r="P974" i="4"/>
  <c r="Q974" i="4"/>
  <c r="R974" i="4"/>
  <c r="S974" i="4"/>
  <c r="T974" i="4"/>
  <c r="H975" i="4"/>
  <c r="I975" i="4"/>
  <c r="J975" i="4"/>
  <c r="K975" i="4"/>
  <c r="L975" i="4"/>
  <c r="M975" i="4"/>
  <c r="N975" i="4"/>
  <c r="O975" i="4"/>
  <c r="P975" i="4"/>
  <c r="Q975" i="4"/>
  <c r="R975" i="4"/>
  <c r="S975" i="4"/>
  <c r="T975" i="4"/>
  <c r="H976" i="4"/>
  <c r="I976" i="4"/>
  <c r="J976" i="4"/>
  <c r="K976" i="4"/>
  <c r="L976" i="4"/>
  <c r="M976" i="4"/>
  <c r="N976" i="4"/>
  <c r="O976" i="4"/>
  <c r="P976" i="4"/>
  <c r="Q976" i="4"/>
  <c r="R976" i="4"/>
  <c r="S976" i="4"/>
  <c r="T976" i="4"/>
  <c r="H977" i="4"/>
  <c r="I977" i="4"/>
  <c r="J977" i="4"/>
  <c r="K977" i="4"/>
  <c r="L977" i="4"/>
  <c r="M977" i="4"/>
  <c r="N977" i="4"/>
  <c r="O977" i="4"/>
  <c r="P977" i="4"/>
  <c r="Q977" i="4"/>
  <c r="R977" i="4"/>
  <c r="S977" i="4"/>
  <c r="T977" i="4"/>
  <c r="H978" i="4"/>
  <c r="I978" i="4"/>
  <c r="J978" i="4"/>
  <c r="K978" i="4"/>
  <c r="L978" i="4"/>
  <c r="M978" i="4"/>
  <c r="N978" i="4"/>
  <c r="O978" i="4"/>
  <c r="P978" i="4"/>
  <c r="Q978" i="4"/>
  <c r="R978" i="4"/>
  <c r="S978" i="4"/>
  <c r="T978" i="4"/>
  <c r="H979" i="4"/>
  <c r="I979" i="4"/>
  <c r="J979" i="4"/>
  <c r="K979" i="4"/>
  <c r="L979" i="4"/>
  <c r="M979" i="4"/>
  <c r="N979" i="4"/>
  <c r="O979" i="4"/>
  <c r="P979" i="4"/>
  <c r="Q979" i="4"/>
  <c r="R979" i="4"/>
  <c r="S979" i="4"/>
  <c r="T979" i="4"/>
  <c r="H980" i="4"/>
  <c r="I980" i="4"/>
  <c r="J980" i="4"/>
  <c r="K980" i="4"/>
  <c r="L980" i="4"/>
  <c r="M980" i="4"/>
  <c r="N980" i="4"/>
  <c r="O980" i="4"/>
  <c r="P980" i="4"/>
  <c r="Q980" i="4"/>
  <c r="R980" i="4"/>
  <c r="S980" i="4"/>
  <c r="T980" i="4"/>
  <c r="H981" i="4"/>
  <c r="I981" i="4"/>
  <c r="J981" i="4"/>
  <c r="K981" i="4"/>
  <c r="L981" i="4"/>
  <c r="M981" i="4"/>
  <c r="N981" i="4"/>
  <c r="O981" i="4"/>
  <c r="P981" i="4"/>
  <c r="Q981" i="4"/>
  <c r="R981" i="4"/>
  <c r="S981" i="4"/>
  <c r="T981" i="4"/>
  <c r="H982" i="4"/>
  <c r="I982" i="4"/>
  <c r="J982" i="4"/>
  <c r="K982" i="4"/>
  <c r="L982" i="4"/>
  <c r="M982" i="4"/>
  <c r="N982" i="4"/>
  <c r="O982" i="4"/>
  <c r="P982" i="4"/>
  <c r="Q982" i="4"/>
  <c r="R982" i="4"/>
  <c r="S982" i="4"/>
  <c r="T982" i="4"/>
  <c r="H983" i="4"/>
  <c r="I983" i="4"/>
  <c r="J983" i="4"/>
  <c r="K983" i="4"/>
  <c r="L983" i="4"/>
  <c r="M983" i="4"/>
  <c r="N983" i="4"/>
  <c r="O983" i="4"/>
  <c r="P983" i="4"/>
  <c r="Q983" i="4"/>
  <c r="R983" i="4"/>
  <c r="S983" i="4"/>
  <c r="T983" i="4"/>
  <c r="H984" i="4"/>
  <c r="I984" i="4"/>
  <c r="J984" i="4"/>
  <c r="K984" i="4"/>
  <c r="L984" i="4"/>
  <c r="M984" i="4"/>
  <c r="N984" i="4"/>
  <c r="O984" i="4"/>
  <c r="P984" i="4"/>
  <c r="Q984" i="4"/>
  <c r="R984" i="4"/>
  <c r="S984" i="4"/>
  <c r="T984" i="4"/>
  <c r="H985" i="4"/>
  <c r="I985" i="4"/>
  <c r="J985" i="4"/>
  <c r="K985" i="4"/>
  <c r="L985" i="4"/>
  <c r="M985" i="4"/>
  <c r="N985" i="4"/>
  <c r="O985" i="4"/>
  <c r="P985" i="4"/>
  <c r="Q985" i="4"/>
  <c r="R985" i="4"/>
  <c r="S985" i="4"/>
  <c r="T985" i="4"/>
  <c r="H986" i="4"/>
  <c r="I986" i="4"/>
  <c r="J986" i="4"/>
  <c r="K986" i="4"/>
  <c r="L986" i="4"/>
  <c r="M986" i="4"/>
  <c r="N986" i="4"/>
  <c r="O986" i="4"/>
  <c r="P986" i="4"/>
  <c r="Q986" i="4"/>
  <c r="R986" i="4"/>
  <c r="S986" i="4"/>
  <c r="T986" i="4"/>
  <c r="H987" i="4"/>
  <c r="I987" i="4"/>
  <c r="J987" i="4"/>
  <c r="K987" i="4"/>
  <c r="L987" i="4"/>
  <c r="M987" i="4"/>
  <c r="N987" i="4"/>
  <c r="O987" i="4"/>
  <c r="P987" i="4"/>
  <c r="Q987" i="4"/>
  <c r="R987" i="4"/>
  <c r="S987" i="4"/>
  <c r="T987" i="4"/>
  <c r="H988" i="4"/>
  <c r="I988" i="4"/>
  <c r="J988" i="4"/>
  <c r="K988" i="4"/>
  <c r="L988" i="4"/>
  <c r="M988" i="4"/>
  <c r="N988" i="4"/>
  <c r="O988" i="4"/>
  <c r="P988" i="4"/>
  <c r="Q988" i="4"/>
  <c r="R988" i="4"/>
  <c r="S988" i="4"/>
  <c r="T988" i="4"/>
  <c r="H989" i="4"/>
  <c r="I989" i="4"/>
  <c r="J989" i="4"/>
  <c r="K989" i="4"/>
  <c r="L989" i="4"/>
  <c r="M989" i="4"/>
  <c r="N989" i="4"/>
  <c r="O989" i="4"/>
  <c r="P989" i="4"/>
  <c r="Q989" i="4"/>
  <c r="R989" i="4"/>
  <c r="S989" i="4"/>
  <c r="T989" i="4"/>
  <c r="H990" i="4"/>
  <c r="I990" i="4"/>
  <c r="J990" i="4"/>
  <c r="K990" i="4"/>
  <c r="L990" i="4"/>
  <c r="M990" i="4"/>
  <c r="N990" i="4"/>
  <c r="O990" i="4"/>
  <c r="P990" i="4"/>
  <c r="Q990" i="4"/>
  <c r="R990" i="4"/>
  <c r="S990" i="4"/>
  <c r="T990" i="4"/>
  <c r="H991" i="4"/>
  <c r="I991" i="4"/>
  <c r="J991" i="4"/>
  <c r="K991" i="4"/>
  <c r="L991" i="4"/>
  <c r="M991" i="4"/>
  <c r="N991" i="4"/>
  <c r="O991" i="4"/>
  <c r="P991" i="4"/>
  <c r="Q991" i="4"/>
  <c r="R991" i="4"/>
  <c r="S991" i="4"/>
  <c r="T991" i="4"/>
  <c r="H992" i="4"/>
  <c r="I992" i="4"/>
  <c r="J992" i="4"/>
  <c r="K992" i="4"/>
  <c r="L992" i="4"/>
  <c r="M992" i="4"/>
  <c r="N992" i="4"/>
  <c r="O992" i="4"/>
  <c r="P992" i="4"/>
  <c r="Q992" i="4"/>
  <c r="R992" i="4"/>
  <c r="S992" i="4"/>
  <c r="T992" i="4"/>
  <c r="H993" i="4"/>
  <c r="I993" i="4"/>
  <c r="J993" i="4"/>
  <c r="K993" i="4"/>
  <c r="L993" i="4"/>
  <c r="M993" i="4"/>
  <c r="N993" i="4"/>
  <c r="O993" i="4"/>
  <c r="P993" i="4"/>
  <c r="Q993" i="4"/>
  <c r="R993" i="4"/>
  <c r="S993" i="4"/>
  <c r="T993" i="4"/>
  <c r="H994" i="4"/>
  <c r="I994" i="4"/>
  <c r="J994" i="4"/>
  <c r="K994" i="4"/>
  <c r="L994" i="4"/>
  <c r="M994" i="4"/>
  <c r="N994" i="4"/>
  <c r="O994" i="4"/>
  <c r="P994" i="4"/>
  <c r="Q994" i="4"/>
  <c r="R994" i="4"/>
  <c r="S994" i="4"/>
  <c r="T994" i="4"/>
  <c r="H995" i="4"/>
  <c r="I995" i="4"/>
  <c r="J995" i="4"/>
  <c r="K995" i="4"/>
  <c r="L995" i="4"/>
  <c r="M995" i="4"/>
  <c r="N995" i="4"/>
  <c r="O995" i="4"/>
  <c r="P995" i="4"/>
  <c r="Q995" i="4"/>
  <c r="R995" i="4"/>
  <c r="S995" i="4"/>
  <c r="T995" i="4"/>
  <c r="H996" i="4"/>
  <c r="I996" i="4"/>
  <c r="J996" i="4"/>
  <c r="K996" i="4"/>
  <c r="L996" i="4"/>
  <c r="M996" i="4"/>
  <c r="N996" i="4"/>
  <c r="O996" i="4"/>
  <c r="P996" i="4"/>
  <c r="Q996" i="4"/>
  <c r="R996" i="4"/>
  <c r="S996" i="4"/>
  <c r="T996" i="4"/>
  <c r="H997" i="4"/>
  <c r="I997" i="4"/>
  <c r="J997" i="4"/>
  <c r="K997" i="4"/>
  <c r="L997" i="4"/>
  <c r="M997" i="4"/>
  <c r="N997" i="4"/>
  <c r="O997" i="4"/>
  <c r="P997" i="4"/>
  <c r="Q997" i="4"/>
  <c r="R997" i="4"/>
  <c r="S997" i="4"/>
  <c r="T997" i="4"/>
  <c r="H998" i="4"/>
  <c r="I998" i="4"/>
  <c r="J998" i="4"/>
  <c r="K998" i="4"/>
  <c r="L998" i="4"/>
  <c r="M998" i="4"/>
  <c r="N998" i="4"/>
  <c r="O998" i="4"/>
  <c r="P998" i="4"/>
  <c r="Q998" i="4"/>
  <c r="R998" i="4"/>
  <c r="S998" i="4"/>
  <c r="T998" i="4"/>
  <c r="H999" i="4"/>
  <c r="I999" i="4"/>
  <c r="J999" i="4"/>
  <c r="K999" i="4"/>
  <c r="L999" i="4"/>
  <c r="M999" i="4"/>
  <c r="N999" i="4"/>
  <c r="O999" i="4"/>
  <c r="P999" i="4"/>
  <c r="Q999" i="4"/>
  <c r="R999" i="4"/>
  <c r="S999" i="4"/>
  <c r="T999" i="4"/>
  <c r="H1000" i="4"/>
  <c r="I1000" i="4"/>
  <c r="J1000" i="4"/>
  <c r="K1000" i="4"/>
  <c r="L1000" i="4"/>
  <c r="M1000" i="4"/>
  <c r="N1000" i="4"/>
  <c r="O1000" i="4"/>
  <c r="P1000" i="4"/>
  <c r="Q1000" i="4"/>
  <c r="R1000" i="4"/>
  <c r="S1000" i="4"/>
  <c r="T1000" i="4"/>
  <c r="H1001" i="4"/>
  <c r="I1001" i="4"/>
  <c r="J1001" i="4"/>
  <c r="K1001" i="4"/>
  <c r="L1001" i="4"/>
  <c r="M1001" i="4"/>
  <c r="N1001" i="4"/>
  <c r="O1001" i="4"/>
  <c r="P1001" i="4"/>
  <c r="Q1001" i="4"/>
  <c r="R1001" i="4"/>
  <c r="S1001" i="4"/>
  <c r="T1001" i="4"/>
  <c r="H1002" i="4"/>
  <c r="I1002" i="4"/>
  <c r="J1002" i="4"/>
  <c r="K1002" i="4"/>
  <c r="L1002" i="4"/>
  <c r="M1002" i="4"/>
  <c r="N1002" i="4"/>
  <c r="O1002" i="4"/>
  <c r="P1002" i="4"/>
  <c r="Q1002" i="4"/>
  <c r="R1002" i="4"/>
  <c r="S1002" i="4"/>
  <c r="T1002" i="4"/>
  <c r="H1003" i="4"/>
  <c r="I1003" i="4"/>
  <c r="J1003" i="4"/>
  <c r="K1003" i="4"/>
  <c r="L1003" i="4"/>
  <c r="M1003" i="4"/>
  <c r="N1003" i="4"/>
  <c r="O1003" i="4"/>
  <c r="P1003" i="4"/>
  <c r="Q1003" i="4"/>
  <c r="R1003" i="4"/>
  <c r="S1003" i="4"/>
  <c r="T1003" i="4"/>
  <c r="H1004" i="4"/>
  <c r="I1004" i="4"/>
  <c r="J1004" i="4"/>
  <c r="K1004" i="4"/>
  <c r="L1004" i="4"/>
  <c r="M1004" i="4"/>
  <c r="N1004" i="4"/>
  <c r="O1004" i="4"/>
  <c r="P1004" i="4"/>
  <c r="Q1004" i="4"/>
  <c r="R1004" i="4"/>
  <c r="S1004" i="4"/>
  <c r="T1004" i="4"/>
  <c r="H1005" i="4"/>
  <c r="I1005" i="4"/>
  <c r="J1005" i="4"/>
  <c r="K1005" i="4"/>
  <c r="L1005" i="4"/>
  <c r="M1005" i="4"/>
  <c r="N1005" i="4"/>
  <c r="O1005" i="4"/>
  <c r="P1005" i="4"/>
  <c r="Q1005" i="4"/>
  <c r="R1005" i="4"/>
  <c r="S1005" i="4"/>
  <c r="T1005" i="4"/>
  <c r="H1006" i="4"/>
  <c r="I1006" i="4"/>
  <c r="J1006" i="4"/>
  <c r="K1006" i="4"/>
  <c r="L1006" i="4"/>
  <c r="M1006" i="4"/>
  <c r="N1006" i="4"/>
  <c r="O1006" i="4"/>
  <c r="P1006" i="4"/>
  <c r="Q1006" i="4"/>
  <c r="R1006" i="4"/>
  <c r="S1006" i="4"/>
  <c r="T1006" i="4"/>
  <c r="H1007" i="4"/>
  <c r="I1007" i="4"/>
  <c r="J1007" i="4"/>
  <c r="K1007" i="4"/>
  <c r="L1007" i="4"/>
  <c r="M1007" i="4"/>
  <c r="N1007" i="4"/>
  <c r="O1007" i="4"/>
  <c r="P1007" i="4"/>
  <c r="Q1007" i="4"/>
  <c r="R1007" i="4"/>
  <c r="S1007" i="4"/>
  <c r="T1007" i="4"/>
  <c r="H1008" i="4"/>
  <c r="I1008" i="4"/>
  <c r="J1008" i="4"/>
  <c r="K1008" i="4"/>
  <c r="L1008" i="4"/>
  <c r="M1008" i="4"/>
  <c r="N1008" i="4"/>
  <c r="O1008" i="4"/>
  <c r="P1008" i="4"/>
  <c r="Q1008" i="4"/>
  <c r="R1008" i="4"/>
  <c r="S1008" i="4"/>
  <c r="T1008" i="4"/>
  <c r="H1009" i="4"/>
  <c r="I1009" i="4"/>
  <c r="J1009" i="4"/>
  <c r="K1009" i="4"/>
  <c r="L1009" i="4"/>
  <c r="M1009" i="4"/>
  <c r="N1009" i="4"/>
  <c r="O1009" i="4"/>
  <c r="P1009" i="4"/>
  <c r="Q1009" i="4"/>
  <c r="R1009" i="4"/>
  <c r="S1009" i="4"/>
  <c r="T1009" i="4"/>
  <c r="H1010" i="4"/>
  <c r="I1010" i="4"/>
  <c r="J1010" i="4"/>
  <c r="K1010" i="4"/>
  <c r="L1010" i="4"/>
  <c r="M1010" i="4"/>
  <c r="N1010" i="4"/>
  <c r="O1010" i="4"/>
  <c r="P1010" i="4"/>
  <c r="Q1010" i="4"/>
  <c r="R1010" i="4"/>
  <c r="S1010" i="4"/>
  <c r="T1010" i="4"/>
  <c r="H1011" i="4"/>
  <c r="I1011" i="4"/>
  <c r="J1011" i="4"/>
  <c r="K1011" i="4"/>
  <c r="L1011" i="4"/>
  <c r="M1011" i="4"/>
  <c r="N1011" i="4"/>
  <c r="O1011" i="4"/>
  <c r="P1011" i="4"/>
  <c r="Q1011" i="4"/>
  <c r="R1011" i="4"/>
  <c r="S1011" i="4"/>
  <c r="T1011" i="4"/>
  <c r="H1012" i="4"/>
  <c r="I1012" i="4"/>
  <c r="J1012" i="4"/>
  <c r="K1012" i="4"/>
  <c r="L1012" i="4"/>
  <c r="M1012" i="4"/>
  <c r="N1012" i="4"/>
  <c r="O1012" i="4"/>
  <c r="P1012" i="4"/>
  <c r="Q1012" i="4"/>
  <c r="R1012" i="4"/>
  <c r="S1012" i="4"/>
  <c r="T1012" i="4"/>
  <c r="H1013" i="4"/>
  <c r="I1013" i="4"/>
  <c r="J1013" i="4"/>
  <c r="K1013" i="4"/>
  <c r="L1013" i="4"/>
  <c r="M1013" i="4"/>
  <c r="N1013" i="4"/>
  <c r="O1013" i="4"/>
  <c r="P1013" i="4"/>
  <c r="Q1013" i="4"/>
  <c r="R1013" i="4"/>
  <c r="S1013" i="4"/>
  <c r="T1013" i="4"/>
  <c r="H1014" i="4"/>
  <c r="I1014" i="4"/>
  <c r="J1014" i="4"/>
  <c r="K1014" i="4"/>
  <c r="L1014" i="4"/>
  <c r="M1014" i="4"/>
  <c r="N1014" i="4"/>
  <c r="O1014" i="4"/>
  <c r="P1014" i="4"/>
  <c r="Q1014" i="4"/>
  <c r="R1014" i="4"/>
  <c r="S1014" i="4"/>
  <c r="T1014" i="4"/>
  <c r="H1015" i="4"/>
  <c r="I1015" i="4"/>
  <c r="J1015" i="4"/>
  <c r="K1015" i="4"/>
  <c r="L1015" i="4"/>
  <c r="M1015" i="4"/>
  <c r="N1015" i="4"/>
  <c r="O1015" i="4"/>
  <c r="P1015" i="4"/>
  <c r="Q1015" i="4"/>
  <c r="R1015" i="4"/>
  <c r="S1015" i="4"/>
  <c r="T1015" i="4"/>
  <c r="H1016" i="4"/>
  <c r="I1016" i="4"/>
  <c r="J1016" i="4"/>
  <c r="K1016" i="4"/>
  <c r="L1016" i="4"/>
  <c r="M1016" i="4"/>
  <c r="N1016" i="4"/>
  <c r="O1016" i="4"/>
  <c r="P1016" i="4"/>
  <c r="Q1016" i="4"/>
  <c r="R1016" i="4"/>
  <c r="S1016" i="4"/>
  <c r="T1016" i="4"/>
  <c r="H1017" i="4"/>
  <c r="I1017" i="4"/>
  <c r="J1017" i="4"/>
  <c r="K1017" i="4"/>
  <c r="L1017" i="4"/>
  <c r="M1017" i="4"/>
  <c r="N1017" i="4"/>
  <c r="O1017" i="4"/>
  <c r="P1017" i="4"/>
  <c r="Q1017" i="4"/>
  <c r="R1017" i="4"/>
  <c r="S1017" i="4"/>
  <c r="T1017" i="4"/>
  <c r="H1018" i="4"/>
  <c r="I1018" i="4"/>
  <c r="J1018" i="4"/>
  <c r="K1018" i="4"/>
  <c r="L1018" i="4"/>
  <c r="M1018" i="4"/>
  <c r="N1018" i="4"/>
  <c r="O1018" i="4"/>
  <c r="P1018" i="4"/>
  <c r="Q1018" i="4"/>
  <c r="R1018" i="4"/>
  <c r="S1018" i="4"/>
  <c r="T1018" i="4"/>
  <c r="H1019" i="4"/>
  <c r="I1019" i="4"/>
  <c r="J1019" i="4"/>
  <c r="K1019" i="4"/>
  <c r="L1019" i="4"/>
  <c r="M1019" i="4"/>
  <c r="N1019" i="4"/>
  <c r="O1019" i="4"/>
  <c r="P1019" i="4"/>
  <c r="Q1019" i="4"/>
  <c r="R1019" i="4"/>
  <c r="S1019" i="4"/>
  <c r="T1019" i="4"/>
  <c r="H1020" i="4"/>
  <c r="I1020" i="4"/>
  <c r="J1020" i="4"/>
  <c r="K1020" i="4"/>
  <c r="L1020" i="4"/>
  <c r="M1020" i="4"/>
  <c r="N1020" i="4"/>
  <c r="O1020" i="4"/>
  <c r="P1020" i="4"/>
  <c r="Q1020" i="4"/>
  <c r="R1020" i="4"/>
  <c r="S1020" i="4"/>
  <c r="T1020" i="4"/>
  <c r="H1021" i="4"/>
  <c r="I1021" i="4"/>
  <c r="J1021" i="4"/>
  <c r="K1021" i="4"/>
  <c r="L1021" i="4"/>
  <c r="M1021" i="4"/>
  <c r="N1021" i="4"/>
  <c r="O1021" i="4"/>
  <c r="P1021" i="4"/>
  <c r="Q1021" i="4"/>
  <c r="R1021" i="4"/>
  <c r="S1021" i="4"/>
  <c r="T1021" i="4"/>
  <c r="H1022" i="4"/>
  <c r="I1022" i="4"/>
  <c r="J1022" i="4"/>
  <c r="K1022" i="4"/>
  <c r="L1022" i="4"/>
  <c r="M1022" i="4"/>
  <c r="N1022" i="4"/>
  <c r="O1022" i="4"/>
  <c r="P1022" i="4"/>
  <c r="Q1022" i="4"/>
  <c r="R1022" i="4"/>
  <c r="S1022" i="4"/>
  <c r="T1022" i="4"/>
  <c r="H1023" i="4"/>
  <c r="I1023" i="4"/>
  <c r="J1023" i="4"/>
  <c r="K1023" i="4"/>
  <c r="L1023" i="4"/>
  <c r="M1023" i="4"/>
  <c r="N1023" i="4"/>
  <c r="O1023" i="4"/>
  <c r="P1023" i="4"/>
  <c r="Q1023" i="4"/>
  <c r="R1023" i="4"/>
  <c r="S1023" i="4"/>
  <c r="T1023" i="4"/>
  <c r="H1024" i="4"/>
  <c r="I1024" i="4"/>
  <c r="J1024" i="4"/>
  <c r="K1024" i="4"/>
  <c r="L1024" i="4"/>
  <c r="M1024" i="4"/>
  <c r="N1024" i="4"/>
  <c r="O1024" i="4"/>
  <c r="P1024" i="4"/>
  <c r="Q1024" i="4"/>
  <c r="R1024" i="4"/>
  <c r="S1024" i="4"/>
  <c r="T1024" i="4"/>
  <c r="H1025" i="4"/>
  <c r="I1025" i="4"/>
  <c r="J1025" i="4"/>
  <c r="K1025" i="4"/>
  <c r="L1025" i="4"/>
  <c r="M1025" i="4"/>
  <c r="N1025" i="4"/>
  <c r="O1025" i="4"/>
  <c r="P1025" i="4"/>
  <c r="Q1025" i="4"/>
  <c r="R1025" i="4"/>
  <c r="S1025" i="4"/>
  <c r="T1025" i="4"/>
  <c r="H1026" i="4"/>
  <c r="I1026" i="4"/>
  <c r="J1026" i="4"/>
  <c r="K1026" i="4"/>
  <c r="L1026" i="4"/>
  <c r="M1026" i="4"/>
  <c r="N1026" i="4"/>
  <c r="O1026" i="4"/>
  <c r="P1026" i="4"/>
  <c r="Q1026" i="4"/>
  <c r="R1026" i="4"/>
  <c r="S1026" i="4"/>
  <c r="T1026" i="4"/>
  <c r="H1027" i="4"/>
  <c r="I1027" i="4"/>
  <c r="J1027" i="4"/>
  <c r="K1027" i="4"/>
  <c r="L1027" i="4"/>
  <c r="M1027" i="4"/>
  <c r="N1027" i="4"/>
  <c r="O1027" i="4"/>
  <c r="P1027" i="4"/>
  <c r="Q1027" i="4"/>
  <c r="R1027" i="4"/>
  <c r="S1027" i="4"/>
  <c r="T1027" i="4"/>
  <c r="H1028" i="4"/>
  <c r="I1028" i="4"/>
  <c r="J1028" i="4"/>
  <c r="K1028" i="4"/>
  <c r="L1028" i="4"/>
  <c r="M1028" i="4"/>
  <c r="N1028" i="4"/>
  <c r="O1028" i="4"/>
  <c r="P1028" i="4"/>
  <c r="Q1028" i="4"/>
  <c r="R1028" i="4"/>
  <c r="S1028" i="4"/>
  <c r="T1028" i="4"/>
  <c r="H1029" i="4"/>
  <c r="I1029" i="4"/>
  <c r="J1029" i="4"/>
  <c r="K1029" i="4"/>
  <c r="L1029" i="4"/>
  <c r="M1029" i="4"/>
  <c r="N1029" i="4"/>
  <c r="O1029" i="4"/>
  <c r="P1029" i="4"/>
  <c r="Q1029" i="4"/>
  <c r="R1029" i="4"/>
  <c r="S1029" i="4"/>
  <c r="T1029" i="4"/>
  <c r="H1030" i="4"/>
  <c r="I1030" i="4"/>
  <c r="J1030" i="4"/>
  <c r="K1030" i="4"/>
  <c r="L1030" i="4"/>
  <c r="M1030" i="4"/>
  <c r="N1030" i="4"/>
  <c r="O1030" i="4"/>
  <c r="P1030" i="4"/>
  <c r="Q1030" i="4"/>
  <c r="R1030" i="4"/>
  <c r="S1030" i="4"/>
  <c r="T1030" i="4"/>
  <c r="H1031" i="4"/>
  <c r="I1031" i="4"/>
  <c r="J1031" i="4"/>
  <c r="K1031" i="4"/>
  <c r="L1031" i="4"/>
  <c r="M1031" i="4"/>
  <c r="N1031" i="4"/>
  <c r="O1031" i="4"/>
  <c r="P1031" i="4"/>
  <c r="Q1031" i="4"/>
  <c r="R1031" i="4"/>
  <c r="S1031" i="4"/>
  <c r="T1031" i="4"/>
  <c r="H1032" i="4"/>
  <c r="I1032" i="4"/>
  <c r="J1032" i="4"/>
  <c r="K1032" i="4"/>
  <c r="L1032" i="4"/>
  <c r="M1032" i="4"/>
  <c r="N1032" i="4"/>
  <c r="O1032" i="4"/>
  <c r="P1032" i="4"/>
  <c r="Q1032" i="4"/>
  <c r="R1032" i="4"/>
  <c r="S1032" i="4"/>
  <c r="T1032" i="4"/>
  <c r="H1033" i="4"/>
  <c r="I1033" i="4"/>
  <c r="J1033" i="4"/>
  <c r="K1033" i="4"/>
  <c r="L1033" i="4"/>
  <c r="M1033" i="4"/>
  <c r="N1033" i="4"/>
  <c r="O1033" i="4"/>
  <c r="P1033" i="4"/>
  <c r="Q1033" i="4"/>
  <c r="R1033" i="4"/>
  <c r="S1033" i="4"/>
  <c r="T1033" i="4"/>
  <c r="H1034" i="4"/>
  <c r="I1034" i="4"/>
  <c r="J1034" i="4"/>
  <c r="K1034" i="4"/>
  <c r="L1034" i="4"/>
  <c r="M1034" i="4"/>
  <c r="N1034" i="4"/>
  <c r="O1034" i="4"/>
  <c r="P1034" i="4"/>
  <c r="Q1034" i="4"/>
  <c r="R1034" i="4"/>
  <c r="S1034" i="4"/>
  <c r="T1034" i="4"/>
  <c r="H1035" i="4"/>
  <c r="I1035" i="4"/>
  <c r="J1035" i="4"/>
  <c r="K1035" i="4"/>
  <c r="L1035" i="4"/>
  <c r="M1035" i="4"/>
  <c r="N1035" i="4"/>
  <c r="O1035" i="4"/>
  <c r="P1035" i="4"/>
  <c r="Q1035" i="4"/>
  <c r="R1035" i="4"/>
  <c r="S1035" i="4"/>
  <c r="T1035" i="4"/>
  <c r="H1036" i="4"/>
  <c r="I1036" i="4"/>
  <c r="J1036" i="4"/>
  <c r="K1036" i="4"/>
  <c r="L1036" i="4"/>
  <c r="M1036" i="4"/>
  <c r="N1036" i="4"/>
  <c r="O1036" i="4"/>
  <c r="P1036" i="4"/>
  <c r="Q1036" i="4"/>
  <c r="R1036" i="4"/>
  <c r="S1036" i="4"/>
  <c r="T1036" i="4"/>
  <c r="H1037" i="4"/>
  <c r="I1037" i="4"/>
  <c r="J1037" i="4"/>
  <c r="K1037" i="4"/>
  <c r="L1037" i="4"/>
  <c r="M1037" i="4"/>
  <c r="N1037" i="4"/>
  <c r="O1037" i="4"/>
  <c r="P1037" i="4"/>
  <c r="Q1037" i="4"/>
  <c r="R1037" i="4"/>
  <c r="S1037" i="4"/>
  <c r="T1037" i="4"/>
  <c r="H1038" i="4"/>
  <c r="I1038" i="4"/>
  <c r="J1038" i="4"/>
  <c r="K1038" i="4"/>
  <c r="L1038" i="4"/>
  <c r="M1038" i="4"/>
  <c r="N1038" i="4"/>
  <c r="O1038" i="4"/>
  <c r="P1038" i="4"/>
  <c r="Q1038" i="4"/>
  <c r="R1038" i="4"/>
  <c r="S1038" i="4"/>
  <c r="T1038" i="4"/>
  <c r="H1039" i="4"/>
  <c r="I1039" i="4"/>
  <c r="J1039" i="4"/>
  <c r="K1039" i="4"/>
  <c r="L1039" i="4"/>
  <c r="M1039" i="4"/>
  <c r="N1039" i="4"/>
  <c r="O1039" i="4"/>
  <c r="P1039" i="4"/>
  <c r="Q1039" i="4"/>
  <c r="R1039" i="4"/>
  <c r="S1039" i="4"/>
  <c r="T1039" i="4"/>
  <c r="H1040" i="4"/>
  <c r="I1040" i="4"/>
  <c r="J1040" i="4"/>
  <c r="K1040" i="4"/>
  <c r="L1040" i="4"/>
  <c r="M1040" i="4"/>
  <c r="N1040" i="4"/>
  <c r="O1040" i="4"/>
  <c r="P1040" i="4"/>
  <c r="Q1040" i="4"/>
  <c r="R1040" i="4"/>
  <c r="S1040" i="4"/>
  <c r="T1040" i="4"/>
  <c r="H1041" i="4"/>
  <c r="I1041" i="4"/>
  <c r="J1041" i="4"/>
  <c r="K1041" i="4"/>
  <c r="L1041" i="4"/>
  <c r="M1041" i="4"/>
  <c r="N1041" i="4"/>
  <c r="O1041" i="4"/>
  <c r="P1041" i="4"/>
  <c r="Q1041" i="4"/>
  <c r="R1041" i="4"/>
  <c r="S1041" i="4"/>
  <c r="T1041" i="4"/>
  <c r="H1042" i="4"/>
  <c r="I1042" i="4"/>
  <c r="J1042" i="4"/>
  <c r="K1042" i="4"/>
  <c r="L1042" i="4"/>
  <c r="M1042" i="4"/>
  <c r="N1042" i="4"/>
  <c r="O1042" i="4"/>
  <c r="P1042" i="4"/>
  <c r="Q1042" i="4"/>
  <c r="R1042" i="4"/>
  <c r="S1042" i="4"/>
  <c r="T1042" i="4"/>
  <c r="H1043" i="4"/>
  <c r="I1043" i="4"/>
  <c r="J1043" i="4"/>
  <c r="K1043" i="4"/>
  <c r="L1043" i="4"/>
  <c r="M1043" i="4"/>
  <c r="N1043" i="4"/>
  <c r="O1043" i="4"/>
  <c r="P1043" i="4"/>
  <c r="Q1043" i="4"/>
  <c r="R1043" i="4"/>
  <c r="S1043" i="4"/>
  <c r="T1043" i="4"/>
  <c r="H1044" i="4"/>
  <c r="I1044" i="4"/>
  <c r="J1044" i="4"/>
  <c r="K1044" i="4"/>
  <c r="L1044" i="4"/>
  <c r="M1044" i="4"/>
  <c r="N1044" i="4"/>
  <c r="O1044" i="4"/>
  <c r="P1044" i="4"/>
  <c r="Q1044" i="4"/>
  <c r="R1044" i="4"/>
  <c r="S1044" i="4"/>
  <c r="T1044" i="4"/>
  <c r="H1045" i="4"/>
  <c r="I1045" i="4"/>
  <c r="J1045" i="4"/>
  <c r="K1045" i="4"/>
  <c r="L1045" i="4"/>
  <c r="M1045" i="4"/>
  <c r="N1045" i="4"/>
  <c r="O1045" i="4"/>
  <c r="P1045" i="4"/>
  <c r="Q1045" i="4"/>
  <c r="R1045" i="4"/>
  <c r="S1045" i="4"/>
  <c r="T1045" i="4"/>
  <c r="H1046" i="4"/>
  <c r="I1046" i="4"/>
  <c r="J1046" i="4"/>
  <c r="K1046" i="4"/>
  <c r="L1046" i="4"/>
  <c r="M1046" i="4"/>
  <c r="N1046" i="4"/>
  <c r="O1046" i="4"/>
  <c r="P1046" i="4"/>
  <c r="Q1046" i="4"/>
  <c r="R1046" i="4"/>
  <c r="S1046" i="4"/>
  <c r="T1046" i="4"/>
  <c r="H1047" i="4"/>
  <c r="I1047" i="4"/>
  <c r="J1047" i="4"/>
  <c r="K1047" i="4"/>
  <c r="L1047" i="4"/>
  <c r="M1047" i="4"/>
  <c r="N1047" i="4"/>
  <c r="O1047" i="4"/>
  <c r="P1047" i="4"/>
  <c r="Q1047" i="4"/>
  <c r="R1047" i="4"/>
  <c r="S1047" i="4"/>
  <c r="T1047" i="4"/>
  <c r="H1048" i="4"/>
  <c r="I1048" i="4"/>
  <c r="J1048" i="4"/>
  <c r="K1048" i="4"/>
  <c r="L1048" i="4"/>
  <c r="M1048" i="4"/>
  <c r="N1048" i="4"/>
  <c r="O1048" i="4"/>
  <c r="P1048" i="4"/>
  <c r="Q1048" i="4"/>
  <c r="R1048" i="4"/>
  <c r="S1048" i="4"/>
  <c r="T1048" i="4"/>
  <c r="H1049" i="4"/>
  <c r="I1049" i="4"/>
  <c r="J1049" i="4"/>
  <c r="K1049" i="4"/>
  <c r="L1049" i="4"/>
  <c r="M1049" i="4"/>
  <c r="N1049" i="4"/>
  <c r="O1049" i="4"/>
  <c r="P1049" i="4"/>
  <c r="Q1049" i="4"/>
  <c r="R1049" i="4"/>
  <c r="S1049" i="4"/>
  <c r="T1049" i="4"/>
  <c r="H1050" i="4"/>
  <c r="I1050" i="4"/>
  <c r="J1050" i="4"/>
  <c r="K1050" i="4"/>
  <c r="L1050" i="4"/>
  <c r="M1050" i="4"/>
  <c r="N1050" i="4"/>
  <c r="O1050" i="4"/>
  <c r="P1050" i="4"/>
  <c r="Q1050" i="4"/>
  <c r="R1050" i="4"/>
  <c r="S1050" i="4"/>
  <c r="T1050" i="4"/>
  <c r="H1051" i="4"/>
  <c r="I1051" i="4"/>
  <c r="J1051" i="4"/>
  <c r="K1051" i="4"/>
  <c r="L1051" i="4"/>
  <c r="M1051" i="4"/>
  <c r="N1051" i="4"/>
  <c r="O1051" i="4"/>
  <c r="P1051" i="4"/>
  <c r="Q1051" i="4"/>
  <c r="R1051" i="4"/>
  <c r="S1051" i="4"/>
  <c r="T1051" i="4"/>
  <c r="H1052" i="4"/>
  <c r="I1052" i="4"/>
  <c r="J1052" i="4"/>
  <c r="K1052" i="4"/>
  <c r="L1052" i="4"/>
  <c r="M1052" i="4"/>
  <c r="N1052" i="4"/>
  <c r="O1052" i="4"/>
  <c r="P1052" i="4"/>
  <c r="Q1052" i="4"/>
  <c r="R1052" i="4"/>
  <c r="S1052" i="4"/>
  <c r="T1052" i="4"/>
  <c r="H1053" i="4"/>
  <c r="I1053" i="4"/>
  <c r="J1053" i="4"/>
  <c r="K1053" i="4"/>
  <c r="L1053" i="4"/>
  <c r="M1053" i="4"/>
  <c r="N1053" i="4"/>
  <c r="O1053" i="4"/>
  <c r="P1053" i="4"/>
  <c r="Q1053" i="4"/>
  <c r="R1053" i="4"/>
  <c r="S1053" i="4"/>
  <c r="T1053" i="4"/>
  <c r="H1054" i="4"/>
  <c r="I1054" i="4"/>
  <c r="J1054" i="4"/>
  <c r="K1054" i="4"/>
  <c r="L1054" i="4"/>
  <c r="M1054" i="4"/>
  <c r="N1054" i="4"/>
  <c r="O1054" i="4"/>
  <c r="P1054" i="4"/>
  <c r="Q1054" i="4"/>
  <c r="R1054" i="4"/>
  <c r="S1054" i="4"/>
  <c r="T1054" i="4"/>
  <c r="H1055" i="4"/>
  <c r="I1055" i="4"/>
  <c r="J1055" i="4"/>
  <c r="K1055" i="4"/>
  <c r="L1055" i="4"/>
  <c r="M1055" i="4"/>
  <c r="N1055" i="4"/>
  <c r="O1055" i="4"/>
  <c r="P1055" i="4"/>
  <c r="Q1055" i="4"/>
  <c r="R1055" i="4"/>
  <c r="S1055" i="4"/>
  <c r="T1055" i="4"/>
  <c r="H1056" i="4"/>
  <c r="I1056" i="4"/>
  <c r="J1056" i="4"/>
  <c r="K1056" i="4"/>
  <c r="L1056" i="4"/>
  <c r="M1056" i="4"/>
  <c r="N1056" i="4"/>
  <c r="O1056" i="4"/>
  <c r="P1056" i="4"/>
  <c r="Q1056" i="4"/>
  <c r="R1056" i="4"/>
  <c r="S1056" i="4"/>
  <c r="T1056" i="4"/>
  <c r="H1057" i="4"/>
  <c r="I1057" i="4"/>
  <c r="J1057" i="4"/>
  <c r="K1057" i="4"/>
  <c r="L1057" i="4"/>
  <c r="M1057" i="4"/>
  <c r="N1057" i="4"/>
  <c r="O1057" i="4"/>
  <c r="P1057" i="4"/>
  <c r="Q1057" i="4"/>
  <c r="R1057" i="4"/>
  <c r="S1057" i="4"/>
  <c r="T1057" i="4"/>
  <c r="H1058" i="4"/>
  <c r="I1058" i="4"/>
  <c r="J1058" i="4"/>
  <c r="K1058" i="4"/>
  <c r="L1058" i="4"/>
  <c r="M1058" i="4"/>
  <c r="N1058" i="4"/>
  <c r="O1058" i="4"/>
  <c r="P1058" i="4"/>
  <c r="Q1058" i="4"/>
  <c r="R1058" i="4"/>
  <c r="S1058" i="4"/>
  <c r="T1058" i="4"/>
  <c r="H1059" i="4"/>
  <c r="I1059" i="4"/>
  <c r="J1059" i="4"/>
  <c r="K1059" i="4"/>
  <c r="L1059" i="4"/>
  <c r="M1059" i="4"/>
  <c r="N1059" i="4"/>
  <c r="O1059" i="4"/>
  <c r="P1059" i="4"/>
  <c r="Q1059" i="4"/>
  <c r="R1059" i="4"/>
  <c r="S1059" i="4"/>
  <c r="T1059" i="4"/>
  <c r="H1060" i="4"/>
  <c r="I1060" i="4"/>
  <c r="J1060" i="4"/>
  <c r="K1060" i="4"/>
  <c r="L1060" i="4"/>
  <c r="M1060" i="4"/>
  <c r="N1060" i="4"/>
  <c r="O1060" i="4"/>
  <c r="P1060" i="4"/>
  <c r="Q1060" i="4"/>
  <c r="R1060" i="4"/>
  <c r="S1060" i="4"/>
  <c r="T1060" i="4"/>
  <c r="H1061" i="4"/>
  <c r="I1061" i="4"/>
  <c r="J1061" i="4"/>
  <c r="K1061" i="4"/>
  <c r="L1061" i="4"/>
  <c r="M1061" i="4"/>
  <c r="N1061" i="4"/>
  <c r="O1061" i="4"/>
  <c r="P1061" i="4"/>
  <c r="Q1061" i="4"/>
  <c r="R1061" i="4"/>
  <c r="S1061" i="4"/>
  <c r="T1061" i="4"/>
  <c r="H1062" i="4"/>
  <c r="I1062" i="4"/>
  <c r="J1062" i="4"/>
  <c r="K1062" i="4"/>
  <c r="L1062" i="4"/>
  <c r="M1062" i="4"/>
  <c r="N1062" i="4"/>
  <c r="O1062" i="4"/>
  <c r="P1062" i="4"/>
  <c r="Q1062" i="4"/>
  <c r="R1062" i="4"/>
  <c r="S1062" i="4"/>
  <c r="T1062" i="4"/>
  <c r="H1063" i="4"/>
  <c r="I1063" i="4"/>
  <c r="J1063" i="4"/>
  <c r="K1063" i="4"/>
  <c r="L1063" i="4"/>
  <c r="M1063" i="4"/>
  <c r="N1063" i="4"/>
  <c r="O1063" i="4"/>
  <c r="P1063" i="4"/>
  <c r="Q1063" i="4"/>
  <c r="R1063" i="4"/>
  <c r="S1063" i="4"/>
  <c r="T1063" i="4"/>
  <c r="H1064" i="4"/>
  <c r="I1064" i="4"/>
  <c r="J1064" i="4"/>
  <c r="K1064" i="4"/>
  <c r="L1064" i="4"/>
  <c r="M1064" i="4"/>
  <c r="N1064" i="4"/>
  <c r="O1064" i="4"/>
  <c r="P1064" i="4"/>
  <c r="Q1064" i="4"/>
  <c r="R1064" i="4"/>
  <c r="S1064" i="4"/>
  <c r="T1064" i="4"/>
  <c r="H1065" i="4"/>
  <c r="I1065" i="4"/>
  <c r="J1065" i="4"/>
  <c r="K1065" i="4"/>
  <c r="L1065" i="4"/>
  <c r="M1065" i="4"/>
  <c r="N1065" i="4"/>
  <c r="O1065" i="4"/>
  <c r="P1065" i="4"/>
  <c r="Q1065" i="4"/>
  <c r="R1065" i="4"/>
  <c r="S1065" i="4"/>
  <c r="T1065" i="4"/>
  <c r="H1066" i="4"/>
  <c r="I1066" i="4"/>
  <c r="J1066" i="4"/>
  <c r="K1066" i="4"/>
  <c r="L1066" i="4"/>
  <c r="M1066" i="4"/>
  <c r="N1066" i="4"/>
  <c r="O1066" i="4"/>
  <c r="P1066" i="4"/>
  <c r="Q1066" i="4"/>
  <c r="R1066" i="4"/>
  <c r="S1066" i="4"/>
  <c r="T1066" i="4"/>
  <c r="H1067" i="4"/>
  <c r="I1067" i="4"/>
  <c r="J1067" i="4"/>
  <c r="K1067" i="4"/>
  <c r="L1067" i="4"/>
  <c r="M1067" i="4"/>
  <c r="N1067" i="4"/>
  <c r="O1067" i="4"/>
  <c r="P1067" i="4"/>
  <c r="Q1067" i="4"/>
  <c r="R1067" i="4"/>
  <c r="S1067" i="4"/>
  <c r="T1067" i="4"/>
  <c r="H1068" i="4"/>
  <c r="I1068" i="4"/>
  <c r="J1068" i="4"/>
  <c r="K1068" i="4"/>
  <c r="L1068" i="4"/>
  <c r="M1068" i="4"/>
  <c r="N1068" i="4"/>
  <c r="O1068" i="4"/>
  <c r="P1068" i="4"/>
  <c r="Q1068" i="4"/>
  <c r="R1068" i="4"/>
  <c r="S1068" i="4"/>
  <c r="T1068" i="4"/>
  <c r="H1069" i="4"/>
  <c r="I1069" i="4"/>
  <c r="J1069" i="4"/>
  <c r="K1069" i="4"/>
  <c r="L1069" i="4"/>
  <c r="M1069" i="4"/>
  <c r="N1069" i="4"/>
  <c r="O1069" i="4"/>
  <c r="P1069" i="4"/>
  <c r="Q1069" i="4"/>
  <c r="R1069" i="4"/>
  <c r="S1069" i="4"/>
  <c r="T1069" i="4"/>
  <c r="H1070" i="4"/>
  <c r="I1070" i="4"/>
  <c r="J1070" i="4"/>
  <c r="K1070" i="4"/>
  <c r="L1070" i="4"/>
  <c r="M1070" i="4"/>
  <c r="N1070" i="4"/>
  <c r="O1070" i="4"/>
  <c r="P1070" i="4"/>
  <c r="Q1070" i="4"/>
  <c r="R1070" i="4"/>
  <c r="S1070" i="4"/>
  <c r="T1070" i="4"/>
  <c r="H1071" i="4"/>
  <c r="I1071" i="4"/>
  <c r="J1071" i="4"/>
  <c r="K1071" i="4"/>
  <c r="L1071" i="4"/>
  <c r="M1071" i="4"/>
  <c r="N1071" i="4"/>
  <c r="O1071" i="4"/>
  <c r="P1071" i="4"/>
  <c r="Q1071" i="4"/>
  <c r="R1071" i="4"/>
  <c r="S1071" i="4"/>
  <c r="T1071" i="4"/>
  <c r="H1072" i="4"/>
  <c r="I1072" i="4"/>
  <c r="J1072" i="4"/>
  <c r="K1072" i="4"/>
  <c r="L1072" i="4"/>
  <c r="M1072" i="4"/>
  <c r="N1072" i="4"/>
  <c r="O1072" i="4"/>
  <c r="P1072" i="4"/>
  <c r="Q1072" i="4"/>
  <c r="R1072" i="4"/>
  <c r="S1072" i="4"/>
  <c r="T1072" i="4"/>
  <c r="H1073" i="4"/>
  <c r="I1073" i="4"/>
  <c r="J1073" i="4"/>
  <c r="K1073" i="4"/>
  <c r="L1073" i="4"/>
  <c r="M1073" i="4"/>
  <c r="N1073" i="4"/>
  <c r="O1073" i="4"/>
  <c r="P1073" i="4"/>
  <c r="Q1073" i="4"/>
  <c r="R1073" i="4"/>
  <c r="S1073" i="4"/>
  <c r="T1073" i="4"/>
  <c r="H1074" i="4"/>
  <c r="I1074" i="4"/>
  <c r="J1074" i="4"/>
  <c r="K1074" i="4"/>
  <c r="L1074" i="4"/>
  <c r="M1074" i="4"/>
  <c r="N1074" i="4"/>
  <c r="O1074" i="4"/>
  <c r="P1074" i="4"/>
  <c r="Q1074" i="4"/>
  <c r="R1074" i="4"/>
  <c r="S1074" i="4"/>
  <c r="T1074" i="4"/>
  <c r="H1075" i="4"/>
  <c r="I1075" i="4"/>
  <c r="J1075" i="4"/>
  <c r="K1075" i="4"/>
  <c r="L1075" i="4"/>
  <c r="M1075" i="4"/>
  <c r="N1075" i="4"/>
  <c r="O1075" i="4"/>
  <c r="P1075" i="4"/>
  <c r="Q1075" i="4"/>
  <c r="R1075" i="4"/>
  <c r="S1075" i="4"/>
  <c r="T1075" i="4"/>
  <c r="H1076" i="4"/>
  <c r="I1076" i="4"/>
  <c r="J1076" i="4"/>
  <c r="K1076" i="4"/>
  <c r="L1076" i="4"/>
  <c r="M1076" i="4"/>
  <c r="N1076" i="4"/>
  <c r="O1076" i="4"/>
  <c r="P1076" i="4"/>
  <c r="Q1076" i="4"/>
  <c r="R1076" i="4"/>
  <c r="S1076" i="4"/>
  <c r="T1076" i="4"/>
  <c r="H1077" i="4"/>
  <c r="I1077" i="4"/>
  <c r="J1077" i="4"/>
  <c r="K1077" i="4"/>
  <c r="L1077" i="4"/>
  <c r="M1077" i="4"/>
  <c r="N1077" i="4"/>
  <c r="O1077" i="4"/>
  <c r="P1077" i="4"/>
  <c r="Q1077" i="4"/>
  <c r="R1077" i="4"/>
  <c r="S1077" i="4"/>
  <c r="T1077" i="4"/>
  <c r="H1078" i="4"/>
  <c r="I1078" i="4"/>
  <c r="J1078" i="4"/>
  <c r="K1078" i="4"/>
  <c r="L1078" i="4"/>
  <c r="M1078" i="4"/>
  <c r="N1078" i="4"/>
  <c r="O1078" i="4"/>
  <c r="P1078" i="4"/>
  <c r="Q1078" i="4"/>
  <c r="R1078" i="4"/>
  <c r="S1078" i="4"/>
  <c r="T1078" i="4"/>
  <c r="H1079" i="4"/>
  <c r="I1079" i="4"/>
  <c r="J1079" i="4"/>
  <c r="K1079" i="4"/>
  <c r="L1079" i="4"/>
  <c r="M1079" i="4"/>
  <c r="N1079" i="4"/>
  <c r="O1079" i="4"/>
  <c r="P1079" i="4"/>
  <c r="Q1079" i="4"/>
  <c r="R1079" i="4"/>
  <c r="S1079" i="4"/>
  <c r="T1079" i="4"/>
  <c r="H1080" i="4"/>
  <c r="I1080" i="4"/>
  <c r="J1080" i="4"/>
  <c r="K1080" i="4"/>
  <c r="L1080" i="4"/>
  <c r="M1080" i="4"/>
  <c r="N1080" i="4"/>
  <c r="O1080" i="4"/>
  <c r="P1080" i="4"/>
  <c r="Q1080" i="4"/>
  <c r="R1080" i="4"/>
  <c r="S1080" i="4"/>
  <c r="T1080" i="4"/>
  <c r="H1081" i="4"/>
  <c r="I1081" i="4"/>
  <c r="J1081" i="4"/>
  <c r="K1081" i="4"/>
  <c r="L1081" i="4"/>
  <c r="M1081" i="4"/>
  <c r="N1081" i="4"/>
  <c r="O1081" i="4"/>
  <c r="P1081" i="4"/>
  <c r="Q1081" i="4"/>
  <c r="R1081" i="4"/>
  <c r="S1081" i="4"/>
  <c r="T1081" i="4"/>
  <c r="H1082" i="4"/>
  <c r="I1082" i="4"/>
  <c r="J1082" i="4"/>
  <c r="K1082" i="4"/>
  <c r="L1082" i="4"/>
  <c r="M1082" i="4"/>
  <c r="N1082" i="4"/>
  <c r="O1082" i="4"/>
  <c r="P1082" i="4"/>
  <c r="Q1082" i="4"/>
  <c r="R1082" i="4"/>
  <c r="S1082" i="4"/>
  <c r="T1082" i="4"/>
  <c r="H1083" i="4"/>
  <c r="I1083" i="4"/>
  <c r="J1083" i="4"/>
  <c r="K1083" i="4"/>
  <c r="L1083" i="4"/>
  <c r="M1083" i="4"/>
  <c r="N1083" i="4"/>
  <c r="O1083" i="4"/>
  <c r="P1083" i="4"/>
  <c r="Q1083" i="4"/>
  <c r="R1083" i="4"/>
  <c r="S1083" i="4"/>
  <c r="T1083" i="4"/>
  <c r="H1084" i="4"/>
  <c r="I1084" i="4"/>
  <c r="J1084" i="4"/>
  <c r="K1084" i="4"/>
  <c r="L1084" i="4"/>
  <c r="M1084" i="4"/>
  <c r="N1084" i="4"/>
  <c r="O1084" i="4"/>
  <c r="P1084" i="4"/>
  <c r="Q1084" i="4"/>
  <c r="R1084" i="4"/>
  <c r="S1084" i="4"/>
  <c r="T1084" i="4"/>
  <c r="H1085" i="4"/>
  <c r="I1085" i="4"/>
  <c r="J1085" i="4"/>
  <c r="K1085" i="4"/>
  <c r="L1085" i="4"/>
  <c r="M1085" i="4"/>
  <c r="N1085" i="4"/>
  <c r="O1085" i="4"/>
  <c r="P1085" i="4"/>
  <c r="Q1085" i="4"/>
  <c r="R1085" i="4"/>
  <c r="S1085" i="4"/>
  <c r="T1085" i="4"/>
  <c r="H1086" i="4"/>
  <c r="I1086" i="4"/>
  <c r="J1086" i="4"/>
  <c r="K1086" i="4"/>
  <c r="L1086" i="4"/>
  <c r="M1086" i="4"/>
  <c r="N1086" i="4"/>
  <c r="O1086" i="4"/>
  <c r="P1086" i="4"/>
  <c r="Q1086" i="4"/>
  <c r="R1086" i="4"/>
  <c r="S1086" i="4"/>
  <c r="T1086" i="4"/>
  <c r="H1087" i="4"/>
  <c r="I1087" i="4"/>
  <c r="J1087" i="4"/>
  <c r="K1087" i="4"/>
  <c r="L1087" i="4"/>
  <c r="M1087" i="4"/>
  <c r="N1087" i="4"/>
  <c r="O1087" i="4"/>
  <c r="P1087" i="4"/>
  <c r="Q1087" i="4"/>
  <c r="R1087" i="4"/>
  <c r="S1087" i="4"/>
  <c r="T1087" i="4"/>
  <c r="H1088" i="4"/>
  <c r="I1088" i="4"/>
  <c r="J1088" i="4"/>
  <c r="K1088" i="4"/>
  <c r="L1088" i="4"/>
  <c r="M1088" i="4"/>
  <c r="N1088" i="4"/>
  <c r="O1088" i="4"/>
  <c r="P1088" i="4"/>
  <c r="Q1088" i="4"/>
  <c r="R1088" i="4"/>
  <c r="S1088" i="4"/>
  <c r="T1088" i="4"/>
  <c r="H1089" i="4"/>
  <c r="I1089" i="4"/>
  <c r="J1089" i="4"/>
  <c r="K1089" i="4"/>
  <c r="L1089" i="4"/>
  <c r="M1089" i="4"/>
  <c r="N1089" i="4"/>
  <c r="O1089" i="4"/>
  <c r="P1089" i="4"/>
  <c r="Q1089" i="4"/>
  <c r="R1089" i="4"/>
  <c r="S1089" i="4"/>
  <c r="T1089" i="4"/>
  <c r="H1090" i="4"/>
  <c r="I1090" i="4"/>
  <c r="J1090" i="4"/>
  <c r="K1090" i="4"/>
  <c r="L1090" i="4"/>
  <c r="M1090" i="4"/>
  <c r="N1090" i="4"/>
  <c r="O1090" i="4"/>
  <c r="P1090" i="4"/>
  <c r="Q1090" i="4"/>
  <c r="R1090" i="4"/>
  <c r="S1090" i="4"/>
  <c r="T1090" i="4"/>
  <c r="H1091" i="4"/>
  <c r="I1091" i="4"/>
  <c r="J1091" i="4"/>
  <c r="K1091" i="4"/>
  <c r="L1091" i="4"/>
  <c r="M1091" i="4"/>
  <c r="N1091" i="4"/>
  <c r="O1091" i="4"/>
  <c r="P1091" i="4"/>
  <c r="Q1091" i="4"/>
  <c r="R1091" i="4"/>
  <c r="S1091" i="4"/>
  <c r="T1091" i="4"/>
  <c r="H1092" i="4"/>
  <c r="I1092" i="4"/>
  <c r="J1092" i="4"/>
  <c r="K1092" i="4"/>
  <c r="L1092" i="4"/>
  <c r="M1092" i="4"/>
  <c r="N1092" i="4"/>
  <c r="O1092" i="4"/>
  <c r="P1092" i="4"/>
  <c r="Q1092" i="4"/>
  <c r="R1092" i="4"/>
  <c r="S1092" i="4"/>
  <c r="T1092" i="4"/>
  <c r="H1093" i="4"/>
  <c r="I1093" i="4"/>
  <c r="J1093" i="4"/>
  <c r="K1093" i="4"/>
  <c r="L1093" i="4"/>
  <c r="M1093" i="4"/>
  <c r="N1093" i="4"/>
  <c r="O1093" i="4"/>
  <c r="P1093" i="4"/>
  <c r="Q1093" i="4"/>
  <c r="R1093" i="4"/>
  <c r="S1093" i="4"/>
  <c r="T1093" i="4"/>
  <c r="H1094" i="4"/>
  <c r="I1094" i="4"/>
  <c r="J1094" i="4"/>
  <c r="K1094" i="4"/>
  <c r="L1094" i="4"/>
  <c r="M1094" i="4"/>
  <c r="N1094" i="4"/>
  <c r="O1094" i="4"/>
  <c r="P1094" i="4"/>
  <c r="Q1094" i="4"/>
  <c r="R1094" i="4"/>
  <c r="S1094" i="4"/>
  <c r="T1094" i="4"/>
  <c r="H1095" i="4"/>
  <c r="I1095" i="4"/>
  <c r="J1095" i="4"/>
  <c r="K1095" i="4"/>
  <c r="L1095" i="4"/>
  <c r="M1095" i="4"/>
  <c r="N1095" i="4"/>
  <c r="O1095" i="4"/>
  <c r="P1095" i="4"/>
  <c r="Q1095" i="4"/>
  <c r="R1095" i="4"/>
  <c r="S1095" i="4"/>
  <c r="T1095" i="4"/>
  <c r="H1096" i="4"/>
  <c r="I1096" i="4"/>
  <c r="J1096" i="4"/>
  <c r="K1096" i="4"/>
  <c r="L1096" i="4"/>
  <c r="M1096" i="4"/>
  <c r="N1096" i="4"/>
  <c r="O1096" i="4"/>
  <c r="P1096" i="4"/>
  <c r="Q1096" i="4"/>
  <c r="R1096" i="4"/>
  <c r="S1096" i="4"/>
  <c r="T1096" i="4"/>
  <c r="H1097" i="4"/>
  <c r="I1097" i="4"/>
  <c r="J1097" i="4"/>
  <c r="K1097" i="4"/>
  <c r="L1097" i="4"/>
  <c r="M1097" i="4"/>
  <c r="N1097" i="4"/>
  <c r="O1097" i="4"/>
  <c r="P1097" i="4"/>
  <c r="Q1097" i="4"/>
  <c r="R1097" i="4"/>
  <c r="S1097" i="4"/>
  <c r="T1097" i="4"/>
  <c r="H1098" i="4"/>
  <c r="I1098" i="4"/>
  <c r="J1098" i="4"/>
  <c r="K1098" i="4"/>
  <c r="L1098" i="4"/>
  <c r="M1098" i="4"/>
  <c r="N1098" i="4"/>
  <c r="O1098" i="4"/>
  <c r="P1098" i="4"/>
  <c r="Q1098" i="4"/>
  <c r="R1098" i="4"/>
  <c r="S1098" i="4"/>
  <c r="T1098" i="4"/>
  <c r="H1099" i="4"/>
  <c r="I1099" i="4"/>
  <c r="J1099" i="4"/>
  <c r="K1099" i="4"/>
  <c r="L1099" i="4"/>
  <c r="M1099" i="4"/>
  <c r="N1099" i="4"/>
  <c r="O1099" i="4"/>
  <c r="P1099" i="4"/>
  <c r="Q1099" i="4"/>
  <c r="R1099" i="4"/>
  <c r="S1099" i="4"/>
  <c r="T1099" i="4"/>
  <c r="H1100" i="4"/>
  <c r="I1100" i="4"/>
  <c r="J1100" i="4"/>
  <c r="K1100" i="4"/>
  <c r="L1100" i="4"/>
  <c r="M1100" i="4"/>
  <c r="N1100" i="4"/>
  <c r="O1100" i="4"/>
  <c r="P1100" i="4"/>
  <c r="Q1100" i="4"/>
  <c r="R1100" i="4"/>
  <c r="S1100" i="4"/>
  <c r="T1100" i="4"/>
  <c r="H1101" i="4"/>
  <c r="I1101" i="4"/>
  <c r="J1101" i="4"/>
  <c r="K1101" i="4"/>
  <c r="L1101" i="4"/>
  <c r="M1101" i="4"/>
  <c r="N1101" i="4"/>
  <c r="O1101" i="4"/>
  <c r="P1101" i="4"/>
  <c r="Q1101" i="4"/>
  <c r="R1101" i="4"/>
  <c r="S1101" i="4"/>
  <c r="T1101" i="4"/>
  <c r="H1102" i="4"/>
  <c r="I1102" i="4"/>
  <c r="J1102" i="4"/>
  <c r="K1102" i="4"/>
  <c r="L1102" i="4"/>
  <c r="M1102" i="4"/>
  <c r="N1102" i="4"/>
  <c r="O1102" i="4"/>
  <c r="P1102" i="4"/>
  <c r="Q1102" i="4"/>
  <c r="R1102" i="4"/>
  <c r="S1102" i="4"/>
  <c r="T1102" i="4"/>
  <c r="H1103" i="4"/>
  <c r="I1103" i="4"/>
  <c r="J1103" i="4"/>
  <c r="K1103" i="4"/>
  <c r="L1103" i="4"/>
  <c r="M1103" i="4"/>
  <c r="N1103" i="4"/>
  <c r="O1103" i="4"/>
  <c r="P1103" i="4"/>
  <c r="Q1103" i="4"/>
  <c r="R1103" i="4"/>
  <c r="S1103" i="4"/>
  <c r="T1103" i="4"/>
  <c r="H1104" i="4"/>
  <c r="I1104" i="4"/>
  <c r="J1104" i="4"/>
  <c r="K1104" i="4"/>
  <c r="L1104" i="4"/>
  <c r="M1104" i="4"/>
  <c r="N1104" i="4"/>
  <c r="O1104" i="4"/>
  <c r="P1104" i="4"/>
  <c r="Q1104" i="4"/>
  <c r="R1104" i="4"/>
  <c r="S1104" i="4"/>
  <c r="T1104" i="4"/>
  <c r="H1105" i="4"/>
  <c r="I1105" i="4"/>
  <c r="J1105" i="4"/>
  <c r="K1105" i="4"/>
  <c r="L1105" i="4"/>
  <c r="M1105" i="4"/>
  <c r="N1105" i="4"/>
  <c r="O1105" i="4"/>
  <c r="P1105" i="4"/>
  <c r="Q1105" i="4"/>
  <c r="R1105" i="4"/>
  <c r="S1105" i="4"/>
  <c r="T1105" i="4"/>
  <c r="H1106" i="4"/>
  <c r="I1106" i="4"/>
  <c r="J1106" i="4"/>
  <c r="K1106" i="4"/>
  <c r="L1106" i="4"/>
  <c r="M1106" i="4"/>
  <c r="N1106" i="4"/>
  <c r="O1106" i="4"/>
  <c r="P1106" i="4"/>
  <c r="Q1106" i="4"/>
  <c r="R1106" i="4"/>
  <c r="S1106" i="4"/>
  <c r="T1106" i="4"/>
  <c r="H1107" i="4"/>
  <c r="I1107" i="4"/>
  <c r="J1107" i="4"/>
  <c r="K1107" i="4"/>
  <c r="L1107" i="4"/>
  <c r="M1107" i="4"/>
  <c r="N1107" i="4"/>
  <c r="O1107" i="4"/>
  <c r="P1107" i="4"/>
  <c r="Q1107" i="4"/>
  <c r="R1107" i="4"/>
  <c r="S1107" i="4"/>
  <c r="T1107" i="4"/>
  <c r="H1108" i="4"/>
  <c r="I1108" i="4"/>
  <c r="J1108" i="4"/>
  <c r="K1108" i="4"/>
  <c r="L1108" i="4"/>
  <c r="M1108" i="4"/>
  <c r="N1108" i="4"/>
  <c r="O1108" i="4"/>
  <c r="P1108" i="4"/>
  <c r="Q1108" i="4"/>
  <c r="R1108" i="4"/>
  <c r="S1108" i="4"/>
  <c r="T1108" i="4"/>
  <c r="H1109" i="4"/>
  <c r="I1109" i="4"/>
  <c r="J1109" i="4"/>
  <c r="K1109" i="4"/>
  <c r="L1109" i="4"/>
  <c r="M1109" i="4"/>
  <c r="N1109" i="4"/>
  <c r="O1109" i="4"/>
  <c r="P1109" i="4"/>
  <c r="Q1109" i="4"/>
  <c r="R1109" i="4"/>
  <c r="S1109" i="4"/>
  <c r="T1109" i="4"/>
  <c r="H1110" i="4"/>
  <c r="I1110" i="4"/>
  <c r="J1110" i="4"/>
  <c r="K1110" i="4"/>
  <c r="L1110" i="4"/>
  <c r="M1110" i="4"/>
  <c r="N1110" i="4"/>
  <c r="O1110" i="4"/>
  <c r="P1110" i="4"/>
  <c r="Q1110" i="4"/>
  <c r="R1110" i="4"/>
  <c r="S1110" i="4"/>
  <c r="T1110" i="4"/>
  <c r="H1111" i="4"/>
  <c r="I1111" i="4"/>
  <c r="J1111" i="4"/>
  <c r="K1111" i="4"/>
  <c r="L1111" i="4"/>
  <c r="M1111" i="4"/>
  <c r="N1111" i="4"/>
  <c r="O1111" i="4"/>
  <c r="P1111" i="4"/>
  <c r="Q1111" i="4"/>
  <c r="R1111" i="4"/>
  <c r="S1111" i="4"/>
  <c r="T1111" i="4"/>
  <c r="H1112" i="4"/>
  <c r="I1112" i="4"/>
  <c r="J1112" i="4"/>
  <c r="K1112" i="4"/>
  <c r="L1112" i="4"/>
  <c r="M1112" i="4"/>
  <c r="N1112" i="4"/>
  <c r="O1112" i="4"/>
  <c r="P1112" i="4"/>
  <c r="Q1112" i="4"/>
  <c r="R1112" i="4"/>
  <c r="S1112" i="4"/>
  <c r="T1112" i="4"/>
  <c r="H1113" i="4"/>
  <c r="I1113" i="4"/>
  <c r="J1113" i="4"/>
  <c r="K1113" i="4"/>
  <c r="L1113" i="4"/>
  <c r="M1113" i="4"/>
  <c r="N1113" i="4"/>
  <c r="O1113" i="4"/>
  <c r="P1113" i="4"/>
  <c r="Q1113" i="4"/>
  <c r="R1113" i="4"/>
  <c r="S1113" i="4"/>
  <c r="T1113" i="4"/>
  <c r="H1114" i="4"/>
  <c r="I1114" i="4"/>
  <c r="J1114" i="4"/>
  <c r="K1114" i="4"/>
  <c r="L1114" i="4"/>
  <c r="M1114" i="4"/>
  <c r="N1114" i="4"/>
  <c r="O1114" i="4"/>
  <c r="P1114" i="4"/>
  <c r="Q1114" i="4"/>
  <c r="R1114" i="4"/>
  <c r="S1114" i="4"/>
  <c r="T1114" i="4"/>
  <c r="H1115" i="4"/>
  <c r="I1115" i="4"/>
  <c r="J1115" i="4"/>
  <c r="K1115" i="4"/>
  <c r="L1115" i="4"/>
  <c r="M1115" i="4"/>
  <c r="N1115" i="4"/>
  <c r="O1115" i="4"/>
  <c r="P1115" i="4"/>
  <c r="Q1115" i="4"/>
  <c r="R1115" i="4"/>
  <c r="S1115" i="4"/>
  <c r="T1115" i="4"/>
  <c r="H1116" i="4"/>
  <c r="I1116" i="4"/>
  <c r="J1116" i="4"/>
  <c r="K1116" i="4"/>
  <c r="L1116" i="4"/>
  <c r="M1116" i="4"/>
  <c r="N1116" i="4"/>
  <c r="O1116" i="4"/>
  <c r="P1116" i="4"/>
  <c r="Q1116" i="4"/>
  <c r="R1116" i="4"/>
  <c r="S1116" i="4"/>
  <c r="T1116" i="4"/>
  <c r="H1117" i="4"/>
  <c r="I1117" i="4"/>
  <c r="J1117" i="4"/>
  <c r="K1117" i="4"/>
  <c r="L1117" i="4"/>
  <c r="M1117" i="4"/>
  <c r="N1117" i="4"/>
  <c r="O1117" i="4"/>
  <c r="P1117" i="4"/>
  <c r="Q1117" i="4"/>
  <c r="R1117" i="4"/>
  <c r="S1117" i="4"/>
  <c r="T1117" i="4"/>
  <c r="H1118" i="4"/>
  <c r="I1118" i="4"/>
  <c r="J1118" i="4"/>
  <c r="K1118" i="4"/>
  <c r="L1118" i="4"/>
  <c r="M1118" i="4"/>
  <c r="N1118" i="4"/>
  <c r="O1118" i="4"/>
  <c r="P1118" i="4"/>
  <c r="Q1118" i="4"/>
  <c r="R1118" i="4"/>
  <c r="S1118" i="4"/>
  <c r="T1118" i="4"/>
  <c r="H1119" i="4"/>
  <c r="I1119" i="4"/>
  <c r="J1119" i="4"/>
  <c r="K1119" i="4"/>
  <c r="L1119" i="4"/>
  <c r="M1119" i="4"/>
  <c r="N1119" i="4"/>
  <c r="O1119" i="4"/>
  <c r="P1119" i="4"/>
  <c r="Q1119" i="4"/>
  <c r="R1119" i="4"/>
  <c r="S1119" i="4"/>
  <c r="T1119" i="4"/>
  <c r="H1120" i="4"/>
  <c r="I1120" i="4"/>
  <c r="J1120" i="4"/>
  <c r="K1120" i="4"/>
  <c r="L1120" i="4"/>
  <c r="M1120" i="4"/>
  <c r="N1120" i="4"/>
  <c r="O1120" i="4"/>
  <c r="P1120" i="4"/>
  <c r="Q1120" i="4"/>
  <c r="R1120" i="4"/>
  <c r="S1120" i="4"/>
  <c r="T1120" i="4"/>
  <c r="H1121" i="4"/>
  <c r="I1121" i="4"/>
  <c r="J1121" i="4"/>
  <c r="K1121" i="4"/>
  <c r="L1121" i="4"/>
  <c r="M1121" i="4"/>
  <c r="N1121" i="4"/>
  <c r="O1121" i="4"/>
  <c r="P1121" i="4"/>
  <c r="Q1121" i="4"/>
  <c r="R1121" i="4"/>
  <c r="S1121" i="4"/>
  <c r="T1121" i="4"/>
  <c r="H1122" i="4"/>
  <c r="I1122" i="4"/>
  <c r="J1122" i="4"/>
  <c r="K1122" i="4"/>
  <c r="L1122" i="4"/>
  <c r="M1122" i="4"/>
  <c r="N1122" i="4"/>
  <c r="O1122" i="4"/>
  <c r="P1122" i="4"/>
  <c r="Q1122" i="4"/>
  <c r="R1122" i="4"/>
  <c r="S1122" i="4"/>
  <c r="T1122" i="4"/>
  <c r="H1123" i="4"/>
  <c r="I1123" i="4"/>
  <c r="J1123" i="4"/>
  <c r="K1123" i="4"/>
  <c r="L1123" i="4"/>
  <c r="M1123" i="4"/>
  <c r="N1123" i="4"/>
  <c r="O1123" i="4"/>
  <c r="P1123" i="4"/>
  <c r="Q1123" i="4"/>
  <c r="R1123" i="4"/>
  <c r="S1123" i="4"/>
  <c r="T1123" i="4"/>
  <c r="H1124" i="4"/>
  <c r="I1124" i="4"/>
  <c r="J1124" i="4"/>
  <c r="K1124" i="4"/>
  <c r="L1124" i="4"/>
  <c r="M1124" i="4"/>
  <c r="N1124" i="4"/>
  <c r="O1124" i="4"/>
  <c r="P1124" i="4"/>
  <c r="Q1124" i="4"/>
  <c r="R1124" i="4"/>
  <c r="S1124" i="4"/>
  <c r="T1124" i="4"/>
  <c r="H1125" i="4"/>
  <c r="I1125" i="4"/>
  <c r="J1125" i="4"/>
  <c r="K1125" i="4"/>
  <c r="L1125" i="4"/>
  <c r="M1125" i="4"/>
  <c r="N1125" i="4"/>
  <c r="O1125" i="4"/>
  <c r="P1125" i="4"/>
  <c r="Q1125" i="4"/>
  <c r="R1125" i="4"/>
  <c r="S1125" i="4"/>
  <c r="T1125" i="4"/>
  <c r="H1126" i="4"/>
  <c r="I1126" i="4"/>
  <c r="J1126" i="4"/>
  <c r="K1126" i="4"/>
  <c r="L1126" i="4"/>
  <c r="M1126" i="4"/>
  <c r="N1126" i="4"/>
  <c r="O1126" i="4"/>
  <c r="P1126" i="4"/>
  <c r="Q1126" i="4"/>
  <c r="R1126" i="4"/>
  <c r="S1126" i="4"/>
  <c r="T1126" i="4"/>
  <c r="H1127" i="4"/>
  <c r="I1127" i="4"/>
  <c r="J1127" i="4"/>
  <c r="K1127" i="4"/>
  <c r="L1127" i="4"/>
  <c r="M1127" i="4"/>
  <c r="N1127" i="4"/>
  <c r="O1127" i="4"/>
  <c r="P1127" i="4"/>
  <c r="Q1127" i="4"/>
  <c r="R1127" i="4"/>
  <c r="S1127" i="4"/>
  <c r="T1127" i="4"/>
  <c r="H1128" i="4"/>
  <c r="I1128" i="4"/>
  <c r="J1128" i="4"/>
  <c r="K1128" i="4"/>
  <c r="L1128" i="4"/>
  <c r="M1128" i="4"/>
  <c r="N1128" i="4"/>
  <c r="O1128" i="4"/>
  <c r="P1128" i="4"/>
  <c r="Q1128" i="4"/>
  <c r="R1128" i="4"/>
  <c r="S1128" i="4"/>
  <c r="T1128" i="4"/>
  <c r="H1129" i="4"/>
  <c r="I1129" i="4"/>
  <c r="J1129" i="4"/>
  <c r="K1129" i="4"/>
  <c r="L1129" i="4"/>
  <c r="M1129" i="4"/>
  <c r="N1129" i="4"/>
  <c r="O1129" i="4"/>
  <c r="P1129" i="4"/>
  <c r="Q1129" i="4"/>
  <c r="R1129" i="4"/>
  <c r="S1129" i="4"/>
  <c r="T1129" i="4"/>
  <c r="H1130" i="4"/>
  <c r="I1130" i="4"/>
  <c r="J1130" i="4"/>
  <c r="K1130" i="4"/>
  <c r="L1130" i="4"/>
  <c r="M1130" i="4"/>
  <c r="N1130" i="4"/>
  <c r="O1130" i="4"/>
  <c r="P1130" i="4"/>
  <c r="Q1130" i="4"/>
  <c r="R1130" i="4"/>
  <c r="S1130" i="4"/>
  <c r="T1130" i="4"/>
  <c r="H1131" i="4"/>
  <c r="I1131" i="4"/>
  <c r="J1131" i="4"/>
  <c r="K1131" i="4"/>
  <c r="L1131" i="4"/>
  <c r="M1131" i="4"/>
  <c r="N1131" i="4"/>
  <c r="O1131" i="4"/>
  <c r="P1131" i="4"/>
  <c r="Q1131" i="4"/>
  <c r="R1131" i="4"/>
  <c r="S1131" i="4"/>
  <c r="T1131" i="4"/>
  <c r="H1132" i="4"/>
  <c r="I1132" i="4"/>
  <c r="J1132" i="4"/>
  <c r="K1132" i="4"/>
  <c r="L1132" i="4"/>
  <c r="M1132" i="4"/>
  <c r="N1132" i="4"/>
  <c r="O1132" i="4"/>
  <c r="P1132" i="4"/>
  <c r="Q1132" i="4"/>
  <c r="R1132" i="4"/>
  <c r="S1132" i="4"/>
  <c r="T1132" i="4"/>
  <c r="H1133" i="4"/>
  <c r="I1133" i="4"/>
  <c r="J1133" i="4"/>
  <c r="K1133" i="4"/>
  <c r="L1133" i="4"/>
  <c r="M1133" i="4"/>
  <c r="N1133" i="4"/>
  <c r="O1133" i="4"/>
  <c r="P1133" i="4"/>
  <c r="Q1133" i="4"/>
  <c r="R1133" i="4"/>
  <c r="S1133" i="4"/>
  <c r="T1133" i="4"/>
  <c r="H1134" i="4"/>
  <c r="I1134" i="4"/>
  <c r="J1134" i="4"/>
  <c r="K1134" i="4"/>
  <c r="L1134" i="4"/>
  <c r="M1134" i="4"/>
  <c r="N1134" i="4"/>
  <c r="O1134" i="4"/>
  <c r="P1134" i="4"/>
  <c r="Q1134" i="4"/>
  <c r="R1134" i="4"/>
  <c r="S1134" i="4"/>
  <c r="T1134" i="4"/>
  <c r="H1135" i="4"/>
  <c r="I1135" i="4"/>
  <c r="J1135" i="4"/>
  <c r="K1135" i="4"/>
  <c r="L1135" i="4"/>
  <c r="M1135" i="4"/>
  <c r="N1135" i="4"/>
  <c r="O1135" i="4"/>
  <c r="P1135" i="4"/>
  <c r="Q1135" i="4"/>
  <c r="R1135" i="4"/>
  <c r="S1135" i="4"/>
  <c r="T1135" i="4"/>
  <c r="H1136" i="4"/>
  <c r="I1136" i="4"/>
  <c r="J1136" i="4"/>
  <c r="K1136" i="4"/>
  <c r="L1136" i="4"/>
  <c r="M1136" i="4"/>
  <c r="N1136" i="4"/>
  <c r="O1136" i="4"/>
  <c r="P1136" i="4"/>
  <c r="Q1136" i="4"/>
  <c r="R1136" i="4"/>
  <c r="S1136" i="4"/>
  <c r="T1136" i="4"/>
  <c r="H1137" i="4"/>
  <c r="I1137" i="4"/>
  <c r="J1137" i="4"/>
  <c r="K1137" i="4"/>
  <c r="L1137" i="4"/>
  <c r="M1137" i="4"/>
  <c r="N1137" i="4"/>
  <c r="O1137" i="4"/>
  <c r="P1137" i="4"/>
  <c r="Q1137" i="4"/>
  <c r="R1137" i="4"/>
  <c r="S1137" i="4"/>
  <c r="T1137" i="4"/>
  <c r="H1138" i="4"/>
  <c r="I1138" i="4"/>
  <c r="J1138" i="4"/>
  <c r="K1138" i="4"/>
  <c r="L1138" i="4"/>
  <c r="M1138" i="4"/>
  <c r="N1138" i="4"/>
  <c r="O1138" i="4"/>
  <c r="P1138" i="4"/>
  <c r="Q1138" i="4"/>
  <c r="R1138" i="4"/>
  <c r="S1138" i="4"/>
  <c r="T1138" i="4"/>
  <c r="H1139" i="4"/>
  <c r="I1139" i="4"/>
  <c r="J1139" i="4"/>
  <c r="K1139" i="4"/>
  <c r="L1139" i="4"/>
  <c r="M1139" i="4"/>
  <c r="N1139" i="4"/>
  <c r="O1139" i="4"/>
  <c r="P1139" i="4"/>
  <c r="Q1139" i="4"/>
  <c r="R1139" i="4"/>
  <c r="S1139" i="4"/>
  <c r="T1139" i="4"/>
  <c r="H1140" i="4"/>
  <c r="I1140" i="4"/>
  <c r="J1140" i="4"/>
  <c r="K1140" i="4"/>
  <c r="L1140" i="4"/>
  <c r="M1140" i="4"/>
  <c r="N1140" i="4"/>
  <c r="O1140" i="4"/>
  <c r="P1140" i="4"/>
  <c r="Q1140" i="4"/>
  <c r="R1140" i="4"/>
  <c r="S1140" i="4"/>
  <c r="T1140" i="4"/>
  <c r="H1141" i="4"/>
  <c r="I1141" i="4"/>
  <c r="J1141" i="4"/>
  <c r="K1141" i="4"/>
  <c r="L1141" i="4"/>
  <c r="M1141" i="4"/>
  <c r="N1141" i="4"/>
  <c r="O1141" i="4"/>
  <c r="P1141" i="4"/>
  <c r="Q1141" i="4"/>
  <c r="R1141" i="4"/>
  <c r="S1141" i="4"/>
  <c r="T1141" i="4"/>
  <c r="H1142" i="4"/>
  <c r="I1142" i="4"/>
  <c r="J1142" i="4"/>
  <c r="K1142" i="4"/>
  <c r="L1142" i="4"/>
  <c r="M1142" i="4"/>
  <c r="N1142" i="4"/>
  <c r="O1142" i="4"/>
  <c r="P1142" i="4"/>
  <c r="Q1142" i="4"/>
  <c r="R1142" i="4"/>
  <c r="S1142" i="4"/>
  <c r="T1142" i="4"/>
  <c r="H1143" i="4"/>
  <c r="I1143" i="4"/>
  <c r="J1143" i="4"/>
  <c r="K1143" i="4"/>
  <c r="L1143" i="4"/>
  <c r="M1143" i="4"/>
  <c r="N1143" i="4"/>
  <c r="O1143" i="4"/>
  <c r="P1143" i="4"/>
  <c r="Q1143" i="4"/>
  <c r="R1143" i="4"/>
  <c r="S1143" i="4"/>
  <c r="T1143" i="4"/>
  <c r="H1144" i="4"/>
  <c r="I1144" i="4"/>
  <c r="J1144" i="4"/>
  <c r="K1144" i="4"/>
  <c r="L1144" i="4"/>
  <c r="M1144" i="4"/>
  <c r="N1144" i="4"/>
  <c r="O1144" i="4"/>
  <c r="P1144" i="4"/>
  <c r="Q1144" i="4"/>
  <c r="R1144" i="4"/>
  <c r="S1144" i="4"/>
  <c r="T1144" i="4"/>
  <c r="H1145" i="4"/>
  <c r="I1145" i="4"/>
  <c r="J1145" i="4"/>
  <c r="K1145" i="4"/>
  <c r="L1145" i="4"/>
  <c r="M1145" i="4"/>
  <c r="N1145" i="4"/>
  <c r="O1145" i="4"/>
  <c r="P1145" i="4"/>
  <c r="Q1145" i="4"/>
  <c r="R1145" i="4"/>
  <c r="S1145" i="4"/>
  <c r="T1145" i="4"/>
  <c r="H1146" i="4"/>
  <c r="I1146" i="4"/>
  <c r="J1146" i="4"/>
  <c r="K1146" i="4"/>
  <c r="L1146" i="4"/>
  <c r="M1146" i="4"/>
  <c r="N1146" i="4"/>
  <c r="O1146" i="4"/>
  <c r="P1146" i="4"/>
  <c r="Q1146" i="4"/>
  <c r="R1146" i="4"/>
  <c r="S1146" i="4"/>
  <c r="T1146" i="4"/>
  <c r="H1147" i="4"/>
  <c r="I1147" i="4"/>
  <c r="J1147" i="4"/>
  <c r="K1147" i="4"/>
  <c r="L1147" i="4"/>
  <c r="M1147" i="4"/>
  <c r="N1147" i="4"/>
  <c r="O1147" i="4"/>
  <c r="P1147" i="4"/>
  <c r="Q1147" i="4"/>
  <c r="R1147" i="4"/>
  <c r="S1147" i="4"/>
  <c r="T1147" i="4"/>
  <c r="H1148" i="4"/>
  <c r="I1148" i="4"/>
  <c r="J1148" i="4"/>
  <c r="K1148" i="4"/>
  <c r="L1148" i="4"/>
  <c r="M1148" i="4"/>
  <c r="N1148" i="4"/>
  <c r="O1148" i="4"/>
  <c r="P1148" i="4"/>
  <c r="Q1148" i="4"/>
  <c r="R1148" i="4"/>
  <c r="S1148" i="4"/>
  <c r="T1148" i="4"/>
  <c r="H1149" i="4"/>
  <c r="I1149" i="4"/>
  <c r="J1149" i="4"/>
  <c r="K1149" i="4"/>
  <c r="L1149" i="4"/>
  <c r="M1149" i="4"/>
  <c r="N1149" i="4"/>
  <c r="O1149" i="4"/>
  <c r="P1149" i="4"/>
  <c r="Q1149" i="4"/>
  <c r="R1149" i="4"/>
  <c r="S1149" i="4"/>
  <c r="T1149" i="4"/>
  <c r="H1150" i="4"/>
  <c r="I1150" i="4"/>
  <c r="J1150" i="4"/>
  <c r="K1150" i="4"/>
  <c r="L1150" i="4"/>
  <c r="M1150" i="4"/>
  <c r="N1150" i="4"/>
  <c r="O1150" i="4"/>
  <c r="P1150" i="4"/>
  <c r="Q1150" i="4"/>
  <c r="R1150" i="4"/>
  <c r="S1150" i="4"/>
  <c r="T1150" i="4"/>
  <c r="H1151" i="4"/>
  <c r="I1151" i="4"/>
  <c r="J1151" i="4"/>
  <c r="K1151" i="4"/>
  <c r="L1151" i="4"/>
  <c r="M1151" i="4"/>
  <c r="N1151" i="4"/>
  <c r="O1151" i="4"/>
  <c r="P1151" i="4"/>
  <c r="Q1151" i="4"/>
  <c r="R1151" i="4"/>
  <c r="S1151" i="4"/>
  <c r="T1151" i="4"/>
  <c r="H1152" i="4"/>
  <c r="I1152" i="4"/>
  <c r="J1152" i="4"/>
  <c r="K1152" i="4"/>
  <c r="L1152" i="4"/>
  <c r="M1152" i="4"/>
  <c r="N1152" i="4"/>
  <c r="O1152" i="4"/>
  <c r="P1152" i="4"/>
  <c r="Q1152" i="4"/>
  <c r="R1152" i="4"/>
  <c r="S1152" i="4"/>
  <c r="T1152" i="4"/>
  <c r="H1153" i="4"/>
  <c r="I1153" i="4"/>
  <c r="J1153" i="4"/>
  <c r="K1153" i="4"/>
  <c r="L1153" i="4"/>
  <c r="M1153" i="4"/>
  <c r="N1153" i="4"/>
  <c r="O1153" i="4"/>
  <c r="P1153" i="4"/>
  <c r="Q1153" i="4"/>
  <c r="R1153" i="4"/>
  <c r="S1153" i="4"/>
  <c r="T1153" i="4"/>
  <c r="H1154" i="4"/>
  <c r="I1154" i="4"/>
  <c r="J1154" i="4"/>
  <c r="K1154" i="4"/>
  <c r="L1154" i="4"/>
  <c r="M1154" i="4"/>
  <c r="N1154" i="4"/>
  <c r="O1154" i="4"/>
  <c r="P1154" i="4"/>
  <c r="Q1154" i="4"/>
  <c r="R1154" i="4"/>
  <c r="S1154" i="4"/>
  <c r="T1154" i="4"/>
  <c r="H1155" i="4"/>
  <c r="I1155" i="4"/>
  <c r="J1155" i="4"/>
  <c r="K1155" i="4"/>
  <c r="L1155" i="4"/>
  <c r="M1155" i="4"/>
  <c r="N1155" i="4"/>
  <c r="O1155" i="4"/>
  <c r="P1155" i="4"/>
  <c r="Q1155" i="4"/>
  <c r="R1155" i="4"/>
  <c r="S1155" i="4"/>
  <c r="T1155" i="4"/>
  <c r="H1156" i="4"/>
  <c r="I1156" i="4"/>
  <c r="J1156" i="4"/>
  <c r="K1156" i="4"/>
  <c r="L1156" i="4"/>
  <c r="M1156" i="4"/>
  <c r="N1156" i="4"/>
  <c r="O1156" i="4"/>
  <c r="P1156" i="4"/>
  <c r="Q1156" i="4"/>
  <c r="R1156" i="4"/>
  <c r="S1156" i="4"/>
  <c r="T1156" i="4"/>
  <c r="H1157" i="4"/>
  <c r="I1157" i="4"/>
  <c r="J1157" i="4"/>
  <c r="K1157" i="4"/>
  <c r="L1157" i="4"/>
  <c r="M1157" i="4"/>
  <c r="N1157" i="4"/>
  <c r="O1157" i="4"/>
  <c r="P1157" i="4"/>
  <c r="Q1157" i="4"/>
  <c r="R1157" i="4"/>
  <c r="S1157" i="4"/>
  <c r="T1157" i="4"/>
  <c r="H1158" i="4"/>
  <c r="I1158" i="4"/>
  <c r="J1158" i="4"/>
  <c r="K1158" i="4"/>
  <c r="L1158" i="4"/>
  <c r="M1158" i="4"/>
  <c r="N1158" i="4"/>
  <c r="O1158" i="4"/>
  <c r="P1158" i="4"/>
  <c r="Q1158" i="4"/>
  <c r="R1158" i="4"/>
  <c r="S1158" i="4"/>
  <c r="T1158" i="4"/>
  <c r="H1159" i="4"/>
  <c r="I1159" i="4"/>
  <c r="J1159" i="4"/>
  <c r="K1159" i="4"/>
  <c r="L1159" i="4"/>
  <c r="M1159" i="4"/>
  <c r="N1159" i="4"/>
  <c r="O1159" i="4"/>
  <c r="P1159" i="4"/>
  <c r="Q1159" i="4"/>
  <c r="R1159" i="4"/>
  <c r="S1159" i="4"/>
  <c r="T1159" i="4"/>
  <c r="H1160" i="4"/>
  <c r="I1160" i="4"/>
  <c r="J1160" i="4"/>
  <c r="K1160" i="4"/>
  <c r="L1160" i="4"/>
  <c r="M1160" i="4"/>
  <c r="N1160" i="4"/>
  <c r="O1160" i="4"/>
  <c r="P1160" i="4"/>
  <c r="Q1160" i="4"/>
  <c r="R1160" i="4"/>
  <c r="S1160" i="4"/>
  <c r="T1160" i="4"/>
  <c r="H1161" i="4"/>
  <c r="I1161" i="4"/>
  <c r="J1161" i="4"/>
  <c r="K1161" i="4"/>
  <c r="L1161" i="4"/>
  <c r="M1161" i="4"/>
  <c r="N1161" i="4"/>
  <c r="O1161" i="4"/>
  <c r="P1161" i="4"/>
  <c r="Q1161" i="4"/>
  <c r="R1161" i="4"/>
  <c r="S1161" i="4"/>
  <c r="T1161" i="4"/>
  <c r="H1162" i="4"/>
  <c r="I1162" i="4"/>
  <c r="J1162" i="4"/>
  <c r="K1162" i="4"/>
  <c r="L1162" i="4"/>
  <c r="M1162" i="4"/>
  <c r="N1162" i="4"/>
  <c r="O1162" i="4"/>
  <c r="P1162" i="4"/>
  <c r="Q1162" i="4"/>
  <c r="R1162" i="4"/>
  <c r="S1162" i="4"/>
  <c r="T1162" i="4"/>
  <c r="H1163" i="4"/>
  <c r="I1163" i="4"/>
  <c r="J1163" i="4"/>
  <c r="K1163" i="4"/>
  <c r="L1163" i="4"/>
  <c r="M1163" i="4"/>
  <c r="N1163" i="4"/>
  <c r="O1163" i="4"/>
  <c r="P1163" i="4"/>
  <c r="Q1163" i="4"/>
  <c r="R1163" i="4"/>
  <c r="S1163" i="4"/>
  <c r="T1163" i="4"/>
  <c r="H1164" i="4"/>
  <c r="I1164" i="4"/>
  <c r="J1164" i="4"/>
  <c r="K1164" i="4"/>
  <c r="L1164" i="4"/>
  <c r="M1164" i="4"/>
  <c r="N1164" i="4"/>
  <c r="O1164" i="4"/>
  <c r="P1164" i="4"/>
  <c r="Q1164" i="4"/>
  <c r="R1164" i="4"/>
  <c r="S1164" i="4"/>
  <c r="T1164" i="4"/>
  <c r="H1165" i="4"/>
  <c r="I1165" i="4"/>
  <c r="J1165" i="4"/>
  <c r="K1165" i="4"/>
  <c r="L1165" i="4"/>
  <c r="M1165" i="4"/>
  <c r="N1165" i="4"/>
  <c r="O1165" i="4"/>
  <c r="P1165" i="4"/>
  <c r="Q1165" i="4"/>
  <c r="R1165" i="4"/>
  <c r="S1165" i="4"/>
  <c r="T1165" i="4"/>
  <c r="H1166" i="4"/>
  <c r="I1166" i="4"/>
  <c r="J1166" i="4"/>
  <c r="K1166" i="4"/>
  <c r="L1166" i="4"/>
  <c r="M1166" i="4"/>
  <c r="N1166" i="4"/>
  <c r="O1166" i="4"/>
  <c r="P1166" i="4"/>
  <c r="Q1166" i="4"/>
  <c r="R1166" i="4"/>
  <c r="S1166" i="4"/>
  <c r="T1166" i="4"/>
  <c r="H1167" i="4"/>
  <c r="I1167" i="4"/>
  <c r="J1167" i="4"/>
  <c r="K1167" i="4"/>
  <c r="L1167" i="4"/>
  <c r="M1167" i="4"/>
  <c r="N1167" i="4"/>
  <c r="O1167" i="4"/>
  <c r="P1167" i="4"/>
  <c r="Q1167" i="4"/>
  <c r="R1167" i="4"/>
  <c r="S1167" i="4"/>
  <c r="T1167" i="4"/>
  <c r="H1168" i="4"/>
  <c r="I1168" i="4"/>
  <c r="J1168" i="4"/>
  <c r="K1168" i="4"/>
  <c r="L1168" i="4"/>
  <c r="M1168" i="4"/>
  <c r="N1168" i="4"/>
  <c r="O1168" i="4"/>
  <c r="P1168" i="4"/>
  <c r="Q1168" i="4"/>
  <c r="R1168" i="4"/>
  <c r="S1168" i="4"/>
  <c r="T1168" i="4"/>
  <c r="H1169" i="4"/>
  <c r="I1169" i="4"/>
  <c r="J1169" i="4"/>
  <c r="K1169" i="4"/>
  <c r="L1169" i="4"/>
  <c r="M1169" i="4"/>
  <c r="N1169" i="4"/>
  <c r="O1169" i="4"/>
  <c r="P1169" i="4"/>
  <c r="Q1169" i="4"/>
  <c r="R1169" i="4"/>
  <c r="S1169" i="4"/>
  <c r="T1169" i="4"/>
  <c r="H1170" i="4"/>
  <c r="I1170" i="4"/>
  <c r="J1170" i="4"/>
  <c r="K1170" i="4"/>
  <c r="L1170" i="4"/>
  <c r="M1170" i="4"/>
  <c r="N1170" i="4"/>
  <c r="O1170" i="4"/>
  <c r="P1170" i="4"/>
  <c r="Q1170" i="4"/>
  <c r="R1170" i="4"/>
  <c r="S1170" i="4"/>
  <c r="T1170" i="4"/>
  <c r="H1171" i="4"/>
  <c r="I1171" i="4"/>
  <c r="J1171" i="4"/>
  <c r="K1171" i="4"/>
  <c r="L1171" i="4"/>
  <c r="M1171" i="4"/>
  <c r="N1171" i="4"/>
  <c r="O1171" i="4"/>
  <c r="P1171" i="4"/>
  <c r="Q1171" i="4"/>
  <c r="R1171" i="4"/>
  <c r="S1171" i="4"/>
  <c r="T1171" i="4"/>
  <c r="H1172" i="4"/>
  <c r="I1172" i="4"/>
  <c r="J1172" i="4"/>
  <c r="K1172" i="4"/>
  <c r="L1172" i="4"/>
  <c r="M1172" i="4"/>
  <c r="N1172" i="4"/>
  <c r="O1172" i="4"/>
  <c r="P1172" i="4"/>
  <c r="Q1172" i="4"/>
  <c r="R1172" i="4"/>
  <c r="S1172" i="4"/>
  <c r="T1172" i="4"/>
  <c r="H1173" i="4"/>
  <c r="I1173" i="4"/>
  <c r="J1173" i="4"/>
  <c r="K1173" i="4"/>
  <c r="L1173" i="4"/>
  <c r="M1173" i="4"/>
  <c r="N1173" i="4"/>
  <c r="O1173" i="4"/>
  <c r="P1173" i="4"/>
  <c r="Q1173" i="4"/>
  <c r="R1173" i="4"/>
  <c r="S1173" i="4"/>
  <c r="T1173" i="4"/>
  <c r="H1174" i="4"/>
  <c r="I1174" i="4"/>
  <c r="J1174" i="4"/>
  <c r="K1174" i="4"/>
  <c r="L1174" i="4"/>
  <c r="M1174" i="4"/>
  <c r="N1174" i="4"/>
  <c r="O1174" i="4"/>
  <c r="P1174" i="4"/>
  <c r="Q1174" i="4"/>
  <c r="R1174" i="4"/>
  <c r="S1174" i="4"/>
  <c r="T1174" i="4"/>
  <c r="H1175" i="4"/>
  <c r="I1175" i="4"/>
  <c r="J1175" i="4"/>
  <c r="K1175" i="4"/>
  <c r="L1175" i="4"/>
  <c r="M1175" i="4"/>
  <c r="N1175" i="4"/>
  <c r="O1175" i="4"/>
  <c r="P1175" i="4"/>
  <c r="Q1175" i="4"/>
  <c r="R1175" i="4"/>
  <c r="S1175" i="4"/>
  <c r="T1175" i="4"/>
  <c r="H1176" i="4"/>
  <c r="I1176" i="4"/>
  <c r="J1176" i="4"/>
  <c r="K1176" i="4"/>
  <c r="L1176" i="4"/>
  <c r="M1176" i="4"/>
  <c r="N1176" i="4"/>
  <c r="O1176" i="4"/>
  <c r="P1176" i="4"/>
  <c r="Q1176" i="4"/>
  <c r="R1176" i="4"/>
  <c r="S1176" i="4"/>
  <c r="T1176" i="4"/>
  <c r="H1177" i="4"/>
  <c r="I1177" i="4"/>
  <c r="J1177" i="4"/>
  <c r="K1177" i="4"/>
  <c r="L1177" i="4"/>
  <c r="M1177" i="4"/>
  <c r="N1177" i="4"/>
  <c r="O1177" i="4"/>
  <c r="P1177" i="4"/>
  <c r="Q1177" i="4"/>
  <c r="R1177" i="4"/>
  <c r="S1177" i="4"/>
  <c r="T1177" i="4"/>
  <c r="H1178" i="4"/>
  <c r="I1178" i="4"/>
  <c r="J1178" i="4"/>
  <c r="K1178" i="4"/>
  <c r="L1178" i="4"/>
  <c r="M1178" i="4"/>
  <c r="N1178" i="4"/>
  <c r="O1178" i="4"/>
  <c r="P1178" i="4"/>
  <c r="Q1178" i="4"/>
  <c r="R1178" i="4"/>
  <c r="S1178" i="4"/>
  <c r="T1178" i="4"/>
  <c r="H1179" i="4"/>
  <c r="I1179" i="4"/>
  <c r="J1179" i="4"/>
  <c r="K1179" i="4"/>
  <c r="L1179" i="4"/>
  <c r="M1179" i="4"/>
  <c r="N1179" i="4"/>
  <c r="O1179" i="4"/>
  <c r="P1179" i="4"/>
  <c r="Q1179" i="4"/>
  <c r="R1179" i="4"/>
  <c r="S1179" i="4"/>
  <c r="T1179" i="4"/>
  <c r="H1180" i="4"/>
  <c r="I1180" i="4"/>
  <c r="J1180" i="4"/>
  <c r="K1180" i="4"/>
  <c r="L1180" i="4"/>
  <c r="M1180" i="4"/>
  <c r="N1180" i="4"/>
  <c r="O1180" i="4"/>
  <c r="P1180" i="4"/>
  <c r="Q1180" i="4"/>
  <c r="R1180" i="4"/>
  <c r="S1180" i="4"/>
  <c r="T1180" i="4"/>
  <c r="H1181" i="4"/>
  <c r="I1181" i="4"/>
  <c r="J1181" i="4"/>
  <c r="K1181" i="4"/>
  <c r="L1181" i="4"/>
  <c r="M1181" i="4"/>
  <c r="N1181" i="4"/>
  <c r="O1181" i="4"/>
  <c r="P1181" i="4"/>
  <c r="Q1181" i="4"/>
  <c r="R1181" i="4"/>
  <c r="S1181" i="4"/>
  <c r="T1181" i="4"/>
  <c r="H1182" i="4"/>
  <c r="I1182" i="4"/>
  <c r="J1182" i="4"/>
  <c r="K1182" i="4"/>
  <c r="L1182" i="4"/>
  <c r="M1182" i="4"/>
  <c r="N1182" i="4"/>
  <c r="O1182" i="4"/>
  <c r="P1182" i="4"/>
  <c r="Q1182" i="4"/>
  <c r="R1182" i="4"/>
  <c r="S1182" i="4"/>
  <c r="T1182" i="4"/>
  <c r="H1183" i="4"/>
  <c r="I1183" i="4"/>
  <c r="J1183" i="4"/>
  <c r="K1183" i="4"/>
  <c r="L1183" i="4"/>
  <c r="M1183" i="4"/>
  <c r="N1183" i="4"/>
  <c r="O1183" i="4"/>
  <c r="P1183" i="4"/>
  <c r="Q1183" i="4"/>
  <c r="R1183" i="4"/>
  <c r="S1183" i="4"/>
  <c r="T1183" i="4"/>
  <c r="H1184" i="4"/>
  <c r="I1184" i="4"/>
  <c r="J1184" i="4"/>
  <c r="K1184" i="4"/>
  <c r="L1184" i="4"/>
  <c r="M1184" i="4"/>
  <c r="N1184" i="4"/>
  <c r="O1184" i="4"/>
  <c r="P1184" i="4"/>
  <c r="Q1184" i="4"/>
  <c r="R1184" i="4"/>
  <c r="S1184" i="4"/>
  <c r="T1184" i="4"/>
  <c r="H1185" i="4"/>
  <c r="I1185" i="4"/>
  <c r="J1185" i="4"/>
  <c r="K1185" i="4"/>
  <c r="L1185" i="4"/>
  <c r="M1185" i="4"/>
  <c r="N1185" i="4"/>
  <c r="O1185" i="4"/>
  <c r="P1185" i="4"/>
  <c r="Q1185" i="4"/>
  <c r="R1185" i="4"/>
  <c r="S1185" i="4"/>
  <c r="T1185" i="4"/>
  <c r="H1186" i="4"/>
  <c r="I1186" i="4"/>
  <c r="J1186" i="4"/>
  <c r="K1186" i="4"/>
  <c r="L1186" i="4"/>
  <c r="M1186" i="4"/>
  <c r="N1186" i="4"/>
  <c r="O1186" i="4"/>
  <c r="P1186" i="4"/>
  <c r="Q1186" i="4"/>
  <c r="R1186" i="4"/>
  <c r="S1186" i="4"/>
  <c r="T1186" i="4"/>
  <c r="H1187" i="4"/>
  <c r="I1187" i="4"/>
  <c r="J1187" i="4"/>
  <c r="K1187" i="4"/>
  <c r="L1187" i="4"/>
  <c r="M1187" i="4"/>
  <c r="N1187" i="4"/>
  <c r="O1187" i="4"/>
  <c r="P1187" i="4"/>
  <c r="Q1187" i="4"/>
  <c r="R1187" i="4"/>
  <c r="S1187" i="4"/>
  <c r="T1187" i="4"/>
  <c r="H1188" i="4"/>
  <c r="I1188" i="4"/>
  <c r="J1188" i="4"/>
  <c r="K1188" i="4"/>
  <c r="L1188" i="4"/>
  <c r="M1188" i="4"/>
  <c r="N1188" i="4"/>
  <c r="O1188" i="4"/>
  <c r="P1188" i="4"/>
  <c r="Q1188" i="4"/>
  <c r="R1188" i="4"/>
  <c r="S1188" i="4"/>
  <c r="T1188" i="4"/>
  <c r="H1189" i="4"/>
  <c r="I1189" i="4"/>
  <c r="J1189" i="4"/>
  <c r="K1189" i="4"/>
  <c r="L1189" i="4"/>
  <c r="M1189" i="4"/>
  <c r="N1189" i="4"/>
  <c r="O1189" i="4"/>
  <c r="P1189" i="4"/>
  <c r="Q1189" i="4"/>
  <c r="R1189" i="4"/>
  <c r="S1189" i="4"/>
  <c r="T1189" i="4"/>
  <c r="H1190" i="4"/>
  <c r="I1190" i="4"/>
  <c r="J1190" i="4"/>
  <c r="K1190" i="4"/>
  <c r="L1190" i="4"/>
  <c r="M1190" i="4"/>
  <c r="N1190" i="4"/>
  <c r="O1190" i="4"/>
  <c r="P1190" i="4"/>
  <c r="Q1190" i="4"/>
  <c r="R1190" i="4"/>
  <c r="S1190" i="4"/>
  <c r="T1190" i="4"/>
  <c r="H1191" i="4"/>
  <c r="I1191" i="4"/>
  <c r="J1191" i="4"/>
  <c r="K1191" i="4"/>
  <c r="L1191" i="4"/>
  <c r="M1191" i="4"/>
  <c r="N1191" i="4"/>
  <c r="O1191" i="4"/>
  <c r="P1191" i="4"/>
  <c r="Q1191" i="4"/>
  <c r="R1191" i="4"/>
  <c r="S1191" i="4"/>
  <c r="T1191" i="4"/>
  <c r="H1192" i="4"/>
  <c r="I1192" i="4"/>
  <c r="J1192" i="4"/>
  <c r="K1192" i="4"/>
  <c r="L1192" i="4"/>
  <c r="M1192" i="4"/>
  <c r="N1192" i="4"/>
  <c r="O1192" i="4"/>
  <c r="P1192" i="4"/>
  <c r="Q1192" i="4"/>
  <c r="R1192" i="4"/>
  <c r="S1192" i="4"/>
  <c r="T1192" i="4"/>
  <c r="H1193" i="4"/>
  <c r="I1193" i="4"/>
  <c r="J1193" i="4"/>
  <c r="K1193" i="4"/>
  <c r="L1193" i="4"/>
  <c r="M1193" i="4"/>
  <c r="N1193" i="4"/>
  <c r="O1193" i="4"/>
  <c r="P1193" i="4"/>
  <c r="Q1193" i="4"/>
  <c r="R1193" i="4"/>
  <c r="S1193" i="4"/>
  <c r="T1193" i="4"/>
  <c r="H1194" i="4"/>
  <c r="I1194" i="4"/>
  <c r="J1194" i="4"/>
  <c r="K1194" i="4"/>
  <c r="L1194" i="4"/>
  <c r="M1194" i="4"/>
  <c r="N1194" i="4"/>
  <c r="O1194" i="4"/>
  <c r="P1194" i="4"/>
  <c r="Q1194" i="4"/>
  <c r="R1194" i="4"/>
  <c r="S1194" i="4"/>
  <c r="T1194" i="4"/>
  <c r="H1195" i="4"/>
  <c r="I1195" i="4"/>
  <c r="J1195" i="4"/>
  <c r="K1195" i="4"/>
  <c r="L1195" i="4"/>
  <c r="M1195" i="4"/>
  <c r="N1195" i="4"/>
  <c r="O1195" i="4"/>
  <c r="P1195" i="4"/>
  <c r="Q1195" i="4"/>
  <c r="R1195" i="4"/>
  <c r="S1195" i="4"/>
  <c r="T1195" i="4"/>
  <c r="H1196" i="4"/>
  <c r="I1196" i="4"/>
  <c r="J1196" i="4"/>
  <c r="K1196" i="4"/>
  <c r="L1196" i="4"/>
  <c r="M1196" i="4"/>
  <c r="N1196" i="4"/>
  <c r="O1196" i="4"/>
  <c r="P1196" i="4"/>
  <c r="Q1196" i="4"/>
  <c r="R1196" i="4"/>
  <c r="S1196" i="4"/>
  <c r="T1196" i="4"/>
  <c r="H1197" i="4"/>
  <c r="I1197" i="4"/>
  <c r="J1197" i="4"/>
  <c r="K1197" i="4"/>
  <c r="L1197" i="4"/>
  <c r="M1197" i="4"/>
  <c r="N1197" i="4"/>
  <c r="O1197" i="4"/>
  <c r="P1197" i="4"/>
  <c r="Q1197" i="4"/>
  <c r="R1197" i="4"/>
  <c r="S1197" i="4"/>
  <c r="T1197" i="4"/>
  <c r="H1198" i="4"/>
  <c r="I1198" i="4"/>
  <c r="J1198" i="4"/>
  <c r="K1198" i="4"/>
  <c r="L1198" i="4"/>
  <c r="M1198" i="4"/>
  <c r="N1198" i="4"/>
  <c r="O1198" i="4"/>
  <c r="P1198" i="4"/>
  <c r="Q1198" i="4"/>
  <c r="R1198" i="4"/>
  <c r="S1198" i="4"/>
  <c r="T1198" i="4"/>
  <c r="H1199" i="4"/>
  <c r="I1199" i="4"/>
  <c r="J1199" i="4"/>
  <c r="K1199" i="4"/>
  <c r="L1199" i="4"/>
  <c r="M1199" i="4"/>
  <c r="N1199" i="4"/>
  <c r="O1199" i="4"/>
  <c r="P1199" i="4"/>
  <c r="Q1199" i="4"/>
  <c r="R1199" i="4"/>
  <c r="S1199" i="4"/>
  <c r="T1199" i="4"/>
  <c r="H1200" i="4"/>
  <c r="I1200" i="4"/>
  <c r="J1200" i="4"/>
  <c r="K1200" i="4"/>
  <c r="L1200" i="4"/>
  <c r="M1200" i="4"/>
  <c r="N1200" i="4"/>
  <c r="O1200" i="4"/>
  <c r="P1200" i="4"/>
  <c r="Q1200" i="4"/>
  <c r="R1200" i="4"/>
  <c r="S1200" i="4"/>
  <c r="T1200" i="4"/>
  <c r="H1201" i="4"/>
  <c r="I1201" i="4"/>
  <c r="J1201" i="4"/>
  <c r="K1201" i="4"/>
  <c r="L1201" i="4"/>
  <c r="M1201" i="4"/>
  <c r="N1201" i="4"/>
  <c r="O1201" i="4"/>
  <c r="P1201" i="4"/>
  <c r="Q1201" i="4"/>
  <c r="R1201" i="4"/>
  <c r="S1201" i="4"/>
  <c r="T1201" i="4"/>
  <c r="H1202" i="4"/>
  <c r="I1202" i="4"/>
  <c r="J1202" i="4"/>
  <c r="K1202" i="4"/>
  <c r="L1202" i="4"/>
  <c r="M1202" i="4"/>
  <c r="N1202" i="4"/>
  <c r="O1202" i="4"/>
  <c r="P1202" i="4"/>
  <c r="Q1202" i="4"/>
  <c r="R1202" i="4"/>
  <c r="S1202" i="4"/>
  <c r="T1202" i="4"/>
  <c r="H1203" i="4"/>
  <c r="I1203" i="4"/>
  <c r="J1203" i="4"/>
  <c r="K1203" i="4"/>
  <c r="L1203" i="4"/>
  <c r="M1203" i="4"/>
  <c r="N1203" i="4"/>
  <c r="O1203" i="4"/>
  <c r="P1203" i="4"/>
  <c r="Q1203" i="4"/>
  <c r="R1203" i="4"/>
  <c r="S1203" i="4"/>
  <c r="T1203" i="4"/>
  <c r="H1204" i="4"/>
  <c r="I1204" i="4"/>
  <c r="J1204" i="4"/>
  <c r="K1204" i="4"/>
  <c r="L1204" i="4"/>
  <c r="M1204" i="4"/>
  <c r="N1204" i="4"/>
  <c r="O1204" i="4"/>
  <c r="P1204" i="4"/>
  <c r="Q1204" i="4"/>
  <c r="R1204" i="4"/>
  <c r="S1204" i="4"/>
  <c r="T1204" i="4"/>
  <c r="H1205" i="4"/>
  <c r="I1205" i="4"/>
  <c r="J1205" i="4"/>
  <c r="K1205" i="4"/>
  <c r="L1205" i="4"/>
  <c r="M1205" i="4"/>
  <c r="N1205" i="4"/>
  <c r="O1205" i="4"/>
  <c r="P1205" i="4"/>
  <c r="Q1205" i="4"/>
  <c r="R1205" i="4"/>
  <c r="S1205" i="4"/>
  <c r="T1205" i="4"/>
  <c r="H1206" i="4"/>
  <c r="I1206" i="4"/>
  <c r="J1206" i="4"/>
  <c r="K1206" i="4"/>
  <c r="L1206" i="4"/>
  <c r="M1206" i="4"/>
  <c r="N1206" i="4"/>
  <c r="O1206" i="4"/>
  <c r="P1206" i="4"/>
  <c r="Q1206" i="4"/>
  <c r="R1206" i="4"/>
  <c r="S1206" i="4"/>
  <c r="T1206" i="4"/>
  <c r="H1207" i="4"/>
  <c r="I1207" i="4"/>
  <c r="J1207" i="4"/>
  <c r="K1207" i="4"/>
  <c r="L1207" i="4"/>
  <c r="M1207" i="4"/>
  <c r="N1207" i="4"/>
  <c r="O1207" i="4"/>
  <c r="P1207" i="4"/>
  <c r="Q1207" i="4"/>
  <c r="R1207" i="4"/>
  <c r="S1207" i="4"/>
  <c r="T1207" i="4"/>
  <c r="H1208" i="4"/>
  <c r="I1208" i="4"/>
  <c r="J1208" i="4"/>
  <c r="K1208" i="4"/>
  <c r="L1208" i="4"/>
  <c r="M1208" i="4"/>
  <c r="N1208" i="4"/>
  <c r="O1208" i="4"/>
  <c r="P1208" i="4"/>
  <c r="Q1208" i="4"/>
  <c r="R1208" i="4"/>
  <c r="S1208" i="4"/>
  <c r="T1208" i="4"/>
  <c r="H1209" i="4"/>
  <c r="I1209" i="4"/>
  <c r="J1209" i="4"/>
  <c r="K1209" i="4"/>
  <c r="L1209" i="4"/>
  <c r="M1209" i="4"/>
  <c r="N1209" i="4"/>
  <c r="O1209" i="4"/>
  <c r="P1209" i="4"/>
  <c r="Q1209" i="4"/>
  <c r="R1209" i="4"/>
  <c r="S1209" i="4"/>
  <c r="T1209" i="4"/>
  <c r="H1210" i="4"/>
  <c r="I1210" i="4"/>
  <c r="J1210" i="4"/>
  <c r="K1210" i="4"/>
  <c r="L1210" i="4"/>
  <c r="M1210" i="4"/>
  <c r="N1210" i="4"/>
  <c r="O1210" i="4"/>
  <c r="P1210" i="4"/>
  <c r="Q1210" i="4"/>
  <c r="R1210" i="4"/>
  <c r="S1210" i="4"/>
  <c r="T1210" i="4"/>
  <c r="H1211" i="4"/>
  <c r="I1211" i="4"/>
  <c r="J1211" i="4"/>
  <c r="K1211" i="4"/>
  <c r="L1211" i="4"/>
  <c r="M1211" i="4"/>
  <c r="N1211" i="4"/>
  <c r="O1211" i="4"/>
  <c r="P1211" i="4"/>
  <c r="Q1211" i="4"/>
  <c r="R1211" i="4"/>
  <c r="S1211" i="4"/>
  <c r="T1211" i="4"/>
  <c r="H1212" i="4"/>
  <c r="I1212" i="4"/>
  <c r="J1212" i="4"/>
  <c r="K1212" i="4"/>
  <c r="L1212" i="4"/>
  <c r="M1212" i="4"/>
  <c r="N1212" i="4"/>
  <c r="O1212" i="4"/>
  <c r="P1212" i="4"/>
  <c r="Q1212" i="4"/>
  <c r="R1212" i="4"/>
  <c r="S1212" i="4"/>
  <c r="T1212" i="4"/>
  <c r="H1213" i="4"/>
  <c r="I1213" i="4"/>
  <c r="J1213" i="4"/>
  <c r="K1213" i="4"/>
  <c r="L1213" i="4"/>
  <c r="M1213" i="4"/>
  <c r="N1213" i="4"/>
  <c r="O1213" i="4"/>
  <c r="P1213" i="4"/>
  <c r="Q1213" i="4"/>
  <c r="R1213" i="4"/>
  <c r="S1213" i="4"/>
  <c r="T1213" i="4"/>
  <c r="H1214" i="4"/>
  <c r="I1214" i="4"/>
  <c r="J1214" i="4"/>
  <c r="K1214" i="4"/>
  <c r="L1214" i="4"/>
  <c r="M1214" i="4"/>
  <c r="N1214" i="4"/>
  <c r="O1214" i="4"/>
  <c r="P1214" i="4"/>
  <c r="Q1214" i="4"/>
  <c r="R1214" i="4"/>
  <c r="S1214" i="4"/>
  <c r="T1214" i="4"/>
  <c r="H1215" i="4"/>
  <c r="I1215" i="4"/>
  <c r="J1215" i="4"/>
  <c r="K1215" i="4"/>
  <c r="L1215" i="4"/>
  <c r="M1215" i="4"/>
  <c r="N1215" i="4"/>
  <c r="O1215" i="4"/>
  <c r="P1215" i="4"/>
  <c r="Q1215" i="4"/>
  <c r="R1215" i="4"/>
  <c r="S1215" i="4"/>
  <c r="T1215" i="4"/>
  <c r="H1216" i="4"/>
  <c r="I1216" i="4"/>
  <c r="J1216" i="4"/>
  <c r="K1216" i="4"/>
  <c r="L1216" i="4"/>
  <c r="M1216" i="4"/>
  <c r="N1216" i="4"/>
  <c r="O1216" i="4"/>
  <c r="P1216" i="4"/>
  <c r="Q1216" i="4"/>
  <c r="R1216" i="4"/>
  <c r="S1216" i="4"/>
  <c r="T1216" i="4"/>
  <c r="H1217" i="4"/>
  <c r="I1217" i="4"/>
  <c r="J1217" i="4"/>
  <c r="K1217" i="4"/>
  <c r="L1217" i="4"/>
  <c r="M1217" i="4"/>
  <c r="N1217" i="4"/>
  <c r="O1217" i="4"/>
  <c r="P1217" i="4"/>
  <c r="Q1217" i="4"/>
  <c r="R1217" i="4"/>
  <c r="S1217" i="4"/>
  <c r="T1217" i="4"/>
  <c r="H1218" i="4"/>
  <c r="I1218" i="4"/>
  <c r="J1218" i="4"/>
  <c r="K1218" i="4"/>
  <c r="L1218" i="4"/>
  <c r="M1218" i="4"/>
  <c r="N1218" i="4"/>
  <c r="O1218" i="4"/>
  <c r="P1218" i="4"/>
  <c r="Q1218" i="4"/>
  <c r="R1218" i="4"/>
  <c r="S1218" i="4"/>
  <c r="T1218" i="4"/>
  <c r="H1219" i="4"/>
  <c r="I1219" i="4"/>
  <c r="J1219" i="4"/>
  <c r="K1219" i="4"/>
  <c r="L1219" i="4"/>
  <c r="M1219" i="4"/>
  <c r="N1219" i="4"/>
  <c r="O1219" i="4"/>
  <c r="P1219" i="4"/>
  <c r="Q1219" i="4"/>
  <c r="R1219" i="4"/>
  <c r="S1219" i="4"/>
  <c r="T1219" i="4"/>
  <c r="H1220" i="4"/>
  <c r="I1220" i="4"/>
  <c r="J1220" i="4"/>
  <c r="K1220" i="4"/>
  <c r="L1220" i="4"/>
  <c r="M1220" i="4"/>
  <c r="N1220" i="4"/>
  <c r="O1220" i="4"/>
  <c r="P1220" i="4"/>
  <c r="Q1220" i="4"/>
  <c r="R1220" i="4"/>
  <c r="S1220" i="4"/>
  <c r="T1220" i="4"/>
  <c r="H1221" i="4"/>
  <c r="I1221" i="4"/>
  <c r="J1221" i="4"/>
  <c r="K1221" i="4"/>
  <c r="L1221" i="4"/>
  <c r="M1221" i="4"/>
  <c r="N1221" i="4"/>
  <c r="O1221" i="4"/>
  <c r="P1221" i="4"/>
  <c r="Q1221" i="4"/>
  <c r="R1221" i="4"/>
  <c r="S1221" i="4"/>
  <c r="T1221" i="4"/>
  <c r="H1222" i="4"/>
  <c r="I1222" i="4"/>
  <c r="J1222" i="4"/>
  <c r="K1222" i="4"/>
  <c r="L1222" i="4"/>
  <c r="M1222" i="4"/>
  <c r="N1222" i="4"/>
  <c r="O1222" i="4"/>
  <c r="P1222" i="4"/>
  <c r="Q1222" i="4"/>
  <c r="R1222" i="4"/>
  <c r="S1222" i="4"/>
  <c r="T1222" i="4"/>
  <c r="H1223" i="4"/>
  <c r="I1223" i="4"/>
  <c r="J1223" i="4"/>
  <c r="K1223" i="4"/>
  <c r="L1223" i="4"/>
  <c r="M1223" i="4"/>
  <c r="N1223" i="4"/>
  <c r="O1223" i="4"/>
  <c r="P1223" i="4"/>
  <c r="Q1223" i="4"/>
  <c r="R1223" i="4"/>
  <c r="S1223" i="4"/>
  <c r="T1223" i="4"/>
  <c r="H1224" i="4"/>
  <c r="I1224" i="4"/>
  <c r="J1224" i="4"/>
  <c r="K1224" i="4"/>
  <c r="L1224" i="4"/>
  <c r="M1224" i="4"/>
  <c r="N1224" i="4"/>
  <c r="O1224" i="4"/>
  <c r="P1224" i="4"/>
  <c r="Q1224" i="4"/>
  <c r="R1224" i="4"/>
  <c r="S1224" i="4"/>
  <c r="T1224" i="4"/>
  <c r="H1225" i="4"/>
  <c r="I1225" i="4"/>
  <c r="J1225" i="4"/>
  <c r="K1225" i="4"/>
  <c r="L1225" i="4"/>
  <c r="M1225" i="4"/>
  <c r="N1225" i="4"/>
  <c r="O1225" i="4"/>
  <c r="P1225" i="4"/>
  <c r="Q1225" i="4"/>
  <c r="R1225" i="4"/>
  <c r="S1225" i="4"/>
  <c r="T1225" i="4"/>
  <c r="H1226" i="4"/>
  <c r="I1226" i="4"/>
  <c r="J1226" i="4"/>
  <c r="K1226" i="4"/>
  <c r="L1226" i="4"/>
  <c r="M1226" i="4"/>
  <c r="N1226" i="4"/>
  <c r="O1226" i="4"/>
  <c r="P1226" i="4"/>
  <c r="Q1226" i="4"/>
  <c r="R1226" i="4"/>
  <c r="S1226" i="4"/>
  <c r="T1226" i="4"/>
  <c r="H1227" i="4"/>
  <c r="I1227" i="4"/>
  <c r="J1227" i="4"/>
  <c r="K1227" i="4"/>
  <c r="L1227" i="4"/>
  <c r="M1227" i="4"/>
  <c r="N1227" i="4"/>
  <c r="O1227" i="4"/>
  <c r="P1227" i="4"/>
  <c r="Q1227" i="4"/>
  <c r="R1227" i="4"/>
  <c r="S1227" i="4"/>
  <c r="T1227" i="4"/>
  <c r="H1228" i="4"/>
  <c r="I1228" i="4"/>
  <c r="J1228" i="4"/>
  <c r="K1228" i="4"/>
  <c r="L1228" i="4"/>
  <c r="M1228" i="4"/>
  <c r="N1228" i="4"/>
  <c r="O1228" i="4"/>
  <c r="P1228" i="4"/>
  <c r="Q1228" i="4"/>
  <c r="R1228" i="4"/>
  <c r="S1228" i="4"/>
  <c r="T1228" i="4"/>
  <c r="H1229" i="4"/>
  <c r="I1229" i="4"/>
  <c r="J1229" i="4"/>
  <c r="K1229" i="4"/>
  <c r="L1229" i="4"/>
  <c r="M1229" i="4"/>
  <c r="N1229" i="4"/>
  <c r="O1229" i="4"/>
  <c r="P1229" i="4"/>
  <c r="Q1229" i="4"/>
  <c r="R1229" i="4"/>
  <c r="S1229" i="4"/>
  <c r="T1229" i="4"/>
  <c r="H1230" i="4"/>
  <c r="I1230" i="4"/>
  <c r="J1230" i="4"/>
  <c r="K1230" i="4"/>
  <c r="L1230" i="4"/>
  <c r="M1230" i="4"/>
  <c r="N1230" i="4"/>
  <c r="O1230" i="4"/>
  <c r="P1230" i="4"/>
  <c r="Q1230" i="4"/>
  <c r="R1230" i="4"/>
  <c r="S1230" i="4"/>
  <c r="T1230" i="4"/>
  <c r="H1231" i="4"/>
  <c r="I1231" i="4"/>
  <c r="J1231" i="4"/>
  <c r="K1231" i="4"/>
  <c r="L1231" i="4"/>
  <c r="M1231" i="4"/>
  <c r="N1231" i="4"/>
  <c r="O1231" i="4"/>
  <c r="P1231" i="4"/>
  <c r="Q1231" i="4"/>
  <c r="R1231" i="4"/>
  <c r="S1231" i="4"/>
  <c r="T1231" i="4"/>
  <c r="H1232" i="4"/>
  <c r="I1232" i="4"/>
  <c r="J1232" i="4"/>
  <c r="K1232" i="4"/>
  <c r="L1232" i="4"/>
  <c r="M1232" i="4"/>
  <c r="N1232" i="4"/>
  <c r="O1232" i="4"/>
  <c r="P1232" i="4"/>
  <c r="Q1232" i="4"/>
  <c r="R1232" i="4"/>
  <c r="S1232" i="4"/>
  <c r="T1232" i="4"/>
  <c r="H1233" i="4"/>
  <c r="I1233" i="4"/>
  <c r="J1233" i="4"/>
  <c r="K1233" i="4"/>
  <c r="L1233" i="4"/>
  <c r="M1233" i="4"/>
  <c r="N1233" i="4"/>
  <c r="O1233" i="4"/>
  <c r="P1233" i="4"/>
  <c r="Q1233" i="4"/>
  <c r="R1233" i="4"/>
  <c r="S1233" i="4"/>
  <c r="T1233" i="4"/>
  <c r="H1234" i="4"/>
  <c r="I1234" i="4"/>
  <c r="J1234" i="4"/>
  <c r="K1234" i="4"/>
  <c r="L1234" i="4"/>
  <c r="M1234" i="4"/>
  <c r="N1234" i="4"/>
  <c r="O1234" i="4"/>
  <c r="P1234" i="4"/>
  <c r="Q1234" i="4"/>
  <c r="R1234" i="4"/>
  <c r="S1234" i="4"/>
  <c r="T1234" i="4"/>
  <c r="H1235" i="4"/>
  <c r="I1235" i="4"/>
  <c r="J1235" i="4"/>
  <c r="K1235" i="4"/>
  <c r="L1235" i="4"/>
  <c r="M1235" i="4"/>
  <c r="N1235" i="4"/>
  <c r="O1235" i="4"/>
  <c r="P1235" i="4"/>
  <c r="Q1235" i="4"/>
  <c r="R1235" i="4"/>
  <c r="S1235" i="4"/>
  <c r="T1235" i="4"/>
  <c r="H1236" i="4"/>
  <c r="I1236" i="4"/>
  <c r="J1236" i="4"/>
  <c r="K1236" i="4"/>
  <c r="L1236" i="4"/>
  <c r="M1236" i="4"/>
  <c r="N1236" i="4"/>
  <c r="O1236" i="4"/>
  <c r="P1236" i="4"/>
  <c r="Q1236" i="4"/>
  <c r="R1236" i="4"/>
  <c r="S1236" i="4"/>
  <c r="T1236" i="4"/>
  <c r="H1237" i="4"/>
  <c r="I1237" i="4"/>
  <c r="J1237" i="4"/>
  <c r="K1237" i="4"/>
  <c r="L1237" i="4"/>
  <c r="M1237" i="4"/>
  <c r="N1237" i="4"/>
  <c r="O1237" i="4"/>
  <c r="P1237" i="4"/>
  <c r="Q1237" i="4"/>
  <c r="R1237" i="4"/>
  <c r="S1237" i="4"/>
  <c r="T1237" i="4"/>
  <c r="H1238" i="4"/>
  <c r="I1238" i="4"/>
  <c r="J1238" i="4"/>
  <c r="K1238" i="4"/>
  <c r="L1238" i="4"/>
  <c r="M1238" i="4"/>
  <c r="N1238" i="4"/>
  <c r="O1238" i="4"/>
  <c r="P1238" i="4"/>
  <c r="Q1238" i="4"/>
  <c r="R1238" i="4"/>
  <c r="S1238" i="4"/>
  <c r="T1238" i="4"/>
  <c r="H1239" i="4"/>
  <c r="I1239" i="4"/>
  <c r="J1239" i="4"/>
  <c r="K1239" i="4"/>
  <c r="L1239" i="4"/>
  <c r="M1239" i="4"/>
  <c r="N1239" i="4"/>
  <c r="O1239" i="4"/>
  <c r="P1239" i="4"/>
  <c r="Q1239" i="4"/>
  <c r="R1239" i="4"/>
  <c r="S1239" i="4"/>
  <c r="T1239" i="4"/>
  <c r="H1240" i="4"/>
  <c r="I1240" i="4"/>
  <c r="J1240" i="4"/>
  <c r="K1240" i="4"/>
  <c r="L1240" i="4"/>
  <c r="M1240" i="4"/>
  <c r="N1240" i="4"/>
  <c r="O1240" i="4"/>
  <c r="P1240" i="4"/>
  <c r="Q1240" i="4"/>
  <c r="R1240" i="4"/>
  <c r="S1240" i="4"/>
  <c r="T1240" i="4"/>
  <c r="H1241" i="4"/>
  <c r="I1241" i="4"/>
  <c r="J1241" i="4"/>
  <c r="K1241" i="4"/>
  <c r="L1241" i="4"/>
  <c r="M1241" i="4"/>
  <c r="N1241" i="4"/>
  <c r="O1241" i="4"/>
  <c r="P1241" i="4"/>
  <c r="Q1241" i="4"/>
  <c r="R1241" i="4"/>
  <c r="S1241" i="4"/>
  <c r="T1241" i="4"/>
  <c r="H1242" i="4"/>
  <c r="I1242" i="4"/>
  <c r="J1242" i="4"/>
  <c r="K1242" i="4"/>
  <c r="L1242" i="4"/>
  <c r="M1242" i="4"/>
  <c r="N1242" i="4"/>
  <c r="O1242" i="4"/>
  <c r="P1242" i="4"/>
  <c r="Q1242" i="4"/>
  <c r="R1242" i="4"/>
  <c r="S1242" i="4"/>
  <c r="T1242" i="4"/>
  <c r="H1243" i="4"/>
  <c r="I1243" i="4"/>
  <c r="J1243" i="4"/>
  <c r="K1243" i="4"/>
  <c r="L1243" i="4"/>
  <c r="M1243" i="4"/>
  <c r="N1243" i="4"/>
  <c r="O1243" i="4"/>
  <c r="P1243" i="4"/>
  <c r="Q1243" i="4"/>
  <c r="R1243" i="4"/>
  <c r="S1243" i="4"/>
  <c r="T1243" i="4"/>
  <c r="H1244" i="4"/>
  <c r="I1244" i="4"/>
  <c r="J1244" i="4"/>
  <c r="K1244" i="4"/>
  <c r="L1244" i="4"/>
  <c r="M1244" i="4"/>
  <c r="N1244" i="4"/>
  <c r="O1244" i="4"/>
  <c r="P1244" i="4"/>
  <c r="Q1244" i="4"/>
  <c r="R1244" i="4"/>
  <c r="S1244" i="4"/>
  <c r="T1244" i="4"/>
  <c r="H1245" i="4"/>
  <c r="I1245" i="4"/>
  <c r="J1245" i="4"/>
  <c r="K1245" i="4"/>
  <c r="L1245" i="4"/>
  <c r="M1245" i="4"/>
  <c r="N1245" i="4"/>
  <c r="O1245" i="4"/>
  <c r="P1245" i="4"/>
  <c r="Q1245" i="4"/>
  <c r="R1245" i="4"/>
  <c r="S1245" i="4"/>
  <c r="T1245" i="4"/>
  <c r="H1246" i="4"/>
  <c r="I1246" i="4"/>
  <c r="J1246" i="4"/>
  <c r="K1246" i="4"/>
  <c r="L1246" i="4"/>
  <c r="M1246" i="4"/>
  <c r="N1246" i="4"/>
  <c r="O1246" i="4"/>
  <c r="P1246" i="4"/>
  <c r="Q1246" i="4"/>
  <c r="R1246" i="4"/>
  <c r="S1246" i="4"/>
  <c r="T1246" i="4"/>
  <c r="H1247" i="4"/>
  <c r="I1247" i="4"/>
  <c r="J1247" i="4"/>
  <c r="K1247" i="4"/>
  <c r="L1247" i="4"/>
  <c r="M1247" i="4"/>
  <c r="N1247" i="4"/>
  <c r="O1247" i="4"/>
  <c r="P1247" i="4"/>
  <c r="Q1247" i="4"/>
  <c r="R1247" i="4"/>
  <c r="S1247" i="4"/>
  <c r="T1247" i="4"/>
  <c r="H1248" i="4"/>
  <c r="I1248" i="4"/>
  <c r="J1248" i="4"/>
  <c r="K1248" i="4"/>
  <c r="L1248" i="4"/>
  <c r="M1248" i="4"/>
  <c r="N1248" i="4"/>
  <c r="O1248" i="4"/>
  <c r="P1248" i="4"/>
  <c r="Q1248" i="4"/>
  <c r="R1248" i="4"/>
  <c r="S1248" i="4"/>
  <c r="T1248" i="4"/>
  <c r="H1249" i="4"/>
  <c r="I1249" i="4"/>
  <c r="J1249" i="4"/>
  <c r="K1249" i="4"/>
  <c r="L1249" i="4"/>
  <c r="M1249" i="4"/>
  <c r="N1249" i="4"/>
  <c r="O1249" i="4"/>
  <c r="P1249" i="4"/>
  <c r="Q1249" i="4"/>
  <c r="R1249" i="4"/>
  <c r="S1249" i="4"/>
  <c r="T1249" i="4"/>
  <c r="H1250" i="4"/>
  <c r="I1250" i="4"/>
  <c r="J1250" i="4"/>
  <c r="K1250" i="4"/>
  <c r="L1250" i="4"/>
  <c r="M1250" i="4"/>
  <c r="N1250" i="4"/>
  <c r="O1250" i="4"/>
  <c r="P1250" i="4"/>
  <c r="Q1250" i="4"/>
  <c r="R1250" i="4"/>
  <c r="S1250" i="4"/>
  <c r="T1250" i="4"/>
  <c r="H1251" i="4"/>
  <c r="I1251" i="4"/>
  <c r="J1251" i="4"/>
  <c r="K1251" i="4"/>
  <c r="L1251" i="4"/>
  <c r="M1251" i="4"/>
  <c r="N1251" i="4"/>
  <c r="O1251" i="4"/>
  <c r="P1251" i="4"/>
  <c r="Q1251" i="4"/>
  <c r="R1251" i="4"/>
  <c r="S1251" i="4"/>
  <c r="T1251" i="4"/>
  <c r="H1252" i="4"/>
  <c r="I1252" i="4"/>
  <c r="J1252" i="4"/>
  <c r="K1252" i="4"/>
  <c r="L1252" i="4"/>
  <c r="M1252" i="4"/>
  <c r="N1252" i="4"/>
  <c r="O1252" i="4"/>
  <c r="P1252" i="4"/>
  <c r="Q1252" i="4"/>
  <c r="R1252" i="4"/>
  <c r="S1252" i="4"/>
  <c r="T1252" i="4"/>
  <c r="H1253" i="4"/>
  <c r="I1253" i="4"/>
  <c r="J1253" i="4"/>
  <c r="K1253" i="4"/>
  <c r="L1253" i="4"/>
  <c r="M1253" i="4"/>
  <c r="N1253" i="4"/>
  <c r="O1253" i="4"/>
  <c r="P1253" i="4"/>
  <c r="Q1253" i="4"/>
  <c r="R1253" i="4"/>
  <c r="S1253" i="4"/>
  <c r="T1253" i="4"/>
  <c r="H1254" i="4"/>
  <c r="I1254" i="4"/>
  <c r="J1254" i="4"/>
  <c r="K1254" i="4"/>
  <c r="L1254" i="4"/>
  <c r="M1254" i="4"/>
  <c r="N1254" i="4"/>
  <c r="O1254" i="4"/>
  <c r="P1254" i="4"/>
  <c r="Q1254" i="4"/>
  <c r="R1254" i="4"/>
  <c r="S1254" i="4"/>
  <c r="T1254" i="4"/>
  <c r="H1255" i="4"/>
  <c r="I1255" i="4"/>
  <c r="J1255" i="4"/>
  <c r="K1255" i="4"/>
  <c r="L1255" i="4"/>
  <c r="M1255" i="4"/>
  <c r="N1255" i="4"/>
  <c r="O1255" i="4"/>
  <c r="P1255" i="4"/>
  <c r="Q1255" i="4"/>
  <c r="R1255" i="4"/>
  <c r="S1255" i="4"/>
  <c r="T1255" i="4"/>
  <c r="H1256" i="4"/>
  <c r="I1256" i="4"/>
  <c r="J1256" i="4"/>
  <c r="K1256" i="4"/>
  <c r="L1256" i="4"/>
  <c r="M1256" i="4"/>
  <c r="N1256" i="4"/>
  <c r="O1256" i="4"/>
  <c r="P1256" i="4"/>
  <c r="Q1256" i="4"/>
  <c r="R1256" i="4"/>
  <c r="S1256" i="4"/>
  <c r="T1256" i="4"/>
  <c r="H1257" i="4"/>
  <c r="I1257" i="4"/>
  <c r="J1257" i="4"/>
  <c r="K1257" i="4"/>
  <c r="L1257" i="4"/>
  <c r="M1257" i="4"/>
  <c r="N1257" i="4"/>
  <c r="O1257" i="4"/>
  <c r="P1257" i="4"/>
  <c r="Q1257" i="4"/>
  <c r="R1257" i="4"/>
  <c r="S1257" i="4"/>
  <c r="T1257" i="4"/>
  <c r="H1258" i="4"/>
  <c r="I1258" i="4"/>
  <c r="J1258" i="4"/>
  <c r="K1258" i="4"/>
  <c r="L1258" i="4"/>
  <c r="M1258" i="4"/>
  <c r="N1258" i="4"/>
  <c r="O1258" i="4"/>
  <c r="P1258" i="4"/>
  <c r="Q1258" i="4"/>
  <c r="R1258" i="4"/>
  <c r="S1258" i="4"/>
  <c r="T1258" i="4"/>
  <c r="H1259" i="4"/>
  <c r="I1259" i="4"/>
  <c r="J1259" i="4"/>
  <c r="K1259" i="4"/>
  <c r="L1259" i="4"/>
  <c r="M1259" i="4"/>
  <c r="N1259" i="4"/>
  <c r="O1259" i="4"/>
  <c r="P1259" i="4"/>
  <c r="Q1259" i="4"/>
  <c r="R1259" i="4"/>
  <c r="S1259" i="4"/>
  <c r="T1259" i="4"/>
  <c r="H1260" i="4"/>
  <c r="I1260" i="4"/>
  <c r="J1260" i="4"/>
  <c r="K1260" i="4"/>
  <c r="L1260" i="4"/>
  <c r="M1260" i="4"/>
  <c r="N1260" i="4"/>
  <c r="O1260" i="4"/>
  <c r="P1260" i="4"/>
  <c r="Q1260" i="4"/>
  <c r="R1260" i="4"/>
  <c r="S1260" i="4"/>
  <c r="T1260" i="4"/>
  <c r="H1261" i="4"/>
  <c r="I1261" i="4"/>
  <c r="J1261" i="4"/>
  <c r="K1261" i="4"/>
  <c r="L1261" i="4"/>
  <c r="M1261" i="4"/>
  <c r="N1261" i="4"/>
  <c r="O1261" i="4"/>
  <c r="P1261" i="4"/>
  <c r="Q1261" i="4"/>
  <c r="R1261" i="4"/>
  <c r="S1261" i="4"/>
  <c r="T1261" i="4"/>
  <c r="H1262" i="4"/>
  <c r="I1262" i="4"/>
  <c r="J1262" i="4"/>
  <c r="K1262" i="4"/>
  <c r="L1262" i="4"/>
  <c r="M1262" i="4"/>
  <c r="N1262" i="4"/>
  <c r="O1262" i="4"/>
  <c r="P1262" i="4"/>
  <c r="Q1262" i="4"/>
  <c r="R1262" i="4"/>
  <c r="S1262" i="4"/>
  <c r="T1262" i="4"/>
  <c r="H1263" i="4"/>
  <c r="I1263" i="4"/>
  <c r="J1263" i="4"/>
  <c r="K1263" i="4"/>
  <c r="L1263" i="4"/>
  <c r="M1263" i="4"/>
  <c r="N1263" i="4"/>
  <c r="O1263" i="4"/>
  <c r="P1263" i="4"/>
  <c r="Q1263" i="4"/>
  <c r="R1263" i="4"/>
  <c r="S1263" i="4"/>
  <c r="T1263" i="4"/>
  <c r="H1264" i="4"/>
  <c r="I1264" i="4"/>
  <c r="J1264" i="4"/>
  <c r="K1264" i="4"/>
  <c r="L1264" i="4"/>
  <c r="M1264" i="4"/>
  <c r="N1264" i="4"/>
  <c r="O1264" i="4"/>
  <c r="P1264" i="4"/>
  <c r="Q1264" i="4"/>
  <c r="R1264" i="4"/>
  <c r="S1264" i="4"/>
  <c r="T1264" i="4"/>
  <c r="H1265" i="4"/>
  <c r="I1265" i="4"/>
  <c r="J1265" i="4"/>
  <c r="K1265" i="4"/>
  <c r="L1265" i="4"/>
  <c r="M1265" i="4"/>
  <c r="N1265" i="4"/>
  <c r="O1265" i="4"/>
  <c r="P1265" i="4"/>
  <c r="Q1265" i="4"/>
  <c r="R1265" i="4"/>
  <c r="S1265" i="4"/>
  <c r="T1265" i="4"/>
  <c r="H1266" i="4"/>
  <c r="I1266" i="4"/>
  <c r="J1266" i="4"/>
  <c r="K1266" i="4"/>
  <c r="L1266" i="4"/>
  <c r="M1266" i="4"/>
  <c r="N1266" i="4"/>
  <c r="O1266" i="4"/>
  <c r="P1266" i="4"/>
  <c r="Q1266" i="4"/>
  <c r="R1266" i="4"/>
  <c r="S1266" i="4"/>
  <c r="T1266" i="4"/>
  <c r="H1267" i="4"/>
  <c r="I1267" i="4"/>
  <c r="J1267" i="4"/>
  <c r="K1267" i="4"/>
  <c r="L1267" i="4"/>
  <c r="M1267" i="4"/>
  <c r="N1267" i="4"/>
  <c r="O1267" i="4"/>
  <c r="P1267" i="4"/>
  <c r="Q1267" i="4"/>
  <c r="R1267" i="4"/>
  <c r="S1267" i="4"/>
  <c r="T1267" i="4"/>
  <c r="H1268" i="4"/>
  <c r="I1268" i="4"/>
  <c r="J1268" i="4"/>
  <c r="K1268" i="4"/>
  <c r="L1268" i="4"/>
  <c r="M1268" i="4"/>
  <c r="N1268" i="4"/>
  <c r="O1268" i="4"/>
  <c r="P1268" i="4"/>
  <c r="Q1268" i="4"/>
  <c r="R1268" i="4"/>
  <c r="S1268" i="4"/>
  <c r="T1268" i="4"/>
  <c r="H1269" i="4"/>
  <c r="I1269" i="4"/>
  <c r="J1269" i="4"/>
  <c r="K1269" i="4"/>
  <c r="L1269" i="4"/>
  <c r="M1269" i="4"/>
  <c r="N1269" i="4"/>
  <c r="O1269" i="4"/>
  <c r="P1269" i="4"/>
  <c r="Q1269" i="4"/>
  <c r="R1269" i="4"/>
  <c r="S1269" i="4"/>
  <c r="T1269" i="4"/>
  <c r="H1270" i="4"/>
  <c r="I1270" i="4"/>
  <c r="J1270" i="4"/>
  <c r="K1270" i="4"/>
  <c r="L1270" i="4"/>
  <c r="M1270" i="4"/>
  <c r="N1270" i="4"/>
  <c r="O1270" i="4"/>
  <c r="P1270" i="4"/>
  <c r="Q1270" i="4"/>
  <c r="R1270" i="4"/>
  <c r="S1270" i="4"/>
  <c r="T1270" i="4"/>
  <c r="H1271" i="4"/>
  <c r="I1271" i="4"/>
  <c r="J1271" i="4"/>
  <c r="K1271" i="4"/>
  <c r="L1271" i="4"/>
  <c r="M1271" i="4"/>
  <c r="N1271" i="4"/>
  <c r="O1271" i="4"/>
  <c r="P1271" i="4"/>
  <c r="Q1271" i="4"/>
  <c r="R1271" i="4"/>
  <c r="S1271" i="4"/>
  <c r="T1271" i="4"/>
  <c r="H1272" i="4"/>
  <c r="I1272" i="4"/>
  <c r="J1272" i="4"/>
  <c r="K1272" i="4"/>
  <c r="L1272" i="4"/>
  <c r="M1272" i="4"/>
  <c r="N1272" i="4"/>
  <c r="O1272" i="4"/>
  <c r="P1272" i="4"/>
  <c r="Q1272" i="4"/>
  <c r="R1272" i="4"/>
  <c r="S1272" i="4"/>
  <c r="T1272" i="4"/>
  <c r="H1273" i="4"/>
  <c r="I1273" i="4"/>
  <c r="J1273" i="4"/>
  <c r="K1273" i="4"/>
  <c r="L1273" i="4"/>
  <c r="M1273" i="4"/>
  <c r="N1273" i="4"/>
  <c r="O1273" i="4"/>
  <c r="P1273" i="4"/>
  <c r="Q1273" i="4"/>
  <c r="R1273" i="4"/>
  <c r="S1273" i="4"/>
  <c r="T1273" i="4"/>
  <c r="H1274" i="4"/>
  <c r="I1274" i="4"/>
  <c r="J1274" i="4"/>
  <c r="K1274" i="4"/>
  <c r="L1274" i="4"/>
  <c r="M1274" i="4"/>
  <c r="N1274" i="4"/>
  <c r="O1274" i="4"/>
  <c r="P1274" i="4"/>
  <c r="Q1274" i="4"/>
  <c r="R1274" i="4"/>
  <c r="S1274" i="4"/>
  <c r="T1274" i="4"/>
  <c r="H1275" i="4"/>
  <c r="I1275" i="4"/>
  <c r="J1275" i="4"/>
  <c r="K1275" i="4"/>
  <c r="L1275" i="4"/>
  <c r="M1275" i="4"/>
  <c r="N1275" i="4"/>
  <c r="O1275" i="4"/>
  <c r="P1275" i="4"/>
  <c r="Q1275" i="4"/>
  <c r="R1275" i="4"/>
  <c r="S1275" i="4"/>
  <c r="T1275" i="4"/>
  <c r="H1276" i="4"/>
  <c r="I1276" i="4"/>
  <c r="J1276" i="4"/>
  <c r="K1276" i="4"/>
  <c r="L1276" i="4"/>
  <c r="M1276" i="4"/>
  <c r="N1276" i="4"/>
  <c r="O1276" i="4"/>
  <c r="P1276" i="4"/>
  <c r="Q1276" i="4"/>
  <c r="R1276" i="4"/>
  <c r="S1276" i="4"/>
  <c r="T1276" i="4"/>
  <c r="H1277" i="4"/>
  <c r="I1277" i="4"/>
  <c r="J1277" i="4"/>
  <c r="K1277" i="4"/>
  <c r="L1277" i="4"/>
  <c r="M1277" i="4"/>
  <c r="N1277" i="4"/>
  <c r="O1277" i="4"/>
  <c r="P1277" i="4"/>
  <c r="Q1277" i="4"/>
  <c r="R1277" i="4"/>
  <c r="S1277" i="4"/>
  <c r="T1277" i="4"/>
  <c r="H1278" i="4"/>
  <c r="I1278" i="4"/>
  <c r="J1278" i="4"/>
  <c r="K1278" i="4"/>
  <c r="L1278" i="4"/>
  <c r="M1278" i="4"/>
  <c r="N1278" i="4"/>
  <c r="O1278" i="4"/>
  <c r="P1278" i="4"/>
  <c r="Q1278" i="4"/>
  <c r="R1278" i="4"/>
  <c r="S1278" i="4"/>
  <c r="T1278" i="4"/>
  <c r="H1279" i="4"/>
  <c r="I1279" i="4"/>
  <c r="J1279" i="4"/>
  <c r="K1279" i="4"/>
  <c r="L1279" i="4"/>
  <c r="M1279" i="4"/>
  <c r="N1279" i="4"/>
  <c r="O1279" i="4"/>
  <c r="P1279" i="4"/>
  <c r="Q1279" i="4"/>
  <c r="R1279" i="4"/>
  <c r="S1279" i="4"/>
  <c r="T1279" i="4"/>
  <c r="H1280" i="4"/>
  <c r="I1280" i="4"/>
  <c r="J1280" i="4"/>
  <c r="K1280" i="4"/>
  <c r="L1280" i="4"/>
  <c r="M1280" i="4"/>
  <c r="N1280" i="4"/>
  <c r="O1280" i="4"/>
  <c r="P1280" i="4"/>
  <c r="Q1280" i="4"/>
  <c r="R1280" i="4"/>
  <c r="S1280" i="4"/>
  <c r="T1280" i="4"/>
  <c r="H1281" i="4"/>
  <c r="I1281" i="4"/>
  <c r="J1281" i="4"/>
  <c r="K1281" i="4"/>
  <c r="L1281" i="4"/>
  <c r="M1281" i="4"/>
  <c r="N1281" i="4"/>
  <c r="O1281" i="4"/>
  <c r="P1281" i="4"/>
  <c r="Q1281" i="4"/>
  <c r="R1281" i="4"/>
  <c r="S1281" i="4"/>
  <c r="T1281" i="4"/>
  <c r="H1282" i="4"/>
  <c r="I1282" i="4"/>
  <c r="J1282" i="4"/>
  <c r="K1282" i="4"/>
  <c r="L1282" i="4"/>
  <c r="M1282" i="4"/>
  <c r="N1282" i="4"/>
  <c r="O1282" i="4"/>
  <c r="P1282" i="4"/>
  <c r="Q1282" i="4"/>
  <c r="R1282" i="4"/>
  <c r="S1282" i="4"/>
  <c r="T1282" i="4"/>
  <c r="H1283" i="4"/>
  <c r="I1283" i="4"/>
  <c r="J1283" i="4"/>
  <c r="K1283" i="4"/>
  <c r="L1283" i="4"/>
  <c r="M1283" i="4"/>
  <c r="N1283" i="4"/>
  <c r="O1283" i="4"/>
  <c r="P1283" i="4"/>
  <c r="Q1283" i="4"/>
  <c r="R1283" i="4"/>
  <c r="S1283" i="4"/>
  <c r="T1283" i="4"/>
  <c r="H1284" i="4"/>
  <c r="I1284" i="4"/>
  <c r="J1284" i="4"/>
  <c r="K1284" i="4"/>
  <c r="L1284" i="4"/>
  <c r="M1284" i="4"/>
  <c r="N1284" i="4"/>
  <c r="O1284" i="4"/>
  <c r="P1284" i="4"/>
  <c r="Q1284" i="4"/>
  <c r="R1284" i="4"/>
  <c r="S1284" i="4"/>
  <c r="T1284" i="4"/>
  <c r="H1285" i="4"/>
  <c r="I1285" i="4"/>
  <c r="J1285" i="4"/>
  <c r="K1285" i="4"/>
  <c r="L1285" i="4"/>
  <c r="M1285" i="4"/>
  <c r="N1285" i="4"/>
  <c r="O1285" i="4"/>
  <c r="P1285" i="4"/>
  <c r="Q1285" i="4"/>
  <c r="R1285" i="4"/>
  <c r="S1285" i="4"/>
  <c r="T1285" i="4"/>
  <c r="H1286" i="4"/>
  <c r="I1286" i="4"/>
  <c r="J1286" i="4"/>
  <c r="K1286" i="4"/>
  <c r="L1286" i="4"/>
  <c r="M1286" i="4"/>
  <c r="N1286" i="4"/>
  <c r="O1286" i="4"/>
  <c r="P1286" i="4"/>
  <c r="Q1286" i="4"/>
  <c r="R1286" i="4"/>
  <c r="S1286" i="4"/>
  <c r="T1286" i="4"/>
  <c r="H1287" i="4"/>
  <c r="I1287" i="4"/>
  <c r="J1287" i="4"/>
  <c r="K1287" i="4"/>
  <c r="L1287" i="4"/>
  <c r="M1287" i="4"/>
  <c r="N1287" i="4"/>
  <c r="O1287" i="4"/>
  <c r="P1287" i="4"/>
  <c r="Q1287" i="4"/>
  <c r="R1287" i="4"/>
  <c r="S1287" i="4"/>
  <c r="T1287" i="4"/>
  <c r="H1288" i="4"/>
  <c r="I1288" i="4"/>
  <c r="J1288" i="4"/>
  <c r="K1288" i="4"/>
  <c r="L1288" i="4"/>
  <c r="M1288" i="4"/>
  <c r="N1288" i="4"/>
  <c r="O1288" i="4"/>
  <c r="P1288" i="4"/>
  <c r="Q1288" i="4"/>
  <c r="R1288" i="4"/>
  <c r="S1288" i="4"/>
  <c r="T1288" i="4"/>
  <c r="H1289" i="4"/>
  <c r="I1289" i="4"/>
  <c r="J1289" i="4"/>
  <c r="K1289" i="4"/>
  <c r="L1289" i="4"/>
  <c r="M1289" i="4"/>
  <c r="N1289" i="4"/>
  <c r="O1289" i="4"/>
  <c r="P1289" i="4"/>
  <c r="Q1289" i="4"/>
  <c r="R1289" i="4"/>
  <c r="S1289" i="4"/>
  <c r="T1289" i="4"/>
  <c r="H1290" i="4"/>
  <c r="I1290" i="4"/>
  <c r="J1290" i="4"/>
  <c r="K1290" i="4"/>
  <c r="L1290" i="4"/>
  <c r="M1290" i="4"/>
  <c r="N1290" i="4"/>
  <c r="O1290" i="4"/>
  <c r="P1290" i="4"/>
  <c r="Q1290" i="4"/>
  <c r="R1290" i="4"/>
  <c r="S1290" i="4"/>
  <c r="T1290" i="4"/>
  <c r="H1291" i="4"/>
  <c r="I1291" i="4"/>
  <c r="J1291" i="4"/>
  <c r="K1291" i="4"/>
  <c r="L1291" i="4"/>
  <c r="M1291" i="4"/>
  <c r="N1291" i="4"/>
  <c r="O1291" i="4"/>
  <c r="P1291" i="4"/>
  <c r="Q1291" i="4"/>
  <c r="R1291" i="4"/>
  <c r="S1291" i="4"/>
  <c r="T1291" i="4"/>
  <c r="H1292" i="4"/>
  <c r="I1292" i="4"/>
  <c r="J1292" i="4"/>
  <c r="K1292" i="4"/>
  <c r="L1292" i="4"/>
  <c r="M1292" i="4"/>
  <c r="N1292" i="4"/>
  <c r="O1292" i="4"/>
  <c r="P1292" i="4"/>
  <c r="Q1292" i="4"/>
  <c r="R1292" i="4"/>
  <c r="S1292" i="4"/>
  <c r="T1292" i="4"/>
  <c r="H1293" i="4"/>
  <c r="I1293" i="4"/>
  <c r="J1293" i="4"/>
  <c r="K1293" i="4"/>
  <c r="L1293" i="4"/>
  <c r="M1293" i="4"/>
  <c r="N1293" i="4"/>
  <c r="O1293" i="4"/>
  <c r="P1293" i="4"/>
  <c r="Q1293" i="4"/>
  <c r="R1293" i="4"/>
  <c r="S1293" i="4"/>
  <c r="T1293" i="4"/>
  <c r="H1294" i="4"/>
  <c r="I1294" i="4"/>
  <c r="J1294" i="4"/>
  <c r="K1294" i="4"/>
  <c r="L1294" i="4"/>
  <c r="M1294" i="4"/>
  <c r="N1294" i="4"/>
  <c r="O1294" i="4"/>
  <c r="P1294" i="4"/>
  <c r="Q1294" i="4"/>
  <c r="R1294" i="4"/>
  <c r="S1294" i="4"/>
  <c r="T1294" i="4"/>
  <c r="H1295" i="4"/>
  <c r="I1295" i="4"/>
  <c r="J1295" i="4"/>
  <c r="K1295" i="4"/>
  <c r="L1295" i="4"/>
  <c r="M1295" i="4"/>
  <c r="N1295" i="4"/>
  <c r="O1295" i="4"/>
  <c r="P1295" i="4"/>
  <c r="Q1295" i="4"/>
  <c r="R1295" i="4"/>
  <c r="S1295" i="4"/>
  <c r="T1295" i="4"/>
  <c r="H1296" i="4"/>
  <c r="I1296" i="4"/>
  <c r="J1296" i="4"/>
  <c r="K1296" i="4"/>
  <c r="L1296" i="4"/>
  <c r="M1296" i="4"/>
  <c r="N1296" i="4"/>
  <c r="O1296" i="4"/>
  <c r="P1296" i="4"/>
  <c r="Q1296" i="4"/>
  <c r="R1296" i="4"/>
  <c r="S1296" i="4"/>
  <c r="T1296" i="4"/>
  <c r="H1297" i="4"/>
  <c r="I1297" i="4"/>
  <c r="J1297" i="4"/>
  <c r="K1297" i="4"/>
  <c r="L1297" i="4"/>
  <c r="M1297" i="4"/>
  <c r="N1297" i="4"/>
  <c r="O1297" i="4"/>
  <c r="P1297" i="4"/>
  <c r="Q1297" i="4"/>
  <c r="R1297" i="4"/>
  <c r="S1297" i="4"/>
  <c r="T1297" i="4"/>
  <c r="H1298" i="4"/>
  <c r="I1298" i="4"/>
  <c r="J1298" i="4"/>
  <c r="K1298" i="4"/>
  <c r="L1298" i="4"/>
  <c r="M1298" i="4"/>
  <c r="N1298" i="4"/>
  <c r="O1298" i="4"/>
  <c r="P1298" i="4"/>
  <c r="Q1298" i="4"/>
  <c r="R1298" i="4"/>
  <c r="S1298" i="4"/>
  <c r="T1298" i="4"/>
  <c r="H1299" i="4"/>
  <c r="I1299" i="4"/>
  <c r="J1299" i="4"/>
  <c r="K1299" i="4"/>
  <c r="L1299" i="4"/>
  <c r="M1299" i="4"/>
  <c r="N1299" i="4"/>
  <c r="O1299" i="4"/>
  <c r="P1299" i="4"/>
  <c r="Q1299" i="4"/>
  <c r="R1299" i="4"/>
  <c r="S1299" i="4"/>
  <c r="T1299" i="4"/>
  <c r="H1300" i="4"/>
  <c r="I1300" i="4"/>
  <c r="J1300" i="4"/>
  <c r="K1300" i="4"/>
  <c r="L1300" i="4"/>
  <c r="M1300" i="4"/>
  <c r="N1300" i="4"/>
  <c r="O1300" i="4"/>
  <c r="P1300" i="4"/>
  <c r="Q1300" i="4"/>
  <c r="R1300" i="4"/>
  <c r="S1300" i="4"/>
  <c r="T1300" i="4"/>
  <c r="H1301" i="4"/>
  <c r="I1301" i="4"/>
  <c r="J1301" i="4"/>
  <c r="K1301" i="4"/>
  <c r="L1301" i="4"/>
  <c r="M1301" i="4"/>
  <c r="N1301" i="4"/>
  <c r="O1301" i="4"/>
  <c r="P1301" i="4"/>
  <c r="Q1301" i="4"/>
  <c r="R1301" i="4"/>
  <c r="S1301" i="4"/>
  <c r="T1301" i="4"/>
  <c r="H1302" i="4"/>
  <c r="I1302" i="4"/>
  <c r="J1302" i="4"/>
  <c r="K1302" i="4"/>
  <c r="L1302" i="4"/>
  <c r="M1302" i="4"/>
  <c r="N1302" i="4"/>
  <c r="O1302" i="4"/>
  <c r="P1302" i="4"/>
  <c r="Q1302" i="4"/>
  <c r="R1302" i="4"/>
  <c r="S1302" i="4"/>
  <c r="T1302" i="4"/>
  <c r="H1303" i="4"/>
  <c r="I1303" i="4"/>
  <c r="J1303" i="4"/>
  <c r="K1303" i="4"/>
  <c r="L1303" i="4"/>
  <c r="M1303" i="4"/>
  <c r="N1303" i="4"/>
  <c r="O1303" i="4"/>
  <c r="P1303" i="4"/>
  <c r="Q1303" i="4"/>
  <c r="R1303" i="4"/>
  <c r="S1303" i="4"/>
  <c r="T1303" i="4"/>
  <c r="H1304" i="4"/>
  <c r="I1304" i="4"/>
  <c r="J1304" i="4"/>
  <c r="K1304" i="4"/>
  <c r="L1304" i="4"/>
  <c r="M1304" i="4"/>
  <c r="N1304" i="4"/>
  <c r="O1304" i="4"/>
  <c r="P1304" i="4"/>
  <c r="Q1304" i="4"/>
  <c r="R1304" i="4"/>
  <c r="S1304" i="4"/>
  <c r="T1304" i="4"/>
  <c r="H1305" i="4"/>
  <c r="I1305" i="4"/>
  <c r="J1305" i="4"/>
  <c r="K1305" i="4"/>
  <c r="L1305" i="4"/>
  <c r="M1305" i="4"/>
  <c r="N1305" i="4"/>
  <c r="O1305" i="4"/>
  <c r="P1305" i="4"/>
  <c r="Q1305" i="4"/>
  <c r="R1305" i="4"/>
  <c r="S1305" i="4"/>
  <c r="T1305" i="4"/>
  <c r="H1306" i="4"/>
  <c r="I1306" i="4"/>
  <c r="J1306" i="4"/>
  <c r="K1306" i="4"/>
  <c r="L1306" i="4"/>
  <c r="M1306" i="4"/>
  <c r="N1306" i="4"/>
  <c r="O1306" i="4"/>
  <c r="P1306" i="4"/>
  <c r="Q1306" i="4"/>
  <c r="R1306" i="4"/>
  <c r="S1306" i="4"/>
  <c r="T1306" i="4"/>
  <c r="H1307" i="4"/>
  <c r="I1307" i="4"/>
  <c r="J1307" i="4"/>
  <c r="K1307" i="4"/>
  <c r="L1307" i="4"/>
  <c r="M1307" i="4"/>
  <c r="N1307" i="4"/>
  <c r="O1307" i="4"/>
  <c r="P1307" i="4"/>
  <c r="Q1307" i="4"/>
  <c r="R1307" i="4"/>
  <c r="S1307" i="4"/>
  <c r="T1307" i="4"/>
  <c r="H1308" i="4"/>
  <c r="I1308" i="4"/>
  <c r="J1308" i="4"/>
  <c r="K1308" i="4"/>
  <c r="L1308" i="4"/>
  <c r="M1308" i="4"/>
  <c r="N1308" i="4"/>
  <c r="O1308" i="4"/>
  <c r="P1308" i="4"/>
  <c r="Q1308" i="4"/>
  <c r="R1308" i="4"/>
  <c r="S1308" i="4"/>
  <c r="T1308" i="4"/>
  <c r="H1309" i="4"/>
  <c r="I1309" i="4"/>
  <c r="J1309" i="4"/>
  <c r="K1309" i="4"/>
  <c r="L1309" i="4"/>
  <c r="M1309" i="4"/>
  <c r="N1309" i="4"/>
  <c r="O1309" i="4"/>
  <c r="P1309" i="4"/>
  <c r="Q1309" i="4"/>
  <c r="R1309" i="4"/>
  <c r="S1309" i="4"/>
  <c r="T1309" i="4"/>
  <c r="H1310" i="4"/>
  <c r="I1310" i="4"/>
  <c r="J1310" i="4"/>
  <c r="K1310" i="4"/>
  <c r="L1310" i="4"/>
  <c r="M1310" i="4"/>
  <c r="N1310" i="4"/>
  <c r="O1310" i="4"/>
  <c r="P1310" i="4"/>
  <c r="Q1310" i="4"/>
  <c r="R1310" i="4"/>
  <c r="S1310" i="4"/>
  <c r="T1310" i="4"/>
  <c r="H1311" i="4"/>
  <c r="I1311" i="4"/>
  <c r="J1311" i="4"/>
  <c r="K1311" i="4"/>
  <c r="L1311" i="4"/>
  <c r="M1311" i="4"/>
  <c r="N1311" i="4"/>
  <c r="O1311" i="4"/>
  <c r="P1311" i="4"/>
  <c r="Q1311" i="4"/>
  <c r="R1311" i="4"/>
  <c r="S1311" i="4"/>
  <c r="T1311" i="4"/>
  <c r="H1312" i="4"/>
  <c r="I1312" i="4"/>
  <c r="J1312" i="4"/>
  <c r="K1312" i="4"/>
  <c r="L1312" i="4"/>
  <c r="M1312" i="4"/>
  <c r="N1312" i="4"/>
  <c r="O1312" i="4"/>
  <c r="P1312" i="4"/>
  <c r="Q1312" i="4"/>
  <c r="R1312" i="4"/>
  <c r="S1312" i="4"/>
  <c r="T1312" i="4"/>
  <c r="H1313" i="4"/>
  <c r="I1313" i="4"/>
  <c r="J1313" i="4"/>
  <c r="K1313" i="4"/>
  <c r="L1313" i="4"/>
  <c r="M1313" i="4"/>
  <c r="N1313" i="4"/>
  <c r="O1313" i="4"/>
  <c r="P1313" i="4"/>
  <c r="Q1313" i="4"/>
  <c r="R1313" i="4"/>
  <c r="S1313" i="4"/>
  <c r="T1313" i="4"/>
  <c r="H1314" i="4"/>
  <c r="I1314" i="4"/>
  <c r="J1314" i="4"/>
  <c r="K1314" i="4"/>
  <c r="L1314" i="4"/>
  <c r="M1314" i="4"/>
  <c r="N1314" i="4"/>
  <c r="O1314" i="4"/>
  <c r="P1314" i="4"/>
  <c r="Q1314" i="4"/>
  <c r="R1314" i="4"/>
  <c r="S1314" i="4"/>
  <c r="T1314" i="4"/>
  <c r="H1315" i="4"/>
  <c r="I1315" i="4"/>
  <c r="J1315" i="4"/>
  <c r="K1315" i="4"/>
  <c r="L1315" i="4"/>
  <c r="M1315" i="4"/>
  <c r="N1315" i="4"/>
  <c r="O1315" i="4"/>
  <c r="P1315" i="4"/>
  <c r="Q1315" i="4"/>
  <c r="R1315" i="4"/>
  <c r="S1315" i="4"/>
  <c r="T1315" i="4"/>
  <c r="H1316" i="4"/>
  <c r="I1316" i="4"/>
  <c r="J1316" i="4"/>
  <c r="K1316" i="4"/>
  <c r="L1316" i="4"/>
  <c r="M1316" i="4"/>
  <c r="N1316" i="4"/>
  <c r="O1316" i="4"/>
  <c r="P1316" i="4"/>
  <c r="Q1316" i="4"/>
  <c r="R1316" i="4"/>
  <c r="S1316" i="4"/>
  <c r="T1316" i="4"/>
  <c r="H1317" i="4"/>
  <c r="I1317" i="4"/>
  <c r="J1317" i="4"/>
  <c r="K1317" i="4"/>
  <c r="L1317" i="4"/>
  <c r="M1317" i="4"/>
  <c r="N1317" i="4"/>
  <c r="O1317" i="4"/>
  <c r="P1317" i="4"/>
  <c r="Q1317" i="4"/>
  <c r="R1317" i="4"/>
  <c r="S1317" i="4"/>
  <c r="T1317" i="4"/>
  <c r="H1318" i="4"/>
  <c r="I1318" i="4"/>
  <c r="J1318" i="4"/>
  <c r="K1318" i="4"/>
  <c r="L1318" i="4"/>
  <c r="M1318" i="4"/>
  <c r="N1318" i="4"/>
  <c r="O1318" i="4"/>
  <c r="P1318" i="4"/>
  <c r="Q1318" i="4"/>
  <c r="R1318" i="4"/>
  <c r="S1318" i="4"/>
  <c r="T1318" i="4"/>
  <c r="H1319" i="4"/>
  <c r="I1319" i="4"/>
  <c r="J1319" i="4"/>
  <c r="K1319" i="4"/>
  <c r="L1319" i="4"/>
  <c r="M1319" i="4"/>
  <c r="N1319" i="4"/>
  <c r="O1319" i="4"/>
  <c r="P1319" i="4"/>
  <c r="Q1319" i="4"/>
  <c r="R1319" i="4"/>
  <c r="S1319" i="4"/>
  <c r="T1319" i="4"/>
  <c r="H1320" i="4"/>
  <c r="I1320" i="4"/>
  <c r="J1320" i="4"/>
  <c r="K1320" i="4"/>
  <c r="L1320" i="4"/>
  <c r="M1320" i="4"/>
  <c r="N1320" i="4"/>
  <c r="O1320" i="4"/>
  <c r="P1320" i="4"/>
  <c r="Q1320" i="4"/>
  <c r="R1320" i="4"/>
  <c r="S1320" i="4"/>
  <c r="T1320" i="4"/>
  <c r="H1321" i="4"/>
  <c r="I1321" i="4"/>
  <c r="J1321" i="4"/>
  <c r="K1321" i="4"/>
  <c r="L1321" i="4"/>
  <c r="M1321" i="4"/>
  <c r="N1321" i="4"/>
  <c r="O1321" i="4"/>
  <c r="P1321" i="4"/>
  <c r="Q1321" i="4"/>
  <c r="R1321" i="4"/>
  <c r="S1321" i="4"/>
  <c r="T1321" i="4"/>
  <c r="H1322" i="4"/>
  <c r="I1322" i="4"/>
  <c r="J1322" i="4"/>
  <c r="K1322" i="4"/>
  <c r="L1322" i="4"/>
  <c r="M1322" i="4"/>
  <c r="N1322" i="4"/>
  <c r="O1322" i="4"/>
  <c r="P1322" i="4"/>
  <c r="Q1322" i="4"/>
  <c r="R1322" i="4"/>
  <c r="S1322" i="4"/>
  <c r="T1322" i="4"/>
  <c r="H1323" i="4"/>
  <c r="I1323" i="4"/>
  <c r="J1323" i="4"/>
  <c r="K1323" i="4"/>
  <c r="L1323" i="4"/>
  <c r="M1323" i="4"/>
  <c r="N1323" i="4"/>
  <c r="O1323" i="4"/>
  <c r="P1323" i="4"/>
  <c r="Q1323" i="4"/>
  <c r="R1323" i="4"/>
  <c r="S1323" i="4"/>
  <c r="T1323" i="4"/>
  <c r="H1324" i="4"/>
  <c r="I1324" i="4"/>
  <c r="J1324" i="4"/>
  <c r="K1324" i="4"/>
  <c r="L1324" i="4"/>
  <c r="M1324" i="4"/>
  <c r="N1324" i="4"/>
  <c r="O1324" i="4"/>
  <c r="P1324" i="4"/>
  <c r="Q1324" i="4"/>
  <c r="R1324" i="4"/>
  <c r="S1324" i="4"/>
  <c r="T1324" i="4"/>
  <c r="H1325" i="4"/>
  <c r="I1325" i="4"/>
  <c r="J1325" i="4"/>
  <c r="K1325" i="4"/>
  <c r="L1325" i="4"/>
  <c r="M1325" i="4"/>
  <c r="N1325" i="4"/>
  <c r="O1325" i="4"/>
  <c r="P1325" i="4"/>
  <c r="Q1325" i="4"/>
  <c r="R1325" i="4"/>
  <c r="S1325" i="4"/>
  <c r="T1325" i="4"/>
  <c r="H1326" i="4"/>
  <c r="I1326" i="4"/>
  <c r="J1326" i="4"/>
  <c r="K1326" i="4"/>
  <c r="L1326" i="4"/>
  <c r="M1326" i="4"/>
  <c r="N1326" i="4"/>
  <c r="O1326" i="4"/>
  <c r="P1326" i="4"/>
  <c r="Q1326" i="4"/>
  <c r="R1326" i="4"/>
  <c r="S1326" i="4"/>
  <c r="T1326" i="4"/>
  <c r="H1327" i="4"/>
  <c r="I1327" i="4"/>
  <c r="J1327" i="4"/>
  <c r="K1327" i="4"/>
  <c r="L1327" i="4"/>
  <c r="M1327" i="4"/>
  <c r="N1327" i="4"/>
  <c r="O1327" i="4"/>
  <c r="P1327" i="4"/>
  <c r="Q1327" i="4"/>
  <c r="R1327" i="4"/>
  <c r="S1327" i="4"/>
  <c r="T1327" i="4"/>
  <c r="H1328" i="4"/>
  <c r="I1328" i="4"/>
  <c r="J1328" i="4"/>
  <c r="K1328" i="4"/>
  <c r="L1328" i="4"/>
  <c r="M1328" i="4"/>
  <c r="N1328" i="4"/>
  <c r="O1328" i="4"/>
  <c r="P1328" i="4"/>
  <c r="Q1328" i="4"/>
  <c r="R1328" i="4"/>
  <c r="S1328" i="4"/>
  <c r="T1328" i="4"/>
  <c r="H1329" i="4"/>
  <c r="I1329" i="4"/>
  <c r="J1329" i="4"/>
  <c r="K1329" i="4"/>
  <c r="L1329" i="4"/>
  <c r="M1329" i="4"/>
  <c r="N1329" i="4"/>
  <c r="O1329" i="4"/>
  <c r="P1329" i="4"/>
  <c r="Q1329" i="4"/>
  <c r="R1329" i="4"/>
  <c r="S1329" i="4"/>
  <c r="T1329" i="4"/>
  <c r="H1330" i="4"/>
  <c r="I1330" i="4"/>
  <c r="J1330" i="4"/>
  <c r="K1330" i="4"/>
  <c r="L1330" i="4"/>
  <c r="M1330" i="4"/>
  <c r="N1330" i="4"/>
  <c r="O1330" i="4"/>
  <c r="P1330" i="4"/>
  <c r="Q1330" i="4"/>
  <c r="R1330" i="4"/>
  <c r="S1330" i="4"/>
  <c r="T1330" i="4"/>
  <c r="H1331" i="4"/>
  <c r="I1331" i="4"/>
  <c r="J1331" i="4"/>
  <c r="K1331" i="4"/>
  <c r="L1331" i="4"/>
  <c r="M1331" i="4"/>
  <c r="N1331" i="4"/>
  <c r="O1331" i="4"/>
  <c r="P1331" i="4"/>
  <c r="Q1331" i="4"/>
  <c r="R1331" i="4"/>
  <c r="S1331" i="4"/>
  <c r="T1331" i="4"/>
  <c r="H1332" i="4"/>
  <c r="I1332" i="4"/>
  <c r="J1332" i="4"/>
  <c r="K1332" i="4"/>
  <c r="L1332" i="4"/>
  <c r="M1332" i="4"/>
  <c r="N1332" i="4"/>
  <c r="O1332" i="4"/>
  <c r="P1332" i="4"/>
  <c r="Q1332" i="4"/>
  <c r="R1332" i="4"/>
  <c r="S1332" i="4"/>
  <c r="T1332" i="4"/>
  <c r="H1333" i="4"/>
  <c r="I1333" i="4"/>
  <c r="J1333" i="4"/>
  <c r="K1333" i="4"/>
  <c r="L1333" i="4"/>
  <c r="M1333" i="4"/>
  <c r="N1333" i="4"/>
  <c r="O1333" i="4"/>
  <c r="P1333" i="4"/>
  <c r="Q1333" i="4"/>
  <c r="R1333" i="4"/>
  <c r="S1333" i="4"/>
  <c r="T1333" i="4"/>
  <c r="H1334" i="4"/>
  <c r="I1334" i="4"/>
  <c r="J1334" i="4"/>
  <c r="K1334" i="4"/>
  <c r="L1334" i="4"/>
  <c r="M1334" i="4"/>
  <c r="N1334" i="4"/>
  <c r="O1334" i="4"/>
  <c r="P1334" i="4"/>
  <c r="Q1334" i="4"/>
  <c r="R1334" i="4"/>
  <c r="S1334" i="4"/>
  <c r="T1334" i="4"/>
  <c r="H1335" i="4"/>
  <c r="I1335" i="4"/>
  <c r="J1335" i="4"/>
  <c r="K1335" i="4"/>
  <c r="L1335" i="4"/>
  <c r="M1335" i="4"/>
  <c r="N1335" i="4"/>
  <c r="O1335" i="4"/>
  <c r="P1335" i="4"/>
  <c r="Q1335" i="4"/>
  <c r="R1335" i="4"/>
  <c r="S1335" i="4"/>
  <c r="T1335" i="4"/>
  <c r="H1336" i="4"/>
  <c r="I1336" i="4"/>
  <c r="J1336" i="4"/>
  <c r="K1336" i="4"/>
  <c r="L1336" i="4"/>
  <c r="M1336" i="4"/>
  <c r="N1336" i="4"/>
  <c r="O1336" i="4"/>
  <c r="P1336" i="4"/>
  <c r="Q1336" i="4"/>
  <c r="R1336" i="4"/>
  <c r="S1336" i="4"/>
  <c r="T1336" i="4"/>
  <c r="H1337" i="4"/>
  <c r="I1337" i="4"/>
  <c r="J1337" i="4"/>
  <c r="K1337" i="4"/>
  <c r="L1337" i="4"/>
  <c r="M1337" i="4"/>
  <c r="N1337" i="4"/>
  <c r="O1337" i="4"/>
  <c r="P1337" i="4"/>
  <c r="Q1337" i="4"/>
  <c r="R1337" i="4"/>
  <c r="S1337" i="4"/>
  <c r="T1337" i="4"/>
  <c r="H1338" i="4"/>
  <c r="I1338" i="4"/>
  <c r="J1338" i="4"/>
  <c r="K1338" i="4"/>
  <c r="L1338" i="4"/>
  <c r="M1338" i="4"/>
  <c r="N1338" i="4"/>
  <c r="O1338" i="4"/>
  <c r="P1338" i="4"/>
  <c r="Q1338" i="4"/>
  <c r="R1338" i="4"/>
  <c r="S1338" i="4"/>
  <c r="T1338" i="4"/>
  <c r="H1339" i="4"/>
  <c r="I1339" i="4"/>
  <c r="J1339" i="4"/>
  <c r="K1339" i="4"/>
  <c r="L1339" i="4"/>
  <c r="M1339" i="4"/>
  <c r="N1339" i="4"/>
  <c r="O1339" i="4"/>
  <c r="P1339" i="4"/>
  <c r="Q1339" i="4"/>
  <c r="R1339" i="4"/>
  <c r="S1339" i="4"/>
  <c r="T1339" i="4"/>
  <c r="H1340" i="4"/>
  <c r="I1340" i="4"/>
  <c r="J1340" i="4"/>
  <c r="K1340" i="4"/>
  <c r="L1340" i="4"/>
  <c r="M1340" i="4"/>
  <c r="N1340" i="4"/>
  <c r="O1340" i="4"/>
  <c r="P1340" i="4"/>
  <c r="Q1340" i="4"/>
  <c r="R1340" i="4"/>
  <c r="S1340" i="4"/>
  <c r="T1340" i="4"/>
  <c r="H1341" i="4"/>
  <c r="I1341" i="4"/>
  <c r="J1341" i="4"/>
  <c r="K1341" i="4"/>
  <c r="L1341" i="4"/>
  <c r="M1341" i="4"/>
  <c r="N1341" i="4"/>
  <c r="O1341" i="4"/>
  <c r="P1341" i="4"/>
  <c r="Q1341" i="4"/>
  <c r="R1341" i="4"/>
  <c r="S1341" i="4"/>
  <c r="T1341" i="4"/>
  <c r="H1342" i="4"/>
  <c r="I1342" i="4"/>
  <c r="J1342" i="4"/>
  <c r="K1342" i="4"/>
  <c r="L1342" i="4"/>
  <c r="M1342" i="4"/>
  <c r="N1342" i="4"/>
  <c r="O1342" i="4"/>
  <c r="P1342" i="4"/>
  <c r="Q1342" i="4"/>
  <c r="R1342" i="4"/>
  <c r="S1342" i="4"/>
  <c r="T1342" i="4"/>
  <c r="H1343" i="4"/>
  <c r="I1343" i="4"/>
  <c r="J1343" i="4"/>
  <c r="K1343" i="4"/>
  <c r="L1343" i="4"/>
  <c r="M1343" i="4"/>
  <c r="N1343" i="4"/>
  <c r="O1343" i="4"/>
  <c r="P1343" i="4"/>
  <c r="Q1343" i="4"/>
  <c r="R1343" i="4"/>
  <c r="S1343" i="4"/>
  <c r="T1343" i="4"/>
  <c r="H1344" i="4"/>
  <c r="I1344" i="4"/>
  <c r="J1344" i="4"/>
  <c r="K1344" i="4"/>
  <c r="L1344" i="4"/>
  <c r="M1344" i="4"/>
  <c r="N1344" i="4"/>
  <c r="O1344" i="4"/>
  <c r="P1344" i="4"/>
  <c r="Q1344" i="4"/>
  <c r="R1344" i="4"/>
  <c r="S1344" i="4"/>
  <c r="T1344" i="4"/>
  <c r="H1345" i="4"/>
  <c r="I1345" i="4"/>
  <c r="J1345" i="4"/>
  <c r="K1345" i="4"/>
  <c r="L1345" i="4"/>
  <c r="M1345" i="4"/>
  <c r="N1345" i="4"/>
  <c r="O1345" i="4"/>
  <c r="P1345" i="4"/>
  <c r="Q1345" i="4"/>
  <c r="R1345" i="4"/>
  <c r="S1345" i="4"/>
  <c r="T1345" i="4"/>
  <c r="H1346" i="4"/>
  <c r="I1346" i="4"/>
  <c r="J1346" i="4"/>
  <c r="K1346" i="4"/>
  <c r="L1346" i="4"/>
  <c r="M1346" i="4"/>
  <c r="N1346" i="4"/>
  <c r="O1346" i="4"/>
  <c r="P1346" i="4"/>
  <c r="Q1346" i="4"/>
  <c r="R1346" i="4"/>
  <c r="S1346" i="4"/>
  <c r="T1346" i="4"/>
  <c r="H1347" i="4"/>
  <c r="I1347" i="4"/>
  <c r="J1347" i="4"/>
  <c r="K1347" i="4"/>
  <c r="L1347" i="4"/>
  <c r="M1347" i="4"/>
  <c r="N1347" i="4"/>
  <c r="O1347" i="4"/>
  <c r="P1347" i="4"/>
  <c r="Q1347" i="4"/>
  <c r="R1347" i="4"/>
  <c r="S1347" i="4"/>
  <c r="T1347" i="4"/>
  <c r="H1348" i="4"/>
  <c r="I1348" i="4"/>
  <c r="J1348" i="4"/>
  <c r="K1348" i="4"/>
  <c r="L1348" i="4"/>
  <c r="M1348" i="4"/>
  <c r="N1348" i="4"/>
  <c r="O1348" i="4"/>
  <c r="P1348" i="4"/>
  <c r="Q1348" i="4"/>
  <c r="R1348" i="4"/>
  <c r="S1348" i="4"/>
  <c r="T1348" i="4"/>
  <c r="H1349" i="4"/>
  <c r="I1349" i="4"/>
  <c r="J1349" i="4"/>
  <c r="K1349" i="4"/>
  <c r="L1349" i="4"/>
  <c r="M1349" i="4"/>
  <c r="N1349" i="4"/>
  <c r="O1349" i="4"/>
  <c r="P1349" i="4"/>
  <c r="Q1349" i="4"/>
  <c r="R1349" i="4"/>
  <c r="S1349" i="4"/>
  <c r="T1349" i="4"/>
  <c r="H1350" i="4"/>
  <c r="I1350" i="4"/>
  <c r="J1350" i="4"/>
  <c r="K1350" i="4"/>
  <c r="L1350" i="4"/>
  <c r="M1350" i="4"/>
  <c r="N1350" i="4"/>
  <c r="O1350" i="4"/>
  <c r="P1350" i="4"/>
  <c r="Q1350" i="4"/>
  <c r="R1350" i="4"/>
  <c r="S1350" i="4"/>
  <c r="T1350" i="4"/>
  <c r="H1351" i="4"/>
  <c r="I1351" i="4"/>
  <c r="J1351" i="4"/>
  <c r="K1351" i="4"/>
  <c r="L1351" i="4"/>
  <c r="M1351" i="4"/>
  <c r="N1351" i="4"/>
  <c r="O1351" i="4"/>
  <c r="P1351" i="4"/>
  <c r="Q1351" i="4"/>
  <c r="R1351" i="4"/>
  <c r="S1351" i="4"/>
  <c r="T1351" i="4"/>
  <c r="H1352" i="4"/>
  <c r="I1352" i="4"/>
  <c r="J1352" i="4"/>
  <c r="K1352" i="4"/>
  <c r="L1352" i="4"/>
  <c r="M1352" i="4"/>
  <c r="N1352" i="4"/>
  <c r="O1352" i="4"/>
  <c r="P1352" i="4"/>
  <c r="Q1352" i="4"/>
  <c r="R1352" i="4"/>
  <c r="S1352" i="4"/>
  <c r="T1352" i="4"/>
  <c r="H1353" i="4"/>
  <c r="I1353" i="4"/>
  <c r="J1353" i="4"/>
  <c r="K1353" i="4"/>
  <c r="L1353" i="4"/>
  <c r="M1353" i="4"/>
  <c r="N1353" i="4"/>
  <c r="O1353" i="4"/>
  <c r="P1353" i="4"/>
  <c r="Q1353" i="4"/>
  <c r="R1353" i="4"/>
  <c r="S1353" i="4"/>
  <c r="T1353" i="4"/>
  <c r="H1354" i="4"/>
  <c r="I1354" i="4"/>
  <c r="J1354" i="4"/>
  <c r="K1354" i="4"/>
  <c r="L1354" i="4"/>
  <c r="M1354" i="4"/>
  <c r="N1354" i="4"/>
  <c r="O1354" i="4"/>
  <c r="P1354" i="4"/>
  <c r="Q1354" i="4"/>
  <c r="R1354" i="4"/>
  <c r="S1354" i="4"/>
  <c r="T1354" i="4"/>
  <c r="H1355" i="4"/>
  <c r="I1355" i="4"/>
  <c r="J1355" i="4"/>
  <c r="K1355" i="4"/>
  <c r="L1355" i="4"/>
  <c r="M1355" i="4"/>
  <c r="N1355" i="4"/>
  <c r="O1355" i="4"/>
  <c r="P1355" i="4"/>
  <c r="Q1355" i="4"/>
  <c r="R1355" i="4"/>
  <c r="S1355" i="4"/>
  <c r="T1355" i="4"/>
  <c r="H1356" i="4"/>
  <c r="I1356" i="4"/>
  <c r="J1356" i="4"/>
  <c r="K1356" i="4"/>
  <c r="L1356" i="4"/>
  <c r="M1356" i="4"/>
  <c r="N1356" i="4"/>
  <c r="O1356" i="4"/>
  <c r="P1356" i="4"/>
  <c r="Q1356" i="4"/>
  <c r="R1356" i="4"/>
  <c r="S1356" i="4"/>
  <c r="T1356" i="4"/>
  <c r="H1357" i="4"/>
  <c r="I1357" i="4"/>
  <c r="J1357" i="4"/>
  <c r="K1357" i="4"/>
  <c r="L1357" i="4"/>
  <c r="M1357" i="4"/>
  <c r="N1357" i="4"/>
  <c r="O1357" i="4"/>
  <c r="P1357" i="4"/>
  <c r="Q1357" i="4"/>
  <c r="R1357" i="4"/>
  <c r="S1357" i="4"/>
  <c r="T1357" i="4"/>
  <c r="H1358" i="4"/>
  <c r="I1358" i="4"/>
  <c r="J1358" i="4"/>
  <c r="K1358" i="4"/>
  <c r="L1358" i="4"/>
  <c r="M1358" i="4"/>
  <c r="N1358" i="4"/>
  <c r="O1358" i="4"/>
  <c r="P1358" i="4"/>
  <c r="Q1358" i="4"/>
  <c r="R1358" i="4"/>
  <c r="S1358" i="4"/>
  <c r="T1358" i="4"/>
  <c r="H1359" i="4"/>
  <c r="I1359" i="4"/>
  <c r="J1359" i="4"/>
  <c r="K1359" i="4"/>
  <c r="L1359" i="4"/>
  <c r="M1359" i="4"/>
  <c r="N1359" i="4"/>
  <c r="O1359" i="4"/>
  <c r="P1359" i="4"/>
  <c r="Q1359" i="4"/>
  <c r="R1359" i="4"/>
  <c r="S1359" i="4"/>
  <c r="T1359" i="4"/>
  <c r="H1360" i="4"/>
  <c r="I1360" i="4"/>
  <c r="J1360" i="4"/>
  <c r="K1360" i="4"/>
  <c r="L1360" i="4"/>
  <c r="M1360" i="4"/>
  <c r="N1360" i="4"/>
  <c r="O1360" i="4"/>
  <c r="P1360" i="4"/>
  <c r="Q1360" i="4"/>
  <c r="R1360" i="4"/>
  <c r="S1360" i="4"/>
  <c r="T1360" i="4"/>
  <c r="H1361" i="4"/>
  <c r="I1361" i="4"/>
  <c r="J1361" i="4"/>
  <c r="K1361" i="4"/>
  <c r="L1361" i="4"/>
  <c r="M1361" i="4"/>
  <c r="N1361" i="4"/>
  <c r="O1361" i="4"/>
  <c r="P1361" i="4"/>
  <c r="Q1361" i="4"/>
  <c r="R1361" i="4"/>
  <c r="S1361" i="4"/>
  <c r="T1361" i="4"/>
  <c r="H1362" i="4"/>
  <c r="I1362" i="4"/>
  <c r="J1362" i="4"/>
  <c r="K1362" i="4"/>
  <c r="L1362" i="4"/>
  <c r="M1362" i="4"/>
  <c r="N1362" i="4"/>
  <c r="O1362" i="4"/>
  <c r="P1362" i="4"/>
  <c r="Q1362" i="4"/>
  <c r="R1362" i="4"/>
  <c r="S1362" i="4"/>
  <c r="T1362" i="4"/>
  <c r="H1363" i="4"/>
  <c r="I1363" i="4"/>
  <c r="J1363" i="4"/>
  <c r="K1363" i="4"/>
  <c r="L1363" i="4"/>
  <c r="M1363" i="4"/>
  <c r="N1363" i="4"/>
  <c r="O1363" i="4"/>
  <c r="P1363" i="4"/>
  <c r="Q1363" i="4"/>
  <c r="R1363" i="4"/>
  <c r="S1363" i="4"/>
  <c r="T1363" i="4"/>
  <c r="H1364" i="4"/>
  <c r="I1364" i="4"/>
  <c r="J1364" i="4"/>
  <c r="K1364" i="4"/>
  <c r="L1364" i="4"/>
  <c r="M1364" i="4"/>
  <c r="N1364" i="4"/>
  <c r="O1364" i="4"/>
  <c r="P1364" i="4"/>
  <c r="Q1364" i="4"/>
  <c r="R1364" i="4"/>
  <c r="S1364" i="4"/>
  <c r="T1364" i="4"/>
  <c r="H1365" i="4"/>
  <c r="I1365" i="4"/>
  <c r="J1365" i="4"/>
  <c r="K1365" i="4"/>
  <c r="L1365" i="4"/>
  <c r="M1365" i="4"/>
  <c r="N1365" i="4"/>
  <c r="O1365" i="4"/>
  <c r="P1365" i="4"/>
  <c r="Q1365" i="4"/>
  <c r="R1365" i="4"/>
  <c r="S1365" i="4"/>
  <c r="T1365" i="4"/>
  <c r="H1366" i="4"/>
  <c r="I1366" i="4"/>
  <c r="J1366" i="4"/>
  <c r="K1366" i="4"/>
  <c r="L1366" i="4"/>
  <c r="M1366" i="4"/>
  <c r="N1366" i="4"/>
  <c r="O1366" i="4"/>
  <c r="P1366" i="4"/>
  <c r="Q1366" i="4"/>
  <c r="R1366" i="4"/>
  <c r="S1366" i="4"/>
  <c r="T1366" i="4"/>
  <c r="H1367" i="4"/>
  <c r="I1367" i="4"/>
  <c r="J1367" i="4"/>
  <c r="K1367" i="4"/>
  <c r="L1367" i="4"/>
  <c r="M1367" i="4"/>
  <c r="N1367" i="4"/>
  <c r="O1367" i="4"/>
  <c r="P1367" i="4"/>
  <c r="Q1367" i="4"/>
  <c r="R1367" i="4"/>
  <c r="S1367" i="4"/>
  <c r="T1367" i="4"/>
  <c r="H1368" i="4"/>
  <c r="I1368" i="4"/>
  <c r="J1368" i="4"/>
  <c r="K1368" i="4"/>
  <c r="L1368" i="4"/>
  <c r="M1368" i="4"/>
  <c r="N1368" i="4"/>
  <c r="O1368" i="4"/>
  <c r="P1368" i="4"/>
  <c r="Q1368" i="4"/>
  <c r="R1368" i="4"/>
  <c r="S1368" i="4"/>
  <c r="T1368" i="4"/>
  <c r="H1369" i="4"/>
  <c r="I1369" i="4"/>
  <c r="J1369" i="4"/>
  <c r="K1369" i="4"/>
  <c r="L1369" i="4"/>
  <c r="M1369" i="4"/>
  <c r="N1369" i="4"/>
  <c r="O1369" i="4"/>
  <c r="P1369" i="4"/>
  <c r="Q1369" i="4"/>
  <c r="R1369" i="4"/>
  <c r="S1369" i="4"/>
  <c r="T1369" i="4"/>
  <c r="H1370" i="4"/>
  <c r="I1370" i="4"/>
  <c r="J1370" i="4"/>
  <c r="K1370" i="4"/>
  <c r="L1370" i="4"/>
  <c r="M1370" i="4"/>
  <c r="N1370" i="4"/>
  <c r="O1370" i="4"/>
  <c r="P1370" i="4"/>
  <c r="Q1370" i="4"/>
  <c r="R1370" i="4"/>
  <c r="S1370" i="4"/>
  <c r="T1370" i="4"/>
  <c r="H1371" i="4"/>
  <c r="I1371" i="4"/>
  <c r="J1371" i="4"/>
  <c r="K1371" i="4"/>
  <c r="L1371" i="4"/>
  <c r="M1371" i="4"/>
  <c r="N1371" i="4"/>
  <c r="O1371" i="4"/>
  <c r="P1371" i="4"/>
  <c r="Q1371" i="4"/>
  <c r="R1371" i="4"/>
  <c r="S1371" i="4"/>
  <c r="T1371" i="4"/>
  <c r="H1372" i="4"/>
  <c r="I1372" i="4"/>
  <c r="J1372" i="4"/>
  <c r="K1372" i="4"/>
  <c r="L1372" i="4"/>
  <c r="M1372" i="4"/>
  <c r="N1372" i="4"/>
  <c r="O1372" i="4"/>
  <c r="P1372" i="4"/>
  <c r="Q1372" i="4"/>
  <c r="R1372" i="4"/>
  <c r="S1372" i="4"/>
  <c r="T1372" i="4"/>
  <c r="H1373" i="4"/>
  <c r="I1373" i="4"/>
  <c r="J1373" i="4"/>
  <c r="K1373" i="4"/>
  <c r="L1373" i="4"/>
  <c r="M1373" i="4"/>
  <c r="N1373" i="4"/>
  <c r="O1373" i="4"/>
  <c r="P1373" i="4"/>
  <c r="Q1373" i="4"/>
  <c r="R1373" i="4"/>
  <c r="S1373" i="4"/>
  <c r="T1373" i="4"/>
  <c r="H1374" i="4"/>
  <c r="I1374" i="4"/>
  <c r="J1374" i="4"/>
  <c r="K1374" i="4"/>
  <c r="L1374" i="4"/>
  <c r="M1374" i="4"/>
  <c r="N1374" i="4"/>
  <c r="O1374" i="4"/>
  <c r="P1374" i="4"/>
  <c r="Q1374" i="4"/>
  <c r="R1374" i="4"/>
  <c r="S1374" i="4"/>
  <c r="T1374" i="4"/>
  <c r="H1375" i="4"/>
  <c r="I1375" i="4"/>
  <c r="J1375" i="4"/>
  <c r="K1375" i="4"/>
  <c r="L1375" i="4"/>
  <c r="M1375" i="4"/>
  <c r="N1375" i="4"/>
  <c r="O1375" i="4"/>
  <c r="P1375" i="4"/>
  <c r="Q1375" i="4"/>
  <c r="R1375" i="4"/>
  <c r="S1375" i="4"/>
  <c r="T1375" i="4"/>
  <c r="H1376" i="4"/>
  <c r="I1376" i="4"/>
  <c r="J1376" i="4"/>
  <c r="K1376" i="4"/>
  <c r="L1376" i="4"/>
  <c r="M1376" i="4"/>
  <c r="N1376" i="4"/>
  <c r="O1376" i="4"/>
  <c r="P1376" i="4"/>
  <c r="Q1376" i="4"/>
  <c r="R1376" i="4"/>
  <c r="S1376" i="4"/>
  <c r="T1376" i="4"/>
  <c r="H1377" i="4"/>
  <c r="I1377" i="4"/>
  <c r="J1377" i="4"/>
  <c r="K1377" i="4"/>
  <c r="L1377" i="4"/>
  <c r="M1377" i="4"/>
  <c r="N1377" i="4"/>
  <c r="O1377" i="4"/>
  <c r="P1377" i="4"/>
  <c r="Q1377" i="4"/>
  <c r="R1377" i="4"/>
  <c r="S1377" i="4"/>
  <c r="T1377" i="4"/>
  <c r="H1378" i="4"/>
  <c r="I1378" i="4"/>
  <c r="J1378" i="4"/>
  <c r="K1378" i="4"/>
  <c r="L1378" i="4"/>
  <c r="M1378" i="4"/>
  <c r="N1378" i="4"/>
  <c r="O1378" i="4"/>
  <c r="P1378" i="4"/>
  <c r="Q1378" i="4"/>
  <c r="R1378" i="4"/>
  <c r="S1378" i="4"/>
  <c r="T1378" i="4"/>
  <c r="H1379" i="4"/>
  <c r="I1379" i="4"/>
  <c r="J1379" i="4"/>
  <c r="K1379" i="4"/>
  <c r="L1379" i="4"/>
  <c r="M1379" i="4"/>
  <c r="N1379" i="4"/>
  <c r="O1379" i="4"/>
  <c r="P1379" i="4"/>
  <c r="Q1379" i="4"/>
  <c r="R1379" i="4"/>
  <c r="S1379" i="4"/>
  <c r="T1379" i="4"/>
  <c r="H1380" i="4"/>
  <c r="I1380" i="4"/>
  <c r="J1380" i="4"/>
  <c r="K1380" i="4"/>
  <c r="L1380" i="4"/>
  <c r="M1380" i="4"/>
  <c r="N1380" i="4"/>
  <c r="O1380" i="4"/>
  <c r="P1380" i="4"/>
  <c r="Q1380" i="4"/>
  <c r="R1380" i="4"/>
  <c r="S1380" i="4"/>
  <c r="T1380" i="4"/>
  <c r="H1381" i="4"/>
  <c r="I1381" i="4"/>
  <c r="J1381" i="4"/>
  <c r="K1381" i="4"/>
  <c r="L1381" i="4"/>
  <c r="M1381" i="4"/>
  <c r="N1381" i="4"/>
  <c r="O1381" i="4"/>
  <c r="P1381" i="4"/>
  <c r="Q1381" i="4"/>
  <c r="R1381" i="4"/>
  <c r="S1381" i="4"/>
  <c r="T1381" i="4"/>
  <c r="H1382" i="4"/>
  <c r="I1382" i="4"/>
  <c r="J1382" i="4"/>
  <c r="K1382" i="4"/>
  <c r="L1382" i="4"/>
  <c r="M1382" i="4"/>
  <c r="N1382" i="4"/>
  <c r="O1382" i="4"/>
  <c r="P1382" i="4"/>
  <c r="Q1382" i="4"/>
  <c r="R1382" i="4"/>
  <c r="S1382" i="4"/>
  <c r="T1382" i="4"/>
  <c r="H1383" i="4"/>
  <c r="I1383" i="4"/>
  <c r="J1383" i="4"/>
  <c r="K1383" i="4"/>
  <c r="L1383" i="4"/>
  <c r="M1383" i="4"/>
  <c r="N1383" i="4"/>
  <c r="O1383" i="4"/>
  <c r="P1383" i="4"/>
  <c r="Q1383" i="4"/>
  <c r="R1383" i="4"/>
  <c r="S1383" i="4"/>
  <c r="T1383" i="4"/>
  <c r="H1384" i="4"/>
  <c r="I1384" i="4"/>
  <c r="J1384" i="4"/>
  <c r="K1384" i="4"/>
  <c r="L1384" i="4"/>
  <c r="M1384" i="4"/>
  <c r="N1384" i="4"/>
  <c r="O1384" i="4"/>
  <c r="P1384" i="4"/>
  <c r="Q1384" i="4"/>
  <c r="R1384" i="4"/>
  <c r="S1384" i="4"/>
  <c r="T1384" i="4"/>
  <c r="H1385" i="4"/>
  <c r="I1385" i="4"/>
  <c r="J1385" i="4"/>
  <c r="K1385" i="4"/>
  <c r="L1385" i="4"/>
  <c r="M1385" i="4"/>
  <c r="N1385" i="4"/>
  <c r="O1385" i="4"/>
  <c r="P1385" i="4"/>
  <c r="Q1385" i="4"/>
  <c r="R1385" i="4"/>
  <c r="S1385" i="4"/>
  <c r="T1385" i="4"/>
  <c r="H1386" i="4"/>
  <c r="I1386" i="4"/>
  <c r="J1386" i="4"/>
  <c r="K1386" i="4"/>
  <c r="L1386" i="4"/>
  <c r="M1386" i="4"/>
  <c r="N1386" i="4"/>
  <c r="O1386" i="4"/>
  <c r="P1386" i="4"/>
  <c r="Q1386" i="4"/>
  <c r="R1386" i="4"/>
  <c r="S1386" i="4"/>
  <c r="T1386" i="4"/>
  <c r="H1387" i="4"/>
  <c r="I1387" i="4"/>
  <c r="J1387" i="4"/>
  <c r="K1387" i="4"/>
  <c r="L1387" i="4"/>
  <c r="M1387" i="4"/>
  <c r="N1387" i="4"/>
  <c r="O1387" i="4"/>
  <c r="P1387" i="4"/>
  <c r="Q1387" i="4"/>
  <c r="R1387" i="4"/>
  <c r="S1387" i="4"/>
  <c r="T1387" i="4"/>
  <c r="H1388" i="4"/>
  <c r="I1388" i="4"/>
  <c r="J1388" i="4"/>
  <c r="K1388" i="4"/>
  <c r="L1388" i="4"/>
  <c r="M1388" i="4"/>
  <c r="N1388" i="4"/>
  <c r="O1388" i="4"/>
  <c r="P1388" i="4"/>
  <c r="Q1388" i="4"/>
  <c r="R1388" i="4"/>
  <c r="S1388" i="4"/>
  <c r="T1388" i="4"/>
  <c r="H1389" i="4"/>
  <c r="I1389" i="4"/>
  <c r="J1389" i="4"/>
  <c r="K1389" i="4"/>
  <c r="L1389" i="4"/>
  <c r="M1389" i="4"/>
  <c r="N1389" i="4"/>
  <c r="O1389" i="4"/>
  <c r="P1389" i="4"/>
  <c r="Q1389" i="4"/>
  <c r="R1389" i="4"/>
  <c r="S1389" i="4"/>
  <c r="T1389" i="4"/>
  <c r="H1390" i="4"/>
  <c r="I1390" i="4"/>
  <c r="J1390" i="4"/>
  <c r="K1390" i="4"/>
  <c r="L1390" i="4"/>
  <c r="M1390" i="4"/>
  <c r="N1390" i="4"/>
  <c r="O1390" i="4"/>
  <c r="P1390" i="4"/>
  <c r="Q1390" i="4"/>
  <c r="R1390" i="4"/>
  <c r="S1390" i="4"/>
  <c r="T1390" i="4"/>
  <c r="H1391" i="4"/>
  <c r="I1391" i="4"/>
  <c r="J1391" i="4"/>
  <c r="K1391" i="4"/>
  <c r="L1391" i="4"/>
  <c r="M1391" i="4"/>
  <c r="N1391" i="4"/>
  <c r="O1391" i="4"/>
  <c r="P1391" i="4"/>
  <c r="Q1391" i="4"/>
  <c r="R1391" i="4"/>
  <c r="S1391" i="4"/>
  <c r="T1391" i="4"/>
  <c r="H1392" i="4"/>
  <c r="I1392" i="4"/>
  <c r="J1392" i="4"/>
  <c r="K1392" i="4"/>
  <c r="L1392" i="4"/>
  <c r="M1392" i="4"/>
  <c r="N1392" i="4"/>
  <c r="O1392" i="4"/>
  <c r="P1392" i="4"/>
  <c r="Q1392" i="4"/>
  <c r="R1392" i="4"/>
  <c r="S1392" i="4"/>
  <c r="T1392" i="4"/>
  <c r="H1393" i="4"/>
  <c r="I1393" i="4"/>
  <c r="J1393" i="4"/>
  <c r="K1393" i="4"/>
  <c r="L1393" i="4"/>
  <c r="M1393" i="4"/>
  <c r="N1393" i="4"/>
  <c r="O1393" i="4"/>
  <c r="P1393" i="4"/>
  <c r="Q1393" i="4"/>
  <c r="R1393" i="4"/>
  <c r="S1393" i="4"/>
  <c r="T1393" i="4"/>
  <c r="H1394" i="4"/>
  <c r="I1394" i="4"/>
  <c r="J1394" i="4"/>
  <c r="K1394" i="4"/>
  <c r="L1394" i="4"/>
  <c r="M1394" i="4"/>
  <c r="N1394" i="4"/>
  <c r="O1394" i="4"/>
  <c r="P1394" i="4"/>
  <c r="Q1394" i="4"/>
  <c r="R1394" i="4"/>
  <c r="S1394" i="4"/>
  <c r="T1394" i="4"/>
  <c r="H1395" i="4"/>
  <c r="I1395" i="4"/>
  <c r="J1395" i="4"/>
  <c r="K1395" i="4"/>
  <c r="L1395" i="4"/>
  <c r="M1395" i="4"/>
  <c r="N1395" i="4"/>
  <c r="O1395" i="4"/>
  <c r="P1395" i="4"/>
  <c r="Q1395" i="4"/>
  <c r="R1395" i="4"/>
  <c r="S1395" i="4"/>
  <c r="T1395" i="4"/>
  <c r="H1396" i="4"/>
  <c r="I1396" i="4"/>
  <c r="J1396" i="4"/>
  <c r="K1396" i="4"/>
  <c r="L1396" i="4"/>
  <c r="M1396" i="4"/>
  <c r="N1396" i="4"/>
  <c r="O1396" i="4"/>
  <c r="P1396" i="4"/>
  <c r="Q1396" i="4"/>
  <c r="R1396" i="4"/>
  <c r="S1396" i="4"/>
  <c r="T1396" i="4"/>
  <c r="H1397" i="4"/>
  <c r="I1397" i="4"/>
  <c r="J1397" i="4"/>
  <c r="K1397" i="4"/>
  <c r="L1397" i="4"/>
  <c r="M1397" i="4"/>
  <c r="N1397" i="4"/>
  <c r="O1397" i="4"/>
  <c r="P1397" i="4"/>
  <c r="Q1397" i="4"/>
  <c r="R1397" i="4"/>
  <c r="S1397" i="4"/>
  <c r="T1397" i="4"/>
  <c r="H1398" i="4"/>
  <c r="I1398" i="4"/>
  <c r="J1398" i="4"/>
  <c r="K1398" i="4"/>
  <c r="L1398" i="4"/>
  <c r="M1398" i="4"/>
  <c r="N1398" i="4"/>
  <c r="O1398" i="4"/>
  <c r="P1398" i="4"/>
  <c r="Q1398" i="4"/>
  <c r="R1398" i="4"/>
  <c r="S1398" i="4"/>
  <c r="T1398" i="4"/>
  <c r="H1399" i="4"/>
  <c r="I1399" i="4"/>
  <c r="J1399" i="4"/>
  <c r="K1399" i="4"/>
  <c r="L1399" i="4"/>
  <c r="M1399" i="4"/>
  <c r="N1399" i="4"/>
  <c r="O1399" i="4"/>
  <c r="P1399" i="4"/>
  <c r="Q1399" i="4"/>
  <c r="R1399" i="4"/>
  <c r="S1399" i="4"/>
  <c r="T1399" i="4"/>
  <c r="H1400" i="4"/>
  <c r="I1400" i="4"/>
  <c r="J1400" i="4"/>
  <c r="K1400" i="4"/>
  <c r="L1400" i="4"/>
  <c r="M1400" i="4"/>
  <c r="N1400" i="4"/>
  <c r="O1400" i="4"/>
  <c r="P1400" i="4"/>
  <c r="Q1400" i="4"/>
  <c r="R1400" i="4"/>
  <c r="S1400" i="4"/>
  <c r="T1400" i="4"/>
  <c r="H1401" i="4"/>
  <c r="I1401" i="4"/>
  <c r="J1401" i="4"/>
  <c r="K1401" i="4"/>
  <c r="L1401" i="4"/>
  <c r="M1401" i="4"/>
  <c r="N1401" i="4"/>
  <c r="O1401" i="4"/>
  <c r="P1401" i="4"/>
  <c r="Q1401" i="4"/>
  <c r="R1401" i="4"/>
  <c r="S1401" i="4"/>
  <c r="T1401" i="4"/>
  <c r="H1402" i="4"/>
  <c r="I1402" i="4"/>
  <c r="J1402" i="4"/>
  <c r="K1402" i="4"/>
  <c r="L1402" i="4"/>
  <c r="M1402" i="4"/>
  <c r="N1402" i="4"/>
  <c r="O1402" i="4"/>
  <c r="P1402" i="4"/>
  <c r="Q1402" i="4"/>
  <c r="R1402" i="4"/>
  <c r="S1402" i="4"/>
  <c r="T1402" i="4"/>
  <c r="H1403" i="4"/>
  <c r="I1403" i="4"/>
  <c r="J1403" i="4"/>
  <c r="K1403" i="4"/>
  <c r="L1403" i="4"/>
  <c r="M1403" i="4"/>
  <c r="N1403" i="4"/>
  <c r="O1403" i="4"/>
  <c r="P1403" i="4"/>
  <c r="Q1403" i="4"/>
  <c r="R1403" i="4"/>
  <c r="S1403" i="4"/>
  <c r="T1403" i="4"/>
  <c r="H1404" i="4"/>
  <c r="I1404" i="4"/>
  <c r="J1404" i="4"/>
  <c r="K1404" i="4"/>
  <c r="L1404" i="4"/>
  <c r="M1404" i="4"/>
  <c r="N1404" i="4"/>
  <c r="O1404" i="4"/>
  <c r="P1404" i="4"/>
  <c r="Q1404" i="4"/>
  <c r="R1404" i="4"/>
  <c r="S1404" i="4"/>
  <c r="T1404" i="4"/>
  <c r="H1405" i="4"/>
  <c r="I1405" i="4"/>
  <c r="J1405" i="4"/>
  <c r="K1405" i="4"/>
  <c r="L1405" i="4"/>
  <c r="M1405" i="4"/>
  <c r="N1405" i="4"/>
  <c r="O1405" i="4"/>
  <c r="P1405" i="4"/>
  <c r="Q1405" i="4"/>
  <c r="R1405" i="4"/>
  <c r="S1405" i="4"/>
  <c r="T1405" i="4"/>
  <c r="H1406" i="4"/>
  <c r="I1406" i="4"/>
  <c r="J1406" i="4"/>
  <c r="K1406" i="4"/>
  <c r="L1406" i="4"/>
  <c r="M1406" i="4"/>
  <c r="N1406" i="4"/>
  <c r="O1406" i="4"/>
  <c r="P1406" i="4"/>
  <c r="Q1406" i="4"/>
  <c r="R1406" i="4"/>
  <c r="S1406" i="4"/>
  <c r="T1406" i="4"/>
  <c r="H1407" i="4"/>
  <c r="I1407" i="4"/>
  <c r="J1407" i="4"/>
  <c r="K1407" i="4"/>
  <c r="L1407" i="4"/>
  <c r="M1407" i="4"/>
  <c r="N1407" i="4"/>
  <c r="O1407" i="4"/>
  <c r="P1407" i="4"/>
  <c r="Q1407" i="4"/>
  <c r="R1407" i="4"/>
  <c r="S1407" i="4"/>
  <c r="T1407" i="4"/>
  <c r="H1408" i="4"/>
  <c r="I1408" i="4"/>
  <c r="J1408" i="4"/>
  <c r="K1408" i="4"/>
  <c r="L1408" i="4"/>
  <c r="M1408" i="4"/>
  <c r="N1408" i="4"/>
  <c r="O1408" i="4"/>
  <c r="P1408" i="4"/>
  <c r="Q1408" i="4"/>
  <c r="R1408" i="4"/>
  <c r="S1408" i="4"/>
  <c r="T1408" i="4"/>
  <c r="H1409" i="4"/>
  <c r="I1409" i="4"/>
  <c r="J1409" i="4"/>
  <c r="K1409" i="4"/>
  <c r="L1409" i="4"/>
  <c r="M1409" i="4"/>
  <c r="N1409" i="4"/>
  <c r="O1409" i="4"/>
  <c r="P1409" i="4"/>
  <c r="Q1409" i="4"/>
  <c r="R1409" i="4"/>
  <c r="S1409" i="4"/>
  <c r="T1409" i="4"/>
  <c r="H1410" i="4"/>
  <c r="I1410" i="4"/>
  <c r="J1410" i="4"/>
  <c r="K1410" i="4"/>
  <c r="L1410" i="4"/>
  <c r="M1410" i="4"/>
  <c r="N1410" i="4"/>
  <c r="O1410" i="4"/>
  <c r="P1410" i="4"/>
  <c r="Q1410" i="4"/>
  <c r="R1410" i="4"/>
  <c r="S1410" i="4"/>
  <c r="T1410" i="4"/>
  <c r="H1411" i="4"/>
  <c r="I1411" i="4"/>
  <c r="J1411" i="4"/>
  <c r="K1411" i="4"/>
  <c r="L1411" i="4"/>
  <c r="M1411" i="4"/>
  <c r="N1411" i="4"/>
  <c r="O1411" i="4"/>
  <c r="P1411" i="4"/>
  <c r="Q1411" i="4"/>
  <c r="R1411" i="4"/>
  <c r="S1411" i="4"/>
  <c r="T1411" i="4"/>
  <c r="H1412" i="4"/>
  <c r="I1412" i="4"/>
  <c r="J1412" i="4"/>
  <c r="K1412" i="4"/>
  <c r="L1412" i="4"/>
  <c r="M1412" i="4"/>
  <c r="N1412" i="4"/>
  <c r="O1412" i="4"/>
  <c r="P1412" i="4"/>
  <c r="Q1412" i="4"/>
  <c r="R1412" i="4"/>
  <c r="S1412" i="4"/>
  <c r="T1412" i="4"/>
  <c r="H1413" i="4"/>
  <c r="I1413" i="4"/>
  <c r="J1413" i="4"/>
  <c r="K1413" i="4"/>
  <c r="L1413" i="4"/>
  <c r="M1413" i="4"/>
  <c r="N1413" i="4"/>
  <c r="O1413" i="4"/>
  <c r="P1413" i="4"/>
  <c r="Q1413" i="4"/>
  <c r="R1413" i="4"/>
  <c r="S1413" i="4"/>
  <c r="T1413" i="4"/>
  <c r="H1414" i="4"/>
  <c r="I1414" i="4"/>
  <c r="J1414" i="4"/>
  <c r="K1414" i="4"/>
  <c r="L1414" i="4"/>
  <c r="M1414" i="4"/>
  <c r="N1414" i="4"/>
  <c r="O1414" i="4"/>
  <c r="P1414" i="4"/>
  <c r="Q1414" i="4"/>
  <c r="R1414" i="4"/>
  <c r="S1414" i="4"/>
  <c r="T1414" i="4"/>
  <c r="H1415" i="4"/>
  <c r="I1415" i="4"/>
  <c r="J1415" i="4"/>
  <c r="K1415" i="4"/>
  <c r="L1415" i="4"/>
  <c r="M1415" i="4"/>
  <c r="N1415" i="4"/>
  <c r="O1415" i="4"/>
  <c r="P1415" i="4"/>
  <c r="Q1415" i="4"/>
  <c r="R1415" i="4"/>
  <c r="S1415" i="4"/>
  <c r="T1415" i="4"/>
  <c r="H1416" i="4"/>
  <c r="I1416" i="4"/>
  <c r="J1416" i="4"/>
  <c r="K1416" i="4"/>
  <c r="L1416" i="4"/>
  <c r="M1416" i="4"/>
  <c r="N1416" i="4"/>
  <c r="O1416" i="4"/>
  <c r="P1416" i="4"/>
  <c r="Q1416" i="4"/>
  <c r="R1416" i="4"/>
  <c r="S1416" i="4"/>
  <c r="T1416" i="4"/>
  <c r="H1417" i="4"/>
  <c r="I1417" i="4"/>
  <c r="J1417" i="4"/>
  <c r="K1417" i="4"/>
  <c r="L1417" i="4"/>
  <c r="M1417" i="4"/>
  <c r="N1417" i="4"/>
  <c r="O1417" i="4"/>
  <c r="P1417" i="4"/>
  <c r="Q1417" i="4"/>
  <c r="R1417" i="4"/>
  <c r="S1417" i="4"/>
  <c r="T1417" i="4"/>
  <c r="H1418" i="4"/>
  <c r="I1418" i="4"/>
  <c r="J1418" i="4"/>
  <c r="K1418" i="4"/>
  <c r="L1418" i="4"/>
  <c r="M1418" i="4"/>
  <c r="N1418" i="4"/>
  <c r="O1418" i="4"/>
  <c r="P1418" i="4"/>
  <c r="Q1418" i="4"/>
  <c r="R1418" i="4"/>
  <c r="S1418" i="4"/>
  <c r="T1418" i="4"/>
  <c r="H1419" i="4"/>
  <c r="I1419" i="4"/>
  <c r="J1419" i="4"/>
  <c r="K1419" i="4"/>
  <c r="L1419" i="4"/>
  <c r="M1419" i="4"/>
  <c r="N1419" i="4"/>
  <c r="O1419" i="4"/>
  <c r="P1419" i="4"/>
  <c r="Q1419" i="4"/>
  <c r="R1419" i="4"/>
  <c r="S1419" i="4"/>
  <c r="T1419" i="4"/>
  <c r="H1420" i="4"/>
  <c r="I1420" i="4"/>
  <c r="J1420" i="4"/>
  <c r="K1420" i="4"/>
  <c r="L1420" i="4"/>
  <c r="M1420" i="4"/>
  <c r="N1420" i="4"/>
  <c r="O1420" i="4"/>
  <c r="P1420" i="4"/>
  <c r="Q1420" i="4"/>
  <c r="R1420" i="4"/>
  <c r="S1420" i="4"/>
  <c r="T1420" i="4"/>
  <c r="H1421" i="4"/>
  <c r="I1421" i="4"/>
  <c r="J1421" i="4"/>
  <c r="K1421" i="4"/>
  <c r="L1421" i="4"/>
  <c r="M1421" i="4"/>
  <c r="N1421" i="4"/>
  <c r="O1421" i="4"/>
  <c r="P1421" i="4"/>
  <c r="Q1421" i="4"/>
  <c r="R1421" i="4"/>
  <c r="S1421" i="4"/>
  <c r="T1421" i="4"/>
  <c r="H1422" i="4"/>
  <c r="I1422" i="4"/>
  <c r="J1422" i="4"/>
  <c r="K1422" i="4"/>
  <c r="L1422" i="4"/>
  <c r="M1422" i="4"/>
  <c r="N1422" i="4"/>
  <c r="O1422" i="4"/>
  <c r="P1422" i="4"/>
  <c r="Q1422" i="4"/>
  <c r="R1422" i="4"/>
  <c r="S1422" i="4"/>
  <c r="T1422" i="4"/>
  <c r="H1423" i="4"/>
  <c r="I1423" i="4"/>
  <c r="J1423" i="4"/>
  <c r="K1423" i="4"/>
  <c r="L1423" i="4"/>
  <c r="M1423" i="4"/>
  <c r="N1423" i="4"/>
  <c r="O1423" i="4"/>
  <c r="P1423" i="4"/>
  <c r="Q1423" i="4"/>
  <c r="R1423" i="4"/>
  <c r="S1423" i="4"/>
  <c r="T1423" i="4"/>
  <c r="H1424" i="4"/>
  <c r="I1424" i="4"/>
  <c r="J1424" i="4"/>
  <c r="K1424" i="4"/>
  <c r="L1424" i="4"/>
  <c r="M1424" i="4"/>
  <c r="N1424" i="4"/>
  <c r="O1424" i="4"/>
  <c r="P1424" i="4"/>
  <c r="Q1424" i="4"/>
  <c r="R1424" i="4"/>
  <c r="S1424" i="4"/>
  <c r="T1424" i="4"/>
  <c r="H1425" i="4"/>
  <c r="I1425" i="4"/>
  <c r="J1425" i="4"/>
  <c r="K1425" i="4"/>
  <c r="L1425" i="4"/>
  <c r="M1425" i="4"/>
  <c r="N1425" i="4"/>
  <c r="O1425" i="4"/>
  <c r="P1425" i="4"/>
  <c r="Q1425" i="4"/>
  <c r="R1425" i="4"/>
  <c r="S1425" i="4"/>
  <c r="T1425" i="4"/>
  <c r="H1426" i="4"/>
  <c r="I1426" i="4"/>
  <c r="J1426" i="4"/>
  <c r="K1426" i="4"/>
  <c r="L1426" i="4"/>
  <c r="M1426" i="4"/>
  <c r="N1426" i="4"/>
  <c r="O1426" i="4"/>
  <c r="P1426" i="4"/>
  <c r="Q1426" i="4"/>
  <c r="R1426" i="4"/>
  <c r="S1426" i="4"/>
  <c r="T1426" i="4"/>
  <c r="H1427" i="4"/>
  <c r="I1427" i="4"/>
  <c r="J1427" i="4"/>
  <c r="K1427" i="4"/>
  <c r="L1427" i="4"/>
  <c r="M1427" i="4"/>
  <c r="N1427" i="4"/>
  <c r="O1427" i="4"/>
  <c r="P1427" i="4"/>
  <c r="Q1427" i="4"/>
  <c r="R1427" i="4"/>
  <c r="S1427" i="4"/>
  <c r="T1427" i="4"/>
  <c r="H1428" i="4"/>
  <c r="I1428" i="4"/>
  <c r="J1428" i="4"/>
  <c r="K1428" i="4"/>
  <c r="L1428" i="4"/>
  <c r="M1428" i="4"/>
  <c r="N1428" i="4"/>
  <c r="O1428" i="4"/>
  <c r="P1428" i="4"/>
  <c r="Q1428" i="4"/>
  <c r="R1428" i="4"/>
  <c r="S1428" i="4"/>
  <c r="T1428" i="4"/>
  <c r="H1429" i="4"/>
  <c r="I1429" i="4"/>
  <c r="J1429" i="4"/>
  <c r="K1429" i="4"/>
  <c r="L1429" i="4"/>
  <c r="M1429" i="4"/>
  <c r="N1429" i="4"/>
  <c r="O1429" i="4"/>
  <c r="P1429" i="4"/>
  <c r="Q1429" i="4"/>
  <c r="R1429" i="4"/>
  <c r="S1429" i="4"/>
  <c r="T1429" i="4"/>
  <c r="H1430" i="4"/>
  <c r="I1430" i="4"/>
  <c r="J1430" i="4"/>
  <c r="K1430" i="4"/>
  <c r="L1430" i="4"/>
  <c r="M1430" i="4"/>
  <c r="N1430" i="4"/>
  <c r="O1430" i="4"/>
  <c r="P1430" i="4"/>
  <c r="Q1430" i="4"/>
  <c r="R1430" i="4"/>
  <c r="S1430" i="4"/>
  <c r="T1430" i="4"/>
  <c r="H1431" i="4"/>
  <c r="I1431" i="4"/>
  <c r="J1431" i="4"/>
  <c r="K1431" i="4"/>
  <c r="L1431" i="4"/>
  <c r="M1431" i="4"/>
  <c r="N1431" i="4"/>
  <c r="O1431" i="4"/>
  <c r="P1431" i="4"/>
  <c r="Q1431" i="4"/>
  <c r="R1431" i="4"/>
  <c r="S1431" i="4"/>
  <c r="T1431" i="4"/>
  <c r="H1432" i="4"/>
  <c r="I1432" i="4"/>
  <c r="J1432" i="4"/>
  <c r="K1432" i="4"/>
  <c r="L1432" i="4"/>
  <c r="M1432" i="4"/>
  <c r="N1432" i="4"/>
  <c r="O1432" i="4"/>
  <c r="P1432" i="4"/>
  <c r="Q1432" i="4"/>
  <c r="R1432" i="4"/>
  <c r="S1432" i="4"/>
  <c r="T1432" i="4"/>
  <c r="H1433" i="4"/>
  <c r="I1433" i="4"/>
  <c r="J1433" i="4"/>
  <c r="K1433" i="4"/>
  <c r="L1433" i="4"/>
  <c r="M1433" i="4"/>
  <c r="N1433" i="4"/>
  <c r="O1433" i="4"/>
  <c r="P1433" i="4"/>
  <c r="Q1433" i="4"/>
  <c r="R1433" i="4"/>
  <c r="S1433" i="4"/>
  <c r="T1433" i="4"/>
  <c r="H1434" i="4"/>
  <c r="I1434" i="4"/>
  <c r="J1434" i="4"/>
  <c r="K1434" i="4"/>
  <c r="L1434" i="4"/>
  <c r="M1434" i="4"/>
  <c r="N1434" i="4"/>
  <c r="O1434" i="4"/>
  <c r="P1434" i="4"/>
  <c r="Q1434" i="4"/>
  <c r="R1434" i="4"/>
  <c r="S1434" i="4"/>
  <c r="T1434" i="4"/>
  <c r="H1435" i="4"/>
  <c r="I1435" i="4"/>
  <c r="J1435" i="4"/>
  <c r="K1435" i="4"/>
  <c r="L1435" i="4"/>
  <c r="M1435" i="4"/>
  <c r="N1435" i="4"/>
  <c r="O1435" i="4"/>
  <c r="P1435" i="4"/>
  <c r="Q1435" i="4"/>
  <c r="R1435" i="4"/>
  <c r="S1435" i="4"/>
  <c r="T1435" i="4"/>
  <c r="H1436" i="4"/>
  <c r="I1436" i="4"/>
  <c r="J1436" i="4"/>
  <c r="K1436" i="4"/>
  <c r="L1436" i="4"/>
  <c r="M1436" i="4"/>
  <c r="N1436" i="4"/>
  <c r="O1436" i="4"/>
  <c r="P1436" i="4"/>
  <c r="Q1436" i="4"/>
  <c r="R1436" i="4"/>
  <c r="S1436" i="4"/>
  <c r="T1436" i="4"/>
  <c r="H1437" i="4"/>
  <c r="I1437" i="4"/>
  <c r="J1437" i="4"/>
  <c r="K1437" i="4"/>
  <c r="L1437" i="4"/>
  <c r="M1437" i="4"/>
  <c r="N1437" i="4"/>
  <c r="O1437" i="4"/>
  <c r="P1437" i="4"/>
  <c r="Q1437" i="4"/>
  <c r="R1437" i="4"/>
  <c r="S1437" i="4"/>
  <c r="T1437" i="4"/>
  <c r="H1438" i="4"/>
  <c r="I1438" i="4"/>
  <c r="J1438" i="4"/>
  <c r="K1438" i="4"/>
  <c r="L1438" i="4"/>
  <c r="M1438" i="4"/>
  <c r="N1438" i="4"/>
  <c r="O1438" i="4"/>
  <c r="P1438" i="4"/>
  <c r="Q1438" i="4"/>
  <c r="R1438" i="4"/>
  <c r="S1438" i="4"/>
  <c r="T1438" i="4"/>
  <c r="H1439" i="4"/>
  <c r="I1439" i="4"/>
  <c r="J1439" i="4"/>
  <c r="K1439" i="4"/>
  <c r="L1439" i="4"/>
  <c r="M1439" i="4"/>
  <c r="N1439" i="4"/>
  <c r="O1439" i="4"/>
  <c r="P1439" i="4"/>
  <c r="Q1439" i="4"/>
  <c r="R1439" i="4"/>
  <c r="S1439" i="4"/>
  <c r="T1439" i="4"/>
  <c r="H1440" i="4"/>
  <c r="I1440" i="4"/>
  <c r="J1440" i="4"/>
  <c r="K1440" i="4"/>
  <c r="L1440" i="4"/>
  <c r="M1440" i="4"/>
  <c r="N1440" i="4"/>
  <c r="O1440" i="4"/>
  <c r="P1440" i="4"/>
  <c r="Q1440" i="4"/>
  <c r="R1440" i="4"/>
  <c r="S1440" i="4"/>
  <c r="T1440" i="4"/>
  <c r="H1441" i="4"/>
  <c r="I1441" i="4"/>
  <c r="J1441" i="4"/>
  <c r="K1441" i="4"/>
  <c r="L1441" i="4"/>
  <c r="M1441" i="4"/>
  <c r="N1441" i="4"/>
  <c r="O1441" i="4"/>
  <c r="P1441" i="4"/>
  <c r="Q1441" i="4"/>
  <c r="R1441" i="4"/>
  <c r="S1441" i="4"/>
  <c r="T1441" i="4"/>
  <c r="H1442" i="4"/>
  <c r="I1442" i="4"/>
  <c r="J1442" i="4"/>
  <c r="K1442" i="4"/>
  <c r="L1442" i="4"/>
  <c r="M1442" i="4"/>
  <c r="N1442" i="4"/>
  <c r="O1442" i="4"/>
  <c r="P1442" i="4"/>
  <c r="Q1442" i="4"/>
  <c r="R1442" i="4"/>
  <c r="S1442" i="4"/>
  <c r="T1442" i="4"/>
  <c r="H1443" i="4"/>
  <c r="I1443" i="4"/>
  <c r="J1443" i="4"/>
  <c r="K1443" i="4"/>
  <c r="L1443" i="4"/>
  <c r="M1443" i="4"/>
  <c r="N1443" i="4"/>
  <c r="O1443" i="4"/>
  <c r="P1443" i="4"/>
  <c r="Q1443" i="4"/>
  <c r="R1443" i="4"/>
  <c r="S1443" i="4"/>
  <c r="T1443" i="4"/>
  <c r="H1444" i="4"/>
  <c r="I1444" i="4"/>
  <c r="J1444" i="4"/>
  <c r="K1444" i="4"/>
  <c r="L1444" i="4"/>
  <c r="M1444" i="4"/>
  <c r="N1444" i="4"/>
  <c r="O1444" i="4"/>
  <c r="P1444" i="4"/>
  <c r="Q1444" i="4"/>
  <c r="R1444" i="4"/>
  <c r="S1444" i="4"/>
  <c r="T1444" i="4"/>
  <c r="H1445" i="4"/>
  <c r="I1445" i="4"/>
  <c r="J1445" i="4"/>
  <c r="K1445" i="4"/>
  <c r="L1445" i="4"/>
  <c r="M1445" i="4"/>
  <c r="N1445" i="4"/>
  <c r="O1445" i="4"/>
  <c r="P1445" i="4"/>
  <c r="Q1445" i="4"/>
  <c r="R1445" i="4"/>
  <c r="S1445" i="4"/>
  <c r="T1445" i="4"/>
  <c r="H1446" i="4"/>
  <c r="I1446" i="4"/>
  <c r="J1446" i="4"/>
  <c r="K1446" i="4"/>
  <c r="L1446" i="4"/>
  <c r="M1446" i="4"/>
  <c r="N1446" i="4"/>
  <c r="O1446" i="4"/>
  <c r="P1446" i="4"/>
  <c r="Q1446" i="4"/>
  <c r="R1446" i="4"/>
  <c r="S1446" i="4"/>
  <c r="T1446" i="4"/>
  <c r="H1447" i="4"/>
  <c r="I1447" i="4"/>
  <c r="J1447" i="4"/>
  <c r="K1447" i="4"/>
  <c r="L1447" i="4"/>
  <c r="M1447" i="4"/>
  <c r="N1447" i="4"/>
  <c r="O1447" i="4"/>
  <c r="P1447" i="4"/>
  <c r="Q1447" i="4"/>
  <c r="R1447" i="4"/>
  <c r="S1447" i="4"/>
  <c r="T1447" i="4"/>
  <c r="H1448" i="4"/>
  <c r="I1448" i="4"/>
  <c r="J1448" i="4"/>
  <c r="K1448" i="4"/>
  <c r="L1448" i="4"/>
  <c r="M1448" i="4"/>
  <c r="N1448" i="4"/>
  <c r="O1448" i="4"/>
  <c r="P1448" i="4"/>
  <c r="Q1448" i="4"/>
  <c r="R1448" i="4"/>
  <c r="S1448" i="4"/>
  <c r="T1448" i="4"/>
  <c r="H1449" i="4"/>
  <c r="I1449" i="4"/>
  <c r="J1449" i="4"/>
  <c r="K1449" i="4"/>
  <c r="L1449" i="4"/>
  <c r="M1449" i="4"/>
  <c r="N1449" i="4"/>
  <c r="O1449" i="4"/>
  <c r="P1449" i="4"/>
  <c r="Q1449" i="4"/>
  <c r="R1449" i="4"/>
  <c r="S1449" i="4"/>
  <c r="T1449" i="4"/>
  <c r="H1450" i="4"/>
  <c r="I1450" i="4"/>
  <c r="J1450" i="4"/>
  <c r="K1450" i="4"/>
  <c r="L1450" i="4"/>
  <c r="M1450" i="4"/>
  <c r="N1450" i="4"/>
  <c r="O1450" i="4"/>
  <c r="P1450" i="4"/>
  <c r="Q1450" i="4"/>
  <c r="R1450" i="4"/>
  <c r="S1450" i="4"/>
  <c r="T1450" i="4"/>
  <c r="H1451" i="4"/>
  <c r="I1451" i="4"/>
  <c r="J1451" i="4"/>
  <c r="K1451" i="4"/>
  <c r="L1451" i="4"/>
  <c r="M1451" i="4"/>
  <c r="N1451" i="4"/>
  <c r="O1451" i="4"/>
  <c r="P1451" i="4"/>
  <c r="Q1451" i="4"/>
  <c r="R1451" i="4"/>
  <c r="S1451" i="4"/>
  <c r="T1451" i="4"/>
  <c r="H1452" i="4"/>
  <c r="I1452" i="4"/>
  <c r="J1452" i="4"/>
  <c r="K1452" i="4"/>
  <c r="L1452" i="4"/>
  <c r="M1452" i="4"/>
  <c r="N1452" i="4"/>
  <c r="O1452" i="4"/>
  <c r="P1452" i="4"/>
  <c r="Q1452" i="4"/>
  <c r="R1452" i="4"/>
  <c r="S1452" i="4"/>
  <c r="T1452" i="4"/>
  <c r="H1453" i="4"/>
  <c r="I1453" i="4"/>
  <c r="J1453" i="4"/>
  <c r="K1453" i="4"/>
  <c r="L1453" i="4"/>
  <c r="M1453" i="4"/>
  <c r="N1453" i="4"/>
  <c r="O1453" i="4"/>
  <c r="P1453" i="4"/>
  <c r="Q1453" i="4"/>
  <c r="R1453" i="4"/>
  <c r="S1453" i="4"/>
  <c r="T1453" i="4"/>
  <c r="H1454" i="4"/>
  <c r="I1454" i="4"/>
  <c r="J1454" i="4"/>
  <c r="K1454" i="4"/>
  <c r="L1454" i="4"/>
  <c r="M1454" i="4"/>
  <c r="N1454" i="4"/>
  <c r="O1454" i="4"/>
  <c r="P1454" i="4"/>
  <c r="Q1454" i="4"/>
  <c r="R1454" i="4"/>
  <c r="S1454" i="4"/>
  <c r="T1454" i="4"/>
  <c r="H1455" i="4"/>
  <c r="I1455" i="4"/>
  <c r="J1455" i="4"/>
  <c r="K1455" i="4"/>
  <c r="L1455" i="4"/>
  <c r="M1455" i="4"/>
  <c r="N1455" i="4"/>
  <c r="O1455" i="4"/>
  <c r="P1455" i="4"/>
  <c r="Q1455" i="4"/>
  <c r="R1455" i="4"/>
  <c r="S1455" i="4"/>
  <c r="T1455" i="4"/>
  <c r="H1456" i="4"/>
  <c r="I1456" i="4"/>
  <c r="J1456" i="4"/>
  <c r="K1456" i="4"/>
  <c r="L1456" i="4"/>
  <c r="M1456" i="4"/>
  <c r="N1456" i="4"/>
  <c r="O1456" i="4"/>
  <c r="P1456" i="4"/>
  <c r="Q1456" i="4"/>
  <c r="R1456" i="4"/>
  <c r="S1456" i="4"/>
  <c r="T1456" i="4"/>
  <c r="H1457" i="4"/>
  <c r="I1457" i="4"/>
  <c r="J1457" i="4"/>
  <c r="K1457" i="4"/>
  <c r="L1457" i="4"/>
  <c r="M1457" i="4"/>
  <c r="N1457" i="4"/>
  <c r="O1457" i="4"/>
  <c r="P1457" i="4"/>
  <c r="Q1457" i="4"/>
  <c r="R1457" i="4"/>
  <c r="S1457" i="4"/>
  <c r="T1457" i="4"/>
  <c r="H1458" i="4"/>
  <c r="I1458" i="4"/>
  <c r="J1458" i="4"/>
  <c r="K1458" i="4"/>
  <c r="L1458" i="4"/>
  <c r="M1458" i="4"/>
  <c r="N1458" i="4"/>
  <c r="O1458" i="4"/>
  <c r="P1458" i="4"/>
  <c r="Q1458" i="4"/>
  <c r="R1458" i="4"/>
  <c r="S1458" i="4"/>
  <c r="T1458" i="4"/>
  <c r="H1459" i="4"/>
  <c r="I1459" i="4"/>
  <c r="J1459" i="4"/>
  <c r="K1459" i="4"/>
  <c r="L1459" i="4"/>
  <c r="M1459" i="4"/>
  <c r="N1459" i="4"/>
  <c r="O1459" i="4"/>
  <c r="P1459" i="4"/>
  <c r="Q1459" i="4"/>
  <c r="R1459" i="4"/>
  <c r="S1459" i="4"/>
  <c r="T1459" i="4"/>
  <c r="H1460" i="4"/>
  <c r="I1460" i="4"/>
  <c r="J1460" i="4"/>
  <c r="K1460" i="4"/>
  <c r="L1460" i="4"/>
  <c r="M1460" i="4"/>
  <c r="N1460" i="4"/>
  <c r="O1460" i="4"/>
  <c r="P1460" i="4"/>
  <c r="Q1460" i="4"/>
  <c r="R1460" i="4"/>
  <c r="S1460" i="4"/>
  <c r="T1460" i="4"/>
  <c r="H1461" i="4"/>
  <c r="I1461" i="4"/>
  <c r="J1461" i="4"/>
  <c r="K1461" i="4"/>
  <c r="L1461" i="4"/>
  <c r="M1461" i="4"/>
  <c r="N1461" i="4"/>
  <c r="O1461" i="4"/>
  <c r="P1461" i="4"/>
  <c r="Q1461" i="4"/>
  <c r="R1461" i="4"/>
  <c r="S1461" i="4"/>
  <c r="T1461" i="4"/>
  <c r="H1462" i="4"/>
  <c r="I1462" i="4"/>
  <c r="J1462" i="4"/>
  <c r="K1462" i="4"/>
  <c r="L1462" i="4"/>
  <c r="M1462" i="4"/>
  <c r="N1462" i="4"/>
  <c r="O1462" i="4"/>
  <c r="P1462" i="4"/>
  <c r="Q1462" i="4"/>
  <c r="R1462" i="4"/>
  <c r="S1462" i="4"/>
  <c r="T1462" i="4"/>
  <c r="H1463" i="4"/>
  <c r="I1463" i="4"/>
  <c r="J1463" i="4"/>
  <c r="K1463" i="4"/>
  <c r="L1463" i="4"/>
  <c r="M1463" i="4"/>
  <c r="N1463" i="4"/>
  <c r="O1463" i="4"/>
  <c r="P1463" i="4"/>
  <c r="Q1463" i="4"/>
  <c r="R1463" i="4"/>
  <c r="S1463" i="4"/>
  <c r="T1463" i="4"/>
  <c r="H1464" i="4"/>
  <c r="I1464" i="4"/>
  <c r="J1464" i="4"/>
  <c r="K1464" i="4"/>
  <c r="L1464" i="4"/>
  <c r="M1464" i="4"/>
  <c r="N1464" i="4"/>
  <c r="O1464" i="4"/>
  <c r="P1464" i="4"/>
  <c r="Q1464" i="4"/>
  <c r="R1464" i="4"/>
  <c r="S1464" i="4"/>
  <c r="T1464" i="4"/>
  <c r="H1465" i="4"/>
  <c r="I1465" i="4"/>
  <c r="J1465" i="4"/>
  <c r="K1465" i="4"/>
  <c r="L1465" i="4"/>
  <c r="M1465" i="4"/>
  <c r="N1465" i="4"/>
  <c r="O1465" i="4"/>
  <c r="P1465" i="4"/>
  <c r="Q1465" i="4"/>
  <c r="R1465" i="4"/>
  <c r="S1465" i="4"/>
  <c r="T1465" i="4"/>
  <c r="H1466" i="4"/>
  <c r="I1466" i="4"/>
  <c r="J1466" i="4"/>
  <c r="K1466" i="4"/>
  <c r="L1466" i="4"/>
  <c r="M1466" i="4"/>
  <c r="N1466" i="4"/>
  <c r="O1466" i="4"/>
  <c r="P1466" i="4"/>
  <c r="Q1466" i="4"/>
  <c r="R1466" i="4"/>
  <c r="S1466" i="4"/>
  <c r="T1466" i="4"/>
  <c r="H1467" i="4"/>
  <c r="I1467" i="4"/>
  <c r="J1467" i="4"/>
  <c r="K1467" i="4"/>
  <c r="L1467" i="4"/>
  <c r="M1467" i="4"/>
  <c r="N1467" i="4"/>
  <c r="O1467" i="4"/>
  <c r="P1467" i="4"/>
  <c r="Q1467" i="4"/>
  <c r="R1467" i="4"/>
  <c r="S1467" i="4"/>
  <c r="T1467" i="4"/>
  <c r="H1468" i="4"/>
  <c r="I1468" i="4"/>
  <c r="J1468" i="4"/>
  <c r="K1468" i="4"/>
  <c r="L1468" i="4"/>
  <c r="M1468" i="4"/>
  <c r="N1468" i="4"/>
  <c r="O1468" i="4"/>
  <c r="P1468" i="4"/>
  <c r="Q1468" i="4"/>
  <c r="R1468" i="4"/>
  <c r="S1468" i="4"/>
  <c r="T1468" i="4"/>
  <c r="H1469" i="4"/>
  <c r="I1469" i="4"/>
  <c r="J1469" i="4"/>
  <c r="K1469" i="4"/>
  <c r="L1469" i="4"/>
  <c r="M1469" i="4"/>
  <c r="N1469" i="4"/>
  <c r="O1469" i="4"/>
  <c r="P1469" i="4"/>
  <c r="Q1469" i="4"/>
  <c r="R1469" i="4"/>
  <c r="S1469" i="4"/>
  <c r="T1469" i="4"/>
  <c r="H1470" i="4"/>
  <c r="I1470" i="4"/>
  <c r="J1470" i="4"/>
  <c r="K1470" i="4"/>
  <c r="L1470" i="4"/>
  <c r="M1470" i="4"/>
  <c r="N1470" i="4"/>
  <c r="O1470" i="4"/>
  <c r="P1470" i="4"/>
  <c r="Q1470" i="4"/>
  <c r="R1470" i="4"/>
  <c r="S1470" i="4"/>
  <c r="T1470" i="4"/>
  <c r="H1471" i="4"/>
  <c r="I1471" i="4"/>
  <c r="J1471" i="4"/>
  <c r="K1471" i="4"/>
  <c r="L1471" i="4"/>
  <c r="M1471" i="4"/>
  <c r="N1471" i="4"/>
  <c r="O1471" i="4"/>
  <c r="P1471" i="4"/>
  <c r="Q1471" i="4"/>
  <c r="R1471" i="4"/>
  <c r="S1471" i="4"/>
  <c r="T1471" i="4"/>
  <c r="H1472" i="4"/>
  <c r="I1472" i="4"/>
  <c r="J1472" i="4"/>
  <c r="K1472" i="4"/>
  <c r="L1472" i="4"/>
  <c r="M1472" i="4"/>
  <c r="N1472" i="4"/>
  <c r="O1472" i="4"/>
  <c r="P1472" i="4"/>
  <c r="Q1472" i="4"/>
  <c r="R1472" i="4"/>
  <c r="S1472" i="4"/>
  <c r="T1472" i="4"/>
  <c r="H1473" i="4"/>
  <c r="I1473" i="4"/>
  <c r="J1473" i="4"/>
  <c r="K1473" i="4"/>
  <c r="L1473" i="4"/>
  <c r="M1473" i="4"/>
  <c r="N1473" i="4"/>
  <c r="O1473" i="4"/>
  <c r="P1473" i="4"/>
  <c r="Q1473" i="4"/>
  <c r="R1473" i="4"/>
  <c r="S1473" i="4"/>
  <c r="T1473" i="4"/>
  <c r="H1474" i="4"/>
  <c r="I1474" i="4"/>
  <c r="J1474" i="4"/>
  <c r="K1474" i="4"/>
  <c r="L1474" i="4"/>
  <c r="M1474" i="4"/>
  <c r="N1474" i="4"/>
  <c r="O1474" i="4"/>
  <c r="P1474" i="4"/>
  <c r="Q1474" i="4"/>
  <c r="R1474" i="4"/>
  <c r="S1474" i="4"/>
  <c r="T1474" i="4"/>
  <c r="H1475" i="4"/>
  <c r="I1475" i="4"/>
  <c r="J1475" i="4"/>
  <c r="K1475" i="4"/>
  <c r="L1475" i="4"/>
  <c r="M1475" i="4"/>
  <c r="N1475" i="4"/>
  <c r="O1475" i="4"/>
  <c r="P1475" i="4"/>
  <c r="Q1475" i="4"/>
  <c r="R1475" i="4"/>
  <c r="S1475" i="4"/>
  <c r="T1475" i="4"/>
  <c r="H1476" i="4"/>
  <c r="I1476" i="4"/>
  <c r="J1476" i="4"/>
  <c r="K1476" i="4"/>
  <c r="L1476" i="4"/>
  <c r="M1476" i="4"/>
  <c r="N1476" i="4"/>
  <c r="O1476" i="4"/>
  <c r="P1476" i="4"/>
  <c r="Q1476" i="4"/>
  <c r="R1476" i="4"/>
  <c r="S1476" i="4"/>
  <c r="T1476" i="4"/>
  <c r="H1477" i="4"/>
  <c r="I1477" i="4"/>
  <c r="J1477" i="4"/>
  <c r="K1477" i="4"/>
  <c r="L1477" i="4"/>
  <c r="M1477" i="4"/>
  <c r="N1477" i="4"/>
  <c r="O1477" i="4"/>
  <c r="P1477" i="4"/>
  <c r="Q1477" i="4"/>
  <c r="R1477" i="4"/>
  <c r="S1477" i="4"/>
  <c r="T1477" i="4"/>
  <c r="H1478" i="4"/>
  <c r="I1478" i="4"/>
  <c r="J1478" i="4"/>
  <c r="K1478" i="4"/>
  <c r="L1478" i="4"/>
  <c r="M1478" i="4"/>
  <c r="N1478" i="4"/>
  <c r="O1478" i="4"/>
  <c r="P1478" i="4"/>
  <c r="Q1478" i="4"/>
  <c r="R1478" i="4"/>
  <c r="S1478" i="4"/>
  <c r="T1478" i="4"/>
  <c r="H1479" i="4"/>
  <c r="I1479" i="4"/>
  <c r="J1479" i="4"/>
  <c r="K1479" i="4"/>
  <c r="L1479" i="4"/>
  <c r="M1479" i="4"/>
  <c r="N1479" i="4"/>
  <c r="O1479" i="4"/>
  <c r="P1479" i="4"/>
  <c r="Q1479" i="4"/>
  <c r="R1479" i="4"/>
  <c r="S1479" i="4"/>
  <c r="T1479" i="4"/>
  <c r="H1480" i="4"/>
  <c r="I1480" i="4"/>
  <c r="J1480" i="4"/>
  <c r="K1480" i="4"/>
  <c r="L1480" i="4"/>
  <c r="M1480" i="4"/>
  <c r="N1480" i="4"/>
  <c r="O1480" i="4"/>
  <c r="P1480" i="4"/>
  <c r="Q1480" i="4"/>
  <c r="R1480" i="4"/>
  <c r="S1480" i="4"/>
  <c r="T1480" i="4"/>
  <c r="H1481" i="4"/>
  <c r="I1481" i="4"/>
  <c r="J1481" i="4"/>
  <c r="K1481" i="4"/>
  <c r="L1481" i="4"/>
  <c r="M1481" i="4"/>
  <c r="N1481" i="4"/>
  <c r="O1481" i="4"/>
  <c r="P1481" i="4"/>
  <c r="Q1481" i="4"/>
  <c r="R1481" i="4"/>
  <c r="S1481" i="4"/>
  <c r="T1481" i="4"/>
  <c r="H1482" i="4"/>
  <c r="I1482" i="4"/>
  <c r="J1482" i="4"/>
  <c r="K1482" i="4"/>
  <c r="L1482" i="4"/>
  <c r="M1482" i="4"/>
  <c r="N1482" i="4"/>
  <c r="O1482" i="4"/>
  <c r="P1482" i="4"/>
  <c r="Q1482" i="4"/>
  <c r="R1482" i="4"/>
  <c r="S1482" i="4"/>
  <c r="T1482" i="4"/>
  <c r="H1483" i="4"/>
  <c r="I1483" i="4"/>
  <c r="J1483" i="4"/>
  <c r="K1483" i="4"/>
  <c r="L1483" i="4"/>
  <c r="M1483" i="4"/>
  <c r="N1483" i="4"/>
  <c r="O1483" i="4"/>
  <c r="P1483" i="4"/>
  <c r="Q1483" i="4"/>
  <c r="R1483" i="4"/>
  <c r="S1483" i="4"/>
  <c r="T1483" i="4"/>
  <c r="H1484" i="4"/>
  <c r="I1484" i="4"/>
  <c r="J1484" i="4"/>
  <c r="K1484" i="4"/>
  <c r="L1484" i="4"/>
  <c r="M1484" i="4"/>
  <c r="N1484" i="4"/>
  <c r="O1484" i="4"/>
  <c r="P1484" i="4"/>
  <c r="Q1484" i="4"/>
  <c r="R1484" i="4"/>
  <c r="S1484" i="4"/>
  <c r="T1484" i="4"/>
  <c r="H1485" i="4"/>
  <c r="I1485" i="4"/>
  <c r="J1485" i="4"/>
  <c r="K1485" i="4"/>
  <c r="L1485" i="4"/>
  <c r="M1485" i="4"/>
  <c r="N1485" i="4"/>
  <c r="O1485" i="4"/>
  <c r="P1485" i="4"/>
  <c r="Q1485" i="4"/>
  <c r="R1485" i="4"/>
  <c r="S1485" i="4"/>
  <c r="T1485" i="4"/>
  <c r="H1486" i="4"/>
  <c r="I1486" i="4"/>
  <c r="J1486" i="4"/>
  <c r="K1486" i="4"/>
  <c r="L1486" i="4"/>
  <c r="M1486" i="4"/>
  <c r="N1486" i="4"/>
  <c r="O1486" i="4"/>
  <c r="P1486" i="4"/>
  <c r="Q1486" i="4"/>
  <c r="R1486" i="4"/>
  <c r="S1486" i="4"/>
  <c r="T1486" i="4"/>
  <c r="H1487" i="4"/>
  <c r="I1487" i="4"/>
  <c r="J1487" i="4"/>
  <c r="K1487" i="4"/>
  <c r="L1487" i="4"/>
  <c r="M1487" i="4"/>
  <c r="N1487" i="4"/>
  <c r="O1487" i="4"/>
  <c r="P1487" i="4"/>
  <c r="Q1487" i="4"/>
  <c r="R1487" i="4"/>
  <c r="S1487" i="4"/>
  <c r="T1487" i="4"/>
  <c r="H1488" i="4"/>
  <c r="I1488" i="4"/>
  <c r="J1488" i="4"/>
  <c r="K1488" i="4"/>
  <c r="L1488" i="4"/>
  <c r="M1488" i="4"/>
  <c r="N1488" i="4"/>
  <c r="O1488" i="4"/>
  <c r="P1488" i="4"/>
  <c r="Q1488" i="4"/>
  <c r="R1488" i="4"/>
  <c r="S1488" i="4"/>
  <c r="T1488" i="4"/>
  <c r="H1489" i="4"/>
  <c r="I1489" i="4"/>
  <c r="J1489" i="4"/>
  <c r="K1489" i="4"/>
  <c r="L1489" i="4"/>
  <c r="M1489" i="4"/>
  <c r="N1489" i="4"/>
  <c r="O1489" i="4"/>
  <c r="P1489" i="4"/>
  <c r="Q1489" i="4"/>
  <c r="R1489" i="4"/>
  <c r="S1489" i="4"/>
  <c r="T1489" i="4"/>
  <c r="H1490" i="4"/>
  <c r="I1490" i="4"/>
  <c r="J1490" i="4"/>
  <c r="K1490" i="4"/>
  <c r="L1490" i="4"/>
  <c r="M1490" i="4"/>
  <c r="N1490" i="4"/>
  <c r="O1490" i="4"/>
  <c r="P1490" i="4"/>
  <c r="Q1490" i="4"/>
  <c r="R1490" i="4"/>
  <c r="S1490" i="4"/>
  <c r="T1490" i="4"/>
  <c r="H1491" i="4"/>
  <c r="I1491" i="4"/>
  <c r="J1491" i="4"/>
  <c r="K1491" i="4"/>
  <c r="L1491" i="4"/>
  <c r="M1491" i="4"/>
  <c r="N1491" i="4"/>
  <c r="O1491" i="4"/>
  <c r="P1491" i="4"/>
  <c r="Q1491" i="4"/>
  <c r="R1491" i="4"/>
  <c r="S1491" i="4"/>
  <c r="T1491" i="4"/>
  <c r="H1492" i="4"/>
  <c r="I1492" i="4"/>
  <c r="J1492" i="4"/>
  <c r="K1492" i="4"/>
  <c r="L1492" i="4"/>
  <c r="M1492" i="4"/>
  <c r="N1492" i="4"/>
  <c r="O1492" i="4"/>
  <c r="P1492" i="4"/>
  <c r="Q1492" i="4"/>
  <c r="R1492" i="4"/>
  <c r="S1492" i="4"/>
  <c r="T1492" i="4"/>
  <c r="H1493" i="4"/>
  <c r="I1493" i="4"/>
  <c r="J1493" i="4"/>
  <c r="K1493" i="4"/>
  <c r="L1493" i="4"/>
  <c r="M1493" i="4"/>
  <c r="N1493" i="4"/>
  <c r="O1493" i="4"/>
  <c r="P1493" i="4"/>
  <c r="Q1493" i="4"/>
  <c r="R1493" i="4"/>
  <c r="S1493" i="4"/>
  <c r="T1493" i="4"/>
  <c r="H1494" i="4"/>
  <c r="I1494" i="4"/>
  <c r="J1494" i="4"/>
  <c r="K1494" i="4"/>
  <c r="L1494" i="4"/>
  <c r="M1494" i="4"/>
  <c r="N1494" i="4"/>
  <c r="O1494" i="4"/>
  <c r="P1494" i="4"/>
  <c r="Q1494" i="4"/>
  <c r="R1494" i="4"/>
  <c r="S1494" i="4"/>
  <c r="T1494" i="4"/>
  <c r="H1495" i="4"/>
  <c r="I1495" i="4"/>
  <c r="J1495" i="4"/>
  <c r="K1495" i="4"/>
  <c r="L1495" i="4"/>
  <c r="M1495" i="4"/>
  <c r="N1495" i="4"/>
  <c r="O1495" i="4"/>
  <c r="P1495" i="4"/>
  <c r="Q1495" i="4"/>
  <c r="R1495" i="4"/>
  <c r="S1495" i="4"/>
  <c r="T1495" i="4"/>
  <c r="H1496" i="4"/>
  <c r="I1496" i="4"/>
  <c r="J1496" i="4"/>
  <c r="K1496" i="4"/>
  <c r="L1496" i="4"/>
  <c r="M1496" i="4"/>
  <c r="N1496" i="4"/>
  <c r="O1496" i="4"/>
  <c r="P1496" i="4"/>
  <c r="Q1496" i="4"/>
  <c r="R1496" i="4"/>
  <c r="S1496" i="4"/>
  <c r="T1496" i="4"/>
  <c r="H1497" i="4"/>
  <c r="I1497" i="4"/>
  <c r="J1497" i="4"/>
  <c r="K1497" i="4"/>
  <c r="L1497" i="4"/>
  <c r="M1497" i="4"/>
  <c r="N1497" i="4"/>
  <c r="O1497" i="4"/>
  <c r="P1497" i="4"/>
  <c r="Q1497" i="4"/>
  <c r="R1497" i="4"/>
  <c r="S1497" i="4"/>
  <c r="T1497" i="4"/>
  <c r="H1498" i="4"/>
  <c r="I1498" i="4"/>
  <c r="J1498" i="4"/>
  <c r="K1498" i="4"/>
  <c r="L1498" i="4"/>
  <c r="M1498" i="4"/>
  <c r="N1498" i="4"/>
  <c r="O1498" i="4"/>
  <c r="P1498" i="4"/>
  <c r="Q1498" i="4"/>
  <c r="R1498" i="4"/>
  <c r="S1498" i="4"/>
  <c r="T1498" i="4"/>
  <c r="H1499" i="4"/>
  <c r="I1499" i="4"/>
  <c r="J1499" i="4"/>
  <c r="K1499" i="4"/>
  <c r="L1499" i="4"/>
  <c r="M1499" i="4"/>
  <c r="N1499" i="4"/>
  <c r="O1499" i="4"/>
  <c r="P1499" i="4"/>
  <c r="Q1499" i="4"/>
  <c r="R1499" i="4"/>
  <c r="S1499" i="4"/>
  <c r="T1499" i="4"/>
  <c r="H1500" i="4"/>
  <c r="I1500" i="4"/>
  <c r="J1500" i="4"/>
  <c r="K1500" i="4"/>
  <c r="L1500" i="4"/>
  <c r="M1500" i="4"/>
  <c r="N1500" i="4"/>
  <c r="O1500" i="4"/>
  <c r="P1500" i="4"/>
  <c r="Q1500" i="4"/>
  <c r="R1500" i="4"/>
  <c r="S1500" i="4"/>
  <c r="T1500" i="4"/>
  <c r="H1501" i="4"/>
  <c r="I1501" i="4"/>
  <c r="J1501" i="4"/>
  <c r="K1501" i="4"/>
  <c r="L1501" i="4"/>
  <c r="M1501" i="4"/>
  <c r="N1501" i="4"/>
  <c r="O1501" i="4"/>
  <c r="P1501" i="4"/>
  <c r="Q1501" i="4"/>
  <c r="R1501" i="4"/>
  <c r="S1501" i="4"/>
  <c r="T1501" i="4"/>
  <c r="H1502" i="4"/>
  <c r="I1502" i="4"/>
  <c r="J1502" i="4"/>
  <c r="K1502" i="4"/>
  <c r="L1502" i="4"/>
  <c r="M1502" i="4"/>
  <c r="N1502" i="4"/>
  <c r="O1502" i="4"/>
  <c r="P1502" i="4"/>
  <c r="Q1502" i="4"/>
  <c r="R1502" i="4"/>
  <c r="S1502" i="4"/>
  <c r="T1502" i="4"/>
  <c r="H1503" i="4"/>
  <c r="I1503" i="4"/>
  <c r="J1503" i="4"/>
  <c r="K1503" i="4"/>
  <c r="L1503" i="4"/>
  <c r="M1503" i="4"/>
  <c r="N1503" i="4"/>
  <c r="O1503" i="4"/>
  <c r="P1503" i="4"/>
  <c r="Q1503" i="4"/>
  <c r="R1503" i="4"/>
  <c r="S1503" i="4"/>
  <c r="T1503" i="4"/>
  <c r="H1504" i="4"/>
  <c r="I1504" i="4"/>
  <c r="J1504" i="4"/>
  <c r="K1504" i="4"/>
  <c r="L1504" i="4"/>
  <c r="M1504" i="4"/>
  <c r="N1504" i="4"/>
  <c r="O1504" i="4"/>
  <c r="P1504" i="4"/>
  <c r="Q1504" i="4"/>
  <c r="R1504" i="4"/>
  <c r="S1504" i="4"/>
  <c r="T1504" i="4"/>
  <c r="H1505" i="4"/>
  <c r="I1505" i="4"/>
  <c r="J1505" i="4"/>
  <c r="K1505" i="4"/>
  <c r="L1505" i="4"/>
  <c r="M1505" i="4"/>
  <c r="N1505" i="4"/>
  <c r="O1505" i="4"/>
  <c r="P1505" i="4"/>
  <c r="Q1505" i="4"/>
  <c r="R1505" i="4"/>
  <c r="S1505" i="4"/>
  <c r="T1505" i="4"/>
  <c r="H1506" i="4"/>
  <c r="I1506" i="4"/>
  <c r="J1506" i="4"/>
  <c r="K1506" i="4"/>
  <c r="L1506" i="4"/>
  <c r="M1506" i="4"/>
  <c r="N1506" i="4"/>
  <c r="O1506" i="4"/>
  <c r="P1506" i="4"/>
  <c r="Q1506" i="4"/>
  <c r="R1506" i="4"/>
  <c r="S1506" i="4"/>
  <c r="T1506" i="4"/>
  <c r="H1507" i="4"/>
  <c r="I1507" i="4"/>
  <c r="J1507" i="4"/>
  <c r="K1507" i="4"/>
  <c r="L1507" i="4"/>
  <c r="M1507" i="4"/>
  <c r="N1507" i="4"/>
  <c r="O1507" i="4"/>
  <c r="P1507" i="4"/>
  <c r="Q1507" i="4"/>
  <c r="R1507" i="4"/>
  <c r="S1507" i="4"/>
  <c r="T1507" i="4"/>
  <c r="H1508" i="4"/>
  <c r="I1508" i="4"/>
  <c r="J1508" i="4"/>
  <c r="K1508" i="4"/>
  <c r="L1508" i="4"/>
  <c r="M1508" i="4"/>
  <c r="N1508" i="4"/>
  <c r="O1508" i="4"/>
  <c r="P1508" i="4"/>
  <c r="Q1508" i="4"/>
  <c r="R1508" i="4"/>
  <c r="S1508" i="4"/>
  <c r="T1508" i="4"/>
  <c r="H1509" i="4"/>
  <c r="I1509" i="4"/>
  <c r="J1509" i="4"/>
  <c r="K1509" i="4"/>
  <c r="L1509" i="4"/>
  <c r="M1509" i="4"/>
  <c r="N1509" i="4"/>
  <c r="O1509" i="4"/>
  <c r="P1509" i="4"/>
  <c r="Q1509" i="4"/>
  <c r="R1509" i="4"/>
  <c r="S1509" i="4"/>
  <c r="T1509" i="4"/>
  <c r="H1510" i="4"/>
  <c r="I1510" i="4"/>
  <c r="J1510" i="4"/>
  <c r="K1510" i="4"/>
  <c r="L1510" i="4"/>
  <c r="M1510" i="4"/>
  <c r="N1510" i="4"/>
  <c r="O1510" i="4"/>
  <c r="P1510" i="4"/>
  <c r="Q1510" i="4"/>
  <c r="R1510" i="4"/>
  <c r="S1510" i="4"/>
  <c r="T1510" i="4"/>
  <c r="H1511" i="4"/>
  <c r="I1511" i="4"/>
  <c r="J1511" i="4"/>
  <c r="K1511" i="4"/>
  <c r="L1511" i="4"/>
  <c r="M1511" i="4"/>
  <c r="N1511" i="4"/>
  <c r="O1511" i="4"/>
  <c r="P1511" i="4"/>
  <c r="Q1511" i="4"/>
  <c r="R1511" i="4"/>
  <c r="S1511" i="4"/>
  <c r="T1511" i="4"/>
  <c r="H1512" i="4"/>
  <c r="I1512" i="4"/>
  <c r="J1512" i="4"/>
  <c r="K1512" i="4"/>
  <c r="L1512" i="4"/>
  <c r="M1512" i="4"/>
  <c r="N1512" i="4"/>
  <c r="O1512" i="4"/>
  <c r="P1512" i="4"/>
  <c r="Q1512" i="4"/>
  <c r="R1512" i="4"/>
  <c r="S1512" i="4"/>
  <c r="T1512" i="4"/>
  <c r="H1513" i="4"/>
  <c r="I1513" i="4"/>
  <c r="J1513" i="4"/>
  <c r="K1513" i="4"/>
  <c r="L1513" i="4"/>
  <c r="M1513" i="4"/>
  <c r="N1513" i="4"/>
  <c r="O1513" i="4"/>
  <c r="P1513" i="4"/>
  <c r="Q1513" i="4"/>
  <c r="R1513" i="4"/>
  <c r="S1513" i="4"/>
  <c r="T1513" i="4"/>
  <c r="H1514" i="4"/>
  <c r="I1514" i="4"/>
  <c r="J1514" i="4"/>
  <c r="K1514" i="4"/>
  <c r="L1514" i="4"/>
  <c r="M1514" i="4"/>
  <c r="N1514" i="4"/>
  <c r="O1514" i="4"/>
  <c r="P1514" i="4"/>
  <c r="Q1514" i="4"/>
  <c r="R1514" i="4"/>
  <c r="S1514" i="4"/>
  <c r="T1514" i="4"/>
  <c r="H1515" i="4"/>
  <c r="I1515" i="4"/>
  <c r="J1515" i="4"/>
  <c r="K1515" i="4"/>
  <c r="L1515" i="4"/>
  <c r="M1515" i="4"/>
  <c r="N1515" i="4"/>
  <c r="O1515" i="4"/>
  <c r="P1515" i="4"/>
  <c r="Q1515" i="4"/>
  <c r="R1515" i="4"/>
  <c r="S1515" i="4"/>
  <c r="T1515" i="4"/>
  <c r="H1516" i="4"/>
  <c r="I1516" i="4"/>
  <c r="J1516" i="4"/>
  <c r="K1516" i="4"/>
  <c r="L1516" i="4"/>
  <c r="M1516" i="4"/>
  <c r="N1516" i="4"/>
  <c r="O1516" i="4"/>
  <c r="P1516" i="4"/>
  <c r="Q1516" i="4"/>
  <c r="R1516" i="4"/>
  <c r="S1516" i="4"/>
  <c r="T1516" i="4"/>
  <c r="H1517" i="4"/>
  <c r="I1517" i="4"/>
  <c r="J1517" i="4"/>
  <c r="K1517" i="4"/>
  <c r="L1517" i="4"/>
  <c r="M1517" i="4"/>
  <c r="N1517" i="4"/>
  <c r="O1517" i="4"/>
  <c r="P1517" i="4"/>
  <c r="Q1517" i="4"/>
  <c r="R1517" i="4"/>
  <c r="S1517" i="4"/>
  <c r="T1517" i="4"/>
  <c r="H1518" i="4"/>
  <c r="I1518" i="4"/>
  <c r="J1518" i="4"/>
  <c r="K1518" i="4"/>
  <c r="L1518" i="4"/>
  <c r="M1518" i="4"/>
  <c r="N1518" i="4"/>
  <c r="O1518" i="4"/>
  <c r="P1518" i="4"/>
  <c r="Q1518" i="4"/>
  <c r="R1518" i="4"/>
  <c r="S1518" i="4"/>
  <c r="T1518" i="4"/>
  <c r="H1519" i="4"/>
  <c r="I1519" i="4"/>
  <c r="J1519" i="4"/>
  <c r="K1519" i="4"/>
  <c r="L1519" i="4"/>
  <c r="M1519" i="4"/>
  <c r="N1519" i="4"/>
  <c r="O1519" i="4"/>
  <c r="P1519" i="4"/>
  <c r="Q1519" i="4"/>
  <c r="R1519" i="4"/>
  <c r="S1519" i="4"/>
  <c r="T1519" i="4"/>
  <c r="H1520" i="4"/>
  <c r="I1520" i="4"/>
  <c r="J1520" i="4"/>
  <c r="K1520" i="4"/>
  <c r="L1520" i="4"/>
  <c r="M1520" i="4"/>
  <c r="N1520" i="4"/>
  <c r="O1520" i="4"/>
  <c r="P1520" i="4"/>
  <c r="Q1520" i="4"/>
  <c r="R1520" i="4"/>
  <c r="S1520" i="4"/>
  <c r="T1520" i="4"/>
  <c r="H1521" i="4"/>
  <c r="I1521" i="4"/>
  <c r="J1521" i="4"/>
  <c r="K1521" i="4"/>
  <c r="L1521" i="4"/>
  <c r="M1521" i="4"/>
  <c r="N1521" i="4"/>
  <c r="O1521" i="4"/>
  <c r="P1521" i="4"/>
  <c r="Q1521" i="4"/>
  <c r="R1521" i="4"/>
  <c r="S1521" i="4"/>
  <c r="T1521" i="4"/>
  <c r="H1522" i="4"/>
  <c r="I1522" i="4"/>
  <c r="J1522" i="4"/>
  <c r="K1522" i="4"/>
  <c r="L1522" i="4"/>
  <c r="M1522" i="4"/>
  <c r="N1522" i="4"/>
  <c r="O1522" i="4"/>
  <c r="P1522" i="4"/>
  <c r="Q1522" i="4"/>
  <c r="R1522" i="4"/>
  <c r="S1522" i="4"/>
  <c r="T1522" i="4"/>
  <c r="H1523" i="4"/>
  <c r="I1523" i="4"/>
  <c r="J1523" i="4"/>
  <c r="K1523" i="4"/>
  <c r="L1523" i="4"/>
  <c r="M1523" i="4"/>
  <c r="N1523" i="4"/>
  <c r="O1523" i="4"/>
  <c r="P1523" i="4"/>
  <c r="Q1523" i="4"/>
  <c r="R1523" i="4"/>
  <c r="S1523" i="4"/>
  <c r="T1523" i="4"/>
  <c r="H1524" i="4"/>
  <c r="I1524" i="4"/>
  <c r="J1524" i="4"/>
  <c r="K1524" i="4"/>
  <c r="L1524" i="4"/>
  <c r="M1524" i="4"/>
  <c r="N1524" i="4"/>
  <c r="O1524" i="4"/>
  <c r="P1524" i="4"/>
  <c r="Q1524" i="4"/>
  <c r="R1524" i="4"/>
  <c r="S1524" i="4"/>
  <c r="T1524" i="4"/>
  <c r="H1525" i="4"/>
  <c r="I1525" i="4"/>
  <c r="J1525" i="4"/>
  <c r="K1525" i="4"/>
  <c r="L1525" i="4"/>
  <c r="M1525" i="4"/>
  <c r="N1525" i="4"/>
  <c r="O1525" i="4"/>
  <c r="P1525" i="4"/>
  <c r="Q1525" i="4"/>
  <c r="R1525" i="4"/>
  <c r="S1525" i="4"/>
  <c r="T1525" i="4"/>
  <c r="H1526" i="4"/>
  <c r="I1526" i="4"/>
  <c r="J1526" i="4"/>
  <c r="K1526" i="4"/>
  <c r="L1526" i="4"/>
  <c r="M1526" i="4"/>
  <c r="N1526" i="4"/>
  <c r="O1526" i="4"/>
  <c r="P1526" i="4"/>
  <c r="Q1526" i="4"/>
  <c r="R1526" i="4"/>
  <c r="S1526" i="4"/>
  <c r="T1526" i="4"/>
  <c r="H1527" i="4"/>
  <c r="I1527" i="4"/>
  <c r="J1527" i="4"/>
  <c r="K1527" i="4"/>
  <c r="L1527" i="4"/>
  <c r="M1527" i="4"/>
  <c r="N1527" i="4"/>
  <c r="O1527" i="4"/>
  <c r="P1527" i="4"/>
  <c r="Q1527" i="4"/>
  <c r="R1527" i="4"/>
  <c r="S1527" i="4"/>
  <c r="T1527" i="4"/>
  <c r="H1528" i="4"/>
  <c r="I1528" i="4"/>
  <c r="J1528" i="4"/>
  <c r="K1528" i="4"/>
  <c r="L1528" i="4"/>
  <c r="M1528" i="4"/>
  <c r="N1528" i="4"/>
  <c r="O1528" i="4"/>
  <c r="P1528" i="4"/>
  <c r="Q1528" i="4"/>
  <c r="R1528" i="4"/>
  <c r="S1528" i="4"/>
  <c r="T1528" i="4"/>
  <c r="H1529" i="4"/>
  <c r="I1529" i="4"/>
  <c r="J1529" i="4"/>
  <c r="K1529" i="4"/>
  <c r="L1529" i="4"/>
  <c r="M1529" i="4"/>
  <c r="N1529" i="4"/>
  <c r="O1529" i="4"/>
  <c r="P1529" i="4"/>
  <c r="Q1529" i="4"/>
  <c r="R1529" i="4"/>
  <c r="S1529" i="4"/>
  <c r="T1529" i="4"/>
  <c r="H1530" i="4"/>
  <c r="I1530" i="4"/>
  <c r="J1530" i="4"/>
  <c r="K1530" i="4"/>
  <c r="L1530" i="4"/>
  <c r="M1530" i="4"/>
  <c r="N1530" i="4"/>
  <c r="O1530" i="4"/>
  <c r="P1530" i="4"/>
  <c r="Q1530" i="4"/>
  <c r="R1530" i="4"/>
  <c r="S1530" i="4"/>
  <c r="T1530" i="4"/>
  <c r="H1531" i="4"/>
  <c r="I1531" i="4"/>
  <c r="J1531" i="4"/>
  <c r="K1531" i="4"/>
  <c r="L1531" i="4"/>
  <c r="M1531" i="4"/>
  <c r="N1531" i="4"/>
  <c r="O1531" i="4"/>
  <c r="P1531" i="4"/>
  <c r="Q1531" i="4"/>
  <c r="R1531" i="4"/>
  <c r="S1531" i="4"/>
  <c r="T1531" i="4"/>
  <c r="H1532" i="4"/>
  <c r="I1532" i="4"/>
  <c r="J1532" i="4"/>
  <c r="K1532" i="4"/>
  <c r="L1532" i="4"/>
  <c r="M1532" i="4"/>
  <c r="N1532" i="4"/>
  <c r="O1532" i="4"/>
  <c r="P1532" i="4"/>
  <c r="Q1532" i="4"/>
  <c r="R1532" i="4"/>
  <c r="S1532" i="4"/>
  <c r="T1532" i="4"/>
  <c r="H1533" i="4"/>
  <c r="I1533" i="4"/>
  <c r="J1533" i="4"/>
  <c r="K1533" i="4"/>
  <c r="L1533" i="4"/>
  <c r="M1533" i="4"/>
  <c r="N1533" i="4"/>
  <c r="O1533" i="4"/>
  <c r="P1533" i="4"/>
  <c r="Q1533" i="4"/>
  <c r="R1533" i="4"/>
  <c r="S1533" i="4"/>
  <c r="T1533" i="4"/>
  <c r="H1534" i="4"/>
  <c r="I1534" i="4"/>
  <c r="J1534" i="4"/>
  <c r="K1534" i="4"/>
  <c r="L1534" i="4"/>
  <c r="M1534" i="4"/>
  <c r="N1534" i="4"/>
  <c r="O1534" i="4"/>
  <c r="P1534" i="4"/>
  <c r="Q1534" i="4"/>
  <c r="R1534" i="4"/>
  <c r="S1534" i="4"/>
  <c r="T1534" i="4"/>
  <c r="H1535" i="4"/>
  <c r="I1535" i="4"/>
  <c r="J1535" i="4"/>
  <c r="K1535" i="4"/>
  <c r="L1535" i="4"/>
  <c r="M1535" i="4"/>
  <c r="N1535" i="4"/>
  <c r="O1535" i="4"/>
  <c r="P1535" i="4"/>
  <c r="Q1535" i="4"/>
  <c r="R1535" i="4"/>
  <c r="S1535" i="4"/>
  <c r="T1535" i="4"/>
  <c r="H1536" i="4"/>
  <c r="I1536" i="4"/>
  <c r="J1536" i="4"/>
  <c r="K1536" i="4"/>
  <c r="L1536" i="4"/>
  <c r="M1536" i="4"/>
  <c r="N1536" i="4"/>
  <c r="O1536" i="4"/>
  <c r="P1536" i="4"/>
  <c r="Q1536" i="4"/>
  <c r="R1536" i="4"/>
  <c r="S1536" i="4"/>
  <c r="T1536" i="4"/>
  <c r="H1537" i="4"/>
  <c r="I1537" i="4"/>
  <c r="J1537" i="4"/>
  <c r="K1537" i="4"/>
  <c r="L1537" i="4"/>
  <c r="M1537" i="4"/>
  <c r="N1537" i="4"/>
  <c r="O1537" i="4"/>
  <c r="P1537" i="4"/>
  <c r="Q1537" i="4"/>
  <c r="R1537" i="4"/>
  <c r="S1537" i="4"/>
  <c r="T1537" i="4"/>
  <c r="H1538" i="4"/>
  <c r="I1538" i="4"/>
  <c r="J1538" i="4"/>
  <c r="K1538" i="4"/>
  <c r="L1538" i="4"/>
  <c r="M1538" i="4"/>
  <c r="N1538" i="4"/>
  <c r="O1538" i="4"/>
  <c r="P1538" i="4"/>
  <c r="Q1538" i="4"/>
  <c r="R1538" i="4"/>
  <c r="S1538" i="4"/>
  <c r="T1538" i="4"/>
  <c r="H1539" i="4"/>
  <c r="I1539" i="4"/>
  <c r="J1539" i="4"/>
  <c r="K1539" i="4"/>
  <c r="L1539" i="4"/>
  <c r="M1539" i="4"/>
  <c r="N1539" i="4"/>
  <c r="O1539" i="4"/>
  <c r="P1539" i="4"/>
  <c r="Q1539" i="4"/>
  <c r="R1539" i="4"/>
  <c r="S1539" i="4"/>
  <c r="T1539" i="4"/>
  <c r="H1540" i="4"/>
  <c r="I1540" i="4"/>
  <c r="J1540" i="4"/>
  <c r="K1540" i="4"/>
  <c r="L1540" i="4"/>
  <c r="M1540" i="4"/>
  <c r="N1540" i="4"/>
  <c r="O1540" i="4"/>
  <c r="P1540" i="4"/>
  <c r="Q1540" i="4"/>
  <c r="R1540" i="4"/>
  <c r="S1540" i="4"/>
  <c r="T1540" i="4"/>
  <c r="H1541" i="4"/>
  <c r="I1541" i="4"/>
  <c r="J1541" i="4"/>
  <c r="K1541" i="4"/>
  <c r="L1541" i="4"/>
  <c r="M1541" i="4"/>
  <c r="N1541" i="4"/>
  <c r="O1541" i="4"/>
  <c r="P1541" i="4"/>
  <c r="Q1541" i="4"/>
  <c r="R1541" i="4"/>
  <c r="S1541" i="4"/>
  <c r="T1541" i="4"/>
  <c r="H1542" i="4"/>
  <c r="I1542" i="4"/>
  <c r="J1542" i="4"/>
  <c r="K1542" i="4"/>
  <c r="L1542" i="4"/>
  <c r="M1542" i="4"/>
  <c r="N1542" i="4"/>
  <c r="O1542" i="4"/>
  <c r="P1542" i="4"/>
  <c r="Q1542" i="4"/>
  <c r="R1542" i="4"/>
  <c r="S1542" i="4"/>
  <c r="T1542" i="4"/>
  <c r="H1543" i="4"/>
  <c r="I1543" i="4"/>
  <c r="J1543" i="4"/>
  <c r="K1543" i="4"/>
  <c r="L1543" i="4"/>
  <c r="M1543" i="4"/>
  <c r="N1543" i="4"/>
  <c r="O1543" i="4"/>
  <c r="P1543" i="4"/>
  <c r="Q1543" i="4"/>
  <c r="R1543" i="4"/>
  <c r="S1543" i="4"/>
  <c r="T1543" i="4"/>
  <c r="H1544" i="4"/>
  <c r="I1544" i="4"/>
  <c r="J1544" i="4"/>
  <c r="K1544" i="4"/>
  <c r="L1544" i="4"/>
  <c r="M1544" i="4"/>
  <c r="N1544" i="4"/>
  <c r="O1544" i="4"/>
  <c r="P1544" i="4"/>
  <c r="Q1544" i="4"/>
  <c r="R1544" i="4"/>
  <c r="S1544" i="4"/>
  <c r="T1544" i="4"/>
  <c r="H1545" i="4"/>
  <c r="I1545" i="4"/>
  <c r="J1545" i="4"/>
  <c r="K1545" i="4"/>
  <c r="L1545" i="4"/>
  <c r="M1545" i="4"/>
  <c r="N1545" i="4"/>
  <c r="O1545" i="4"/>
  <c r="P1545" i="4"/>
  <c r="Q1545" i="4"/>
  <c r="R1545" i="4"/>
  <c r="S1545" i="4"/>
  <c r="T1545" i="4"/>
  <c r="H1546" i="4"/>
  <c r="I1546" i="4"/>
  <c r="J1546" i="4"/>
  <c r="K1546" i="4"/>
  <c r="L1546" i="4"/>
  <c r="M1546" i="4"/>
  <c r="N1546" i="4"/>
  <c r="O1546" i="4"/>
  <c r="P1546" i="4"/>
  <c r="Q1546" i="4"/>
  <c r="R1546" i="4"/>
  <c r="S1546" i="4"/>
  <c r="T1546" i="4"/>
  <c r="H1547" i="4"/>
  <c r="I1547" i="4"/>
  <c r="J1547" i="4"/>
  <c r="K1547" i="4"/>
  <c r="L1547" i="4"/>
  <c r="M1547" i="4"/>
  <c r="N1547" i="4"/>
  <c r="O1547" i="4"/>
  <c r="P1547" i="4"/>
  <c r="Q1547" i="4"/>
  <c r="R1547" i="4"/>
  <c r="S1547" i="4"/>
  <c r="T1547" i="4"/>
  <c r="H1548" i="4"/>
  <c r="I1548" i="4"/>
  <c r="J1548" i="4"/>
  <c r="K1548" i="4"/>
  <c r="L1548" i="4"/>
  <c r="M1548" i="4"/>
  <c r="N1548" i="4"/>
  <c r="O1548" i="4"/>
  <c r="P1548" i="4"/>
  <c r="Q1548" i="4"/>
  <c r="R1548" i="4"/>
  <c r="S1548" i="4"/>
  <c r="T1548" i="4"/>
  <c r="H1549" i="4"/>
  <c r="I1549" i="4"/>
  <c r="J1549" i="4"/>
  <c r="K1549" i="4"/>
  <c r="L1549" i="4"/>
  <c r="M1549" i="4"/>
  <c r="N1549" i="4"/>
  <c r="O1549" i="4"/>
  <c r="P1549" i="4"/>
  <c r="Q1549" i="4"/>
  <c r="R1549" i="4"/>
  <c r="S1549" i="4"/>
  <c r="T1549" i="4"/>
  <c r="H1550" i="4"/>
  <c r="I1550" i="4"/>
  <c r="J1550" i="4"/>
  <c r="K1550" i="4"/>
  <c r="L1550" i="4"/>
  <c r="M1550" i="4"/>
  <c r="N1550" i="4"/>
  <c r="O1550" i="4"/>
  <c r="P1550" i="4"/>
  <c r="Q1550" i="4"/>
  <c r="R1550" i="4"/>
  <c r="S1550" i="4"/>
  <c r="T1550" i="4"/>
  <c r="H1551" i="4"/>
  <c r="I1551" i="4"/>
  <c r="J1551" i="4"/>
  <c r="K1551" i="4"/>
  <c r="L1551" i="4"/>
  <c r="M1551" i="4"/>
  <c r="N1551" i="4"/>
  <c r="O1551" i="4"/>
  <c r="P1551" i="4"/>
  <c r="Q1551" i="4"/>
  <c r="R1551" i="4"/>
  <c r="S1551" i="4"/>
  <c r="T1551" i="4"/>
  <c r="H1552" i="4"/>
  <c r="I1552" i="4"/>
  <c r="J1552" i="4"/>
  <c r="K1552" i="4"/>
  <c r="L1552" i="4"/>
  <c r="M1552" i="4"/>
  <c r="N1552" i="4"/>
  <c r="O1552" i="4"/>
  <c r="P1552" i="4"/>
  <c r="Q1552" i="4"/>
  <c r="R1552" i="4"/>
  <c r="S1552" i="4"/>
  <c r="T1552" i="4"/>
  <c r="H1553" i="4"/>
  <c r="I1553" i="4"/>
  <c r="J1553" i="4"/>
  <c r="K1553" i="4"/>
  <c r="L1553" i="4"/>
  <c r="M1553" i="4"/>
  <c r="N1553" i="4"/>
  <c r="O1553" i="4"/>
  <c r="P1553" i="4"/>
  <c r="Q1553" i="4"/>
  <c r="R1553" i="4"/>
  <c r="S1553" i="4"/>
  <c r="T1553" i="4"/>
  <c r="H1554" i="4"/>
  <c r="I1554" i="4"/>
  <c r="J1554" i="4"/>
  <c r="K1554" i="4"/>
  <c r="L1554" i="4"/>
  <c r="M1554" i="4"/>
  <c r="N1554" i="4"/>
  <c r="O1554" i="4"/>
  <c r="P1554" i="4"/>
  <c r="Q1554" i="4"/>
  <c r="R1554" i="4"/>
  <c r="S1554" i="4"/>
  <c r="T1554" i="4"/>
  <c r="H1555" i="4"/>
  <c r="I1555" i="4"/>
  <c r="J1555" i="4"/>
  <c r="K1555" i="4"/>
  <c r="L1555" i="4"/>
  <c r="M1555" i="4"/>
  <c r="N1555" i="4"/>
  <c r="O1555" i="4"/>
  <c r="P1555" i="4"/>
  <c r="Q1555" i="4"/>
  <c r="R1555" i="4"/>
  <c r="S1555" i="4"/>
  <c r="T1555" i="4"/>
  <c r="H1556" i="4"/>
  <c r="I1556" i="4"/>
  <c r="J1556" i="4"/>
  <c r="K1556" i="4"/>
  <c r="L1556" i="4"/>
  <c r="M1556" i="4"/>
  <c r="N1556" i="4"/>
  <c r="O1556" i="4"/>
  <c r="P1556" i="4"/>
  <c r="Q1556" i="4"/>
  <c r="R1556" i="4"/>
  <c r="S1556" i="4"/>
  <c r="T1556" i="4"/>
  <c r="H1557" i="4"/>
  <c r="I1557" i="4"/>
  <c r="J1557" i="4"/>
  <c r="K1557" i="4"/>
  <c r="L1557" i="4"/>
  <c r="M1557" i="4"/>
  <c r="N1557" i="4"/>
  <c r="O1557" i="4"/>
  <c r="P1557" i="4"/>
  <c r="Q1557" i="4"/>
  <c r="R1557" i="4"/>
  <c r="S1557" i="4"/>
  <c r="T1557" i="4"/>
  <c r="H1558" i="4"/>
  <c r="I1558" i="4"/>
  <c r="J1558" i="4"/>
  <c r="K1558" i="4"/>
  <c r="L1558" i="4"/>
  <c r="M1558" i="4"/>
  <c r="N1558" i="4"/>
  <c r="O1558" i="4"/>
  <c r="P1558" i="4"/>
  <c r="Q1558" i="4"/>
  <c r="R1558" i="4"/>
  <c r="S1558" i="4"/>
  <c r="T1558" i="4"/>
  <c r="H1559" i="4"/>
  <c r="I1559" i="4"/>
  <c r="J1559" i="4"/>
  <c r="K1559" i="4"/>
  <c r="L1559" i="4"/>
  <c r="M1559" i="4"/>
  <c r="N1559" i="4"/>
  <c r="O1559" i="4"/>
  <c r="P1559" i="4"/>
  <c r="Q1559" i="4"/>
  <c r="R1559" i="4"/>
  <c r="S1559" i="4"/>
  <c r="T1559" i="4"/>
  <c r="H1560" i="4"/>
  <c r="I1560" i="4"/>
  <c r="J1560" i="4"/>
  <c r="K1560" i="4"/>
  <c r="L1560" i="4"/>
  <c r="M1560" i="4"/>
  <c r="N1560" i="4"/>
  <c r="O1560" i="4"/>
  <c r="P1560" i="4"/>
  <c r="Q1560" i="4"/>
  <c r="R1560" i="4"/>
  <c r="S1560" i="4"/>
  <c r="T1560" i="4"/>
  <c r="H1561" i="4"/>
  <c r="I1561" i="4"/>
  <c r="J1561" i="4"/>
  <c r="K1561" i="4"/>
  <c r="L1561" i="4"/>
  <c r="M1561" i="4"/>
  <c r="N1561" i="4"/>
  <c r="O1561" i="4"/>
  <c r="P1561" i="4"/>
  <c r="Q1561" i="4"/>
  <c r="R1561" i="4"/>
  <c r="S1561" i="4"/>
  <c r="T1561" i="4"/>
  <c r="H1562" i="4"/>
  <c r="I1562" i="4"/>
  <c r="J1562" i="4"/>
  <c r="K1562" i="4"/>
  <c r="L1562" i="4"/>
  <c r="M1562" i="4"/>
  <c r="N1562" i="4"/>
  <c r="O1562" i="4"/>
  <c r="P1562" i="4"/>
  <c r="Q1562" i="4"/>
  <c r="R1562" i="4"/>
  <c r="S1562" i="4"/>
  <c r="T1562" i="4"/>
  <c r="H1563" i="4"/>
  <c r="I1563" i="4"/>
  <c r="J1563" i="4"/>
  <c r="K1563" i="4"/>
  <c r="L1563" i="4"/>
  <c r="M1563" i="4"/>
  <c r="N1563" i="4"/>
  <c r="O1563" i="4"/>
  <c r="P1563" i="4"/>
  <c r="Q1563" i="4"/>
  <c r="R1563" i="4"/>
  <c r="S1563" i="4"/>
  <c r="T1563" i="4"/>
  <c r="H1564" i="4"/>
  <c r="I1564" i="4"/>
  <c r="J1564" i="4"/>
  <c r="K1564" i="4"/>
  <c r="L1564" i="4"/>
  <c r="M1564" i="4"/>
  <c r="N1564" i="4"/>
  <c r="O1564" i="4"/>
  <c r="P1564" i="4"/>
  <c r="Q1564" i="4"/>
  <c r="R1564" i="4"/>
  <c r="S1564" i="4"/>
  <c r="T1564" i="4"/>
  <c r="H1565" i="4"/>
  <c r="I1565" i="4"/>
  <c r="J1565" i="4"/>
  <c r="K1565" i="4"/>
  <c r="L1565" i="4"/>
  <c r="M1565" i="4"/>
  <c r="N1565" i="4"/>
  <c r="O1565" i="4"/>
  <c r="P1565" i="4"/>
  <c r="Q1565" i="4"/>
  <c r="R1565" i="4"/>
  <c r="S1565" i="4"/>
  <c r="T1565" i="4"/>
  <c r="H1566" i="4"/>
  <c r="I1566" i="4"/>
  <c r="J1566" i="4"/>
  <c r="K1566" i="4"/>
  <c r="L1566" i="4"/>
  <c r="M1566" i="4"/>
  <c r="N1566" i="4"/>
  <c r="O1566" i="4"/>
  <c r="P1566" i="4"/>
  <c r="Q1566" i="4"/>
  <c r="R1566" i="4"/>
  <c r="S1566" i="4"/>
  <c r="T1566" i="4"/>
  <c r="H1567" i="4"/>
  <c r="I1567" i="4"/>
  <c r="J1567" i="4"/>
  <c r="K1567" i="4"/>
  <c r="L1567" i="4"/>
  <c r="M1567" i="4"/>
  <c r="N1567" i="4"/>
  <c r="O1567" i="4"/>
  <c r="P1567" i="4"/>
  <c r="Q1567" i="4"/>
  <c r="R1567" i="4"/>
  <c r="S1567" i="4"/>
  <c r="T1567" i="4"/>
  <c r="H1568" i="4"/>
  <c r="I1568" i="4"/>
  <c r="J1568" i="4"/>
  <c r="K1568" i="4"/>
  <c r="L1568" i="4"/>
  <c r="M1568" i="4"/>
  <c r="N1568" i="4"/>
  <c r="O1568" i="4"/>
  <c r="P1568" i="4"/>
  <c r="Q1568" i="4"/>
  <c r="R1568" i="4"/>
  <c r="S1568" i="4"/>
  <c r="T1568" i="4"/>
  <c r="H1569" i="4"/>
  <c r="I1569" i="4"/>
  <c r="J1569" i="4"/>
  <c r="K1569" i="4"/>
  <c r="L1569" i="4"/>
  <c r="M1569" i="4"/>
  <c r="N1569" i="4"/>
  <c r="O1569" i="4"/>
  <c r="P1569" i="4"/>
  <c r="Q1569" i="4"/>
  <c r="R1569" i="4"/>
  <c r="S1569" i="4"/>
  <c r="T1569" i="4"/>
  <c r="H1570" i="4"/>
  <c r="I1570" i="4"/>
  <c r="J1570" i="4"/>
  <c r="K1570" i="4"/>
  <c r="L1570" i="4"/>
  <c r="M1570" i="4"/>
  <c r="N1570" i="4"/>
  <c r="O1570" i="4"/>
  <c r="P1570" i="4"/>
  <c r="Q1570" i="4"/>
  <c r="R1570" i="4"/>
  <c r="S1570" i="4"/>
  <c r="T1570" i="4"/>
  <c r="H1571" i="4"/>
  <c r="I1571" i="4"/>
  <c r="J1571" i="4"/>
  <c r="K1571" i="4"/>
  <c r="L1571" i="4"/>
  <c r="M1571" i="4"/>
  <c r="N1571" i="4"/>
  <c r="O1571" i="4"/>
  <c r="P1571" i="4"/>
  <c r="Q1571" i="4"/>
  <c r="R1571" i="4"/>
  <c r="S1571" i="4"/>
  <c r="T1571" i="4"/>
  <c r="H1572" i="4"/>
  <c r="I1572" i="4"/>
  <c r="J1572" i="4"/>
  <c r="K1572" i="4"/>
  <c r="L1572" i="4"/>
  <c r="M1572" i="4"/>
  <c r="N1572" i="4"/>
  <c r="O1572" i="4"/>
  <c r="P1572" i="4"/>
  <c r="Q1572" i="4"/>
  <c r="R1572" i="4"/>
  <c r="S1572" i="4"/>
  <c r="T1572" i="4"/>
  <c r="H1573" i="4"/>
  <c r="I1573" i="4"/>
  <c r="J1573" i="4"/>
  <c r="K1573" i="4"/>
  <c r="L1573" i="4"/>
  <c r="M1573" i="4"/>
  <c r="N1573" i="4"/>
  <c r="O1573" i="4"/>
  <c r="P1573" i="4"/>
  <c r="Q1573" i="4"/>
  <c r="R1573" i="4"/>
  <c r="S1573" i="4"/>
  <c r="T1573" i="4"/>
  <c r="H1574" i="4"/>
  <c r="I1574" i="4"/>
  <c r="J1574" i="4"/>
  <c r="K1574" i="4"/>
  <c r="L1574" i="4"/>
  <c r="M1574" i="4"/>
  <c r="N1574" i="4"/>
  <c r="O1574" i="4"/>
  <c r="P1574" i="4"/>
  <c r="Q1574" i="4"/>
  <c r="R1574" i="4"/>
  <c r="S1574" i="4"/>
  <c r="T1574" i="4"/>
  <c r="H1575" i="4"/>
  <c r="I1575" i="4"/>
  <c r="J1575" i="4"/>
  <c r="K1575" i="4"/>
  <c r="L1575" i="4"/>
  <c r="M1575" i="4"/>
  <c r="N1575" i="4"/>
  <c r="O1575" i="4"/>
  <c r="P1575" i="4"/>
  <c r="Q1575" i="4"/>
  <c r="R1575" i="4"/>
  <c r="S1575" i="4"/>
  <c r="T1575" i="4"/>
  <c r="H1576" i="4"/>
  <c r="I1576" i="4"/>
  <c r="J1576" i="4"/>
  <c r="K1576" i="4"/>
  <c r="L1576" i="4"/>
  <c r="M1576" i="4"/>
  <c r="N1576" i="4"/>
  <c r="O1576" i="4"/>
  <c r="P1576" i="4"/>
  <c r="Q1576" i="4"/>
  <c r="R1576" i="4"/>
  <c r="S1576" i="4"/>
  <c r="T1576" i="4"/>
  <c r="H1577" i="4"/>
  <c r="I1577" i="4"/>
  <c r="J1577" i="4"/>
  <c r="K1577" i="4"/>
  <c r="L1577" i="4"/>
  <c r="M1577" i="4"/>
  <c r="N1577" i="4"/>
  <c r="O1577" i="4"/>
  <c r="P1577" i="4"/>
  <c r="Q1577" i="4"/>
  <c r="R1577" i="4"/>
  <c r="S1577" i="4"/>
  <c r="T1577" i="4"/>
  <c r="H1578" i="4"/>
  <c r="I1578" i="4"/>
  <c r="J1578" i="4"/>
  <c r="K1578" i="4"/>
  <c r="L1578" i="4"/>
  <c r="M1578" i="4"/>
  <c r="N1578" i="4"/>
  <c r="O1578" i="4"/>
  <c r="P1578" i="4"/>
  <c r="Q1578" i="4"/>
  <c r="R1578" i="4"/>
  <c r="S1578" i="4"/>
  <c r="T1578" i="4"/>
  <c r="H1579" i="4"/>
  <c r="I1579" i="4"/>
  <c r="J1579" i="4"/>
  <c r="K1579" i="4"/>
  <c r="L1579" i="4"/>
  <c r="M1579" i="4"/>
  <c r="N1579" i="4"/>
  <c r="O1579" i="4"/>
  <c r="P1579" i="4"/>
  <c r="Q1579" i="4"/>
  <c r="R1579" i="4"/>
  <c r="S1579" i="4"/>
  <c r="T1579" i="4"/>
  <c r="H1580" i="4"/>
  <c r="I1580" i="4"/>
  <c r="J1580" i="4"/>
  <c r="K1580" i="4"/>
  <c r="L1580" i="4"/>
  <c r="M1580" i="4"/>
  <c r="N1580" i="4"/>
  <c r="O1580" i="4"/>
  <c r="P1580" i="4"/>
  <c r="Q1580" i="4"/>
  <c r="R1580" i="4"/>
  <c r="S1580" i="4"/>
  <c r="T1580" i="4"/>
  <c r="H1581" i="4"/>
  <c r="I1581" i="4"/>
  <c r="J1581" i="4"/>
  <c r="K1581" i="4"/>
  <c r="L1581" i="4"/>
  <c r="M1581" i="4"/>
  <c r="N1581" i="4"/>
  <c r="O1581" i="4"/>
  <c r="P1581" i="4"/>
  <c r="Q1581" i="4"/>
  <c r="R1581" i="4"/>
  <c r="S1581" i="4"/>
  <c r="T1581" i="4"/>
  <c r="H1582" i="4"/>
  <c r="I1582" i="4"/>
  <c r="J1582" i="4"/>
  <c r="K1582" i="4"/>
  <c r="L1582" i="4"/>
  <c r="M1582" i="4"/>
  <c r="N1582" i="4"/>
  <c r="O1582" i="4"/>
  <c r="P1582" i="4"/>
  <c r="Q1582" i="4"/>
  <c r="R1582" i="4"/>
  <c r="S1582" i="4"/>
  <c r="T1582" i="4"/>
  <c r="H1583" i="4"/>
  <c r="I1583" i="4"/>
  <c r="J1583" i="4"/>
  <c r="K1583" i="4"/>
  <c r="L1583" i="4"/>
  <c r="M1583" i="4"/>
  <c r="N1583" i="4"/>
  <c r="O1583" i="4"/>
  <c r="P1583" i="4"/>
  <c r="Q1583" i="4"/>
  <c r="R1583" i="4"/>
  <c r="S1583" i="4"/>
  <c r="T1583" i="4"/>
  <c r="H1584" i="4"/>
  <c r="I1584" i="4"/>
  <c r="J1584" i="4"/>
  <c r="K1584" i="4"/>
  <c r="L1584" i="4"/>
  <c r="M1584" i="4"/>
  <c r="N1584" i="4"/>
  <c r="O1584" i="4"/>
  <c r="P1584" i="4"/>
  <c r="Q1584" i="4"/>
  <c r="R1584" i="4"/>
  <c r="S1584" i="4"/>
  <c r="T1584" i="4"/>
  <c r="H1585" i="4"/>
  <c r="I1585" i="4"/>
  <c r="J1585" i="4"/>
  <c r="K1585" i="4"/>
  <c r="L1585" i="4"/>
  <c r="M1585" i="4"/>
  <c r="N1585" i="4"/>
  <c r="O1585" i="4"/>
  <c r="P1585" i="4"/>
  <c r="Q1585" i="4"/>
  <c r="R1585" i="4"/>
  <c r="S1585" i="4"/>
  <c r="T1585" i="4"/>
  <c r="H1586" i="4"/>
  <c r="I1586" i="4"/>
  <c r="J1586" i="4"/>
  <c r="K1586" i="4"/>
  <c r="L1586" i="4"/>
  <c r="M1586" i="4"/>
  <c r="N1586" i="4"/>
  <c r="O1586" i="4"/>
  <c r="P1586" i="4"/>
  <c r="Q1586" i="4"/>
  <c r="R1586" i="4"/>
  <c r="S1586" i="4"/>
  <c r="T1586" i="4"/>
  <c r="H1587" i="4"/>
  <c r="I1587" i="4"/>
  <c r="J1587" i="4"/>
  <c r="K1587" i="4"/>
  <c r="L1587" i="4"/>
  <c r="M1587" i="4"/>
  <c r="N1587" i="4"/>
  <c r="O1587" i="4"/>
  <c r="P1587" i="4"/>
  <c r="Q1587" i="4"/>
  <c r="R1587" i="4"/>
  <c r="S1587" i="4"/>
  <c r="T1587" i="4"/>
  <c r="H1588" i="4"/>
  <c r="I1588" i="4"/>
  <c r="J1588" i="4"/>
  <c r="K1588" i="4"/>
  <c r="L1588" i="4"/>
  <c r="M1588" i="4"/>
  <c r="N1588" i="4"/>
  <c r="O1588" i="4"/>
  <c r="P1588" i="4"/>
  <c r="Q1588" i="4"/>
  <c r="R1588" i="4"/>
  <c r="S1588" i="4"/>
  <c r="T1588" i="4"/>
  <c r="H1589" i="4"/>
  <c r="I1589" i="4"/>
  <c r="J1589" i="4"/>
  <c r="K1589" i="4"/>
  <c r="L1589" i="4"/>
  <c r="M1589" i="4"/>
  <c r="N1589" i="4"/>
  <c r="O1589" i="4"/>
  <c r="P1589" i="4"/>
  <c r="Q1589" i="4"/>
  <c r="R1589" i="4"/>
  <c r="S1589" i="4"/>
  <c r="T1589" i="4"/>
  <c r="H1590" i="4"/>
  <c r="I1590" i="4"/>
  <c r="J1590" i="4"/>
  <c r="K1590" i="4"/>
  <c r="L1590" i="4"/>
  <c r="M1590" i="4"/>
  <c r="N1590" i="4"/>
  <c r="O1590" i="4"/>
  <c r="P1590" i="4"/>
  <c r="Q1590" i="4"/>
  <c r="R1590" i="4"/>
  <c r="S1590" i="4"/>
  <c r="T1590" i="4"/>
  <c r="H1591" i="4"/>
  <c r="I1591" i="4"/>
  <c r="J1591" i="4"/>
  <c r="K1591" i="4"/>
  <c r="L1591" i="4"/>
  <c r="M1591" i="4"/>
  <c r="N1591" i="4"/>
  <c r="O1591" i="4"/>
  <c r="P1591" i="4"/>
  <c r="Q1591" i="4"/>
  <c r="R1591" i="4"/>
  <c r="S1591" i="4"/>
  <c r="T1591" i="4"/>
  <c r="H1592" i="4"/>
  <c r="I1592" i="4"/>
  <c r="J1592" i="4"/>
  <c r="K1592" i="4"/>
  <c r="L1592" i="4"/>
  <c r="M1592" i="4"/>
  <c r="N1592" i="4"/>
  <c r="O1592" i="4"/>
  <c r="P1592" i="4"/>
  <c r="Q1592" i="4"/>
  <c r="R1592" i="4"/>
  <c r="S1592" i="4"/>
  <c r="T1592" i="4"/>
  <c r="H1593" i="4"/>
  <c r="I1593" i="4"/>
  <c r="J1593" i="4"/>
  <c r="K1593" i="4"/>
  <c r="L1593" i="4"/>
  <c r="M1593" i="4"/>
  <c r="N1593" i="4"/>
  <c r="O1593" i="4"/>
  <c r="P1593" i="4"/>
  <c r="Q1593" i="4"/>
  <c r="R1593" i="4"/>
  <c r="S1593" i="4"/>
  <c r="T1593" i="4"/>
  <c r="H1594" i="4"/>
  <c r="I1594" i="4"/>
  <c r="J1594" i="4"/>
  <c r="K1594" i="4"/>
  <c r="L1594" i="4"/>
  <c r="M1594" i="4"/>
  <c r="N1594" i="4"/>
  <c r="O1594" i="4"/>
  <c r="P1594" i="4"/>
  <c r="Q1594" i="4"/>
  <c r="R1594" i="4"/>
  <c r="S1594" i="4"/>
  <c r="T1594" i="4"/>
  <c r="H1595" i="4"/>
  <c r="I1595" i="4"/>
  <c r="J1595" i="4"/>
  <c r="K1595" i="4"/>
  <c r="L1595" i="4"/>
  <c r="M1595" i="4"/>
  <c r="N1595" i="4"/>
  <c r="O1595" i="4"/>
  <c r="P1595" i="4"/>
  <c r="Q1595" i="4"/>
  <c r="R1595" i="4"/>
  <c r="S1595" i="4"/>
  <c r="T1595" i="4"/>
  <c r="H1596" i="4"/>
  <c r="I1596" i="4"/>
  <c r="J1596" i="4"/>
  <c r="K1596" i="4"/>
  <c r="L1596" i="4"/>
  <c r="M1596" i="4"/>
  <c r="N1596" i="4"/>
  <c r="O1596" i="4"/>
  <c r="P1596" i="4"/>
  <c r="Q1596" i="4"/>
  <c r="R1596" i="4"/>
  <c r="S1596" i="4"/>
  <c r="T1596" i="4"/>
  <c r="H1597" i="4"/>
  <c r="I1597" i="4"/>
  <c r="J1597" i="4"/>
  <c r="K1597" i="4"/>
  <c r="L1597" i="4"/>
  <c r="M1597" i="4"/>
  <c r="N1597" i="4"/>
  <c r="O1597" i="4"/>
  <c r="P1597" i="4"/>
  <c r="Q1597" i="4"/>
  <c r="R1597" i="4"/>
  <c r="S1597" i="4"/>
  <c r="T1597" i="4"/>
  <c r="H1598" i="4"/>
  <c r="I1598" i="4"/>
  <c r="J1598" i="4"/>
  <c r="K1598" i="4"/>
  <c r="L1598" i="4"/>
  <c r="M1598" i="4"/>
  <c r="N1598" i="4"/>
  <c r="O1598" i="4"/>
  <c r="P1598" i="4"/>
  <c r="Q1598" i="4"/>
  <c r="R1598" i="4"/>
  <c r="S1598" i="4"/>
  <c r="T1598" i="4"/>
  <c r="H1599" i="4"/>
  <c r="I1599" i="4"/>
  <c r="J1599" i="4"/>
  <c r="K1599" i="4"/>
  <c r="L1599" i="4"/>
  <c r="M1599" i="4"/>
  <c r="N1599" i="4"/>
  <c r="O1599" i="4"/>
  <c r="P1599" i="4"/>
  <c r="Q1599" i="4"/>
  <c r="R1599" i="4"/>
  <c r="S1599" i="4"/>
  <c r="T1599" i="4"/>
  <c r="H1600" i="4"/>
  <c r="I1600" i="4"/>
  <c r="J1600" i="4"/>
  <c r="K1600" i="4"/>
  <c r="L1600" i="4"/>
  <c r="M1600" i="4"/>
  <c r="N1600" i="4"/>
  <c r="O1600" i="4"/>
  <c r="P1600" i="4"/>
  <c r="Q1600" i="4"/>
  <c r="R1600" i="4"/>
  <c r="S1600" i="4"/>
  <c r="T1600" i="4"/>
  <c r="H1601" i="4"/>
  <c r="I1601" i="4"/>
  <c r="J1601" i="4"/>
  <c r="K1601" i="4"/>
  <c r="L1601" i="4"/>
  <c r="M1601" i="4"/>
  <c r="N1601" i="4"/>
  <c r="O1601" i="4"/>
  <c r="P1601" i="4"/>
  <c r="Q1601" i="4"/>
  <c r="R1601" i="4"/>
  <c r="S1601" i="4"/>
  <c r="T1601" i="4"/>
  <c r="H1602" i="4"/>
  <c r="I1602" i="4"/>
  <c r="J1602" i="4"/>
  <c r="K1602" i="4"/>
  <c r="L1602" i="4"/>
  <c r="M1602" i="4"/>
  <c r="N1602" i="4"/>
  <c r="O1602" i="4"/>
  <c r="P1602" i="4"/>
  <c r="Q1602" i="4"/>
  <c r="R1602" i="4"/>
  <c r="S1602" i="4"/>
  <c r="T1602" i="4"/>
  <c r="H1603" i="4"/>
  <c r="I1603" i="4"/>
  <c r="J1603" i="4"/>
  <c r="K1603" i="4"/>
  <c r="L1603" i="4"/>
  <c r="M1603" i="4"/>
  <c r="N1603" i="4"/>
  <c r="O1603" i="4"/>
  <c r="P1603" i="4"/>
  <c r="Q1603" i="4"/>
  <c r="R1603" i="4"/>
  <c r="S1603" i="4"/>
  <c r="T1603" i="4"/>
  <c r="H1604" i="4"/>
  <c r="I1604" i="4"/>
  <c r="J1604" i="4"/>
  <c r="K1604" i="4"/>
  <c r="L1604" i="4"/>
  <c r="M1604" i="4"/>
  <c r="N1604" i="4"/>
  <c r="O1604" i="4"/>
  <c r="P1604" i="4"/>
  <c r="Q1604" i="4"/>
  <c r="R1604" i="4"/>
  <c r="S1604" i="4"/>
  <c r="T1604" i="4"/>
  <c r="H1605" i="4"/>
  <c r="I1605" i="4"/>
  <c r="J1605" i="4"/>
  <c r="K1605" i="4"/>
  <c r="L1605" i="4"/>
  <c r="M1605" i="4"/>
  <c r="N1605" i="4"/>
  <c r="O1605" i="4"/>
  <c r="P1605" i="4"/>
  <c r="Q1605" i="4"/>
  <c r="R1605" i="4"/>
  <c r="S1605" i="4"/>
  <c r="T1605" i="4"/>
  <c r="H1606" i="4"/>
  <c r="I1606" i="4"/>
  <c r="J1606" i="4"/>
  <c r="K1606" i="4"/>
  <c r="L1606" i="4"/>
  <c r="M1606" i="4"/>
  <c r="N1606" i="4"/>
  <c r="O1606" i="4"/>
  <c r="P1606" i="4"/>
  <c r="Q1606" i="4"/>
  <c r="R1606" i="4"/>
  <c r="S1606" i="4"/>
  <c r="T1606" i="4"/>
  <c r="H1607" i="4"/>
  <c r="I1607" i="4"/>
  <c r="J1607" i="4"/>
  <c r="K1607" i="4"/>
  <c r="L1607" i="4"/>
  <c r="M1607" i="4"/>
  <c r="N1607" i="4"/>
  <c r="O1607" i="4"/>
  <c r="P1607" i="4"/>
  <c r="Q1607" i="4"/>
  <c r="R1607" i="4"/>
  <c r="S1607" i="4"/>
  <c r="T1607" i="4"/>
  <c r="H1608" i="4"/>
  <c r="I1608" i="4"/>
  <c r="J1608" i="4"/>
  <c r="K1608" i="4"/>
  <c r="L1608" i="4"/>
  <c r="M1608" i="4"/>
  <c r="N1608" i="4"/>
  <c r="O1608" i="4"/>
  <c r="P1608" i="4"/>
  <c r="Q1608" i="4"/>
  <c r="R1608" i="4"/>
  <c r="S1608" i="4"/>
  <c r="T1608" i="4"/>
  <c r="H1609" i="4"/>
  <c r="I1609" i="4"/>
  <c r="J1609" i="4"/>
  <c r="K1609" i="4"/>
  <c r="L1609" i="4"/>
  <c r="M1609" i="4"/>
  <c r="N1609" i="4"/>
  <c r="O1609" i="4"/>
  <c r="P1609" i="4"/>
  <c r="Q1609" i="4"/>
  <c r="R1609" i="4"/>
  <c r="S1609" i="4"/>
  <c r="T1609" i="4"/>
  <c r="H1610" i="4"/>
  <c r="I1610" i="4"/>
  <c r="J1610" i="4"/>
  <c r="K1610" i="4"/>
  <c r="L1610" i="4"/>
  <c r="M1610" i="4"/>
  <c r="N1610" i="4"/>
  <c r="O1610" i="4"/>
  <c r="P1610" i="4"/>
  <c r="Q1610" i="4"/>
  <c r="R1610" i="4"/>
  <c r="S1610" i="4"/>
  <c r="T1610" i="4"/>
  <c r="H1611" i="4"/>
  <c r="I1611" i="4"/>
  <c r="J1611" i="4"/>
  <c r="K1611" i="4"/>
  <c r="L1611" i="4"/>
  <c r="M1611" i="4"/>
  <c r="N1611" i="4"/>
  <c r="O1611" i="4"/>
  <c r="P1611" i="4"/>
  <c r="Q1611" i="4"/>
  <c r="R1611" i="4"/>
  <c r="S1611" i="4"/>
  <c r="T1611" i="4"/>
  <c r="H1612" i="4"/>
  <c r="I1612" i="4"/>
  <c r="J1612" i="4"/>
  <c r="K1612" i="4"/>
  <c r="L1612" i="4"/>
  <c r="M1612" i="4"/>
  <c r="N1612" i="4"/>
  <c r="O1612" i="4"/>
  <c r="P1612" i="4"/>
  <c r="Q1612" i="4"/>
  <c r="R1612" i="4"/>
  <c r="S1612" i="4"/>
  <c r="T1612" i="4"/>
  <c r="H1613" i="4"/>
  <c r="I1613" i="4"/>
  <c r="J1613" i="4"/>
  <c r="K1613" i="4"/>
  <c r="L1613" i="4"/>
  <c r="M1613" i="4"/>
  <c r="N1613" i="4"/>
  <c r="O1613" i="4"/>
  <c r="P1613" i="4"/>
  <c r="Q1613" i="4"/>
  <c r="R1613" i="4"/>
  <c r="S1613" i="4"/>
  <c r="T1613" i="4"/>
  <c r="H1614" i="4"/>
  <c r="I1614" i="4"/>
  <c r="J1614" i="4"/>
  <c r="K1614" i="4"/>
  <c r="L1614" i="4"/>
  <c r="M1614" i="4"/>
  <c r="N1614" i="4"/>
  <c r="O1614" i="4"/>
  <c r="P1614" i="4"/>
  <c r="Q1614" i="4"/>
  <c r="R1614" i="4"/>
  <c r="S1614" i="4"/>
  <c r="T1614" i="4"/>
  <c r="H1615" i="4"/>
  <c r="I1615" i="4"/>
  <c r="J1615" i="4"/>
  <c r="K1615" i="4"/>
  <c r="L1615" i="4"/>
  <c r="M1615" i="4"/>
  <c r="N1615" i="4"/>
  <c r="O1615" i="4"/>
  <c r="P1615" i="4"/>
  <c r="Q1615" i="4"/>
  <c r="R1615" i="4"/>
  <c r="S1615" i="4"/>
  <c r="T1615" i="4"/>
  <c r="H1616" i="4"/>
  <c r="I1616" i="4"/>
  <c r="J1616" i="4"/>
  <c r="K1616" i="4"/>
  <c r="L1616" i="4"/>
  <c r="M1616" i="4"/>
  <c r="N1616" i="4"/>
  <c r="O1616" i="4"/>
  <c r="P1616" i="4"/>
  <c r="Q1616" i="4"/>
  <c r="R1616" i="4"/>
  <c r="S1616" i="4"/>
  <c r="T1616" i="4"/>
  <c r="H1617" i="4"/>
  <c r="I1617" i="4"/>
  <c r="J1617" i="4"/>
  <c r="K1617" i="4"/>
  <c r="L1617" i="4"/>
  <c r="M1617" i="4"/>
  <c r="N1617" i="4"/>
  <c r="O1617" i="4"/>
  <c r="P1617" i="4"/>
  <c r="Q1617" i="4"/>
  <c r="R1617" i="4"/>
  <c r="S1617" i="4"/>
  <c r="T1617" i="4"/>
  <c r="H1618" i="4"/>
  <c r="I1618" i="4"/>
  <c r="J1618" i="4"/>
  <c r="K1618" i="4"/>
  <c r="L1618" i="4"/>
  <c r="M1618" i="4"/>
  <c r="N1618" i="4"/>
  <c r="O1618" i="4"/>
  <c r="P1618" i="4"/>
  <c r="Q1618" i="4"/>
  <c r="R1618" i="4"/>
  <c r="S1618" i="4"/>
  <c r="T1618" i="4"/>
  <c r="H1619" i="4"/>
  <c r="I1619" i="4"/>
  <c r="J1619" i="4"/>
  <c r="K1619" i="4"/>
  <c r="L1619" i="4"/>
  <c r="M1619" i="4"/>
  <c r="N1619" i="4"/>
  <c r="O1619" i="4"/>
  <c r="P1619" i="4"/>
  <c r="Q1619" i="4"/>
  <c r="R1619" i="4"/>
  <c r="S1619" i="4"/>
  <c r="T1619" i="4"/>
  <c r="H1620" i="4"/>
  <c r="I1620" i="4"/>
  <c r="J1620" i="4"/>
  <c r="K1620" i="4"/>
  <c r="L1620" i="4"/>
  <c r="M1620" i="4"/>
  <c r="N1620" i="4"/>
  <c r="O1620" i="4"/>
  <c r="P1620" i="4"/>
  <c r="Q1620" i="4"/>
  <c r="R1620" i="4"/>
  <c r="S1620" i="4"/>
  <c r="T1620" i="4"/>
  <c r="H1621" i="4"/>
  <c r="I1621" i="4"/>
  <c r="J1621" i="4"/>
  <c r="K1621" i="4"/>
  <c r="L1621" i="4"/>
  <c r="M1621" i="4"/>
  <c r="N1621" i="4"/>
  <c r="O1621" i="4"/>
  <c r="P1621" i="4"/>
  <c r="Q1621" i="4"/>
  <c r="R1621" i="4"/>
  <c r="S1621" i="4"/>
  <c r="T1621" i="4"/>
  <c r="H1622" i="4"/>
  <c r="I1622" i="4"/>
  <c r="J1622" i="4"/>
  <c r="K1622" i="4"/>
  <c r="L1622" i="4"/>
  <c r="M1622" i="4"/>
  <c r="N1622" i="4"/>
  <c r="O1622" i="4"/>
  <c r="P1622" i="4"/>
  <c r="Q1622" i="4"/>
  <c r="R1622" i="4"/>
  <c r="S1622" i="4"/>
  <c r="T1622" i="4"/>
  <c r="H1623" i="4"/>
  <c r="I1623" i="4"/>
  <c r="J1623" i="4"/>
  <c r="K1623" i="4"/>
  <c r="L1623" i="4"/>
  <c r="M1623" i="4"/>
  <c r="N1623" i="4"/>
  <c r="O1623" i="4"/>
  <c r="P1623" i="4"/>
  <c r="Q1623" i="4"/>
  <c r="R1623" i="4"/>
  <c r="S1623" i="4"/>
  <c r="T1623" i="4"/>
  <c r="H1624" i="4"/>
  <c r="I1624" i="4"/>
  <c r="J1624" i="4"/>
  <c r="K1624" i="4"/>
  <c r="L1624" i="4"/>
  <c r="M1624" i="4"/>
  <c r="N1624" i="4"/>
  <c r="O1624" i="4"/>
  <c r="P1624" i="4"/>
  <c r="Q1624" i="4"/>
  <c r="R1624" i="4"/>
  <c r="S1624" i="4"/>
  <c r="T1624" i="4"/>
  <c r="H1625" i="4"/>
  <c r="I1625" i="4"/>
  <c r="J1625" i="4"/>
  <c r="K1625" i="4"/>
  <c r="L1625" i="4"/>
  <c r="M1625" i="4"/>
  <c r="N1625" i="4"/>
  <c r="O1625" i="4"/>
  <c r="P1625" i="4"/>
  <c r="Q1625" i="4"/>
  <c r="R1625" i="4"/>
  <c r="S1625" i="4"/>
  <c r="T1625" i="4"/>
  <c r="H1626" i="4"/>
  <c r="I1626" i="4"/>
  <c r="J1626" i="4"/>
  <c r="K1626" i="4"/>
  <c r="L1626" i="4"/>
  <c r="M1626" i="4"/>
  <c r="N1626" i="4"/>
  <c r="O1626" i="4"/>
  <c r="P1626" i="4"/>
  <c r="Q1626" i="4"/>
  <c r="R1626" i="4"/>
  <c r="S1626" i="4"/>
  <c r="T1626" i="4"/>
  <c r="H1627" i="4"/>
  <c r="I1627" i="4"/>
  <c r="J1627" i="4"/>
  <c r="K1627" i="4"/>
  <c r="L1627" i="4"/>
  <c r="M1627" i="4"/>
  <c r="N1627" i="4"/>
  <c r="O1627" i="4"/>
  <c r="P1627" i="4"/>
  <c r="Q1627" i="4"/>
  <c r="R1627" i="4"/>
  <c r="S1627" i="4"/>
  <c r="T1627" i="4"/>
  <c r="H1628" i="4"/>
  <c r="I1628" i="4"/>
  <c r="J1628" i="4"/>
  <c r="K1628" i="4"/>
  <c r="L1628" i="4"/>
  <c r="M1628" i="4"/>
  <c r="N1628" i="4"/>
  <c r="O1628" i="4"/>
  <c r="P1628" i="4"/>
  <c r="Q1628" i="4"/>
  <c r="R1628" i="4"/>
  <c r="S1628" i="4"/>
  <c r="T1628" i="4"/>
  <c r="H1629" i="4"/>
  <c r="I1629" i="4"/>
  <c r="J1629" i="4"/>
  <c r="K1629" i="4"/>
  <c r="L1629" i="4"/>
  <c r="M1629" i="4"/>
  <c r="N1629" i="4"/>
  <c r="O1629" i="4"/>
  <c r="P1629" i="4"/>
  <c r="Q1629" i="4"/>
  <c r="R1629" i="4"/>
  <c r="S1629" i="4"/>
  <c r="T1629" i="4"/>
  <c r="H1630" i="4"/>
  <c r="I1630" i="4"/>
  <c r="J1630" i="4"/>
  <c r="K1630" i="4"/>
  <c r="L1630" i="4"/>
  <c r="M1630" i="4"/>
  <c r="N1630" i="4"/>
  <c r="O1630" i="4"/>
  <c r="P1630" i="4"/>
  <c r="Q1630" i="4"/>
  <c r="R1630" i="4"/>
  <c r="S1630" i="4"/>
  <c r="T1630" i="4"/>
  <c r="H1631" i="4"/>
  <c r="I1631" i="4"/>
  <c r="J1631" i="4"/>
  <c r="K1631" i="4"/>
  <c r="L1631" i="4"/>
  <c r="M1631" i="4"/>
  <c r="N1631" i="4"/>
  <c r="O1631" i="4"/>
  <c r="P1631" i="4"/>
  <c r="Q1631" i="4"/>
  <c r="R1631" i="4"/>
  <c r="S1631" i="4"/>
  <c r="T1631" i="4"/>
  <c r="H1632" i="4"/>
  <c r="I1632" i="4"/>
  <c r="J1632" i="4"/>
  <c r="K1632" i="4"/>
  <c r="L1632" i="4"/>
  <c r="M1632" i="4"/>
  <c r="N1632" i="4"/>
  <c r="O1632" i="4"/>
  <c r="P1632" i="4"/>
  <c r="Q1632" i="4"/>
  <c r="R1632" i="4"/>
  <c r="S1632" i="4"/>
  <c r="T1632" i="4"/>
  <c r="H1633" i="4"/>
  <c r="I1633" i="4"/>
  <c r="J1633" i="4"/>
  <c r="K1633" i="4"/>
  <c r="L1633" i="4"/>
  <c r="M1633" i="4"/>
  <c r="N1633" i="4"/>
  <c r="O1633" i="4"/>
  <c r="P1633" i="4"/>
  <c r="Q1633" i="4"/>
  <c r="R1633" i="4"/>
  <c r="S1633" i="4"/>
  <c r="T1633" i="4"/>
  <c r="H1634" i="4"/>
  <c r="I1634" i="4"/>
  <c r="J1634" i="4"/>
  <c r="K1634" i="4"/>
  <c r="L1634" i="4"/>
  <c r="M1634" i="4"/>
  <c r="N1634" i="4"/>
  <c r="O1634" i="4"/>
  <c r="P1634" i="4"/>
  <c r="Q1634" i="4"/>
  <c r="R1634" i="4"/>
  <c r="S1634" i="4"/>
  <c r="T1634" i="4"/>
  <c r="H1635" i="4"/>
  <c r="I1635" i="4"/>
  <c r="J1635" i="4"/>
  <c r="K1635" i="4"/>
  <c r="L1635" i="4"/>
  <c r="M1635" i="4"/>
  <c r="N1635" i="4"/>
  <c r="O1635" i="4"/>
  <c r="P1635" i="4"/>
  <c r="Q1635" i="4"/>
  <c r="R1635" i="4"/>
  <c r="S1635" i="4"/>
  <c r="T1635" i="4"/>
  <c r="H1636" i="4"/>
  <c r="I1636" i="4"/>
  <c r="J1636" i="4"/>
  <c r="K1636" i="4"/>
  <c r="L1636" i="4"/>
  <c r="M1636" i="4"/>
  <c r="N1636" i="4"/>
  <c r="O1636" i="4"/>
  <c r="P1636" i="4"/>
  <c r="Q1636" i="4"/>
  <c r="R1636" i="4"/>
  <c r="S1636" i="4"/>
  <c r="T1636" i="4"/>
  <c r="H1637" i="4"/>
  <c r="I1637" i="4"/>
  <c r="J1637" i="4"/>
  <c r="K1637" i="4"/>
  <c r="L1637" i="4"/>
  <c r="M1637" i="4"/>
  <c r="N1637" i="4"/>
  <c r="O1637" i="4"/>
  <c r="P1637" i="4"/>
  <c r="Q1637" i="4"/>
  <c r="R1637" i="4"/>
  <c r="S1637" i="4"/>
  <c r="T1637" i="4"/>
  <c r="H1638" i="4"/>
  <c r="I1638" i="4"/>
  <c r="J1638" i="4"/>
  <c r="K1638" i="4"/>
  <c r="L1638" i="4"/>
  <c r="M1638" i="4"/>
  <c r="N1638" i="4"/>
  <c r="O1638" i="4"/>
  <c r="P1638" i="4"/>
  <c r="Q1638" i="4"/>
  <c r="R1638" i="4"/>
  <c r="S1638" i="4"/>
  <c r="T1638" i="4"/>
  <c r="H1639" i="4"/>
  <c r="I1639" i="4"/>
  <c r="J1639" i="4"/>
  <c r="K1639" i="4"/>
  <c r="L1639" i="4"/>
  <c r="M1639" i="4"/>
  <c r="N1639" i="4"/>
  <c r="O1639" i="4"/>
  <c r="P1639" i="4"/>
  <c r="Q1639" i="4"/>
  <c r="R1639" i="4"/>
  <c r="S1639" i="4"/>
  <c r="T1639" i="4"/>
  <c r="H1640" i="4"/>
  <c r="I1640" i="4"/>
  <c r="J1640" i="4"/>
  <c r="K1640" i="4"/>
  <c r="L1640" i="4"/>
  <c r="M1640" i="4"/>
  <c r="N1640" i="4"/>
  <c r="O1640" i="4"/>
  <c r="P1640" i="4"/>
  <c r="Q1640" i="4"/>
  <c r="R1640" i="4"/>
  <c r="S1640" i="4"/>
  <c r="T1640" i="4"/>
  <c r="H1641" i="4"/>
  <c r="I1641" i="4"/>
  <c r="J1641" i="4"/>
  <c r="K1641" i="4"/>
  <c r="L1641" i="4"/>
  <c r="M1641" i="4"/>
  <c r="N1641" i="4"/>
  <c r="O1641" i="4"/>
  <c r="P1641" i="4"/>
  <c r="Q1641" i="4"/>
  <c r="R1641" i="4"/>
  <c r="S1641" i="4"/>
  <c r="T1641" i="4"/>
  <c r="H1642" i="4"/>
  <c r="I1642" i="4"/>
  <c r="J1642" i="4"/>
  <c r="K1642" i="4"/>
  <c r="L1642" i="4"/>
  <c r="M1642" i="4"/>
  <c r="N1642" i="4"/>
  <c r="O1642" i="4"/>
  <c r="P1642" i="4"/>
  <c r="Q1642" i="4"/>
  <c r="R1642" i="4"/>
  <c r="S1642" i="4"/>
  <c r="T1642" i="4"/>
  <c r="H1643" i="4"/>
  <c r="I1643" i="4"/>
  <c r="J1643" i="4"/>
  <c r="K1643" i="4"/>
  <c r="L1643" i="4"/>
  <c r="M1643" i="4"/>
  <c r="N1643" i="4"/>
  <c r="O1643" i="4"/>
  <c r="P1643" i="4"/>
  <c r="Q1643" i="4"/>
  <c r="R1643" i="4"/>
  <c r="S1643" i="4"/>
  <c r="T1643" i="4"/>
  <c r="H1644" i="4"/>
  <c r="I1644" i="4"/>
  <c r="J1644" i="4"/>
  <c r="K1644" i="4"/>
  <c r="L1644" i="4"/>
  <c r="M1644" i="4"/>
  <c r="N1644" i="4"/>
  <c r="O1644" i="4"/>
  <c r="P1644" i="4"/>
  <c r="Q1644" i="4"/>
  <c r="R1644" i="4"/>
  <c r="S1644" i="4"/>
  <c r="T1644" i="4"/>
  <c r="H1645" i="4"/>
  <c r="I1645" i="4"/>
  <c r="J1645" i="4"/>
  <c r="K1645" i="4"/>
  <c r="L1645" i="4"/>
  <c r="M1645" i="4"/>
  <c r="N1645" i="4"/>
  <c r="O1645" i="4"/>
  <c r="P1645" i="4"/>
  <c r="Q1645" i="4"/>
  <c r="R1645" i="4"/>
  <c r="S1645" i="4"/>
  <c r="T1645" i="4"/>
  <c r="H1646" i="4"/>
  <c r="I1646" i="4"/>
  <c r="J1646" i="4"/>
  <c r="K1646" i="4"/>
  <c r="L1646" i="4"/>
  <c r="M1646" i="4"/>
  <c r="N1646" i="4"/>
  <c r="O1646" i="4"/>
  <c r="P1646" i="4"/>
  <c r="Q1646" i="4"/>
  <c r="R1646" i="4"/>
  <c r="S1646" i="4"/>
  <c r="T1646" i="4"/>
  <c r="H1647" i="4"/>
  <c r="I1647" i="4"/>
  <c r="J1647" i="4"/>
  <c r="K1647" i="4"/>
  <c r="L1647" i="4"/>
  <c r="M1647" i="4"/>
  <c r="N1647" i="4"/>
  <c r="O1647" i="4"/>
  <c r="P1647" i="4"/>
  <c r="Q1647" i="4"/>
  <c r="R1647" i="4"/>
  <c r="S1647" i="4"/>
  <c r="T1647" i="4"/>
  <c r="H1648" i="4"/>
  <c r="I1648" i="4"/>
  <c r="J1648" i="4"/>
  <c r="K1648" i="4"/>
  <c r="L1648" i="4"/>
  <c r="M1648" i="4"/>
  <c r="N1648" i="4"/>
  <c r="O1648" i="4"/>
  <c r="P1648" i="4"/>
  <c r="Q1648" i="4"/>
  <c r="R1648" i="4"/>
  <c r="S1648" i="4"/>
  <c r="T1648" i="4"/>
  <c r="H1649" i="4"/>
  <c r="I1649" i="4"/>
  <c r="J1649" i="4"/>
  <c r="K1649" i="4"/>
  <c r="L1649" i="4"/>
  <c r="M1649" i="4"/>
  <c r="N1649" i="4"/>
  <c r="O1649" i="4"/>
  <c r="P1649" i="4"/>
  <c r="Q1649" i="4"/>
  <c r="R1649" i="4"/>
  <c r="S1649" i="4"/>
  <c r="T1649" i="4"/>
  <c r="H1650" i="4"/>
  <c r="I1650" i="4"/>
  <c r="J1650" i="4"/>
  <c r="K1650" i="4"/>
  <c r="L1650" i="4"/>
  <c r="M1650" i="4"/>
  <c r="N1650" i="4"/>
  <c r="O1650" i="4"/>
  <c r="P1650" i="4"/>
  <c r="Q1650" i="4"/>
  <c r="R1650" i="4"/>
  <c r="S1650" i="4"/>
  <c r="T1650" i="4"/>
  <c r="H1651" i="4"/>
  <c r="I1651" i="4"/>
  <c r="J1651" i="4"/>
  <c r="K1651" i="4"/>
  <c r="L1651" i="4"/>
  <c r="M1651" i="4"/>
  <c r="N1651" i="4"/>
  <c r="O1651" i="4"/>
  <c r="P1651" i="4"/>
  <c r="Q1651" i="4"/>
  <c r="R1651" i="4"/>
  <c r="S1651" i="4"/>
  <c r="T1651" i="4"/>
  <c r="H1652" i="4"/>
  <c r="I1652" i="4"/>
  <c r="J1652" i="4"/>
  <c r="K1652" i="4"/>
  <c r="L1652" i="4"/>
  <c r="M1652" i="4"/>
  <c r="N1652" i="4"/>
  <c r="O1652" i="4"/>
  <c r="P1652" i="4"/>
  <c r="Q1652" i="4"/>
  <c r="R1652" i="4"/>
  <c r="S1652" i="4"/>
  <c r="T1652" i="4"/>
  <c r="H1653" i="4"/>
  <c r="I1653" i="4"/>
  <c r="J1653" i="4"/>
  <c r="K1653" i="4"/>
  <c r="L1653" i="4"/>
  <c r="M1653" i="4"/>
  <c r="N1653" i="4"/>
  <c r="O1653" i="4"/>
  <c r="P1653" i="4"/>
  <c r="Q1653" i="4"/>
  <c r="R1653" i="4"/>
  <c r="S1653" i="4"/>
  <c r="T1653" i="4"/>
  <c r="H1654" i="4"/>
  <c r="I1654" i="4"/>
  <c r="J1654" i="4"/>
  <c r="K1654" i="4"/>
  <c r="L1654" i="4"/>
  <c r="M1654" i="4"/>
  <c r="N1654" i="4"/>
  <c r="O1654" i="4"/>
  <c r="P1654" i="4"/>
  <c r="Q1654" i="4"/>
  <c r="R1654" i="4"/>
  <c r="S1654" i="4"/>
  <c r="T1654" i="4"/>
  <c r="H1655" i="4"/>
  <c r="I1655" i="4"/>
  <c r="J1655" i="4"/>
  <c r="K1655" i="4"/>
  <c r="L1655" i="4"/>
  <c r="M1655" i="4"/>
  <c r="N1655" i="4"/>
  <c r="O1655" i="4"/>
  <c r="P1655" i="4"/>
  <c r="Q1655" i="4"/>
  <c r="R1655" i="4"/>
  <c r="S1655" i="4"/>
  <c r="T1655" i="4"/>
  <c r="H1656" i="4"/>
  <c r="I1656" i="4"/>
  <c r="J1656" i="4"/>
  <c r="K1656" i="4"/>
  <c r="L1656" i="4"/>
  <c r="M1656" i="4"/>
  <c r="N1656" i="4"/>
  <c r="O1656" i="4"/>
  <c r="P1656" i="4"/>
  <c r="Q1656" i="4"/>
  <c r="R1656" i="4"/>
  <c r="S1656" i="4"/>
  <c r="T1656" i="4"/>
  <c r="H1657" i="4"/>
  <c r="I1657" i="4"/>
  <c r="J1657" i="4"/>
  <c r="K1657" i="4"/>
  <c r="L1657" i="4"/>
  <c r="M1657" i="4"/>
  <c r="N1657" i="4"/>
  <c r="O1657" i="4"/>
  <c r="P1657" i="4"/>
  <c r="Q1657" i="4"/>
  <c r="R1657" i="4"/>
  <c r="S1657" i="4"/>
  <c r="T1657" i="4"/>
  <c r="H1658" i="4"/>
  <c r="I1658" i="4"/>
  <c r="J1658" i="4"/>
  <c r="K1658" i="4"/>
  <c r="L1658" i="4"/>
  <c r="M1658" i="4"/>
  <c r="N1658" i="4"/>
  <c r="O1658" i="4"/>
  <c r="P1658" i="4"/>
  <c r="Q1658" i="4"/>
  <c r="R1658" i="4"/>
  <c r="S1658" i="4"/>
  <c r="T1658" i="4"/>
  <c r="H1659" i="4"/>
  <c r="I1659" i="4"/>
  <c r="J1659" i="4"/>
  <c r="K1659" i="4"/>
  <c r="L1659" i="4"/>
  <c r="M1659" i="4"/>
  <c r="N1659" i="4"/>
  <c r="O1659" i="4"/>
  <c r="P1659" i="4"/>
  <c r="Q1659" i="4"/>
  <c r="R1659" i="4"/>
  <c r="S1659" i="4"/>
  <c r="T1659" i="4"/>
  <c r="H1660" i="4"/>
  <c r="I1660" i="4"/>
  <c r="J1660" i="4"/>
  <c r="K1660" i="4"/>
  <c r="L1660" i="4"/>
  <c r="M1660" i="4"/>
  <c r="N1660" i="4"/>
  <c r="O1660" i="4"/>
  <c r="P1660" i="4"/>
  <c r="Q1660" i="4"/>
  <c r="R1660" i="4"/>
  <c r="S1660" i="4"/>
  <c r="T1660" i="4"/>
  <c r="H1661" i="4"/>
  <c r="I1661" i="4"/>
  <c r="J1661" i="4"/>
  <c r="K1661" i="4"/>
  <c r="L1661" i="4"/>
  <c r="M1661" i="4"/>
  <c r="N1661" i="4"/>
  <c r="O1661" i="4"/>
  <c r="P1661" i="4"/>
  <c r="Q1661" i="4"/>
  <c r="R1661" i="4"/>
  <c r="S1661" i="4"/>
  <c r="T1661" i="4"/>
  <c r="H1662" i="4"/>
  <c r="I1662" i="4"/>
  <c r="J1662" i="4"/>
  <c r="K1662" i="4"/>
  <c r="L1662" i="4"/>
  <c r="M1662" i="4"/>
  <c r="N1662" i="4"/>
  <c r="O1662" i="4"/>
  <c r="P1662" i="4"/>
  <c r="Q1662" i="4"/>
  <c r="R1662" i="4"/>
  <c r="S1662" i="4"/>
  <c r="T1662" i="4"/>
  <c r="H1663" i="4"/>
  <c r="I1663" i="4"/>
  <c r="J1663" i="4"/>
  <c r="K1663" i="4"/>
  <c r="L1663" i="4"/>
  <c r="M1663" i="4"/>
  <c r="N1663" i="4"/>
  <c r="O1663" i="4"/>
  <c r="P1663" i="4"/>
  <c r="Q1663" i="4"/>
  <c r="R1663" i="4"/>
  <c r="S1663" i="4"/>
  <c r="T1663" i="4"/>
  <c r="H1664" i="4"/>
  <c r="I1664" i="4"/>
  <c r="J1664" i="4"/>
  <c r="K1664" i="4"/>
  <c r="L1664" i="4"/>
  <c r="M1664" i="4"/>
  <c r="N1664" i="4"/>
  <c r="O1664" i="4"/>
  <c r="P1664" i="4"/>
  <c r="Q1664" i="4"/>
  <c r="R1664" i="4"/>
  <c r="S1664" i="4"/>
  <c r="T1664" i="4"/>
  <c r="H1665" i="4"/>
  <c r="I1665" i="4"/>
  <c r="J1665" i="4"/>
  <c r="K1665" i="4"/>
  <c r="L1665" i="4"/>
  <c r="M1665" i="4"/>
  <c r="N1665" i="4"/>
  <c r="O1665" i="4"/>
  <c r="P1665" i="4"/>
  <c r="Q1665" i="4"/>
  <c r="R1665" i="4"/>
  <c r="S1665" i="4"/>
  <c r="T1665" i="4"/>
  <c r="H1666" i="4"/>
  <c r="I1666" i="4"/>
  <c r="J1666" i="4"/>
  <c r="K1666" i="4"/>
  <c r="L1666" i="4"/>
  <c r="M1666" i="4"/>
  <c r="N1666" i="4"/>
  <c r="O1666" i="4"/>
  <c r="P1666" i="4"/>
  <c r="Q1666" i="4"/>
  <c r="R1666" i="4"/>
  <c r="S1666" i="4"/>
  <c r="T1666" i="4"/>
  <c r="H1667" i="4"/>
  <c r="I1667" i="4"/>
  <c r="J1667" i="4"/>
  <c r="K1667" i="4"/>
  <c r="L1667" i="4"/>
  <c r="M1667" i="4"/>
  <c r="N1667" i="4"/>
  <c r="O1667" i="4"/>
  <c r="P1667" i="4"/>
  <c r="Q1667" i="4"/>
  <c r="R1667" i="4"/>
  <c r="S1667" i="4"/>
  <c r="T1667" i="4"/>
  <c r="H1668" i="4"/>
  <c r="I1668" i="4"/>
  <c r="J1668" i="4"/>
  <c r="K1668" i="4"/>
  <c r="L1668" i="4"/>
  <c r="M1668" i="4"/>
  <c r="N1668" i="4"/>
  <c r="O1668" i="4"/>
  <c r="P1668" i="4"/>
  <c r="Q1668" i="4"/>
  <c r="R1668" i="4"/>
  <c r="S1668" i="4"/>
  <c r="T1668" i="4"/>
  <c r="H1669" i="4"/>
  <c r="I1669" i="4"/>
  <c r="J1669" i="4"/>
  <c r="K1669" i="4"/>
  <c r="L1669" i="4"/>
  <c r="M1669" i="4"/>
  <c r="N1669" i="4"/>
  <c r="O1669" i="4"/>
  <c r="P1669" i="4"/>
  <c r="Q1669" i="4"/>
  <c r="R1669" i="4"/>
  <c r="S1669" i="4"/>
  <c r="T1669" i="4"/>
  <c r="H1670" i="4"/>
  <c r="I1670" i="4"/>
  <c r="J1670" i="4"/>
  <c r="K1670" i="4"/>
  <c r="L1670" i="4"/>
  <c r="M1670" i="4"/>
  <c r="N1670" i="4"/>
  <c r="O1670" i="4"/>
  <c r="P1670" i="4"/>
  <c r="Q1670" i="4"/>
  <c r="R1670" i="4"/>
  <c r="S1670" i="4"/>
  <c r="T1670" i="4"/>
  <c r="H1671" i="4"/>
  <c r="I1671" i="4"/>
  <c r="J1671" i="4"/>
  <c r="K1671" i="4"/>
  <c r="L1671" i="4"/>
  <c r="M1671" i="4"/>
  <c r="N1671" i="4"/>
  <c r="O1671" i="4"/>
  <c r="P1671" i="4"/>
  <c r="Q1671" i="4"/>
  <c r="R1671" i="4"/>
  <c r="S1671" i="4"/>
  <c r="T1671" i="4"/>
  <c r="H1672" i="4"/>
  <c r="I1672" i="4"/>
  <c r="J1672" i="4"/>
  <c r="K1672" i="4"/>
  <c r="L1672" i="4"/>
  <c r="M1672" i="4"/>
  <c r="N1672" i="4"/>
  <c r="O1672" i="4"/>
  <c r="P1672" i="4"/>
  <c r="Q1672" i="4"/>
  <c r="R1672" i="4"/>
  <c r="S1672" i="4"/>
  <c r="T1672" i="4"/>
  <c r="H1673" i="4"/>
  <c r="I1673" i="4"/>
  <c r="J1673" i="4"/>
  <c r="K1673" i="4"/>
  <c r="L1673" i="4"/>
  <c r="M1673" i="4"/>
  <c r="N1673" i="4"/>
  <c r="O1673" i="4"/>
  <c r="P1673" i="4"/>
  <c r="Q1673" i="4"/>
  <c r="R1673" i="4"/>
  <c r="S1673" i="4"/>
  <c r="T1673" i="4"/>
  <c r="H1674" i="4"/>
  <c r="I1674" i="4"/>
  <c r="J1674" i="4"/>
  <c r="K1674" i="4"/>
  <c r="L1674" i="4"/>
  <c r="M1674" i="4"/>
  <c r="N1674" i="4"/>
  <c r="O1674" i="4"/>
  <c r="P1674" i="4"/>
  <c r="Q1674" i="4"/>
  <c r="R1674" i="4"/>
  <c r="S1674" i="4"/>
  <c r="T1674" i="4"/>
  <c r="H1675" i="4"/>
  <c r="I1675" i="4"/>
  <c r="J1675" i="4"/>
  <c r="K1675" i="4"/>
  <c r="L1675" i="4"/>
  <c r="M1675" i="4"/>
  <c r="N1675" i="4"/>
  <c r="O1675" i="4"/>
  <c r="P1675" i="4"/>
  <c r="Q1675" i="4"/>
  <c r="R1675" i="4"/>
  <c r="S1675" i="4"/>
  <c r="T1675" i="4"/>
  <c r="H1676" i="4"/>
  <c r="I1676" i="4"/>
  <c r="J1676" i="4"/>
  <c r="K1676" i="4"/>
  <c r="L1676" i="4"/>
  <c r="M1676" i="4"/>
  <c r="N1676" i="4"/>
  <c r="O1676" i="4"/>
  <c r="P1676" i="4"/>
  <c r="Q1676" i="4"/>
  <c r="R1676" i="4"/>
  <c r="S1676" i="4"/>
  <c r="T1676" i="4"/>
  <c r="H1677" i="4"/>
  <c r="I1677" i="4"/>
  <c r="J1677" i="4"/>
  <c r="K1677" i="4"/>
  <c r="L1677" i="4"/>
  <c r="M1677" i="4"/>
  <c r="N1677" i="4"/>
  <c r="O1677" i="4"/>
  <c r="P1677" i="4"/>
  <c r="Q1677" i="4"/>
  <c r="R1677" i="4"/>
  <c r="S1677" i="4"/>
  <c r="T1677" i="4"/>
  <c r="H1678" i="4"/>
  <c r="I1678" i="4"/>
  <c r="J1678" i="4"/>
  <c r="K1678" i="4"/>
  <c r="L1678" i="4"/>
  <c r="M1678" i="4"/>
  <c r="N1678" i="4"/>
  <c r="O1678" i="4"/>
  <c r="P1678" i="4"/>
  <c r="Q1678" i="4"/>
  <c r="R1678" i="4"/>
  <c r="S1678" i="4"/>
  <c r="T1678" i="4"/>
  <c r="H1679" i="4"/>
  <c r="I1679" i="4"/>
  <c r="J1679" i="4"/>
  <c r="K1679" i="4"/>
  <c r="L1679" i="4"/>
  <c r="M1679" i="4"/>
  <c r="N1679" i="4"/>
  <c r="O1679" i="4"/>
  <c r="P1679" i="4"/>
  <c r="Q1679" i="4"/>
  <c r="R1679" i="4"/>
  <c r="S1679" i="4"/>
  <c r="T1679" i="4"/>
  <c r="H1680" i="4"/>
  <c r="I1680" i="4"/>
  <c r="J1680" i="4"/>
  <c r="K1680" i="4"/>
  <c r="L1680" i="4"/>
  <c r="M1680" i="4"/>
  <c r="N1680" i="4"/>
  <c r="O1680" i="4"/>
  <c r="P1680" i="4"/>
  <c r="Q1680" i="4"/>
  <c r="R1680" i="4"/>
  <c r="S1680" i="4"/>
  <c r="T1680" i="4"/>
  <c r="H1681" i="4"/>
  <c r="I1681" i="4"/>
  <c r="J1681" i="4"/>
  <c r="K1681" i="4"/>
  <c r="L1681" i="4"/>
  <c r="M1681" i="4"/>
  <c r="N1681" i="4"/>
  <c r="O1681" i="4"/>
  <c r="P1681" i="4"/>
  <c r="Q1681" i="4"/>
  <c r="R1681" i="4"/>
  <c r="S1681" i="4"/>
  <c r="T1681" i="4"/>
  <c r="H1682" i="4"/>
  <c r="I1682" i="4"/>
  <c r="J1682" i="4"/>
  <c r="K1682" i="4"/>
  <c r="L1682" i="4"/>
  <c r="M1682" i="4"/>
  <c r="N1682" i="4"/>
  <c r="O1682" i="4"/>
  <c r="P1682" i="4"/>
  <c r="Q1682" i="4"/>
  <c r="R1682" i="4"/>
  <c r="S1682" i="4"/>
  <c r="T1682" i="4"/>
  <c r="H1683" i="4"/>
  <c r="I1683" i="4"/>
  <c r="J1683" i="4"/>
  <c r="K1683" i="4"/>
  <c r="L1683" i="4"/>
  <c r="M1683" i="4"/>
  <c r="N1683" i="4"/>
  <c r="O1683" i="4"/>
  <c r="P1683" i="4"/>
  <c r="Q1683" i="4"/>
  <c r="R1683" i="4"/>
  <c r="S1683" i="4"/>
  <c r="T1683" i="4"/>
  <c r="H1684" i="4"/>
  <c r="I1684" i="4"/>
  <c r="J1684" i="4"/>
  <c r="K1684" i="4"/>
  <c r="L1684" i="4"/>
  <c r="M1684" i="4"/>
  <c r="N1684" i="4"/>
  <c r="O1684" i="4"/>
  <c r="P1684" i="4"/>
  <c r="Q1684" i="4"/>
  <c r="R1684" i="4"/>
  <c r="S1684" i="4"/>
  <c r="T1684" i="4"/>
  <c r="H1685" i="4"/>
  <c r="I1685" i="4"/>
  <c r="J1685" i="4"/>
  <c r="K1685" i="4"/>
  <c r="L1685" i="4"/>
  <c r="M1685" i="4"/>
  <c r="N1685" i="4"/>
  <c r="O1685" i="4"/>
  <c r="P1685" i="4"/>
  <c r="Q1685" i="4"/>
  <c r="R1685" i="4"/>
  <c r="S1685" i="4"/>
  <c r="T1685" i="4"/>
  <c r="H1686" i="4"/>
  <c r="I1686" i="4"/>
  <c r="J1686" i="4"/>
  <c r="K1686" i="4"/>
  <c r="L1686" i="4"/>
  <c r="M1686" i="4"/>
  <c r="N1686" i="4"/>
  <c r="O1686" i="4"/>
  <c r="P1686" i="4"/>
  <c r="Q1686" i="4"/>
  <c r="R1686" i="4"/>
  <c r="S1686" i="4"/>
  <c r="T1686" i="4"/>
  <c r="H1687" i="4"/>
  <c r="I1687" i="4"/>
  <c r="J1687" i="4"/>
  <c r="K1687" i="4"/>
  <c r="L1687" i="4"/>
  <c r="M1687" i="4"/>
  <c r="N1687" i="4"/>
  <c r="O1687" i="4"/>
  <c r="P1687" i="4"/>
  <c r="Q1687" i="4"/>
  <c r="R1687" i="4"/>
  <c r="S1687" i="4"/>
  <c r="T1687" i="4"/>
  <c r="H1688" i="4"/>
  <c r="I1688" i="4"/>
  <c r="J1688" i="4"/>
  <c r="K1688" i="4"/>
  <c r="L1688" i="4"/>
  <c r="M1688" i="4"/>
  <c r="N1688" i="4"/>
  <c r="O1688" i="4"/>
  <c r="P1688" i="4"/>
  <c r="Q1688" i="4"/>
  <c r="R1688" i="4"/>
  <c r="S1688" i="4"/>
  <c r="T1688" i="4"/>
  <c r="H1689" i="4"/>
  <c r="I1689" i="4"/>
  <c r="J1689" i="4"/>
  <c r="K1689" i="4"/>
  <c r="L1689" i="4"/>
  <c r="M1689" i="4"/>
  <c r="N1689" i="4"/>
  <c r="O1689" i="4"/>
  <c r="P1689" i="4"/>
  <c r="Q1689" i="4"/>
  <c r="R1689" i="4"/>
  <c r="S1689" i="4"/>
  <c r="T1689" i="4"/>
  <c r="H1690" i="4"/>
  <c r="I1690" i="4"/>
  <c r="J1690" i="4"/>
  <c r="K1690" i="4"/>
  <c r="L1690" i="4"/>
  <c r="M1690" i="4"/>
  <c r="N1690" i="4"/>
  <c r="O1690" i="4"/>
  <c r="P1690" i="4"/>
  <c r="Q1690" i="4"/>
  <c r="R1690" i="4"/>
  <c r="S1690" i="4"/>
  <c r="T1690" i="4"/>
  <c r="H1691" i="4"/>
  <c r="I1691" i="4"/>
  <c r="J1691" i="4"/>
  <c r="K1691" i="4"/>
  <c r="L1691" i="4"/>
  <c r="M1691" i="4"/>
  <c r="N1691" i="4"/>
  <c r="O1691" i="4"/>
  <c r="P1691" i="4"/>
  <c r="Q1691" i="4"/>
  <c r="R1691" i="4"/>
  <c r="S1691" i="4"/>
  <c r="T1691" i="4"/>
  <c r="H1692" i="4"/>
  <c r="I1692" i="4"/>
  <c r="J1692" i="4"/>
  <c r="K1692" i="4"/>
  <c r="L1692" i="4"/>
  <c r="M1692" i="4"/>
  <c r="N1692" i="4"/>
  <c r="O1692" i="4"/>
  <c r="P1692" i="4"/>
  <c r="Q1692" i="4"/>
  <c r="R1692" i="4"/>
  <c r="S1692" i="4"/>
  <c r="T1692" i="4"/>
  <c r="H1693" i="4"/>
  <c r="I1693" i="4"/>
  <c r="J1693" i="4"/>
  <c r="K1693" i="4"/>
  <c r="L1693" i="4"/>
  <c r="M1693" i="4"/>
  <c r="N1693" i="4"/>
  <c r="O1693" i="4"/>
  <c r="P1693" i="4"/>
  <c r="Q1693" i="4"/>
  <c r="R1693" i="4"/>
  <c r="S1693" i="4"/>
  <c r="T1693" i="4"/>
  <c r="H1694" i="4"/>
  <c r="I1694" i="4"/>
  <c r="J1694" i="4"/>
  <c r="K1694" i="4"/>
  <c r="L1694" i="4"/>
  <c r="M1694" i="4"/>
  <c r="N1694" i="4"/>
  <c r="O1694" i="4"/>
  <c r="P1694" i="4"/>
  <c r="Q1694" i="4"/>
  <c r="R1694" i="4"/>
  <c r="S1694" i="4"/>
  <c r="T1694" i="4"/>
  <c r="H1695" i="4"/>
  <c r="I1695" i="4"/>
  <c r="J1695" i="4"/>
  <c r="K1695" i="4"/>
  <c r="L1695" i="4"/>
  <c r="M1695" i="4"/>
  <c r="N1695" i="4"/>
  <c r="O1695" i="4"/>
  <c r="P1695" i="4"/>
  <c r="Q1695" i="4"/>
  <c r="R1695" i="4"/>
  <c r="S1695" i="4"/>
  <c r="T1695" i="4"/>
  <c r="H1696" i="4"/>
  <c r="I1696" i="4"/>
  <c r="J1696" i="4"/>
  <c r="K1696" i="4"/>
  <c r="L1696" i="4"/>
  <c r="M1696" i="4"/>
  <c r="N1696" i="4"/>
  <c r="O1696" i="4"/>
  <c r="P1696" i="4"/>
  <c r="Q1696" i="4"/>
  <c r="R1696" i="4"/>
  <c r="S1696" i="4"/>
  <c r="T1696" i="4"/>
  <c r="H1697" i="4"/>
  <c r="I1697" i="4"/>
  <c r="J1697" i="4"/>
  <c r="K1697" i="4"/>
  <c r="L1697" i="4"/>
  <c r="M1697" i="4"/>
  <c r="N1697" i="4"/>
  <c r="O1697" i="4"/>
  <c r="P1697" i="4"/>
  <c r="Q1697" i="4"/>
  <c r="R1697" i="4"/>
  <c r="S1697" i="4"/>
  <c r="T1697" i="4"/>
  <c r="H1698" i="4"/>
  <c r="I1698" i="4"/>
  <c r="J1698" i="4"/>
  <c r="K1698" i="4"/>
  <c r="L1698" i="4"/>
  <c r="M1698" i="4"/>
  <c r="N1698" i="4"/>
  <c r="O1698" i="4"/>
  <c r="P1698" i="4"/>
  <c r="Q1698" i="4"/>
  <c r="R1698" i="4"/>
  <c r="S1698" i="4"/>
  <c r="T1698" i="4"/>
  <c r="H1699" i="4"/>
  <c r="I1699" i="4"/>
  <c r="J1699" i="4"/>
  <c r="K1699" i="4"/>
  <c r="L1699" i="4"/>
  <c r="M1699" i="4"/>
  <c r="N1699" i="4"/>
  <c r="O1699" i="4"/>
  <c r="P1699" i="4"/>
  <c r="Q1699" i="4"/>
  <c r="R1699" i="4"/>
  <c r="S1699" i="4"/>
  <c r="T1699" i="4"/>
  <c r="H1700" i="4"/>
  <c r="I1700" i="4"/>
  <c r="J1700" i="4"/>
  <c r="K1700" i="4"/>
  <c r="L1700" i="4"/>
  <c r="M1700" i="4"/>
  <c r="N1700" i="4"/>
  <c r="O1700" i="4"/>
  <c r="P1700" i="4"/>
  <c r="Q1700" i="4"/>
  <c r="R1700" i="4"/>
  <c r="S1700" i="4"/>
  <c r="T1700" i="4"/>
  <c r="H1701" i="4"/>
  <c r="I1701" i="4"/>
  <c r="J1701" i="4"/>
  <c r="K1701" i="4"/>
  <c r="L1701" i="4"/>
  <c r="M1701" i="4"/>
  <c r="N1701" i="4"/>
  <c r="O1701" i="4"/>
  <c r="P1701" i="4"/>
  <c r="Q1701" i="4"/>
  <c r="R1701" i="4"/>
  <c r="S1701" i="4"/>
  <c r="T1701" i="4"/>
  <c r="H1702" i="4"/>
  <c r="I1702" i="4"/>
  <c r="J1702" i="4"/>
  <c r="K1702" i="4"/>
  <c r="L1702" i="4"/>
  <c r="M1702" i="4"/>
  <c r="N1702" i="4"/>
  <c r="O1702" i="4"/>
  <c r="P1702" i="4"/>
  <c r="Q1702" i="4"/>
  <c r="R1702" i="4"/>
  <c r="S1702" i="4"/>
  <c r="T1702" i="4"/>
  <c r="H1703" i="4"/>
  <c r="I1703" i="4"/>
  <c r="J1703" i="4"/>
  <c r="K1703" i="4"/>
  <c r="L1703" i="4"/>
  <c r="M1703" i="4"/>
  <c r="N1703" i="4"/>
  <c r="O1703" i="4"/>
  <c r="P1703" i="4"/>
  <c r="Q1703" i="4"/>
  <c r="R1703" i="4"/>
  <c r="S1703" i="4"/>
  <c r="T1703" i="4"/>
  <c r="H1704" i="4"/>
  <c r="I1704" i="4"/>
  <c r="J1704" i="4"/>
  <c r="K1704" i="4"/>
  <c r="L1704" i="4"/>
  <c r="M1704" i="4"/>
  <c r="N1704" i="4"/>
  <c r="O1704" i="4"/>
  <c r="P1704" i="4"/>
  <c r="Q1704" i="4"/>
  <c r="R1704" i="4"/>
  <c r="S1704" i="4"/>
  <c r="T1704" i="4"/>
  <c r="H1705" i="4"/>
  <c r="I1705" i="4"/>
  <c r="J1705" i="4"/>
  <c r="K1705" i="4"/>
  <c r="L1705" i="4"/>
  <c r="M1705" i="4"/>
  <c r="N1705" i="4"/>
  <c r="O1705" i="4"/>
  <c r="P1705" i="4"/>
  <c r="Q1705" i="4"/>
  <c r="R1705" i="4"/>
  <c r="S1705" i="4"/>
  <c r="T1705" i="4"/>
  <c r="H1706" i="4"/>
  <c r="I1706" i="4"/>
  <c r="J1706" i="4"/>
  <c r="K1706" i="4"/>
  <c r="L1706" i="4"/>
  <c r="M1706" i="4"/>
  <c r="N1706" i="4"/>
  <c r="O1706" i="4"/>
  <c r="P1706" i="4"/>
  <c r="Q1706" i="4"/>
  <c r="R1706" i="4"/>
  <c r="S1706" i="4"/>
  <c r="T1706" i="4"/>
  <c r="H1707" i="4"/>
  <c r="I1707" i="4"/>
  <c r="J1707" i="4"/>
  <c r="K1707" i="4"/>
  <c r="L1707" i="4"/>
  <c r="M1707" i="4"/>
  <c r="N1707" i="4"/>
  <c r="O1707" i="4"/>
  <c r="P1707" i="4"/>
  <c r="Q1707" i="4"/>
  <c r="R1707" i="4"/>
  <c r="S1707" i="4"/>
  <c r="T1707" i="4"/>
  <c r="H1708" i="4"/>
  <c r="I1708" i="4"/>
  <c r="J1708" i="4"/>
  <c r="K1708" i="4"/>
  <c r="L1708" i="4"/>
  <c r="M1708" i="4"/>
  <c r="N1708" i="4"/>
  <c r="O1708" i="4"/>
  <c r="P1708" i="4"/>
  <c r="Q1708" i="4"/>
  <c r="R1708" i="4"/>
  <c r="S1708" i="4"/>
  <c r="T1708" i="4"/>
  <c r="H1709" i="4"/>
  <c r="I1709" i="4"/>
  <c r="J1709" i="4"/>
  <c r="K1709" i="4"/>
  <c r="L1709" i="4"/>
  <c r="M1709" i="4"/>
  <c r="N1709" i="4"/>
  <c r="O1709" i="4"/>
  <c r="P1709" i="4"/>
  <c r="Q1709" i="4"/>
  <c r="R1709" i="4"/>
  <c r="S1709" i="4"/>
  <c r="T1709" i="4"/>
  <c r="H1710" i="4"/>
  <c r="I1710" i="4"/>
  <c r="J1710" i="4"/>
  <c r="K1710" i="4"/>
  <c r="L1710" i="4"/>
  <c r="M1710" i="4"/>
  <c r="N1710" i="4"/>
  <c r="O1710" i="4"/>
  <c r="P1710" i="4"/>
  <c r="Q1710" i="4"/>
  <c r="R1710" i="4"/>
  <c r="S1710" i="4"/>
  <c r="T1710" i="4"/>
  <c r="H1711" i="4"/>
  <c r="I1711" i="4"/>
  <c r="J1711" i="4"/>
  <c r="K1711" i="4"/>
  <c r="L1711" i="4"/>
  <c r="M1711" i="4"/>
  <c r="N1711" i="4"/>
  <c r="O1711" i="4"/>
  <c r="P1711" i="4"/>
  <c r="Q1711" i="4"/>
  <c r="R1711" i="4"/>
  <c r="S1711" i="4"/>
  <c r="T1711" i="4"/>
  <c r="H1712" i="4"/>
  <c r="I1712" i="4"/>
  <c r="J1712" i="4"/>
  <c r="K1712" i="4"/>
  <c r="L1712" i="4"/>
  <c r="M1712" i="4"/>
  <c r="N1712" i="4"/>
  <c r="O1712" i="4"/>
  <c r="P1712" i="4"/>
  <c r="Q1712" i="4"/>
  <c r="R1712" i="4"/>
  <c r="S1712" i="4"/>
  <c r="T1712" i="4"/>
  <c r="H1713" i="4"/>
  <c r="I1713" i="4"/>
  <c r="J1713" i="4"/>
  <c r="K1713" i="4"/>
  <c r="L1713" i="4"/>
  <c r="M1713" i="4"/>
  <c r="N1713" i="4"/>
  <c r="O1713" i="4"/>
  <c r="P1713" i="4"/>
  <c r="Q1713" i="4"/>
  <c r="R1713" i="4"/>
  <c r="S1713" i="4"/>
  <c r="T1713" i="4"/>
  <c r="H1714" i="4"/>
  <c r="I1714" i="4"/>
  <c r="J1714" i="4"/>
  <c r="K1714" i="4"/>
  <c r="L1714" i="4"/>
  <c r="M1714" i="4"/>
  <c r="N1714" i="4"/>
  <c r="O1714" i="4"/>
  <c r="P1714" i="4"/>
  <c r="Q1714" i="4"/>
  <c r="R1714" i="4"/>
  <c r="S1714" i="4"/>
  <c r="T1714" i="4"/>
  <c r="H1715" i="4"/>
  <c r="I1715" i="4"/>
  <c r="J1715" i="4"/>
  <c r="K1715" i="4"/>
  <c r="L1715" i="4"/>
  <c r="M1715" i="4"/>
  <c r="N1715" i="4"/>
  <c r="O1715" i="4"/>
  <c r="P1715" i="4"/>
  <c r="Q1715" i="4"/>
  <c r="R1715" i="4"/>
  <c r="S1715" i="4"/>
  <c r="T1715" i="4"/>
  <c r="H1716" i="4"/>
  <c r="I1716" i="4"/>
  <c r="J1716" i="4"/>
  <c r="K1716" i="4"/>
  <c r="L1716" i="4"/>
  <c r="M1716" i="4"/>
  <c r="N1716" i="4"/>
  <c r="O1716" i="4"/>
  <c r="P1716" i="4"/>
  <c r="Q1716" i="4"/>
  <c r="R1716" i="4"/>
  <c r="S1716" i="4"/>
  <c r="T1716" i="4"/>
  <c r="H1717" i="4"/>
  <c r="I1717" i="4"/>
  <c r="J1717" i="4"/>
  <c r="K1717" i="4"/>
  <c r="L1717" i="4"/>
  <c r="M1717" i="4"/>
  <c r="N1717" i="4"/>
  <c r="O1717" i="4"/>
  <c r="P1717" i="4"/>
  <c r="Q1717" i="4"/>
  <c r="R1717" i="4"/>
  <c r="S1717" i="4"/>
  <c r="T1717" i="4"/>
  <c r="H1718" i="4"/>
  <c r="I1718" i="4"/>
  <c r="J1718" i="4"/>
  <c r="K1718" i="4"/>
  <c r="L1718" i="4"/>
  <c r="M1718" i="4"/>
  <c r="N1718" i="4"/>
  <c r="O1718" i="4"/>
  <c r="P1718" i="4"/>
  <c r="Q1718" i="4"/>
  <c r="R1718" i="4"/>
  <c r="S1718" i="4"/>
  <c r="T1718" i="4"/>
  <c r="H1719" i="4"/>
  <c r="I1719" i="4"/>
  <c r="J1719" i="4"/>
  <c r="K1719" i="4"/>
  <c r="L1719" i="4"/>
  <c r="M1719" i="4"/>
  <c r="N1719" i="4"/>
  <c r="O1719" i="4"/>
  <c r="P1719" i="4"/>
  <c r="Q1719" i="4"/>
  <c r="R1719" i="4"/>
  <c r="S1719" i="4"/>
  <c r="T1719" i="4"/>
  <c r="H1720" i="4"/>
  <c r="I1720" i="4"/>
  <c r="J1720" i="4"/>
  <c r="K1720" i="4"/>
  <c r="L1720" i="4"/>
  <c r="M1720" i="4"/>
  <c r="N1720" i="4"/>
  <c r="O1720" i="4"/>
  <c r="P1720" i="4"/>
  <c r="Q1720" i="4"/>
  <c r="R1720" i="4"/>
  <c r="S1720" i="4"/>
  <c r="T1720" i="4"/>
  <c r="H1721" i="4"/>
  <c r="I1721" i="4"/>
  <c r="J1721" i="4"/>
  <c r="K1721" i="4"/>
  <c r="L1721" i="4"/>
  <c r="M1721" i="4"/>
  <c r="N1721" i="4"/>
  <c r="O1721" i="4"/>
  <c r="P1721" i="4"/>
  <c r="Q1721" i="4"/>
  <c r="R1721" i="4"/>
  <c r="S1721" i="4"/>
  <c r="T1721" i="4"/>
  <c r="H1722" i="4"/>
  <c r="I1722" i="4"/>
  <c r="J1722" i="4"/>
  <c r="K1722" i="4"/>
  <c r="L1722" i="4"/>
  <c r="M1722" i="4"/>
  <c r="N1722" i="4"/>
  <c r="O1722" i="4"/>
  <c r="P1722" i="4"/>
  <c r="Q1722" i="4"/>
  <c r="R1722" i="4"/>
  <c r="S1722" i="4"/>
  <c r="T1722" i="4"/>
  <c r="H1723" i="4"/>
  <c r="I1723" i="4"/>
  <c r="J1723" i="4"/>
  <c r="K1723" i="4"/>
  <c r="L1723" i="4"/>
  <c r="M1723" i="4"/>
  <c r="N1723" i="4"/>
  <c r="O1723" i="4"/>
  <c r="P1723" i="4"/>
  <c r="Q1723" i="4"/>
  <c r="R1723" i="4"/>
  <c r="S1723" i="4"/>
  <c r="T1723" i="4"/>
  <c r="H1724" i="4"/>
  <c r="I1724" i="4"/>
  <c r="J1724" i="4"/>
  <c r="K1724" i="4"/>
  <c r="L1724" i="4"/>
  <c r="M1724" i="4"/>
  <c r="N1724" i="4"/>
  <c r="O1724" i="4"/>
  <c r="P1724" i="4"/>
  <c r="Q1724" i="4"/>
  <c r="R1724" i="4"/>
  <c r="S1724" i="4"/>
  <c r="T1724" i="4"/>
  <c r="H1725" i="4"/>
  <c r="I1725" i="4"/>
  <c r="J1725" i="4"/>
  <c r="K1725" i="4"/>
  <c r="L1725" i="4"/>
  <c r="M1725" i="4"/>
  <c r="N1725" i="4"/>
  <c r="O1725" i="4"/>
  <c r="P1725" i="4"/>
  <c r="Q1725" i="4"/>
  <c r="R1725" i="4"/>
  <c r="S1725" i="4"/>
  <c r="T1725" i="4"/>
  <c r="H1726" i="4"/>
  <c r="I1726" i="4"/>
  <c r="J1726" i="4"/>
  <c r="K1726" i="4"/>
  <c r="L1726" i="4"/>
  <c r="M1726" i="4"/>
  <c r="N1726" i="4"/>
  <c r="O1726" i="4"/>
  <c r="P1726" i="4"/>
  <c r="Q1726" i="4"/>
  <c r="R1726" i="4"/>
  <c r="S1726" i="4"/>
  <c r="T1726" i="4"/>
  <c r="H1727" i="4"/>
  <c r="I1727" i="4"/>
  <c r="J1727" i="4"/>
  <c r="K1727" i="4"/>
  <c r="L1727" i="4"/>
  <c r="M1727" i="4"/>
  <c r="N1727" i="4"/>
  <c r="O1727" i="4"/>
  <c r="P1727" i="4"/>
  <c r="Q1727" i="4"/>
  <c r="R1727" i="4"/>
  <c r="S1727" i="4"/>
  <c r="T1727" i="4"/>
  <c r="H1728" i="4"/>
  <c r="I1728" i="4"/>
  <c r="J1728" i="4"/>
  <c r="K1728" i="4"/>
  <c r="L1728" i="4"/>
  <c r="M1728" i="4"/>
  <c r="N1728" i="4"/>
  <c r="O1728" i="4"/>
  <c r="P1728" i="4"/>
  <c r="Q1728" i="4"/>
  <c r="R1728" i="4"/>
  <c r="S1728" i="4"/>
  <c r="T1728" i="4"/>
  <c r="H1729" i="4"/>
  <c r="I1729" i="4"/>
  <c r="J1729" i="4"/>
  <c r="K1729" i="4"/>
  <c r="L1729" i="4"/>
  <c r="M1729" i="4"/>
  <c r="N1729" i="4"/>
  <c r="O1729" i="4"/>
  <c r="P1729" i="4"/>
  <c r="Q1729" i="4"/>
  <c r="R1729" i="4"/>
  <c r="S1729" i="4"/>
  <c r="T1729" i="4"/>
  <c r="H1730" i="4"/>
  <c r="I1730" i="4"/>
  <c r="J1730" i="4"/>
  <c r="K1730" i="4"/>
  <c r="L1730" i="4"/>
  <c r="M1730" i="4"/>
  <c r="N1730" i="4"/>
  <c r="O1730" i="4"/>
  <c r="P1730" i="4"/>
  <c r="Q1730" i="4"/>
  <c r="R1730" i="4"/>
  <c r="S1730" i="4"/>
  <c r="T1730" i="4"/>
  <c r="H1731" i="4"/>
  <c r="I1731" i="4"/>
  <c r="J1731" i="4"/>
  <c r="K1731" i="4"/>
  <c r="L1731" i="4"/>
  <c r="M1731" i="4"/>
  <c r="N1731" i="4"/>
  <c r="O1731" i="4"/>
  <c r="P1731" i="4"/>
  <c r="Q1731" i="4"/>
  <c r="R1731" i="4"/>
  <c r="S1731" i="4"/>
  <c r="T1731" i="4"/>
  <c r="H1732" i="4"/>
  <c r="I1732" i="4"/>
  <c r="J1732" i="4"/>
  <c r="K1732" i="4"/>
  <c r="L1732" i="4"/>
  <c r="M1732" i="4"/>
  <c r="N1732" i="4"/>
  <c r="O1732" i="4"/>
  <c r="P1732" i="4"/>
  <c r="Q1732" i="4"/>
  <c r="R1732" i="4"/>
  <c r="S1732" i="4"/>
  <c r="T1732" i="4"/>
  <c r="H1733" i="4"/>
  <c r="I1733" i="4"/>
  <c r="J1733" i="4"/>
  <c r="K1733" i="4"/>
  <c r="L1733" i="4"/>
  <c r="M1733" i="4"/>
  <c r="N1733" i="4"/>
  <c r="O1733" i="4"/>
  <c r="P1733" i="4"/>
  <c r="Q1733" i="4"/>
  <c r="R1733" i="4"/>
  <c r="S1733" i="4"/>
  <c r="T1733" i="4"/>
  <c r="H1734" i="4"/>
  <c r="I1734" i="4"/>
  <c r="J1734" i="4"/>
  <c r="K1734" i="4"/>
  <c r="L1734" i="4"/>
  <c r="M1734" i="4"/>
  <c r="N1734" i="4"/>
  <c r="O1734" i="4"/>
  <c r="P1734" i="4"/>
  <c r="Q1734" i="4"/>
  <c r="R1734" i="4"/>
  <c r="S1734" i="4"/>
  <c r="T1734" i="4"/>
  <c r="H1735" i="4"/>
  <c r="I1735" i="4"/>
  <c r="J1735" i="4"/>
  <c r="K1735" i="4"/>
  <c r="L1735" i="4"/>
  <c r="M1735" i="4"/>
  <c r="N1735" i="4"/>
  <c r="O1735" i="4"/>
  <c r="P1735" i="4"/>
  <c r="Q1735" i="4"/>
  <c r="R1735" i="4"/>
  <c r="S1735" i="4"/>
  <c r="T1735" i="4"/>
  <c r="H1736" i="4"/>
  <c r="I1736" i="4"/>
  <c r="J1736" i="4"/>
  <c r="K1736" i="4"/>
  <c r="L1736" i="4"/>
  <c r="M1736" i="4"/>
  <c r="N1736" i="4"/>
  <c r="O1736" i="4"/>
  <c r="P1736" i="4"/>
  <c r="Q1736" i="4"/>
  <c r="R1736" i="4"/>
  <c r="S1736" i="4"/>
  <c r="T1736" i="4"/>
  <c r="H1737" i="4"/>
  <c r="I1737" i="4"/>
  <c r="J1737" i="4"/>
  <c r="K1737" i="4"/>
  <c r="L1737" i="4"/>
  <c r="M1737" i="4"/>
  <c r="N1737" i="4"/>
  <c r="O1737" i="4"/>
  <c r="P1737" i="4"/>
  <c r="Q1737" i="4"/>
  <c r="R1737" i="4"/>
  <c r="S1737" i="4"/>
  <c r="T1737" i="4"/>
  <c r="H1738" i="4"/>
  <c r="I1738" i="4"/>
  <c r="J1738" i="4"/>
  <c r="K1738" i="4"/>
  <c r="L1738" i="4"/>
  <c r="M1738" i="4"/>
  <c r="N1738" i="4"/>
  <c r="O1738" i="4"/>
  <c r="P1738" i="4"/>
  <c r="Q1738" i="4"/>
  <c r="R1738" i="4"/>
  <c r="S1738" i="4"/>
  <c r="T1738" i="4"/>
  <c r="H1739" i="4"/>
  <c r="I1739" i="4"/>
  <c r="J1739" i="4"/>
  <c r="K1739" i="4"/>
  <c r="L1739" i="4"/>
  <c r="M1739" i="4"/>
  <c r="N1739" i="4"/>
  <c r="O1739" i="4"/>
  <c r="P1739" i="4"/>
  <c r="Q1739" i="4"/>
  <c r="R1739" i="4"/>
  <c r="S1739" i="4"/>
  <c r="T1739" i="4"/>
  <c r="H1740" i="4"/>
  <c r="I1740" i="4"/>
  <c r="J1740" i="4"/>
  <c r="K1740" i="4"/>
  <c r="L1740" i="4"/>
  <c r="M1740" i="4"/>
  <c r="N1740" i="4"/>
  <c r="O1740" i="4"/>
  <c r="P1740" i="4"/>
  <c r="Q1740" i="4"/>
  <c r="R1740" i="4"/>
  <c r="S1740" i="4"/>
  <c r="T1740" i="4"/>
  <c r="H1741" i="4"/>
  <c r="I1741" i="4"/>
  <c r="J1741" i="4"/>
  <c r="K1741" i="4"/>
  <c r="L1741" i="4"/>
  <c r="M1741" i="4"/>
  <c r="N1741" i="4"/>
  <c r="O1741" i="4"/>
  <c r="P1741" i="4"/>
  <c r="Q1741" i="4"/>
  <c r="R1741" i="4"/>
  <c r="S1741" i="4"/>
  <c r="T1741" i="4"/>
  <c r="H1742" i="4"/>
  <c r="I1742" i="4"/>
  <c r="J1742" i="4"/>
  <c r="K1742" i="4"/>
  <c r="L1742" i="4"/>
  <c r="M1742" i="4"/>
  <c r="N1742" i="4"/>
  <c r="O1742" i="4"/>
  <c r="P1742" i="4"/>
  <c r="Q1742" i="4"/>
  <c r="R1742" i="4"/>
  <c r="S1742" i="4"/>
  <c r="T1742" i="4"/>
  <c r="H1743" i="4"/>
  <c r="I1743" i="4"/>
  <c r="J1743" i="4"/>
  <c r="K1743" i="4"/>
  <c r="L1743" i="4"/>
  <c r="M1743" i="4"/>
  <c r="N1743" i="4"/>
  <c r="O1743" i="4"/>
  <c r="P1743" i="4"/>
  <c r="Q1743" i="4"/>
  <c r="R1743" i="4"/>
  <c r="S1743" i="4"/>
  <c r="T1743" i="4"/>
  <c r="H1744" i="4"/>
  <c r="I1744" i="4"/>
  <c r="J1744" i="4"/>
  <c r="K1744" i="4"/>
  <c r="L1744" i="4"/>
  <c r="M1744" i="4"/>
  <c r="N1744" i="4"/>
  <c r="O1744" i="4"/>
  <c r="P1744" i="4"/>
  <c r="Q1744" i="4"/>
  <c r="R1744" i="4"/>
  <c r="S1744" i="4"/>
  <c r="T1744" i="4"/>
  <c r="H1745" i="4"/>
  <c r="I1745" i="4"/>
  <c r="J1745" i="4"/>
  <c r="K1745" i="4"/>
  <c r="L1745" i="4"/>
  <c r="M1745" i="4"/>
  <c r="N1745" i="4"/>
  <c r="O1745" i="4"/>
  <c r="P1745" i="4"/>
  <c r="Q1745" i="4"/>
  <c r="R1745" i="4"/>
  <c r="S1745" i="4"/>
  <c r="T1745" i="4"/>
  <c r="H1746" i="4"/>
  <c r="I1746" i="4"/>
  <c r="J1746" i="4"/>
  <c r="K1746" i="4"/>
  <c r="L1746" i="4"/>
  <c r="M1746" i="4"/>
  <c r="N1746" i="4"/>
  <c r="O1746" i="4"/>
  <c r="P1746" i="4"/>
  <c r="Q1746" i="4"/>
  <c r="R1746" i="4"/>
  <c r="S1746" i="4"/>
  <c r="T1746" i="4"/>
  <c r="H1747" i="4"/>
  <c r="I1747" i="4"/>
  <c r="J1747" i="4"/>
  <c r="K1747" i="4"/>
  <c r="L1747" i="4"/>
  <c r="M1747" i="4"/>
  <c r="N1747" i="4"/>
  <c r="O1747" i="4"/>
  <c r="P1747" i="4"/>
  <c r="Q1747" i="4"/>
  <c r="R1747" i="4"/>
  <c r="S1747" i="4"/>
  <c r="T1747" i="4"/>
  <c r="H1748" i="4"/>
  <c r="I1748" i="4"/>
  <c r="J1748" i="4"/>
  <c r="K1748" i="4"/>
  <c r="L1748" i="4"/>
  <c r="M1748" i="4"/>
  <c r="N1748" i="4"/>
  <c r="O1748" i="4"/>
  <c r="P1748" i="4"/>
  <c r="Q1748" i="4"/>
  <c r="R1748" i="4"/>
  <c r="S1748" i="4"/>
  <c r="T1748" i="4"/>
  <c r="H1749" i="4"/>
  <c r="I1749" i="4"/>
  <c r="J1749" i="4"/>
  <c r="K1749" i="4"/>
  <c r="L1749" i="4"/>
  <c r="M1749" i="4"/>
  <c r="N1749" i="4"/>
  <c r="O1749" i="4"/>
  <c r="P1749" i="4"/>
  <c r="Q1749" i="4"/>
  <c r="R1749" i="4"/>
  <c r="S1749" i="4"/>
  <c r="T1749" i="4"/>
  <c r="H1750" i="4"/>
  <c r="I1750" i="4"/>
  <c r="J1750" i="4"/>
  <c r="K1750" i="4"/>
  <c r="L1750" i="4"/>
  <c r="M1750" i="4"/>
  <c r="N1750" i="4"/>
  <c r="O1750" i="4"/>
  <c r="P1750" i="4"/>
  <c r="Q1750" i="4"/>
  <c r="R1750" i="4"/>
  <c r="S1750" i="4"/>
  <c r="T1750" i="4"/>
  <c r="H1751" i="4"/>
  <c r="I1751" i="4"/>
  <c r="J1751" i="4"/>
  <c r="K1751" i="4"/>
  <c r="L1751" i="4"/>
  <c r="M1751" i="4"/>
  <c r="N1751" i="4"/>
  <c r="O1751" i="4"/>
  <c r="P1751" i="4"/>
  <c r="Q1751" i="4"/>
  <c r="R1751" i="4"/>
  <c r="S1751" i="4"/>
  <c r="T1751" i="4"/>
  <c r="H1752" i="4"/>
  <c r="I1752" i="4"/>
  <c r="J1752" i="4"/>
  <c r="K1752" i="4"/>
  <c r="L1752" i="4"/>
  <c r="M1752" i="4"/>
  <c r="N1752" i="4"/>
  <c r="O1752" i="4"/>
  <c r="P1752" i="4"/>
  <c r="Q1752" i="4"/>
  <c r="R1752" i="4"/>
  <c r="S1752" i="4"/>
  <c r="T1752" i="4"/>
  <c r="H1753" i="4"/>
  <c r="I1753" i="4"/>
  <c r="J1753" i="4"/>
  <c r="K1753" i="4"/>
  <c r="L1753" i="4"/>
  <c r="M1753" i="4"/>
  <c r="N1753" i="4"/>
  <c r="O1753" i="4"/>
  <c r="P1753" i="4"/>
  <c r="Q1753" i="4"/>
  <c r="R1753" i="4"/>
  <c r="S1753" i="4"/>
  <c r="T1753" i="4"/>
  <c r="H1754" i="4"/>
  <c r="I1754" i="4"/>
  <c r="J1754" i="4"/>
  <c r="K1754" i="4"/>
  <c r="L1754" i="4"/>
  <c r="M1754" i="4"/>
  <c r="N1754" i="4"/>
  <c r="O1754" i="4"/>
  <c r="P1754" i="4"/>
  <c r="Q1754" i="4"/>
  <c r="R1754" i="4"/>
  <c r="S1754" i="4"/>
  <c r="T1754" i="4"/>
  <c r="H1755" i="4"/>
  <c r="I1755" i="4"/>
  <c r="J1755" i="4"/>
  <c r="K1755" i="4"/>
  <c r="L1755" i="4"/>
  <c r="M1755" i="4"/>
  <c r="N1755" i="4"/>
  <c r="O1755" i="4"/>
  <c r="P1755" i="4"/>
  <c r="Q1755" i="4"/>
  <c r="R1755" i="4"/>
  <c r="S1755" i="4"/>
  <c r="T1755" i="4"/>
  <c r="H1756" i="4"/>
  <c r="I1756" i="4"/>
  <c r="J1756" i="4"/>
  <c r="K1756" i="4"/>
  <c r="L1756" i="4"/>
  <c r="M1756" i="4"/>
  <c r="N1756" i="4"/>
  <c r="O1756" i="4"/>
  <c r="P1756" i="4"/>
  <c r="Q1756" i="4"/>
  <c r="R1756" i="4"/>
  <c r="S1756" i="4"/>
  <c r="T1756" i="4"/>
  <c r="H1757" i="4"/>
  <c r="I1757" i="4"/>
  <c r="J1757" i="4"/>
  <c r="K1757" i="4"/>
  <c r="L1757" i="4"/>
  <c r="M1757" i="4"/>
  <c r="N1757" i="4"/>
  <c r="O1757" i="4"/>
  <c r="P1757" i="4"/>
  <c r="Q1757" i="4"/>
  <c r="R1757" i="4"/>
  <c r="S1757" i="4"/>
  <c r="T1757" i="4"/>
  <c r="H1758" i="4"/>
  <c r="I1758" i="4"/>
  <c r="J1758" i="4"/>
  <c r="K1758" i="4"/>
  <c r="L1758" i="4"/>
  <c r="M1758" i="4"/>
  <c r="N1758" i="4"/>
  <c r="O1758" i="4"/>
  <c r="P1758" i="4"/>
  <c r="Q1758" i="4"/>
  <c r="R1758" i="4"/>
  <c r="S1758" i="4"/>
  <c r="T1758" i="4"/>
  <c r="H1759" i="4"/>
  <c r="I1759" i="4"/>
  <c r="J1759" i="4"/>
  <c r="K1759" i="4"/>
  <c r="L1759" i="4"/>
  <c r="M1759" i="4"/>
  <c r="N1759" i="4"/>
  <c r="O1759" i="4"/>
  <c r="P1759" i="4"/>
  <c r="Q1759" i="4"/>
  <c r="R1759" i="4"/>
  <c r="S1759" i="4"/>
  <c r="T1759" i="4"/>
  <c r="H1760" i="4"/>
  <c r="I1760" i="4"/>
  <c r="J1760" i="4"/>
  <c r="K1760" i="4"/>
  <c r="L1760" i="4"/>
  <c r="M1760" i="4"/>
  <c r="N1760" i="4"/>
  <c r="O1760" i="4"/>
  <c r="P1760" i="4"/>
  <c r="Q1760" i="4"/>
  <c r="R1760" i="4"/>
  <c r="S1760" i="4"/>
  <c r="T1760" i="4"/>
  <c r="H1761" i="4"/>
  <c r="I1761" i="4"/>
  <c r="J1761" i="4"/>
  <c r="K1761" i="4"/>
  <c r="L1761" i="4"/>
  <c r="M1761" i="4"/>
  <c r="N1761" i="4"/>
  <c r="O1761" i="4"/>
  <c r="P1761" i="4"/>
  <c r="Q1761" i="4"/>
  <c r="R1761" i="4"/>
  <c r="S1761" i="4"/>
  <c r="T1761" i="4"/>
  <c r="H1762" i="4"/>
  <c r="I1762" i="4"/>
  <c r="J1762" i="4"/>
  <c r="K1762" i="4"/>
  <c r="L1762" i="4"/>
  <c r="M1762" i="4"/>
  <c r="N1762" i="4"/>
  <c r="O1762" i="4"/>
  <c r="P1762" i="4"/>
  <c r="Q1762" i="4"/>
  <c r="R1762" i="4"/>
  <c r="S1762" i="4"/>
  <c r="T1762" i="4"/>
  <c r="H1763" i="4"/>
  <c r="I1763" i="4"/>
  <c r="J1763" i="4"/>
  <c r="K1763" i="4"/>
  <c r="L1763" i="4"/>
  <c r="M1763" i="4"/>
  <c r="N1763" i="4"/>
  <c r="O1763" i="4"/>
  <c r="P1763" i="4"/>
  <c r="Q1763" i="4"/>
  <c r="R1763" i="4"/>
  <c r="S1763" i="4"/>
  <c r="T1763" i="4"/>
  <c r="H1764" i="4"/>
  <c r="I1764" i="4"/>
  <c r="J1764" i="4"/>
  <c r="K1764" i="4"/>
  <c r="L1764" i="4"/>
  <c r="M1764" i="4"/>
  <c r="N1764" i="4"/>
  <c r="O1764" i="4"/>
  <c r="P1764" i="4"/>
  <c r="Q1764" i="4"/>
  <c r="R1764" i="4"/>
  <c r="S1764" i="4"/>
  <c r="T1764" i="4"/>
  <c r="H1765" i="4"/>
  <c r="I1765" i="4"/>
  <c r="J1765" i="4"/>
  <c r="K1765" i="4"/>
  <c r="L1765" i="4"/>
  <c r="M1765" i="4"/>
  <c r="N1765" i="4"/>
  <c r="O1765" i="4"/>
  <c r="P1765" i="4"/>
  <c r="Q1765" i="4"/>
  <c r="R1765" i="4"/>
  <c r="S1765" i="4"/>
  <c r="T1765" i="4"/>
  <c r="H1766" i="4"/>
  <c r="I1766" i="4"/>
  <c r="J1766" i="4"/>
  <c r="K1766" i="4"/>
  <c r="L1766" i="4"/>
  <c r="M1766" i="4"/>
  <c r="N1766" i="4"/>
  <c r="O1766" i="4"/>
  <c r="P1766" i="4"/>
  <c r="Q1766" i="4"/>
  <c r="R1766" i="4"/>
  <c r="S1766" i="4"/>
  <c r="T1766" i="4"/>
  <c r="H1767" i="4"/>
  <c r="I1767" i="4"/>
  <c r="J1767" i="4"/>
  <c r="K1767" i="4"/>
  <c r="L1767" i="4"/>
  <c r="M1767" i="4"/>
  <c r="N1767" i="4"/>
  <c r="O1767" i="4"/>
  <c r="P1767" i="4"/>
  <c r="Q1767" i="4"/>
  <c r="R1767" i="4"/>
  <c r="S1767" i="4"/>
  <c r="T1767" i="4"/>
  <c r="H1768" i="4"/>
  <c r="I1768" i="4"/>
  <c r="J1768" i="4"/>
  <c r="K1768" i="4"/>
  <c r="L1768" i="4"/>
  <c r="M1768" i="4"/>
  <c r="N1768" i="4"/>
  <c r="O1768" i="4"/>
  <c r="P1768" i="4"/>
  <c r="Q1768" i="4"/>
  <c r="R1768" i="4"/>
  <c r="S1768" i="4"/>
  <c r="T1768" i="4"/>
  <c r="H1769" i="4"/>
  <c r="I1769" i="4"/>
  <c r="J1769" i="4"/>
  <c r="K1769" i="4"/>
  <c r="L1769" i="4"/>
  <c r="M1769" i="4"/>
  <c r="N1769" i="4"/>
  <c r="O1769" i="4"/>
  <c r="P1769" i="4"/>
  <c r="Q1769" i="4"/>
  <c r="R1769" i="4"/>
  <c r="S1769" i="4"/>
  <c r="T1769" i="4"/>
  <c r="H1770" i="4"/>
  <c r="I1770" i="4"/>
  <c r="J1770" i="4"/>
  <c r="K1770" i="4"/>
  <c r="L1770" i="4"/>
  <c r="M1770" i="4"/>
  <c r="N1770" i="4"/>
  <c r="O1770" i="4"/>
  <c r="P1770" i="4"/>
  <c r="Q1770" i="4"/>
  <c r="R1770" i="4"/>
  <c r="S1770" i="4"/>
  <c r="T1770" i="4"/>
  <c r="H1771" i="4"/>
  <c r="I1771" i="4"/>
  <c r="J1771" i="4"/>
  <c r="K1771" i="4"/>
  <c r="L1771" i="4"/>
  <c r="M1771" i="4"/>
  <c r="N1771" i="4"/>
  <c r="O1771" i="4"/>
  <c r="P1771" i="4"/>
  <c r="Q1771" i="4"/>
  <c r="R1771" i="4"/>
  <c r="S1771" i="4"/>
  <c r="T1771" i="4"/>
  <c r="H1772" i="4"/>
  <c r="I1772" i="4"/>
  <c r="J1772" i="4"/>
  <c r="K1772" i="4"/>
  <c r="L1772" i="4"/>
  <c r="M1772" i="4"/>
  <c r="N1772" i="4"/>
  <c r="O1772" i="4"/>
  <c r="P1772" i="4"/>
  <c r="Q1772" i="4"/>
  <c r="R1772" i="4"/>
  <c r="S1772" i="4"/>
  <c r="T1772" i="4"/>
  <c r="H1773" i="4"/>
  <c r="I1773" i="4"/>
  <c r="J1773" i="4"/>
  <c r="K1773" i="4"/>
  <c r="L1773" i="4"/>
  <c r="M1773" i="4"/>
  <c r="N1773" i="4"/>
  <c r="O1773" i="4"/>
  <c r="P1773" i="4"/>
  <c r="Q1773" i="4"/>
  <c r="R1773" i="4"/>
  <c r="S1773" i="4"/>
  <c r="T1773" i="4"/>
  <c r="H1774" i="4"/>
  <c r="I1774" i="4"/>
  <c r="J1774" i="4"/>
  <c r="K1774" i="4"/>
  <c r="L1774" i="4"/>
  <c r="M1774" i="4"/>
  <c r="N1774" i="4"/>
  <c r="O1774" i="4"/>
  <c r="P1774" i="4"/>
  <c r="Q1774" i="4"/>
  <c r="R1774" i="4"/>
  <c r="S1774" i="4"/>
  <c r="T1774" i="4"/>
  <c r="H1775" i="4"/>
  <c r="I1775" i="4"/>
  <c r="J1775" i="4"/>
  <c r="K1775" i="4"/>
  <c r="L1775" i="4"/>
  <c r="M1775" i="4"/>
  <c r="N1775" i="4"/>
  <c r="O1775" i="4"/>
  <c r="P1775" i="4"/>
  <c r="Q1775" i="4"/>
  <c r="R1775" i="4"/>
  <c r="S1775" i="4"/>
  <c r="T1775" i="4"/>
  <c r="H1776" i="4"/>
  <c r="I1776" i="4"/>
  <c r="J1776" i="4"/>
  <c r="K1776" i="4"/>
  <c r="L1776" i="4"/>
  <c r="M1776" i="4"/>
  <c r="N1776" i="4"/>
  <c r="O1776" i="4"/>
  <c r="P1776" i="4"/>
  <c r="Q1776" i="4"/>
  <c r="R1776" i="4"/>
  <c r="S1776" i="4"/>
  <c r="T1776" i="4"/>
  <c r="H1777" i="4"/>
  <c r="I1777" i="4"/>
  <c r="J1777" i="4"/>
  <c r="K1777" i="4"/>
  <c r="L1777" i="4"/>
  <c r="M1777" i="4"/>
  <c r="N1777" i="4"/>
  <c r="O1777" i="4"/>
  <c r="P1777" i="4"/>
  <c r="Q1777" i="4"/>
  <c r="R1777" i="4"/>
  <c r="S1777" i="4"/>
  <c r="T1777" i="4"/>
  <c r="H1778" i="4"/>
  <c r="I1778" i="4"/>
  <c r="J1778" i="4"/>
  <c r="K1778" i="4"/>
  <c r="L1778" i="4"/>
  <c r="M1778" i="4"/>
  <c r="N1778" i="4"/>
  <c r="O1778" i="4"/>
  <c r="P1778" i="4"/>
  <c r="Q1778" i="4"/>
  <c r="R1778" i="4"/>
  <c r="S1778" i="4"/>
  <c r="T1778" i="4"/>
  <c r="H1779" i="4"/>
  <c r="I1779" i="4"/>
  <c r="J1779" i="4"/>
  <c r="K1779" i="4"/>
  <c r="L1779" i="4"/>
  <c r="M1779" i="4"/>
  <c r="N1779" i="4"/>
  <c r="O1779" i="4"/>
  <c r="P1779" i="4"/>
  <c r="Q1779" i="4"/>
  <c r="R1779" i="4"/>
  <c r="S1779" i="4"/>
  <c r="T1779" i="4"/>
  <c r="H1780" i="4"/>
  <c r="I1780" i="4"/>
  <c r="J1780" i="4"/>
  <c r="K1780" i="4"/>
  <c r="L1780" i="4"/>
  <c r="M1780" i="4"/>
  <c r="N1780" i="4"/>
  <c r="O1780" i="4"/>
  <c r="P1780" i="4"/>
  <c r="Q1780" i="4"/>
  <c r="R1780" i="4"/>
  <c r="S1780" i="4"/>
  <c r="T1780" i="4"/>
  <c r="H1781" i="4"/>
  <c r="I1781" i="4"/>
  <c r="J1781" i="4"/>
  <c r="K1781" i="4"/>
  <c r="L1781" i="4"/>
  <c r="M1781" i="4"/>
  <c r="N1781" i="4"/>
  <c r="O1781" i="4"/>
  <c r="P1781" i="4"/>
  <c r="Q1781" i="4"/>
  <c r="R1781" i="4"/>
  <c r="S1781" i="4"/>
  <c r="T1781" i="4"/>
  <c r="H1782" i="4"/>
  <c r="I1782" i="4"/>
  <c r="J1782" i="4"/>
  <c r="K1782" i="4"/>
  <c r="L1782" i="4"/>
  <c r="M1782" i="4"/>
  <c r="N1782" i="4"/>
  <c r="O1782" i="4"/>
  <c r="P1782" i="4"/>
  <c r="Q1782" i="4"/>
  <c r="R1782" i="4"/>
  <c r="S1782" i="4"/>
  <c r="T1782" i="4"/>
  <c r="H1783" i="4"/>
  <c r="I1783" i="4"/>
  <c r="J1783" i="4"/>
  <c r="K1783" i="4"/>
  <c r="L1783" i="4"/>
  <c r="M1783" i="4"/>
  <c r="N1783" i="4"/>
  <c r="O1783" i="4"/>
  <c r="P1783" i="4"/>
  <c r="Q1783" i="4"/>
  <c r="R1783" i="4"/>
  <c r="S1783" i="4"/>
  <c r="T1783" i="4"/>
  <c r="H1784" i="4"/>
  <c r="I1784" i="4"/>
  <c r="J1784" i="4"/>
  <c r="K1784" i="4"/>
  <c r="L1784" i="4"/>
  <c r="M1784" i="4"/>
  <c r="N1784" i="4"/>
  <c r="O1784" i="4"/>
  <c r="P1784" i="4"/>
  <c r="Q1784" i="4"/>
  <c r="R1784" i="4"/>
  <c r="S1784" i="4"/>
  <c r="T1784" i="4"/>
  <c r="H1785" i="4"/>
  <c r="I1785" i="4"/>
  <c r="J1785" i="4"/>
  <c r="K1785" i="4"/>
  <c r="L1785" i="4"/>
  <c r="M1785" i="4"/>
  <c r="N1785" i="4"/>
  <c r="O1785" i="4"/>
  <c r="P1785" i="4"/>
  <c r="Q1785" i="4"/>
  <c r="R1785" i="4"/>
  <c r="S1785" i="4"/>
  <c r="T1785" i="4"/>
  <c r="H1786" i="4"/>
  <c r="I1786" i="4"/>
  <c r="J1786" i="4"/>
  <c r="K1786" i="4"/>
  <c r="L1786" i="4"/>
  <c r="M1786" i="4"/>
  <c r="N1786" i="4"/>
  <c r="O1786" i="4"/>
  <c r="P1786" i="4"/>
  <c r="Q1786" i="4"/>
  <c r="R1786" i="4"/>
  <c r="S1786" i="4"/>
  <c r="T1786" i="4"/>
  <c r="H1787" i="4"/>
  <c r="I1787" i="4"/>
  <c r="J1787" i="4"/>
  <c r="K1787" i="4"/>
  <c r="L1787" i="4"/>
  <c r="M1787" i="4"/>
  <c r="N1787" i="4"/>
  <c r="O1787" i="4"/>
  <c r="P1787" i="4"/>
  <c r="Q1787" i="4"/>
  <c r="R1787" i="4"/>
  <c r="S1787" i="4"/>
  <c r="T1787" i="4"/>
  <c r="H1788" i="4"/>
  <c r="I1788" i="4"/>
  <c r="J1788" i="4"/>
  <c r="K1788" i="4"/>
  <c r="L1788" i="4"/>
  <c r="M1788" i="4"/>
  <c r="N1788" i="4"/>
  <c r="O1788" i="4"/>
  <c r="P1788" i="4"/>
  <c r="Q1788" i="4"/>
  <c r="R1788" i="4"/>
  <c r="S1788" i="4"/>
  <c r="T1788" i="4"/>
  <c r="H1789" i="4"/>
  <c r="I1789" i="4"/>
  <c r="J1789" i="4"/>
  <c r="K1789" i="4"/>
  <c r="L1789" i="4"/>
  <c r="M1789" i="4"/>
  <c r="N1789" i="4"/>
  <c r="O1789" i="4"/>
  <c r="P1789" i="4"/>
  <c r="Q1789" i="4"/>
  <c r="R1789" i="4"/>
  <c r="S1789" i="4"/>
  <c r="T1789" i="4"/>
  <c r="H1790" i="4"/>
  <c r="I1790" i="4"/>
  <c r="J1790" i="4"/>
  <c r="K1790" i="4"/>
  <c r="L1790" i="4"/>
  <c r="M1790" i="4"/>
  <c r="N1790" i="4"/>
  <c r="O1790" i="4"/>
  <c r="P1790" i="4"/>
  <c r="Q1790" i="4"/>
  <c r="R1790" i="4"/>
  <c r="S1790" i="4"/>
  <c r="T1790" i="4"/>
  <c r="H1791" i="4"/>
  <c r="I1791" i="4"/>
  <c r="J1791" i="4"/>
  <c r="K1791" i="4"/>
  <c r="L1791" i="4"/>
  <c r="M1791" i="4"/>
  <c r="N1791" i="4"/>
  <c r="O1791" i="4"/>
  <c r="P1791" i="4"/>
  <c r="Q1791" i="4"/>
  <c r="R1791" i="4"/>
  <c r="S1791" i="4"/>
  <c r="T1791" i="4"/>
  <c r="H1792" i="4"/>
  <c r="I1792" i="4"/>
  <c r="J1792" i="4"/>
  <c r="K1792" i="4"/>
  <c r="L1792" i="4"/>
  <c r="M1792" i="4"/>
  <c r="N1792" i="4"/>
  <c r="O1792" i="4"/>
  <c r="P1792" i="4"/>
  <c r="Q1792" i="4"/>
  <c r="R1792" i="4"/>
  <c r="S1792" i="4"/>
  <c r="T1792" i="4"/>
  <c r="H1793" i="4"/>
  <c r="I1793" i="4"/>
  <c r="J1793" i="4"/>
  <c r="K1793" i="4"/>
  <c r="L1793" i="4"/>
  <c r="M1793" i="4"/>
  <c r="N1793" i="4"/>
  <c r="O1793" i="4"/>
  <c r="P1793" i="4"/>
  <c r="Q1793" i="4"/>
  <c r="R1793" i="4"/>
  <c r="S1793" i="4"/>
  <c r="T1793" i="4"/>
  <c r="H1794" i="4"/>
  <c r="I1794" i="4"/>
  <c r="J1794" i="4"/>
  <c r="K1794" i="4"/>
  <c r="L1794" i="4"/>
  <c r="M1794" i="4"/>
  <c r="N1794" i="4"/>
  <c r="O1794" i="4"/>
  <c r="P1794" i="4"/>
  <c r="Q1794" i="4"/>
  <c r="R1794" i="4"/>
  <c r="S1794" i="4"/>
  <c r="T1794" i="4"/>
  <c r="H1795" i="4"/>
  <c r="I1795" i="4"/>
  <c r="J1795" i="4"/>
  <c r="K1795" i="4"/>
  <c r="L1795" i="4"/>
  <c r="M1795" i="4"/>
  <c r="N1795" i="4"/>
  <c r="O1795" i="4"/>
  <c r="P1795" i="4"/>
  <c r="Q1795" i="4"/>
  <c r="R1795" i="4"/>
  <c r="S1795" i="4"/>
  <c r="T1795" i="4"/>
  <c r="H1796" i="4"/>
  <c r="I1796" i="4"/>
  <c r="J1796" i="4"/>
  <c r="K1796" i="4"/>
  <c r="L1796" i="4"/>
  <c r="M1796" i="4"/>
  <c r="N1796" i="4"/>
  <c r="O1796" i="4"/>
  <c r="P1796" i="4"/>
  <c r="Q1796" i="4"/>
  <c r="R1796" i="4"/>
  <c r="S1796" i="4"/>
  <c r="T1796" i="4"/>
  <c r="H1797" i="4"/>
  <c r="I1797" i="4"/>
  <c r="J1797" i="4"/>
  <c r="K1797" i="4"/>
  <c r="L1797" i="4"/>
  <c r="M1797" i="4"/>
  <c r="N1797" i="4"/>
  <c r="O1797" i="4"/>
  <c r="P1797" i="4"/>
  <c r="Q1797" i="4"/>
  <c r="R1797" i="4"/>
  <c r="S1797" i="4"/>
  <c r="T1797" i="4"/>
  <c r="H1798" i="4"/>
  <c r="I1798" i="4"/>
  <c r="J1798" i="4"/>
  <c r="K1798" i="4"/>
  <c r="L1798" i="4"/>
  <c r="M1798" i="4"/>
  <c r="N1798" i="4"/>
  <c r="O1798" i="4"/>
  <c r="P1798" i="4"/>
  <c r="Q1798" i="4"/>
  <c r="R1798" i="4"/>
  <c r="S1798" i="4"/>
  <c r="T1798" i="4"/>
  <c r="H1799" i="4"/>
  <c r="I1799" i="4"/>
  <c r="J1799" i="4"/>
  <c r="K1799" i="4"/>
  <c r="L1799" i="4"/>
  <c r="M1799" i="4"/>
  <c r="N1799" i="4"/>
  <c r="O1799" i="4"/>
  <c r="P1799" i="4"/>
  <c r="Q1799" i="4"/>
  <c r="R1799" i="4"/>
  <c r="S1799" i="4"/>
  <c r="T1799" i="4"/>
  <c r="H1800" i="4"/>
  <c r="I1800" i="4"/>
  <c r="J1800" i="4"/>
  <c r="K1800" i="4"/>
  <c r="L1800" i="4"/>
  <c r="M1800" i="4"/>
  <c r="N1800" i="4"/>
  <c r="O1800" i="4"/>
  <c r="P1800" i="4"/>
  <c r="Q1800" i="4"/>
  <c r="R1800" i="4"/>
  <c r="S1800" i="4"/>
  <c r="T1800" i="4"/>
  <c r="H1801" i="4"/>
  <c r="I1801" i="4"/>
  <c r="J1801" i="4"/>
  <c r="K1801" i="4"/>
  <c r="L1801" i="4"/>
  <c r="M1801" i="4"/>
  <c r="N1801" i="4"/>
  <c r="O1801" i="4"/>
  <c r="P1801" i="4"/>
  <c r="Q1801" i="4"/>
  <c r="R1801" i="4"/>
  <c r="S1801" i="4"/>
  <c r="T1801" i="4"/>
  <c r="H1802" i="4"/>
  <c r="I1802" i="4"/>
  <c r="J1802" i="4"/>
  <c r="K1802" i="4"/>
  <c r="L1802" i="4"/>
  <c r="M1802" i="4"/>
  <c r="N1802" i="4"/>
  <c r="O1802" i="4"/>
  <c r="P1802" i="4"/>
  <c r="Q1802" i="4"/>
  <c r="R1802" i="4"/>
  <c r="S1802" i="4"/>
  <c r="T1802" i="4"/>
  <c r="H1803" i="4"/>
  <c r="I1803" i="4"/>
  <c r="J1803" i="4"/>
  <c r="K1803" i="4"/>
  <c r="L1803" i="4"/>
  <c r="M1803" i="4"/>
  <c r="N1803" i="4"/>
  <c r="O1803" i="4"/>
  <c r="P1803" i="4"/>
  <c r="Q1803" i="4"/>
  <c r="R1803" i="4"/>
  <c r="S1803" i="4"/>
  <c r="T1803" i="4"/>
  <c r="H1804" i="4"/>
  <c r="I1804" i="4"/>
  <c r="J1804" i="4"/>
  <c r="K1804" i="4"/>
  <c r="L1804" i="4"/>
  <c r="M1804" i="4"/>
  <c r="N1804" i="4"/>
  <c r="O1804" i="4"/>
  <c r="P1804" i="4"/>
  <c r="Q1804" i="4"/>
  <c r="R1804" i="4"/>
  <c r="S1804" i="4"/>
  <c r="T1804" i="4"/>
  <c r="H1805" i="4"/>
  <c r="I1805" i="4"/>
  <c r="J1805" i="4"/>
  <c r="K1805" i="4"/>
  <c r="L1805" i="4"/>
  <c r="M1805" i="4"/>
  <c r="N1805" i="4"/>
  <c r="O1805" i="4"/>
  <c r="P1805" i="4"/>
  <c r="Q1805" i="4"/>
  <c r="R1805" i="4"/>
  <c r="S1805" i="4"/>
  <c r="T1805" i="4"/>
  <c r="H1806" i="4"/>
  <c r="I1806" i="4"/>
  <c r="J1806" i="4"/>
  <c r="K1806" i="4"/>
  <c r="L1806" i="4"/>
  <c r="M1806" i="4"/>
  <c r="N1806" i="4"/>
  <c r="O1806" i="4"/>
  <c r="P1806" i="4"/>
  <c r="Q1806" i="4"/>
  <c r="R1806" i="4"/>
  <c r="S1806" i="4"/>
  <c r="T1806" i="4"/>
  <c r="H1807" i="4"/>
  <c r="I1807" i="4"/>
  <c r="J1807" i="4"/>
  <c r="K1807" i="4"/>
  <c r="L1807" i="4"/>
  <c r="M1807" i="4"/>
  <c r="N1807" i="4"/>
  <c r="O1807" i="4"/>
  <c r="P1807" i="4"/>
  <c r="Q1807" i="4"/>
  <c r="R1807" i="4"/>
  <c r="S1807" i="4"/>
  <c r="T1807" i="4"/>
  <c r="H1808" i="4"/>
  <c r="I1808" i="4"/>
  <c r="J1808" i="4"/>
  <c r="K1808" i="4"/>
  <c r="L1808" i="4"/>
  <c r="M1808" i="4"/>
  <c r="N1808" i="4"/>
  <c r="O1808" i="4"/>
  <c r="P1808" i="4"/>
  <c r="Q1808" i="4"/>
  <c r="R1808" i="4"/>
  <c r="S1808" i="4"/>
  <c r="T1808" i="4"/>
  <c r="H1809" i="4"/>
  <c r="I1809" i="4"/>
  <c r="J1809" i="4"/>
  <c r="K1809" i="4"/>
  <c r="L1809" i="4"/>
  <c r="M1809" i="4"/>
  <c r="N1809" i="4"/>
  <c r="O1809" i="4"/>
  <c r="P1809" i="4"/>
  <c r="Q1809" i="4"/>
  <c r="R1809" i="4"/>
  <c r="S1809" i="4"/>
  <c r="T1809" i="4"/>
  <c r="H1810" i="4"/>
  <c r="I1810" i="4"/>
  <c r="J1810" i="4"/>
  <c r="K1810" i="4"/>
  <c r="L1810" i="4"/>
  <c r="M1810" i="4"/>
  <c r="N1810" i="4"/>
  <c r="O1810" i="4"/>
  <c r="P1810" i="4"/>
  <c r="Q1810" i="4"/>
  <c r="R1810" i="4"/>
  <c r="S1810" i="4"/>
  <c r="T1810" i="4"/>
  <c r="H1811" i="4"/>
  <c r="I1811" i="4"/>
  <c r="J1811" i="4"/>
  <c r="K1811" i="4"/>
  <c r="L1811" i="4"/>
  <c r="M1811" i="4"/>
  <c r="N1811" i="4"/>
  <c r="O1811" i="4"/>
  <c r="P1811" i="4"/>
  <c r="Q1811" i="4"/>
  <c r="R1811" i="4"/>
  <c r="S1811" i="4"/>
  <c r="T1811" i="4"/>
  <c r="H1812" i="4"/>
  <c r="I1812" i="4"/>
  <c r="J1812" i="4"/>
  <c r="K1812" i="4"/>
  <c r="L1812" i="4"/>
  <c r="M1812" i="4"/>
  <c r="N1812" i="4"/>
  <c r="O1812" i="4"/>
  <c r="P1812" i="4"/>
  <c r="Q1812" i="4"/>
  <c r="R1812" i="4"/>
  <c r="S1812" i="4"/>
  <c r="T1812" i="4"/>
  <c r="H1813" i="4"/>
  <c r="I1813" i="4"/>
  <c r="J1813" i="4"/>
  <c r="K1813" i="4"/>
  <c r="L1813" i="4"/>
  <c r="M1813" i="4"/>
  <c r="N1813" i="4"/>
  <c r="O1813" i="4"/>
  <c r="P1813" i="4"/>
  <c r="Q1813" i="4"/>
  <c r="R1813" i="4"/>
  <c r="S1813" i="4"/>
  <c r="T1813" i="4"/>
  <c r="H1814" i="4"/>
  <c r="I1814" i="4"/>
  <c r="J1814" i="4"/>
  <c r="K1814" i="4"/>
  <c r="L1814" i="4"/>
  <c r="M1814" i="4"/>
  <c r="N1814" i="4"/>
  <c r="O1814" i="4"/>
  <c r="P1814" i="4"/>
  <c r="Q1814" i="4"/>
  <c r="R1814" i="4"/>
  <c r="S1814" i="4"/>
  <c r="T1814" i="4"/>
  <c r="H1815" i="4"/>
  <c r="I1815" i="4"/>
  <c r="J1815" i="4"/>
  <c r="K1815" i="4"/>
  <c r="L1815" i="4"/>
  <c r="M1815" i="4"/>
  <c r="N1815" i="4"/>
  <c r="O1815" i="4"/>
  <c r="P1815" i="4"/>
  <c r="Q1815" i="4"/>
  <c r="R1815" i="4"/>
  <c r="S1815" i="4"/>
  <c r="T1815" i="4"/>
  <c r="H1816" i="4"/>
  <c r="I1816" i="4"/>
  <c r="J1816" i="4"/>
  <c r="K1816" i="4"/>
  <c r="L1816" i="4"/>
  <c r="M1816" i="4"/>
  <c r="N1816" i="4"/>
  <c r="O1816" i="4"/>
  <c r="P1816" i="4"/>
  <c r="Q1816" i="4"/>
  <c r="R1816" i="4"/>
  <c r="S1816" i="4"/>
  <c r="T1816" i="4"/>
  <c r="H1817" i="4"/>
  <c r="I1817" i="4"/>
  <c r="J1817" i="4"/>
  <c r="K1817" i="4"/>
  <c r="L1817" i="4"/>
  <c r="M1817" i="4"/>
  <c r="N1817" i="4"/>
  <c r="O1817" i="4"/>
  <c r="P1817" i="4"/>
  <c r="Q1817" i="4"/>
  <c r="R1817" i="4"/>
  <c r="S1817" i="4"/>
  <c r="T1817" i="4"/>
  <c r="H1818" i="4"/>
  <c r="I1818" i="4"/>
  <c r="J1818" i="4"/>
  <c r="K1818" i="4"/>
  <c r="L1818" i="4"/>
  <c r="M1818" i="4"/>
  <c r="N1818" i="4"/>
  <c r="O1818" i="4"/>
  <c r="P1818" i="4"/>
  <c r="Q1818" i="4"/>
  <c r="R1818" i="4"/>
  <c r="S1818" i="4"/>
  <c r="T1818" i="4"/>
  <c r="H1819" i="4"/>
  <c r="I1819" i="4"/>
  <c r="J1819" i="4"/>
  <c r="K1819" i="4"/>
  <c r="L1819" i="4"/>
  <c r="M1819" i="4"/>
  <c r="N1819" i="4"/>
  <c r="O1819" i="4"/>
  <c r="P1819" i="4"/>
  <c r="Q1819" i="4"/>
  <c r="R1819" i="4"/>
  <c r="S1819" i="4"/>
  <c r="T1819" i="4"/>
  <c r="H1820" i="4"/>
  <c r="I1820" i="4"/>
  <c r="J1820" i="4"/>
  <c r="K1820" i="4"/>
  <c r="L1820" i="4"/>
  <c r="M1820" i="4"/>
  <c r="N1820" i="4"/>
  <c r="O1820" i="4"/>
  <c r="P1820" i="4"/>
  <c r="Q1820" i="4"/>
  <c r="R1820" i="4"/>
  <c r="S1820" i="4"/>
  <c r="T1820" i="4"/>
  <c r="H1821" i="4"/>
  <c r="I1821" i="4"/>
  <c r="J1821" i="4"/>
  <c r="K1821" i="4"/>
  <c r="L1821" i="4"/>
  <c r="M1821" i="4"/>
  <c r="N1821" i="4"/>
  <c r="O1821" i="4"/>
  <c r="P1821" i="4"/>
  <c r="Q1821" i="4"/>
  <c r="R1821" i="4"/>
  <c r="S1821" i="4"/>
  <c r="T1821" i="4"/>
  <c r="H1822" i="4"/>
  <c r="I1822" i="4"/>
  <c r="J1822" i="4"/>
  <c r="K1822" i="4"/>
  <c r="L1822" i="4"/>
  <c r="M1822" i="4"/>
  <c r="N1822" i="4"/>
  <c r="O1822" i="4"/>
  <c r="P1822" i="4"/>
  <c r="Q1822" i="4"/>
  <c r="R1822" i="4"/>
  <c r="S1822" i="4"/>
  <c r="T1822" i="4"/>
  <c r="H1823" i="4"/>
  <c r="I1823" i="4"/>
  <c r="J1823" i="4"/>
  <c r="K1823" i="4"/>
  <c r="L1823" i="4"/>
  <c r="M1823" i="4"/>
  <c r="N1823" i="4"/>
  <c r="O1823" i="4"/>
  <c r="P1823" i="4"/>
  <c r="Q1823" i="4"/>
  <c r="R1823" i="4"/>
  <c r="S1823" i="4"/>
  <c r="T1823" i="4"/>
  <c r="H1824" i="4"/>
  <c r="I1824" i="4"/>
  <c r="J1824" i="4"/>
  <c r="K1824" i="4"/>
  <c r="L1824" i="4"/>
  <c r="M1824" i="4"/>
  <c r="N1824" i="4"/>
  <c r="O1824" i="4"/>
  <c r="P1824" i="4"/>
  <c r="Q1824" i="4"/>
  <c r="R1824" i="4"/>
  <c r="S1824" i="4"/>
  <c r="T1824" i="4"/>
  <c r="H1825" i="4"/>
  <c r="I1825" i="4"/>
  <c r="J1825" i="4"/>
  <c r="K1825" i="4"/>
  <c r="L1825" i="4"/>
  <c r="M1825" i="4"/>
  <c r="N1825" i="4"/>
  <c r="O1825" i="4"/>
  <c r="P1825" i="4"/>
  <c r="Q1825" i="4"/>
  <c r="R1825" i="4"/>
  <c r="S1825" i="4"/>
  <c r="T1825" i="4"/>
  <c r="H1826" i="4"/>
  <c r="I1826" i="4"/>
  <c r="J1826" i="4"/>
  <c r="K1826" i="4"/>
  <c r="L1826" i="4"/>
  <c r="M1826" i="4"/>
  <c r="N1826" i="4"/>
  <c r="O1826" i="4"/>
  <c r="P1826" i="4"/>
  <c r="Q1826" i="4"/>
  <c r="R1826" i="4"/>
  <c r="S1826" i="4"/>
  <c r="T1826" i="4"/>
  <c r="H1827" i="4"/>
  <c r="I1827" i="4"/>
  <c r="J1827" i="4"/>
  <c r="K1827" i="4"/>
  <c r="L1827" i="4"/>
  <c r="M1827" i="4"/>
  <c r="N1827" i="4"/>
  <c r="O1827" i="4"/>
  <c r="P1827" i="4"/>
  <c r="Q1827" i="4"/>
  <c r="R1827" i="4"/>
  <c r="S1827" i="4"/>
  <c r="T1827" i="4"/>
  <c r="H1828" i="4"/>
  <c r="I1828" i="4"/>
  <c r="J1828" i="4"/>
  <c r="K1828" i="4"/>
  <c r="L1828" i="4"/>
  <c r="M1828" i="4"/>
  <c r="N1828" i="4"/>
  <c r="O1828" i="4"/>
  <c r="P1828" i="4"/>
  <c r="Q1828" i="4"/>
  <c r="R1828" i="4"/>
  <c r="S1828" i="4"/>
  <c r="T1828" i="4"/>
  <c r="H1829" i="4"/>
  <c r="I1829" i="4"/>
  <c r="J1829" i="4"/>
  <c r="K1829" i="4"/>
  <c r="L1829" i="4"/>
  <c r="M1829" i="4"/>
  <c r="N1829" i="4"/>
  <c r="O1829" i="4"/>
  <c r="P1829" i="4"/>
  <c r="Q1829" i="4"/>
  <c r="R1829" i="4"/>
  <c r="S1829" i="4"/>
  <c r="T1829" i="4"/>
  <c r="H1830" i="4"/>
  <c r="I1830" i="4"/>
  <c r="J1830" i="4"/>
  <c r="K1830" i="4"/>
  <c r="L1830" i="4"/>
  <c r="M1830" i="4"/>
  <c r="N1830" i="4"/>
  <c r="O1830" i="4"/>
  <c r="P1830" i="4"/>
  <c r="Q1830" i="4"/>
  <c r="R1830" i="4"/>
  <c r="S1830" i="4"/>
  <c r="T1830" i="4"/>
  <c r="H1831" i="4"/>
  <c r="I1831" i="4"/>
  <c r="J1831" i="4"/>
  <c r="K1831" i="4"/>
  <c r="L1831" i="4"/>
  <c r="M1831" i="4"/>
  <c r="N1831" i="4"/>
  <c r="O1831" i="4"/>
  <c r="P1831" i="4"/>
  <c r="Q1831" i="4"/>
  <c r="R1831" i="4"/>
  <c r="S1831" i="4"/>
  <c r="T1831" i="4"/>
  <c r="H1832" i="4"/>
  <c r="I1832" i="4"/>
  <c r="J1832" i="4"/>
  <c r="K1832" i="4"/>
  <c r="L1832" i="4"/>
  <c r="M1832" i="4"/>
  <c r="N1832" i="4"/>
  <c r="O1832" i="4"/>
  <c r="P1832" i="4"/>
  <c r="Q1832" i="4"/>
  <c r="R1832" i="4"/>
  <c r="S1832" i="4"/>
  <c r="T1832" i="4"/>
  <c r="H1833" i="4"/>
  <c r="I1833" i="4"/>
  <c r="J1833" i="4"/>
  <c r="K1833" i="4"/>
  <c r="L1833" i="4"/>
  <c r="M1833" i="4"/>
  <c r="N1833" i="4"/>
  <c r="O1833" i="4"/>
  <c r="P1833" i="4"/>
  <c r="Q1833" i="4"/>
  <c r="R1833" i="4"/>
  <c r="S1833" i="4"/>
  <c r="T1833" i="4"/>
  <c r="H1834" i="4"/>
  <c r="I1834" i="4"/>
  <c r="J1834" i="4"/>
  <c r="K1834" i="4"/>
  <c r="L1834" i="4"/>
  <c r="M1834" i="4"/>
  <c r="N1834" i="4"/>
  <c r="O1834" i="4"/>
  <c r="P1834" i="4"/>
  <c r="Q1834" i="4"/>
  <c r="R1834" i="4"/>
  <c r="S1834" i="4"/>
  <c r="T1834" i="4"/>
  <c r="H1835" i="4"/>
  <c r="I1835" i="4"/>
  <c r="J1835" i="4"/>
  <c r="K1835" i="4"/>
  <c r="L1835" i="4"/>
  <c r="M1835" i="4"/>
  <c r="N1835" i="4"/>
  <c r="O1835" i="4"/>
  <c r="P1835" i="4"/>
  <c r="Q1835" i="4"/>
  <c r="R1835" i="4"/>
  <c r="S1835" i="4"/>
  <c r="T1835" i="4"/>
  <c r="H1836" i="4"/>
  <c r="I1836" i="4"/>
  <c r="J1836" i="4"/>
  <c r="K1836" i="4"/>
  <c r="L1836" i="4"/>
  <c r="M1836" i="4"/>
  <c r="N1836" i="4"/>
  <c r="O1836" i="4"/>
  <c r="P1836" i="4"/>
  <c r="Q1836" i="4"/>
  <c r="R1836" i="4"/>
  <c r="S1836" i="4"/>
  <c r="T1836" i="4"/>
  <c r="H1837" i="4"/>
  <c r="I1837" i="4"/>
  <c r="J1837" i="4"/>
  <c r="K1837" i="4"/>
  <c r="L1837" i="4"/>
  <c r="M1837" i="4"/>
  <c r="N1837" i="4"/>
  <c r="O1837" i="4"/>
  <c r="P1837" i="4"/>
  <c r="Q1837" i="4"/>
  <c r="R1837" i="4"/>
  <c r="S1837" i="4"/>
  <c r="T1837" i="4"/>
  <c r="H1838" i="4"/>
  <c r="I1838" i="4"/>
  <c r="J1838" i="4"/>
  <c r="K1838" i="4"/>
  <c r="L1838" i="4"/>
  <c r="M1838" i="4"/>
  <c r="N1838" i="4"/>
  <c r="O1838" i="4"/>
  <c r="P1838" i="4"/>
  <c r="Q1838" i="4"/>
  <c r="R1838" i="4"/>
  <c r="S1838" i="4"/>
  <c r="T1838" i="4"/>
  <c r="H1839" i="4"/>
  <c r="I1839" i="4"/>
  <c r="J1839" i="4"/>
  <c r="K1839" i="4"/>
  <c r="L1839" i="4"/>
  <c r="M1839" i="4"/>
  <c r="N1839" i="4"/>
  <c r="O1839" i="4"/>
  <c r="P1839" i="4"/>
  <c r="Q1839" i="4"/>
  <c r="R1839" i="4"/>
  <c r="S1839" i="4"/>
  <c r="T1839" i="4"/>
  <c r="H1840" i="4"/>
  <c r="I1840" i="4"/>
  <c r="J1840" i="4"/>
  <c r="K1840" i="4"/>
  <c r="L1840" i="4"/>
  <c r="M1840" i="4"/>
  <c r="N1840" i="4"/>
  <c r="O1840" i="4"/>
  <c r="P1840" i="4"/>
  <c r="Q1840" i="4"/>
  <c r="R1840" i="4"/>
  <c r="S1840" i="4"/>
  <c r="T1840" i="4"/>
  <c r="H1841" i="4"/>
  <c r="I1841" i="4"/>
  <c r="J1841" i="4"/>
  <c r="K1841" i="4"/>
  <c r="L1841" i="4"/>
  <c r="M1841" i="4"/>
  <c r="N1841" i="4"/>
  <c r="O1841" i="4"/>
  <c r="P1841" i="4"/>
  <c r="Q1841" i="4"/>
  <c r="R1841" i="4"/>
  <c r="S1841" i="4"/>
  <c r="T1841" i="4"/>
  <c r="H1842" i="4"/>
  <c r="I1842" i="4"/>
  <c r="J1842" i="4"/>
  <c r="K1842" i="4"/>
  <c r="L1842" i="4"/>
  <c r="M1842" i="4"/>
  <c r="N1842" i="4"/>
  <c r="O1842" i="4"/>
  <c r="P1842" i="4"/>
  <c r="Q1842" i="4"/>
  <c r="R1842" i="4"/>
  <c r="S1842" i="4"/>
  <c r="T1842" i="4"/>
  <c r="H1843" i="4"/>
  <c r="I1843" i="4"/>
  <c r="J1843" i="4"/>
  <c r="K1843" i="4"/>
  <c r="L1843" i="4"/>
  <c r="M1843" i="4"/>
  <c r="N1843" i="4"/>
  <c r="O1843" i="4"/>
  <c r="P1843" i="4"/>
  <c r="Q1843" i="4"/>
  <c r="R1843" i="4"/>
  <c r="S1843" i="4"/>
  <c r="T1843" i="4"/>
  <c r="H1844" i="4"/>
  <c r="I1844" i="4"/>
  <c r="J1844" i="4"/>
  <c r="K1844" i="4"/>
  <c r="L1844" i="4"/>
  <c r="M1844" i="4"/>
  <c r="N1844" i="4"/>
  <c r="O1844" i="4"/>
  <c r="P1844" i="4"/>
  <c r="Q1844" i="4"/>
  <c r="R1844" i="4"/>
  <c r="S1844" i="4"/>
  <c r="T1844" i="4"/>
  <c r="H1845" i="4"/>
  <c r="I1845" i="4"/>
  <c r="J1845" i="4"/>
  <c r="K1845" i="4"/>
  <c r="L1845" i="4"/>
  <c r="M1845" i="4"/>
  <c r="N1845" i="4"/>
  <c r="O1845" i="4"/>
  <c r="P1845" i="4"/>
  <c r="Q1845" i="4"/>
  <c r="R1845" i="4"/>
  <c r="S1845" i="4"/>
  <c r="T1845" i="4"/>
  <c r="H1846" i="4"/>
  <c r="I1846" i="4"/>
  <c r="J1846" i="4"/>
  <c r="K1846" i="4"/>
  <c r="L1846" i="4"/>
  <c r="M1846" i="4"/>
  <c r="N1846" i="4"/>
  <c r="O1846" i="4"/>
  <c r="P1846" i="4"/>
  <c r="Q1846" i="4"/>
  <c r="R1846" i="4"/>
  <c r="S1846" i="4"/>
  <c r="T1846" i="4"/>
  <c r="H1847" i="4"/>
  <c r="I1847" i="4"/>
  <c r="J1847" i="4"/>
  <c r="K1847" i="4"/>
  <c r="L1847" i="4"/>
  <c r="M1847" i="4"/>
  <c r="N1847" i="4"/>
  <c r="O1847" i="4"/>
  <c r="P1847" i="4"/>
  <c r="Q1847" i="4"/>
  <c r="R1847" i="4"/>
  <c r="S1847" i="4"/>
  <c r="T1847" i="4"/>
  <c r="H1848" i="4"/>
  <c r="I1848" i="4"/>
  <c r="J1848" i="4"/>
  <c r="K1848" i="4"/>
  <c r="L1848" i="4"/>
  <c r="M1848" i="4"/>
  <c r="N1848" i="4"/>
  <c r="O1848" i="4"/>
  <c r="P1848" i="4"/>
  <c r="Q1848" i="4"/>
  <c r="R1848" i="4"/>
  <c r="S1848" i="4"/>
  <c r="T1848" i="4"/>
  <c r="H1849" i="4"/>
  <c r="I1849" i="4"/>
  <c r="J1849" i="4"/>
  <c r="K1849" i="4"/>
  <c r="L1849" i="4"/>
  <c r="M1849" i="4"/>
  <c r="N1849" i="4"/>
  <c r="O1849" i="4"/>
  <c r="P1849" i="4"/>
  <c r="Q1849" i="4"/>
  <c r="R1849" i="4"/>
  <c r="S1849" i="4"/>
  <c r="T1849" i="4"/>
  <c r="H1850" i="4"/>
  <c r="I1850" i="4"/>
  <c r="J1850" i="4"/>
  <c r="K1850" i="4"/>
  <c r="L1850" i="4"/>
  <c r="M1850" i="4"/>
  <c r="N1850" i="4"/>
  <c r="O1850" i="4"/>
  <c r="P1850" i="4"/>
  <c r="Q1850" i="4"/>
  <c r="R1850" i="4"/>
  <c r="S1850" i="4"/>
  <c r="T1850" i="4"/>
  <c r="H1851" i="4"/>
  <c r="I1851" i="4"/>
  <c r="J1851" i="4"/>
  <c r="K1851" i="4"/>
  <c r="L1851" i="4"/>
  <c r="M1851" i="4"/>
  <c r="N1851" i="4"/>
  <c r="O1851" i="4"/>
  <c r="P1851" i="4"/>
  <c r="Q1851" i="4"/>
  <c r="R1851" i="4"/>
  <c r="S1851" i="4"/>
  <c r="T1851" i="4"/>
  <c r="H1852" i="4"/>
  <c r="I1852" i="4"/>
  <c r="J1852" i="4"/>
  <c r="K1852" i="4"/>
  <c r="L1852" i="4"/>
  <c r="M1852" i="4"/>
  <c r="N1852" i="4"/>
  <c r="O1852" i="4"/>
  <c r="P1852" i="4"/>
  <c r="Q1852" i="4"/>
  <c r="R1852" i="4"/>
  <c r="S1852" i="4"/>
  <c r="T1852" i="4"/>
  <c r="H1853" i="4"/>
  <c r="I1853" i="4"/>
  <c r="J1853" i="4"/>
  <c r="K1853" i="4"/>
  <c r="L1853" i="4"/>
  <c r="M1853" i="4"/>
  <c r="N1853" i="4"/>
  <c r="O1853" i="4"/>
  <c r="P1853" i="4"/>
  <c r="Q1853" i="4"/>
  <c r="R1853" i="4"/>
  <c r="S1853" i="4"/>
  <c r="T1853" i="4"/>
  <c r="H1854" i="4"/>
  <c r="I1854" i="4"/>
  <c r="J1854" i="4"/>
  <c r="K1854" i="4"/>
  <c r="L1854" i="4"/>
  <c r="M1854" i="4"/>
  <c r="N1854" i="4"/>
  <c r="O1854" i="4"/>
  <c r="P1854" i="4"/>
  <c r="Q1854" i="4"/>
  <c r="R1854" i="4"/>
  <c r="S1854" i="4"/>
  <c r="T1854" i="4"/>
  <c r="H1855" i="4"/>
  <c r="I1855" i="4"/>
  <c r="J1855" i="4"/>
  <c r="K1855" i="4"/>
  <c r="L1855" i="4"/>
  <c r="M1855" i="4"/>
  <c r="N1855" i="4"/>
  <c r="O1855" i="4"/>
  <c r="P1855" i="4"/>
  <c r="Q1855" i="4"/>
  <c r="R1855" i="4"/>
  <c r="S1855" i="4"/>
  <c r="T1855" i="4"/>
  <c r="H1856" i="4"/>
  <c r="I1856" i="4"/>
  <c r="J1856" i="4"/>
  <c r="K1856" i="4"/>
  <c r="L1856" i="4"/>
  <c r="M1856" i="4"/>
  <c r="N1856" i="4"/>
  <c r="O1856" i="4"/>
  <c r="P1856" i="4"/>
  <c r="Q1856" i="4"/>
  <c r="R1856" i="4"/>
  <c r="S1856" i="4"/>
  <c r="T1856" i="4"/>
  <c r="H1857" i="4"/>
  <c r="I1857" i="4"/>
  <c r="J1857" i="4"/>
  <c r="K1857" i="4"/>
  <c r="L1857" i="4"/>
  <c r="M1857" i="4"/>
  <c r="N1857" i="4"/>
  <c r="O1857" i="4"/>
  <c r="P1857" i="4"/>
  <c r="Q1857" i="4"/>
  <c r="R1857" i="4"/>
  <c r="S1857" i="4"/>
  <c r="T1857" i="4"/>
  <c r="H1858" i="4"/>
  <c r="I1858" i="4"/>
  <c r="J1858" i="4"/>
  <c r="K1858" i="4"/>
  <c r="L1858" i="4"/>
  <c r="M1858" i="4"/>
  <c r="N1858" i="4"/>
  <c r="O1858" i="4"/>
  <c r="P1858" i="4"/>
  <c r="Q1858" i="4"/>
  <c r="R1858" i="4"/>
  <c r="S1858" i="4"/>
  <c r="T1858" i="4"/>
  <c r="H1859" i="4"/>
  <c r="I1859" i="4"/>
  <c r="J1859" i="4"/>
  <c r="K1859" i="4"/>
  <c r="L1859" i="4"/>
  <c r="M1859" i="4"/>
  <c r="N1859" i="4"/>
  <c r="O1859" i="4"/>
  <c r="P1859" i="4"/>
  <c r="Q1859" i="4"/>
  <c r="R1859" i="4"/>
  <c r="S1859" i="4"/>
  <c r="T1859" i="4"/>
  <c r="H1860" i="4"/>
  <c r="I1860" i="4"/>
  <c r="J1860" i="4"/>
  <c r="K1860" i="4"/>
  <c r="L1860" i="4"/>
  <c r="M1860" i="4"/>
  <c r="N1860" i="4"/>
  <c r="O1860" i="4"/>
  <c r="P1860" i="4"/>
  <c r="Q1860" i="4"/>
  <c r="R1860" i="4"/>
  <c r="S1860" i="4"/>
  <c r="T1860" i="4"/>
  <c r="H1861" i="4"/>
  <c r="I1861" i="4"/>
  <c r="J1861" i="4"/>
  <c r="K1861" i="4"/>
  <c r="L1861" i="4"/>
  <c r="M1861" i="4"/>
  <c r="N1861" i="4"/>
  <c r="O1861" i="4"/>
  <c r="P1861" i="4"/>
  <c r="Q1861" i="4"/>
  <c r="R1861" i="4"/>
  <c r="S1861" i="4"/>
  <c r="T1861" i="4"/>
  <c r="H1862" i="4"/>
  <c r="I1862" i="4"/>
  <c r="J1862" i="4"/>
  <c r="K1862" i="4"/>
  <c r="L1862" i="4"/>
  <c r="M1862" i="4"/>
  <c r="N1862" i="4"/>
  <c r="O1862" i="4"/>
  <c r="P1862" i="4"/>
  <c r="Q1862" i="4"/>
  <c r="R1862" i="4"/>
  <c r="S1862" i="4"/>
  <c r="T1862" i="4"/>
  <c r="H1863" i="4"/>
  <c r="I1863" i="4"/>
  <c r="J1863" i="4"/>
  <c r="K1863" i="4"/>
  <c r="L1863" i="4"/>
  <c r="M1863" i="4"/>
  <c r="N1863" i="4"/>
  <c r="O1863" i="4"/>
  <c r="P1863" i="4"/>
  <c r="Q1863" i="4"/>
  <c r="R1863" i="4"/>
  <c r="S1863" i="4"/>
  <c r="T1863" i="4"/>
  <c r="H1864" i="4"/>
  <c r="I1864" i="4"/>
  <c r="J1864" i="4"/>
  <c r="K1864" i="4"/>
  <c r="L1864" i="4"/>
  <c r="M1864" i="4"/>
  <c r="N1864" i="4"/>
  <c r="O1864" i="4"/>
  <c r="P1864" i="4"/>
  <c r="Q1864" i="4"/>
  <c r="R1864" i="4"/>
  <c r="S1864" i="4"/>
  <c r="T1864" i="4"/>
  <c r="H1865" i="4"/>
  <c r="I1865" i="4"/>
  <c r="J1865" i="4"/>
  <c r="K1865" i="4"/>
  <c r="L1865" i="4"/>
  <c r="M1865" i="4"/>
  <c r="N1865" i="4"/>
  <c r="O1865" i="4"/>
  <c r="P1865" i="4"/>
  <c r="Q1865" i="4"/>
  <c r="R1865" i="4"/>
  <c r="S1865" i="4"/>
  <c r="T1865" i="4"/>
  <c r="H1866" i="4"/>
  <c r="I1866" i="4"/>
  <c r="J1866" i="4"/>
  <c r="K1866" i="4"/>
  <c r="L1866" i="4"/>
  <c r="M1866" i="4"/>
  <c r="N1866" i="4"/>
  <c r="O1866" i="4"/>
  <c r="P1866" i="4"/>
  <c r="Q1866" i="4"/>
  <c r="R1866" i="4"/>
  <c r="S1866" i="4"/>
  <c r="T1866" i="4"/>
  <c r="H1867" i="4"/>
  <c r="I1867" i="4"/>
  <c r="J1867" i="4"/>
  <c r="K1867" i="4"/>
  <c r="L1867" i="4"/>
  <c r="M1867" i="4"/>
  <c r="N1867" i="4"/>
  <c r="O1867" i="4"/>
  <c r="P1867" i="4"/>
  <c r="Q1867" i="4"/>
  <c r="R1867" i="4"/>
  <c r="S1867" i="4"/>
  <c r="T1867" i="4"/>
  <c r="H1868" i="4"/>
  <c r="I1868" i="4"/>
  <c r="J1868" i="4"/>
  <c r="K1868" i="4"/>
  <c r="L1868" i="4"/>
  <c r="M1868" i="4"/>
  <c r="N1868" i="4"/>
  <c r="O1868" i="4"/>
  <c r="P1868" i="4"/>
  <c r="Q1868" i="4"/>
  <c r="R1868" i="4"/>
  <c r="S1868" i="4"/>
  <c r="T1868" i="4"/>
  <c r="H1869" i="4"/>
  <c r="I1869" i="4"/>
  <c r="J1869" i="4"/>
  <c r="K1869" i="4"/>
  <c r="L1869" i="4"/>
  <c r="M1869" i="4"/>
  <c r="N1869" i="4"/>
  <c r="O1869" i="4"/>
  <c r="P1869" i="4"/>
  <c r="Q1869" i="4"/>
  <c r="R1869" i="4"/>
  <c r="S1869" i="4"/>
  <c r="T1869" i="4"/>
  <c r="H1870" i="4"/>
  <c r="I1870" i="4"/>
  <c r="J1870" i="4"/>
  <c r="K1870" i="4"/>
  <c r="L1870" i="4"/>
  <c r="M1870" i="4"/>
  <c r="N1870" i="4"/>
  <c r="O1870" i="4"/>
  <c r="P1870" i="4"/>
  <c r="Q1870" i="4"/>
  <c r="R1870" i="4"/>
  <c r="S1870" i="4"/>
  <c r="T1870" i="4"/>
  <c r="H1871" i="4"/>
  <c r="I1871" i="4"/>
  <c r="J1871" i="4"/>
  <c r="K1871" i="4"/>
  <c r="L1871" i="4"/>
  <c r="M1871" i="4"/>
  <c r="N1871" i="4"/>
  <c r="O1871" i="4"/>
  <c r="P1871" i="4"/>
  <c r="Q1871" i="4"/>
  <c r="R1871" i="4"/>
  <c r="S1871" i="4"/>
  <c r="T1871" i="4"/>
  <c r="H1872" i="4"/>
  <c r="I1872" i="4"/>
  <c r="J1872" i="4"/>
  <c r="K1872" i="4"/>
  <c r="L1872" i="4"/>
  <c r="M1872" i="4"/>
  <c r="N1872" i="4"/>
  <c r="O1872" i="4"/>
  <c r="P1872" i="4"/>
  <c r="Q1872" i="4"/>
  <c r="R1872" i="4"/>
  <c r="S1872" i="4"/>
  <c r="T1872" i="4"/>
  <c r="H1873" i="4"/>
  <c r="I1873" i="4"/>
  <c r="J1873" i="4"/>
  <c r="K1873" i="4"/>
  <c r="L1873" i="4"/>
  <c r="M1873" i="4"/>
  <c r="N1873" i="4"/>
  <c r="O1873" i="4"/>
  <c r="P1873" i="4"/>
  <c r="Q1873" i="4"/>
  <c r="R1873" i="4"/>
  <c r="S1873" i="4"/>
  <c r="T1873" i="4"/>
  <c r="H1874" i="4"/>
  <c r="I1874" i="4"/>
  <c r="J1874" i="4"/>
  <c r="K1874" i="4"/>
  <c r="L1874" i="4"/>
  <c r="M1874" i="4"/>
  <c r="N1874" i="4"/>
  <c r="O1874" i="4"/>
  <c r="P1874" i="4"/>
  <c r="Q1874" i="4"/>
  <c r="R1874" i="4"/>
  <c r="S1874" i="4"/>
  <c r="T1874" i="4"/>
  <c r="H1875" i="4"/>
  <c r="I1875" i="4"/>
  <c r="J1875" i="4"/>
  <c r="K1875" i="4"/>
  <c r="L1875" i="4"/>
  <c r="M1875" i="4"/>
  <c r="N1875" i="4"/>
  <c r="O1875" i="4"/>
  <c r="P1875" i="4"/>
  <c r="Q1875" i="4"/>
  <c r="R1875" i="4"/>
  <c r="S1875" i="4"/>
  <c r="T1875" i="4"/>
  <c r="H1876" i="4"/>
  <c r="I1876" i="4"/>
  <c r="J1876" i="4"/>
  <c r="K1876" i="4"/>
  <c r="L1876" i="4"/>
  <c r="M1876" i="4"/>
  <c r="N1876" i="4"/>
  <c r="O1876" i="4"/>
  <c r="P1876" i="4"/>
  <c r="Q1876" i="4"/>
  <c r="R1876" i="4"/>
  <c r="S1876" i="4"/>
  <c r="T1876" i="4"/>
  <c r="H1877" i="4"/>
  <c r="I1877" i="4"/>
  <c r="J1877" i="4"/>
  <c r="K1877" i="4"/>
  <c r="L1877" i="4"/>
  <c r="M1877" i="4"/>
  <c r="N1877" i="4"/>
  <c r="O1877" i="4"/>
  <c r="P1877" i="4"/>
  <c r="Q1877" i="4"/>
  <c r="R1877" i="4"/>
  <c r="S1877" i="4"/>
  <c r="T1877" i="4"/>
  <c r="H1878" i="4"/>
  <c r="I1878" i="4"/>
  <c r="J1878" i="4"/>
  <c r="K1878" i="4"/>
  <c r="L1878" i="4"/>
  <c r="M1878" i="4"/>
  <c r="N1878" i="4"/>
  <c r="O1878" i="4"/>
  <c r="P1878" i="4"/>
  <c r="Q1878" i="4"/>
  <c r="R1878" i="4"/>
  <c r="S1878" i="4"/>
  <c r="T1878" i="4"/>
  <c r="H1879" i="4"/>
  <c r="I1879" i="4"/>
  <c r="J1879" i="4"/>
  <c r="K1879" i="4"/>
  <c r="L1879" i="4"/>
  <c r="M1879" i="4"/>
  <c r="N1879" i="4"/>
  <c r="O1879" i="4"/>
  <c r="P1879" i="4"/>
  <c r="Q1879" i="4"/>
  <c r="R1879" i="4"/>
  <c r="S1879" i="4"/>
  <c r="T1879" i="4"/>
  <c r="H1880" i="4"/>
  <c r="I1880" i="4"/>
  <c r="J1880" i="4"/>
  <c r="K1880" i="4"/>
  <c r="L1880" i="4"/>
  <c r="M1880" i="4"/>
  <c r="N1880" i="4"/>
  <c r="O1880" i="4"/>
  <c r="P1880" i="4"/>
  <c r="Q1880" i="4"/>
  <c r="R1880" i="4"/>
  <c r="S1880" i="4"/>
  <c r="T1880" i="4"/>
  <c r="H1881" i="4"/>
  <c r="I1881" i="4"/>
  <c r="J1881" i="4"/>
  <c r="K1881" i="4"/>
  <c r="L1881" i="4"/>
  <c r="M1881" i="4"/>
  <c r="N1881" i="4"/>
  <c r="O1881" i="4"/>
  <c r="P1881" i="4"/>
  <c r="Q1881" i="4"/>
  <c r="R1881" i="4"/>
  <c r="S1881" i="4"/>
  <c r="T1881" i="4"/>
  <c r="H1882" i="4"/>
  <c r="I1882" i="4"/>
  <c r="J1882" i="4"/>
  <c r="K1882" i="4"/>
  <c r="L1882" i="4"/>
  <c r="M1882" i="4"/>
  <c r="N1882" i="4"/>
  <c r="O1882" i="4"/>
  <c r="P1882" i="4"/>
  <c r="Q1882" i="4"/>
  <c r="R1882" i="4"/>
  <c r="S1882" i="4"/>
  <c r="T1882" i="4"/>
  <c r="H1883" i="4"/>
  <c r="I1883" i="4"/>
  <c r="J1883" i="4"/>
  <c r="K1883" i="4"/>
  <c r="L1883" i="4"/>
  <c r="M1883" i="4"/>
  <c r="N1883" i="4"/>
  <c r="O1883" i="4"/>
  <c r="P1883" i="4"/>
  <c r="Q1883" i="4"/>
  <c r="R1883" i="4"/>
  <c r="S1883" i="4"/>
  <c r="T1883" i="4"/>
  <c r="H1884" i="4"/>
  <c r="I1884" i="4"/>
  <c r="J1884" i="4"/>
  <c r="K1884" i="4"/>
  <c r="L1884" i="4"/>
  <c r="M1884" i="4"/>
  <c r="N1884" i="4"/>
  <c r="O1884" i="4"/>
  <c r="P1884" i="4"/>
  <c r="Q1884" i="4"/>
  <c r="R1884" i="4"/>
  <c r="S1884" i="4"/>
  <c r="T1884" i="4"/>
  <c r="H1885" i="4"/>
  <c r="I1885" i="4"/>
  <c r="J1885" i="4"/>
  <c r="K1885" i="4"/>
  <c r="L1885" i="4"/>
  <c r="M1885" i="4"/>
  <c r="N1885" i="4"/>
  <c r="O1885" i="4"/>
  <c r="P1885" i="4"/>
  <c r="Q1885" i="4"/>
  <c r="R1885" i="4"/>
  <c r="S1885" i="4"/>
  <c r="T1885" i="4"/>
  <c r="H1886" i="4"/>
  <c r="I1886" i="4"/>
  <c r="J1886" i="4"/>
  <c r="K1886" i="4"/>
  <c r="L1886" i="4"/>
  <c r="M1886" i="4"/>
  <c r="N1886" i="4"/>
  <c r="O1886" i="4"/>
  <c r="P1886" i="4"/>
  <c r="Q1886" i="4"/>
  <c r="R1886" i="4"/>
  <c r="S1886" i="4"/>
  <c r="T1886" i="4"/>
  <c r="H1887" i="4"/>
  <c r="I1887" i="4"/>
  <c r="J1887" i="4"/>
  <c r="K1887" i="4"/>
  <c r="L1887" i="4"/>
  <c r="M1887" i="4"/>
  <c r="N1887" i="4"/>
  <c r="O1887" i="4"/>
  <c r="P1887" i="4"/>
  <c r="Q1887" i="4"/>
  <c r="R1887" i="4"/>
  <c r="S1887" i="4"/>
  <c r="T1887" i="4"/>
  <c r="H1888" i="4"/>
  <c r="I1888" i="4"/>
  <c r="J1888" i="4"/>
  <c r="K1888" i="4"/>
  <c r="L1888" i="4"/>
  <c r="M1888" i="4"/>
  <c r="N1888" i="4"/>
  <c r="O1888" i="4"/>
  <c r="P1888" i="4"/>
  <c r="Q1888" i="4"/>
  <c r="R1888" i="4"/>
  <c r="S1888" i="4"/>
  <c r="T1888" i="4"/>
  <c r="H1889" i="4"/>
  <c r="I1889" i="4"/>
  <c r="J1889" i="4"/>
  <c r="K1889" i="4"/>
  <c r="L1889" i="4"/>
  <c r="M1889" i="4"/>
  <c r="N1889" i="4"/>
  <c r="O1889" i="4"/>
  <c r="P1889" i="4"/>
  <c r="Q1889" i="4"/>
  <c r="R1889" i="4"/>
  <c r="S1889" i="4"/>
  <c r="T1889" i="4"/>
  <c r="H1890" i="4"/>
  <c r="I1890" i="4"/>
  <c r="J1890" i="4"/>
  <c r="K1890" i="4"/>
  <c r="L1890" i="4"/>
  <c r="M1890" i="4"/>
  <c r="N1890" i="4"/>
  <c r="O1890" i="4"/>
  <c r="P1890" i="4"/>
  <c r="Q1890" i="4"/>
  <c r="R1890" i="4"/>
  <c r="S1890" i="4"/>
  <c r="T1890" i="4"/>
  <c r="H1891" i="4"/>
  <c r="I1891" i="4"/>
  <c r="J1891" i="4"/>
  <c r="K1891" i="4"/>
  <c r="L1891" i="4"/>
  <c r="M1891" i="4"/>
  <c r="N1891" i="4"/>
  <c r="O1891" i="4"/>
  <c r="P1891" i="4"/>
  <c r="Q1891" i="4"/>
  <c r="R1891" i="4"/>
  <c r="S1891" i="4"/>
  <c r="T1891" i="4"/>
  <c r="H1892" i="4"/>
  <c r="I1892" i="4"/>
  <c r="J1892" i="4"/>
  <c r="K1892" i="4"/>
  <c r="L1892" i="4"/>
  <c r="M1892" i="4"/>
  <c r="N1892" i="4"/>
  <c r="O1892" i="4"/>
  <c r="P1892" i="4"/>
  <c r="Q1892" i="4"/>
  <c r="R1892" i="4"/>
  <c r="S1892" i="4"/>
  <c r="T1892" i="4"/>
  <c r="H1893" i="4"/>
  <c r="I1893" i="4"/>
  <c r="J1893" i="4"/>
  <c r="K1893" i="4"/>
  <c r="L1893" i="4"/>
  <c r="M1893" i="4"/>
  <c r="N1893" i="4"/>
  <c r="O1893" i="4"/>
  <c r="P1893" i="4"/>
  <c r="Q1893" i="4"/>
  <c r="R1893" i="4"/>
  <c r="S1893" i="4"/>
  <c r="T1893" i="4"/>
  <c r="H1894" i="4"/>
  <c r="I1894" i="4"/>
  <c r="J1894" i="4"/>
  <c r="K1894" i="4"/>
  <c r="L1894" i="4"/>
  <c r="M1894" i="4"/>
  <c r="N1894" i="4"/>
  <c r="O1894" i="4"/>
  <c r="P1894" i="4"/>
  <c r="Q1894" i="4"/>
  <c r="R1894" i="4"/>
  <c r="S1894" i="4"/>
  <c r="T1894" i="4"/>
  <c r="H1895" i="4"/>
  <c r="I1895" i="4"/>
  <c r="J1895" i="4"/>
  <c r="K1895" i="4"/>
  <c r="L1895" i="4"/>
  <c r="M1895" i="4"/>
  <c r="N1895" i="4"/>
  <c r="O1895" i="4"/>
  <c r="P1895" i="4"/>
  <c r="Q1895" i="4"/>
  <c r="R1895" i="4"/>
  <c r="S1895" i="4"/>
  <c r="T1895" i="4"/>
  <c r="H1896" i="4"/>
  <c r="I1896" i="4"/>
  <c r="J1896" i="4"/>
  <c r="K1896" i="4"/>
  <c r="L1896" i="4"/>
  <c r="M1896" i="4"/>
  <c r="N1896" i="4"/>
  <c r="O1896" i="4"/>
  <c r="P1896" i="4"/>
  <c r="Q1896" i="4"/>
  <c r="R1896" i="4"/>
  <c r="S1896" i="4"/>
  <c r="T1896" i="4"/>
  <c r="H1897" i="4"/>
  <c r="I1897" i="4"/>
  <c r="J1897" i="4"/>
  <c r="K1897" i="4"/>
  <c r="L1897" i="4"/>
  <c r="M1897" i="4"/>
  <c r="N1897" i="4"/>
  <c r="O1897" i="4"/>
  <c r="P1897" i="4"/>
  <c r="Q1897" i="4"/>
  <c r="R1897" i="4"/>
  <c r="S1897" i="4"/>
  <c r="T1897" i="4"/>
  <c r="H1898" i="4"/>
  <c r="I1898" i="4"/>
  <c r="J1898" i="4"/>
  <c r="K1898" i="4"/>
  <c r="L1898" i="4"/>
  <c r="M1898" i="4"/>
  <c r="N1898" i="4"/>
  <c r="O1898" i="4"/>
  <c r="P1898" i="4"/>
  <c r="Q1898" i="4"/>
  <c r="R1898" i="4"/>
  <c r="S1898" i="4"/>
  <c r="T1898" i="4"/>
  <c r="H1899" i="4"/>
  <c r="I1899" i="4"/>
  <c r="J1899" i="4"/>
  <c r="K1899" i="4"/>
  <c r="L1899" i="4"/>
  <c r="M1899" i="4"/>
  <c r="N1899" i="4"/>
  <c r="O1899" i="4"/>
  <c r="P1899" i="4"/>
  <c r="Q1899" i="4"/>
  <c r="R1899" i="4"/>
  <c r="S1899" i="4"/>
  <c r="T1899" i="4"/>
  <c r="H1900" i="4"/>
  <c r="I1900" i="4"/>
  <c r="J1900" i="4"/>
  <c r="K1900" i="4"/>
  <c r="L1900" i="4"/>
  <c r="M1900" i="4"/>
  <c r="N1900" i="4"/>
  <c r="O1900" i="4"/>
  <c r="P1900" i="4"/>
  <c r="Q1900" i="4"/>
  <c r="R1900" i="4"/>
  <c r="S1900" i="4"/>
  <c r="T1900" i="4"/>
  <c r="H1901" i="4"/>
  <c r="I1901" i="4"/>
  <c r="J1901" i="4"/>
  <c r="K1901" i="4"/>
  <c r="L1901" i="4"/>
  <c r="M1901" i="4"/>
  <c r="N1901" i="4"/>
  <c r="O1901" i="4"/>
  <c r="P1901" i="4"/>
  <c r="Q1901" i="4"/>
  <c r="R1901" i="4"/>
  <c r="S1901" i="4"/>
  <c r="T1901" i="4"/>
  <c r="H1902" i="4"/>
  <c r="I1902" i="4"/>
  <c r="J1902" i="4"/>
  <c r="K1902" i="4"/>
  <c r="L1902" i="4"/>
  <c r="M1902" i="4"/>
  <c r="N1902" i="4"/>
  <c r="O1902" i="4"/>
  <c r="P1902" i="4"/>
  <c r="Q1902" i="4"/>
  <c r="R1902" i="4"/>
  <c r="S1902" i="4"/>
  <c r="T1902" i="4"/>
  <c r="H1903" i="4"/>
  <c r="I1903" i="4"/>
  <c r="J1903" i="4"/>
  <c r="K1903" i="4"/>
  <c r="L1903" i="4"/>
  <c r="M1903" i="4"/>
  <c r="N1903" i="4"/>
  <c r="O1903" i="4"/>
  <c r="P1903" i="4"/>
  <c r="Q1903" i="4"/>
  <c r="R1903" i="4"/>
  <c r="S1903" i="4"/>
  <c r="T1903" i="4"/>
  <c r="H1904" i="4"/>
  <c r="I1904" i="4"/>
  <c r="J1904" i="4"/>
  <c r="K1904" i="4"/>
  <c r="L1904" i="4"/>
  <c r="M1904" i="4"/>
  <c r="N1904" i="4"/>
  <c r="O1904" i="4"/>
  <c r="P1904" i="4"/>
  <c r="Q1904" i="4"/>
  <c r="R1904" i="4"/>
  <c r="S1904" i="4"/>
  <c r="T1904" i="4"/>
  <c r="H1905" i="4"/>
  <c r="I1905" i="4"/>
  <c r="J1905" i="4"/>
  <c r="K1905" i="4"/>
  <c r="L1905" i="4"/>
  <c r="M1905" i="4"/>
  <c r="N1905" i="4"/>
  <c r="O1905" i="4"/>
  <c r="P1905" i="4"/>
  <c r="Q1905" i="4"/>
  <c r="R1905" i="4"/>
  <c r="S1905" i="4"/>
  <c r="T1905" i="4"/>
  <c r="H1906" i="4"/>
  <c r="I1906" i="4"/>
  <c r="J1906" i="4"/>
  <c r="K1906" i="4"/>
  <c r="L1906" i="4"/>
  <c r="M1906" i="4"/>
  <c r="N1906" i="4"/>
  <c r="O1906" i="4"/>
  <c r="P1906" i="4"/>
  <c r="Q1906" i="4"/>
  <c r="R1906" i="4"/>
  <c r="S1906" i="4"/>
  <c r="T1906" i="4"/>
  <c r="H1907" i="4"/>
  <c r="I1907" i="4"/>
  <c r="J1907" i="4"/>
  <c r="K1907" i="4"/>
  <c r="L1907" i="4"/>
  <c r="M1907" i="4"/>
  <c r="N1907" i="4"/>
  <c r="O1907" i="4"/>
  <c r="P1907" i="4"/>
  <c r="Q1907" i="4"/>
  <c r="R1907" i="4"/>
  <c r="S1907" i="4"/>
  <c r="T1907" i="4"/>
  <c r="H1908" i="4"/>
  <c r="I1908" i="4"/>
  <c r="J1908" i="4"/>
  <c r="K1908" i="4"/>
  <c r="L1908" i="4"/>
  <c r="M1908" i="4"/>
  <c r="N1908" i="4"/>
  <c r="O1908" i="4"/>
  <c r="P1908" i="4"/>
  <c r="Q1908" i="4"/>
  <c r="R1908" i="4"/>
  <c r="S1908" i="4"/>
  <c r="T1908" i="4"/>
  <c r="H1909" i="4"/>
  <c r="I1909" i="4"/>
  <c r="J1909" i="4"/>
  <c r="K1909" i="4"/>
  <c r="L1909" i="4"/>
  <c r="M1909" i="4"/>
  <c r="N1909" i="4"/>
  <c r="O1909" i="4"/>
  <c r="P1909" i="4"/>
  <c r="Q1909" i="4"/>
  <c r="R1909" i="4"/>
  <c r="S1909" i="4"/>
  <c r="T1909" i="4"/>
  <c r="H1910" i="4"/>
  <c r="I1910" i="4"/>
  <c r="J1910" i="4"/>
  <c r="K1910" i="4"/>
  <c r="L1910" i="4"/>
  <c r="M1910" i="4"/>
  <c r="N1910" i="4"/>
  <c r="O1910" i="4"/>
  <c r="P1910" i="4"/>
  <c r="Q1910" i="4"/>
  <c r="R1910" i="4"/>
  <c r="S1910" i="4"/>
  <c r="T1910" i="4"/>
  <c r="H1911" i="4"/>
  <c r="I1911" i="4"/>
  <c r="J1911" i="4"/>
  <c r="K1911" i="4"/>
  <c r="L1911" i="4"/>
  <c r="M1911" i="4"/>
  <c r="N1911" i="4"/>
  <c r="O1911" i="4"/>
  <c r="P1911" i="4"/>
  <c r="Q1911" i="4"/>
  <c r="R1911" i="4"/>
  <c r="S1911" i="4"/>
  <c r="T1911" i="4"/>
  <c r="H1912" i="4"/>
  <c r="I1912" i="4"/>
  <c r="J1912" i="4"/>
  <c r="K1912" i="4"/>
  <c r="L1912" i="4"/>
  <c r="M1912" i="4"/>
  <c r="N1912" i="4"/>
  <c r="O1912" i="4"/>
  <c r="P1912" i="4"/>
  <c r="Q1912" i="4"/>
  <c r="R1912" i="4"/>
  <c r="S1912" i="4"/>
  <c r="T1912" i="4"/>
  <c r="H1913" i="4"/>
  <c r="I1913" i="4"/>
  <c r="J1913" i="4"/>
  <c r="K1913" i="4"/>
  <c r="L1913" i="4"/>
  <c r="M1913" i="4"/>
  <c r="N1913" i="4"/>
  <c r="O1913" i="4"/>
  <c r="P1913" i="4"/>
  <c r="Q1913" i="4"/>
  <c r="R1913" i="4"/>
  <c r="S1913" i="4"/>
  <c r="T1913" i="4"/>
  <c r="H1914" i="4"/>
  <c r="I1914" i="4"/>
  <c r="J1914" i="4"/>
  <c r="K1914" i="4"/>
  <c r="L1914" i="4"/>
  <c r="M1914" i="4"/>
  <c r="N1914" i="4"/>
  <c r="O1914" i="4"/>
  <c r="P1914" i="4"/>
  <c r="Q1914" i="4"/>
  <c r="R1914" i="4"/>
  <c r="S1914" i="4"/>
  <c r="T1914" i="4"/>
  <c r="H1915" i="4"/>
  <c r="I1915" i="4"/>
  <c r="J1915" i="4"/>
  <c r="K1915" i="4"/>
  <c r="L1915" i="4"/>
  <c r="M1915" i="4"/>
  <c r="N1915" i="4"/>
  <c r="O1915" i="4"/>
  <c r="P1915" i="4"/>
  <c r="Q1915" i="4"/>
  <c r="R1915" i="4"/>
  <c r="S1915" i="4"/>
  <c r="T1915" i="4"/>
  <c r="H1916" i="4"/>
  <c r="I1916" i="4"/>
  <c r="J1916" i="4"/>
  <c r="K1916" i="4"/>
  <c r="L1916" i="4"/>
  <c r="M1916" i="4"/>
  <c r="N1916" i="4"/>
  <c r="O1916" i="4"/>
  <c r="P1916" i="4"/>
  <c r="Q1916" i="4"/>
  <c r="R1916" i="4"/>
  <c r="S1916" i="4"/>
  <c r="T1916" i="4"/>
  <c r="H1917" i="4"/>
  <c r="I1917" i="4"/>
  <c r="J1917" i="4"/>
  <c r="K1917" i="4"/>
  <c r="L1917" i="4"/>
  <c r="M1917" i="4"/>
  <c r="N1917" i="4"/>
  <c r="O1917" i="4"/>
  <c r="P1917" i="4"/>
  <c r="Q1917" i="4"/>
  <c r="R1917" i="4"/>
  <c r="S1917" i="4"/>
  <c r="T1917" i="4"/>
  <c r="H1918" i="4"/>
  <c r="I1918" i="4"/>
  <c r="J1918" i="4"/>
  <c r="K1918" i="4"/>
  <c r="L1918" i="4"/>
  <c r="M1918" i="4"/>
  <c r="N1918" i="4"/>
  <c r="O1918" i="4"/>
  <c r="P1918" i="4"/>
  <c r="Q1918" i="4"/>
  <c r="R1918" i="4"/>
  <c r="S1918" i="4"/>
  <c r="T1918" i="4"/>
  <c r="H1919" i="4"/>
  <c r="I1919" i="4"/>
  <c r="J1919" i="4"/>
  <c r="K1919" i="4"/>
  <c r="L1919" i="4"/>
  <c r="M1919" i="4"/>
  <c r="N1919" i="4"/>
  <c r="O1919" i="4"/>
  <c r="P1919" i="4"/>
  <c r="Q1919" i="4"/>
  <c r="R1919" i="4"/>
  <c r="S1919" i="4"/>
  <c r="T1919" i="4"/>
  <c r="H1920" i="4"/>
  <c r="I1920" i="4"/>
  <c r="J1920" i="4"/>
  <c r="K1920" i="4"/>
  <c r="L1920" i="4"/>
  <c r="M1920" i="4"/>
  <c r="N1920" i="4"/>
  <c r="O1920" i="4"/>
  <c r="P1920" i="4"/>
  <c r="Q1920" i="4"/>
  <c r="R1920" i="4"/>
  <c r="S1920" i="4"/>
  <c r="T1920" i="4"/>
  <c r="H1921" i="4"/>
  <c r="I1921" i="4"/>
  <c r="J1921" i="4"/>
  <c r="K1921" i="4"/>
  <c r="L1921" i="4"/>
  <c r="M1921" i="4"/>
  <c r="N1921" i="4"/>
  <c r="O1921" i="4"/>
  <c r="P1921" i="4"/>
  <c r="Q1921" i="4"/>
  <c r="R1921" i="4"/>
  <c r="S1921" i="4"/>
  <c r="T1921" i="4"/>
  <c r="H1922" i="4"/>
  <c r="I1922" i="4"/>
  <c r="J1922" i="4"/>
  <c r="K1922" i="4"/>
  <c r="L1922" i="4"/>
  <c r="M1922" i="4"/>
  <c r="N1922" i="4"/>
  <c r="O1922" i="4"/>
  <c r="P1922" i="4"/>
  <c r="Q1922" i="4"/>
  <c r="R1922" i="4"/>
  <c r="S1922" i="4"/>
  <c r="T1922" i="4"/>
  <c r="H1923" i="4"/>
  <c r="I1923" i="4"/>
  <c r="J1923" i="4"/>
  <c r="K1923" i="4"/>
  <c r="L1923" i="4"/>
  <c r="M1923" i="4"/>
  <c r="N1923" i="4"/>
  <c r="O1923" i="4"/>
  <c r="P1923" i="4"/>
  <c r="Q1923" i="4"/>
  <c r="R1923" i="4"/>
  <c r="S1923" i="4"/>
  <c r="T1923" i="4"/>
  <c r="H1924" i="4"/>
  <c r="I1924" i="4"/>
  <c r="J1924" i="4"/>
  <c r="K1924" i="4"/>
  <c r="L1924" i="4"/>
  <c r="M1924" i="4"/>
  <c r="N1924" i="4"/>
  <c r="O1924" i="4"/>
  <c r="P1924" i="4"/>
  <c r="Q1924" i="4"/>
  <c r="R1924" i="4"/>
  <c r="S1924" i="4"/>
  <c r="T1924" i="4"/>
  <c r="H1925" i="4"/>
  <c r="I1925" i="4"/>
  <c r="J1925" i="4"/>
  <c r="K1925" i="4"/>
  <c r="L1925" i="4"/>
  <c r="M1925" i="4"/>
  <c r="N1925" i="4"/>
  <c r="O1925" i="4"/>
  <c r="P1925" i="4"/>
  <c r="Q1925" i="4"/>
  <c r="R1925" i="4"/>
  <c r="S1925" i="4"/>
  <c r="T1925" i="4"/>
  <c r="H1926" i="4"/>
  <c r="I1926" i="4"/>
  <c r="J1926" i="4"/>
  <c r="K1926" i="4"/>
  <c r="L1926" i="4"/>
  <c r="M1926" i="4"/>
  <c r="N1926" i="4"/>
  <c r="O1926" i="4"/>
  <c r="P1926" i="4"/>
  <c r="Q1926" i="4"/>
  <c r="R1926" i="4"/>
  <c r="S1926" i="4"/>
  <c r="T1926" i="4"/>
  <c r="H1927" i="4"/>
  <c r="I1927" i="4"/>
  <c r="J1927" i="4"/>
  <c r="K1927" i="4"/>
  <c r="L1927" i="4"/>
  <c r="M1927" i="4"/>
  <c r="N1927" i="4"/>
  <c r="O1927" i="4"/>
  <c r="P1927" i="4"/>
  <c r="Q1927" i="4"/>
  <c r="R1927" i="4"/>
  <c r="S1927" i="4"/>
  <c r="T1927" i="4"/>
  <c r="H1928" i="4"/>
  <c r="I1928" i="4"/>
  <c r="J1928" i="4"/>
  <c r="K1928" i="4"/>
  <c r="L1928" i="4"/>
  <c r="M1928" i="4"/>
  <c r="N1928" i="4"/>
  <c r="O1928" i="4"/>
  <c r="P1928" i="4"/>
  <c r="Q1928" i="4"/>
  <c r="R1928" i="4"/>
  <c r="S1928" i="4"/>
  <c r="T1928" i="4"/>
  <c r="H1929" i="4"/>
  <c r="I1929" i="4"/>
  <c r="J1929" i="4"/>
  <c r="K1929" i="4"/>
  <c r="L1929" i="4"/>
  <c r="M1929" i="4"/>
  <c r="N1929" i="4"/>
  <c r="O1929" i="4"/>
  <c r="P1929" i="4"/>
  <c r="Q1929" i="4"/>
  <c r="R1929" i="4"/>
  <c r="S1929" i="4"/>
  <c r="T1929" i="4"/>
  <c r="H1930" i="4"/>
  <c r="I1930" i="4"/>
  <c r="J1930" i="4"/>
  <c r="K1930" i="4"/>
  <c r="L1930" i="4"/>
  <c r="M1930" i="4"/>
  <c r="N1930" i="4"/>
  <c r="O1930" i="4"/>
  <c r="P1930" i="4"/>
  <c r="Q1930" i="4"/>
  <c r="R1930" i="4"/>
  <c r="S1930" i="4"/>
  <c r="T1930" i="4"/>
  <c r="H1931" i="4"/>
  <c r="I1931" i="4"/>
  <c r="J1931" i="4"/>
  <c r="K1931" i="4"/>
  <c r="L1931" i="4"/>
  <c r="M1931" i="4"/>
  <c r="N1931" i="4"/>
  <c r="O1931" i="4"/>
  <c r="P1931" i="4"/>
  <c r="Q1931" i="4"/>
  <c r="R1931" i="4"/>
  <c r="S1931" i="4"/>
  <c r="T1931" i="4"/>
  <c r="H1932" i="4"/>
  <c r="I1932" i="4"/>
  <c r="J1932" i="4"/>
  <c r="K1932" i="4"/>
  <c r="L1932" i="4"/>
  <c r="M1932" i="4"/>
  <c r="N1932" i="4"/>
  <c r="O1932" i="4"/>
  <c r="P1932" i="4"/>
  <c r="Q1932" i="4"/>
  <c r="R1932" i="4"/>
  <c r="S1932" i="4"/>
  <c r="T1932" i="4"/>
  <c r="H1933" i="4"/>
  <c r="I1933" i="4"/>
  <c r="J1933" i="4"/>
  <c r="K1933" i="4"/>
  <c r="L1933" i="4"/>
  <c r="M1933" i="4"/>
  <c r="N1933" i="4"/>
  <c r="O1933" i="4"/>
  <c r="P1933" i="4"/>
  <c r="Q1933" i="4"/>
  <c r="R1933" i="4"/>
  <c r="S1933" i="4"/>
  <c r="T1933" i="4"/>
  <c r="H1934" i="4"/>
  <c r="I1934" i="4"/>
  <c r="J1934" i="4"/>
  <c r="K1934" i="4"/>
  <c r="L1934" i="4"/>
  <c r="M1934" i="4"/>
  <c r="N1934" i="4"/>
  <c r="O1934" i="4"/>
  <c r="P1934" i="4"/>
  <c r="Q1934" i="4"/>
  <c r="R1934" i="4"/>
  <c r="S1934" i="4"/>
  <c r="T1934" i="4"/>
  <c r="H1935" i="4"/>
  <c r="I1935" i="4"/>
  <c r="J1935" i="4"/>
  <c r="K1935" i="4"/>
  <c r="L1935" i="4"/>
  <c r="M1935" i="4"/>
  <c r="N1935" i="4"/>
  <c r="O1935" i="4"/>
  <c r="P1935" i="4"/>
  <c r="Q1935" i="4"/>
  <c r="R1935" i="4"/>
  <c r="S1935" i="4"/>
  <c r="T1935" i="4"/>
  <c r="H1936" i="4"/>
  <c r="I1936" i="4"/>
  <c r="J1936" i="4"/>
  <c r="K1936" i="4"/>
  <c r="L1936" i="4"/>
  <c r="M1936" i="4"/>
  <c r="N1936" i="4"/>
  <c r="O1936" i="4"/>
  <c r="P1936" i="4"/>
  <c r="Q1936" i="4"/>
  <c r="R1936" i="4"/>
  <c r="S1936" i="4"/>
  <c r="T1936" i="4"/>
  <c r="H1937" i="4"/>
  <c r="I1937" i="4"/>
  <c r="J1937" i="4"/>
  <c r="K1937" i="4"/>
  <c r="L1937" i="4"/>
  <c r="M1937" i="4"/>
  <c r="N1937" i="4"/>
  <c r="O1937" i="4"/>
  <c r="P1937" i="4"/>
  <c r="Q1937" i="4"/>
  <c r="R1937" i="4"/>
  <c r="S1937" i="4"/>
  <c r="T1937" i="4"/>
  <c r="H1938" i="4"/>
  <c r="I1938" i="4"/>
  <c r="J1938" i="4"/>
  <c r="K1938" i="4"/>
  <c r="L1938" i="4"/>
  <c r="M1938" i="4"/>
  <c r="N1938" i="4"/>
  <c r="O1938" i="4"/>
  <c r="P1938" i="4"/>
  <c r="Q1938" i="4"/>
  <c r="R1938" i="4"/>
  <c r="S1938" i="4"/>
  <c r="T1938" i="4"/>
  <c r="H1939" i="4"/>
  <c r="I1939" i="4"/>
  <c r="J1939" i="4"/>
  <c r="K1939" i="4"/>
  <c r="L1939" i="4"/>
  <c r="M1939" i="4"/>
  <c r="N1939" i="4"/>
  <c r="O1939" i="4"/>
  <c r="P1939" i="4"/>
  <c r="Q1939" i="4"/>
  <c r="R1939" i="4"/>
  <c r="S1939" i="4"/>
  <c r="T1939" i="4"/>
  <c r="H1940" i="4"/>
  <c r="I1940" i="4"/>
  <c r="J1940" i="4"/>
  <c r="K1940" i="4"/>
  <c r="L1940" i="4"/>
  <c r="M1940" i="4"/>
  <c r="N1940" i="4"/>
  <c r="O1940" i="4"/>
  <c r="P1940" i="4"/>
  <c r="Q1940" i="4"/>
  <c r="R1940" i="4"/>
  <c r="S1940" i="4"/>
  <c r="T1940" i="4"/>
  <c r="H1941" i="4"/>
  <c r="I1941" i="4"/>
  <c r="J1941" i="4"/>
  <c r="K1941" i="4"/>
  <c r="L1941" i="4"/>
  <c r="M1941" i="4"/>
  <c r="N1941" i="4"/>
  <c r="O1941" i="4"/>
  <c r="P1941" i="4"/>
  <c r="Q1941" i="4"/>
  <c r="R1941" i="4"/>
  <c r="S1941" i="4"/>
  <c r="T1941" i="4"/>
  <c r="H1942" i="4"/>
  <c r="I1942" i="4"/>
  <c r="J1942" i="4"/>
  <c r="K1942" i="4"/>
  <c r="L1942" i="4"/>
  <c r="M1942" i="4"/>
  <c r="N1942" i="4"/>
  <c r="O1942" i="4"/>
  <c r="P1942" i="4"/>
  <c r="Q1942" i="4"/>
  <c r="R1942" i="4"/>
  <c r="S1942" i="4"/>
  <c r="T1942" i="4"/>
  <c r="H1943" i="4"/>
  <c r="I1943" i="4"/>
  <c r="J1943" i="4"/>
  <c r="K1943" i="4"/>
  <c r="L1943" i="4"/>
  <c r="M1943" i="4"/>
  <c r="N1943" i="4"/>
  <c r="O1943" i="4"/>
  <c r="P1943" i="4"/>
  <c r="Q1943" i="4"/>
  <c r="R1943" i="4"/>
  <c r="S1943" i="4"/>
  <c r="T1943" i="4"/>
  <c r="H1944" i="4"/>
  <c r="I1944" i="4"/>
  <c r="J1944" i="4"/>
  <c r="K1944" i="4"/>
  <c r="L1944" i="4"/>
  <c r="M1944" i="4"/>
  <c r="N1944" i="4"/>
  <c r="O1944" i="4"/>
  <c r="P1944" i="4"/>
  <c r="Q1944" i="4"/>
  <c r="R1944" i="4"/>
  <c r="S1944" i="4"/>
  <c r="T1944" i="4"/>
  <c r="H1945" i="4"/>
  <c r="I1945" i="4"/>
  <c r="J1945" i="4"/>
  <c r="K1945" i="4"/>
  <c r="L1945" i="4"/>
  <c r="M1945" i="4"/>
  <c r="N1945" i="4"/>
  <c r="O1945" i="4"/>
  <c r="P1945" i="4"/>
  <c r="Q1945" i="4"/>
  <c r="R1945" i="4"/>
  <c r="S1945" i="4"/>
  <c r="T1945" i="4"/>
  <c r="H1946" i="4"/>
  <c r="I1946" i="4"/>
  <c r="J1946" i="4"/>
  <c r="K1946" i="4"/>
  <c r="L1946" i="4"/>
  <c r="M1946" i="4"/>
  <c r="N1946" i="4"/>
  <c r="O1946" i="4"/>
  <c r="P1946" i="4"/>
  <c r="Q1946" i="4"/>
  <c r="R1946" i="4"/>
  <c r="S1946" i="4"/>
  <c r="T1946" i="4"/>
  <c r="H1947" i="4"/>
  <c r="I1947" i="4"/>
  <c r="J1947" i="4"/>
  <c r="K1947" i="4"/>
  <c r="L1947" i="4"/>
  <c r="M1947" i="4"/>
  <c r="N1947" i="4"/>
  <c r="O1947" i="4"/>
  <c r="P1947" i="4"/>
  <c r="Q1947" i="4"/>
  <c r="R1947" i="4"/>
  <c r="S1947" i="4"/>
  <c r="T1947" i="4"/>
  <c r="H1948" i="4"/>
  <c r="I1948" i="4"/>
  <c r="J1948" i="4"/>
  <c r="K1948" i="4"/>
  <c r="L1948" i="4"/>
  <c r="M1948" i="4"/>
  <c r="N1948" i="4"/>
  <c r="O1948" i="4"/>
  <c r="P1948" i="4"/>
  <c r="Q1948" i="4"/>
  <c r="R1948" i="4"/>
  <c r="S1948" i="4"/>
  <c r="T1948" i="4"/>
  <c r="H1949" i="4"/>
  <c r="I1949" i="4"/>
  <c r="J1949" i="4"/>
  <c r="K1949" i="4"/>
  <c r="L1949" i="4"/>
  <c r="M1949" i="4"/>
  <c r="N1949" i="4"/>
  <c r="O1949" i="4"/>
  <c r="P1949" i="4"/>
  <c r="Q1949" i="4"/>
  <c r="R1949" i="4"/>
  <c r="S1949" i="4"/>
  <c r="T1949" i="4"/>
  <c r="H1950" i="4"/>
  <c r="I1950" i="4"/>
  <c r="J1950" i="4"/>
  <c r="K1950" i="4"/>
  <c r="L1950" i="4"/>
  <c r="M1950" i="4"/>
  <c r="N1950" i="4"/>
  <c r="O1950" i="4"/>
  <c r="P1950" i="4"/>
  <c r="Q1950" i="4"/>
  <c r="R1950" i="4"/>
  <c r="S1950" i="4"/>
  <c r="T1950" i="4"/>
  <c r="H1951" i="4"/>
  <c r="I1951" i="4"/>
  <c r="J1951" i="4"/>
  <c r="K1951" i="4"/>
  <c r="L1951" i="4"/>
  <c r="M1951" i="4"/>
  <c r="N1951" i="4"/>
  <c r="O1951" i="4"/>
  <c r="P1951" i="4"/>
  <c r="Q1951" i="4"/>
  <c r="R1951" i="4"/>
  <c r="S1951" i="4"/>
  <c r="T1951" i="4"/>
  <c r="H1952" i="4"/>
  <c r="I1952" i="4"/>
  <c r="J1952" i="4"/>
  <c r="K1952" i="4"/>
  <c r="L1952" i="4"/>
  <c r="M1952" i="4"/>
  <c r="N1952" i="4"/>
  <c r="O1952" i="4"/>
  <c r="P1952" i="4"/>
  <c r="Q1952" i="4"/>
  <c r="R1952" i="4"/>
  <c r="S1952" i="4"/>
  <c r="T1952" i="4"/>
  <c r="H1953" i="4"/>
  <c r="I1953" i="4"/>
  <c r="J1953" i="4"/>
  <c r="K1953" i="4"/>
  <c r="L1953" i="4"/>
  <c r="M1953" i="4"/>
  <c r="N1953" i="4"/>
  <c r="O1953" i="4"/>
  <c r="P1953" i="4"/>
  <c r="Q1953" i="4"/>
  <c r="R1953" i="4"/>
  <c r="S1953" i="4"/>
  <c r="T1953" i="4"/>
  <c r="H1954" i="4"/>
  <c r="I1954" i="4"/>
  <c r="J1954" i="4"/>
  <c r="K1954" i="4"/>
  <c r="L1954" i="4"/>
  <c r="M1954" i="4"/>
  <c r="N1954" i="4"/>
  <c r="O1954" i="4"/>
  <c r="P1954" i="4"/>
  <c r="Q1954" i="4"/>
  <c r="R1954" i="4"/>
  <c r="S1954" i="4"/>
  <c r="T1954" i="4"/>
  <c r="H1955" i="4"/>
  <c r="I1955" i="4"/>
  <c r="J1955" i="4"/>
  <c r="K1955" i="4"/>
  <c r="L1955" i="4"/>
  <c r="M1955" i="4"/>
  <c r="N1955" i="4"/>
  <c r="O1955" i="4"/>
  <c r="P1955" i="4"/>
  <c r="Q1955" i="4"/>
  <c r="R1955" i="4"/>
  <c r="S1955" i="4"/>
  <c r="T1955" i="4"/>
  <c r="H1956" i="4"/>
  <c r="I1956" i="4"/>
  <c r="J1956" i="4"/>
  <c r="K1956" i="4"/>
  <c r="L1956" i="4"/>
  <c r="M1956" i="4"/>
  <c r="N1956" i="4"/>
  <c r="O1956" i="4"/>
  <c r="P1956" i="4"/>
  <c r="Q1956" i="4"/>
  <c r="R1956" i="4"/>
  <c r="S1956" i="4"/>
  <c r="T1956" i="4"/>
  <c r="H1957" i="4"/>
  <c r="I1957" i="4"/>
  <c r="J1957" i="4"/>
  <c r="K1957" i="4"/>
  <c r="L1957" i="4"/>
  <c r="M1957" i="4"/>
  <c r="N1957" i="4"/>
  <c r="O1957" i="4"/>
  <c r="P1957" i="4"/>
  <c r="Q1957" i="4"/>
  <c r="R1957" i="4"/>
  <c r="S1957" i="4"/>
  <c r="T1957" i="4"/>
  <c r="H1958" i="4"/>
  <c r="I1958" i="4"/>
  <c r="J1958" i="4"/>
  <c r="K1958" i="4"/>
  <c r="L1958" i="4"/>
  <c r="M1958" i="4"/>
  <c r="N1958" i="4"/>
  <c r="O1958" i="4"/>
  <c r="P1958" i="4"/>
  <c r="Q1958" i="4"/>
  <c r="R1958" i="4"/>
  <c r="S1958" i="4"/>
  <c r="T1958" i="4"/>
  <c r="H1959" i="4"/>
  <c r="I1959" i="4"/>
  <c r="J1959" i="4"/>
  <c r="K1959" i="4"/>
  <c r="L1959" i="4"/>
  <c r="M1959" i="4"/>
  <c r="N1959" i="4"/>
  <c r="O1959" i="4"/>
  <c r="P1959" i="4"/>
  <c r="Q1959" i="4"/>
  <c r="R1959" i="4"/>
  <c r="S1959" i="4"/>
  <c r="T1959" i="4"/>
  <c r="H1960" i="4"/>
  <c r="I1960" i="4"/>
  <c r="J1960" i="4"/>
  <c r="K1960" i="4"/>
  <c r="L1960" i="4"/>
  <c r="M1960" i="4"/>
  <c r="N1960" i="4"/>
  <c r="O1960" i="4"/>
  <c r="P1960" i="4"/>
  <c r="Q1960" i="4"/>
  <c r="R1960" i="4"/>
  <c r="S1960" i="4"/>
  <c r="T1960" i="4"/>
  <c r="H1961" i="4"/>
  <c r="I1961" i="4"/>
  <c r="J1961" i="4"/>
  <c r="K1961" i="4"/>
  <c r="L1961" i="4"/>
  <c r="M1961" i="4"/>
  <c r="N1961" i="4"/>
  <c r="O1961" i="4"/>
  <c r="P1961" i="4"/>
  <c r="Q1961" i="4"/>
  <c r="R1961" i="4"/>
  <c r="S1961" i="4"/>
  <c r="T1961" i="4"/>
  <c r="H1962" i="4"/>
  <c r="I1962" i="4"/>
  <c r="J1962" i="4"/>
  <c r="K1962" i="4"/>
  <c r="L1962" i="4"/>
  <c r="M1962" i="4"/>
  <c r="N1962" i="4"/>
  <c r="O1962" i="4"/>
  <c r="P1962" i="4"/>
  <c r="Q1962" i="4"/>
  <c r="R1962" i="4"/>
  <c r="S1962" i="4"/>
  <c r="T1962" i="4"/>
  <c r="H1963" i="4"/>
  <c r="I1963" i="4"/>
  <c r="J1963" i="4"/>
  <c r="K1963" i="4"/>
  <c r="L1963" i="4"/>
  <c r="M1963" i="4"/>
  <c r="N1963" i="4"/>
  <c r="O1963" i="4"/>
  <c r="P1963" i="4"/>
  <c r="Q1963" i="4"/>
  <c r="R1963" i="4"/>
  <c r="S1963" i="4"/>
  <c r="T1963" i="4"/>
  <c r="H1964" i="4"/>
  <c r="I1964" i="4"/>
  <c r="J1964" i="4"/>
  <c r="K1964" i="4"/>
  <c r="L1964" i="4"/>
  <c r="M1964" i="4"/>
  <c r="N1964" i="4"/>
  <c r="O1964" i="4"/>
  <c r="P1964" i="4"/>
  <c r="Q1964" i="4"/>
  <c r="R1964" i="4"/>
  <c r="S1964" i="4"/>
  <c r="T1964" i="4"/>
  <c r="H1965" i="4"/>
  <c r="I1965" i="4"/>
  <c r="J1965" i="4"/>
  <c r="K1965" i="4"/>
  <c r="L1965" i="4"/>
  <c r="M1965" i="4"/>
  <c r="N1965" i="4"/>
  <c r="O1965" i="4"/>
  <c r="P1965" i="4"/>
  <c r="Q1965" i="4"/>
  <c r="R1965" i="4"/>
  <c r="S1965" i="4"/>
  <c r="T1965" i="4"/>
  <c r="H1966" i="4"/>
  <c r="I1966" i="4"/>
  <c r="J1966" i="4"/>
  <c r="K1966" i="4"/>
  <c r="L1966" i="4"/>
  <c r="M1966" i="4"/>
  <c r="N1966" i="4"/>
  <c r="O1966" i="4"/>
  <c r="P1966" i="4"/>
  <c r="Q1966" i="4"/>
  <c r="R1966" i="4"/>
  <c r="S1966" i="4"/>
  <c r="T1966" i="4"/>
  <c r="H1967" i="4"/>
  <c r="I1967" i="4"/>
  <c r="J1967" i="4"/>
  <c r="K1967" i="4"/>
  <c r="L1967" i="4"/>
  <c r="M1967" i="4"/>
  <c r="N1967" i="4"/>
  <c r="O1967" i="4"/>
  <c r="P1967" i="4"/>
  <c r="Q1967" i="4"/>
  <c r="R1967" i="4"/>
  <c r="S1967" i="4"/>
  <c r="T1967" i="4"/>
  <c r="H1968" i="4"/>
  <c r="I1968" i="4"/>
  <c r="J1968" i="4"/>
  <c r="K1968" i="4"/>
  <c r="L1968" i="4"/>
  <c r="M1968" i="4"/>
  <c r="N1968" i="4"/>
  <c r="O1968" i="4"/>
  <c r="P1968" i="4"/>
  <c r="Q1968" i="4"/>
  <c r="R1968" i="4"/>
  <c r="S1968" i="4"/>
  <c r="T1968" i="4"/>
  <c r="H1969" i="4"/>
  <c r="I1969" i="4"/>
  <c r="J1969" i="4"/>
  <c r="K1969" i="4"/>
  <c r="L1969" i="4"/>
  <c r="M1969" i="4"/>
  <c r="N1969" i="4"/>
  <c r="O1969" i="4"/>
  <c r="P1969" i="4"/>
  <c r="Q1969" i="4"/>
  <c r="R1969" i="4"/>
  <c r="S1969" i="4"/>
  <c r="T1969" i="4"/>
  <c r="H1970" i="4"/>
  <c r="I1970" i="4"/>
  <c r="J1970" i="4"/>
  <c r="K1970" i="4"/>
  <c r="L1970" i="4"/>
  <c r="M1970" i="4"/>
  <c r="N1970" i="4"/>
  <c r="O1970" i="4"/>
  <c r="P1970" i="4"/>
  <c r="Q1970" i="4"/>
  <c r="R1970" i="4"/>
  <c r="S1970" i="4"/>
  <c r="T1970" i="4"/>
  <c r="H1971" i="4"/>
  <c r="I1971" i="4"/>
  <c r="J1971" i="4"/>
  <c r="K1971" i="4"/>
  <c r="L1971" i="4"/>
  <c r="M1971" i="4"/>
  <c r="N1971" i="4"/>
  <c r="O1971" i="4"/>
  <c r="P1971" i="4"/>
  <c r="Q1971" i="4"/>
  <c r="R1971" i="4"/>
  <c r="S1971" i="4"/>
  <c r="T1971" i="4"/>
  <c r="H1972" i="4"/>
  <c r="I1972" i="4"/>
  <c r="J1972" i="4"/>
  <c r="K1972" i="4"/>
  <c r="L1972" i="4"/>
  <c r="M1972" i="4"/>
  <c r="N1972" i="4"/>
  <c r="O1972" i="4"/>
  <c r="P1972" i="4"/>
  <c r="Q1972" i="4"/>
  <c r="R1972" i="4"/>
  <c r="S1972" i="4"/>
  <c r="T1972" i="4"/>
  <c r="H1973" i="4"/>
  <c r="I1973" i="4"/>
  <c r="J1973" i="4"/>
  <c r="K1973" i="4"/>
  <c r="L1973" i="4"/>
  <c r="M1973" i="4"/>
  <c r="N1973" i="4"/>
  <c r="O1973" i="4"/>
  <c r="P1973" i="4"/>
  <c r="Q1973" i="4"/>
  <c r="R1973" i="4"/>
  <c r="S1973" i="4"/>
  <c r="T1973" i="4"/>
  <c r="H1974" i="4"/>
  <c r="I1974" i="4"/>
  <c r="J1974" i="4"/>
  <c r="K1974" i="4"/>
  <c r="L1974" i="4"/>
  <c r="M1974" i="4"/>
  <c r="N1974" i="4"/>
  <c r="O1974" i="4"/>
  <c r="P1974" i="4"/>
  <c r="Q1974" i="4"/>
  <c r="R1974" i="4"/>
  <c r="S1974" i="4"/>
  <c r="T1974" i="4"/>
  <c r="H1975" i="4"/>
  <c r="I1975" i="4"/>
  <c r="J1975" i="4"/>
  <c r="K1975" i="4"/>
  <c r="L1975" i="4"/>
  <c r="M1975" i="4"/>
  <c r="N1975" i="4"/>
  <c r="O1975" i="4"/>
  <c r="P1975" i="4"/>
  <c r="Q1975" i="4"/>
  <c r="R1975" i="4"/>
  <c r="S1975" i="4"/>
  <c r="T1975" i="4"/>
  <c r="H1976" i="4"/>
  <c r="I1976" i="4"/>
  <c r="J1976" i="4"/>
  <c r="K1976" i="4"/>
  <c r="L1976" i="4"/>
  <c r="M1976" i="4"/>
  <c r="N1976" i="4"/>
  <c r="O1976" i="4"/>
  <c r="P1976" i="4"/>
  <c r="Q1976" i="4"/>
  <c r="R1976" i="4"/>
  <c r="S1976" i="4"/>
  <c r="T1976" i="4"/>
  <c r="H1977" i="4"/>
  <c r="I1977" i="4"/>
  <c r="J1977" i="4"/>
  <c r="K1977" i="4"/>
  <c r="L1977" i="4"/>
  <c r="M1977" i="4"/>
  <c r="N1977" i="4"/>
  <c r="O1977" i="4"/>
  <c r="P1977" i="4"/>
  <c r="Q1977" i="4"/>
  <c r="R1977" i="4"/>
  <c r="S1977" i="4"/>
  <c r="T1977" i="4"/>
  <c r="H1978" i="4"/>
  <c r="I1978" i="4"/>
  <c r="J1978" i="4"/>
  <c r="K1978" i="4"/>
  <c r="L1978" i="4"/>
  <c r="M1978" i="4"/>
  <c r="N1978" i="4"/>
  <c r="O1978" i="4"/>
  <c r="P1978" i="4"/>
  <c r="Q1978" i="4"/>
  <c r="R1978" i="4"/>
  <c r="S1978" i="4"/>
  <c r="T1978" i="4"/>
  <c r="H1979" i="4"/>
  <c r="I1979" i="4"/>
  <c r="J1979" i="4"/>
  <c r="K1979" i="4"/>
  <c r="L1979" i="4"/>
  <c r="M1979" i="4"/>
  <c r="N1979" i="4"/>
  <c r="O1979" i="4"/>
  <c r="P1979" i="4"/>
  <c r="Q1979" i="4"/>
  <c r="R1979" i="4"/>
  <c r="S1979" i="4"/>
  <c r="T1979" i="4"/>
  <c r="H1980" i="4"/>
  <c r="I1980" i="4"/>
  <c r="J1980" i="4"/>
  <c r="K1980" i="4"/>
  <c r="L1980" i="4"/>
  <c r="M1980" i="4"/>
  <c r="N1980" i="4"/>
  <c r="O1980" i="4"/>
  <c r="P1980" i="4"/>
  <c r="Q1980" i="4"/>
  <c r="R1980" i="4"/>
  <c r="S1980" i="4"/>
  <c r="T1980" i="4"/>
  <c r="H1981" i="4"/>
  <c r="I1981" i="4"/>
  <c r="J1981" i="4"/>
  <c r="K1981" i="4"/>
  <c r="L1981" i="4"/>
  <c r="M1981" i="4"/>
  <c r="N1981" i="4"/>
  <c r="O1981" i="4"/>
  <c r="P1981" i="4"/>
  <c r="Q1981" i="4"/>
  <c r="R1981" i="4"/>
  <c r="S1981" i="4"/>
  <c r="T1981" i="4"/>
  <c r="H1982" i="4"/>
  <c r="I1982" i="4"/>
  <c r="J1982" i="4"/>
  <c r="K1982" i="4"/>
  <c r="L1982" i="4"/>
  <c r="M1982" i="4"/>
  <c r="N1982" i="4"/>
  <c r="O1982" i="4"/>
  <c r="P1982" i="4"/>
  <c r="Q1982" i="4"/>
  <c r="R1982" i="4"/>
  <c r="S1982" i="4"/>
  <c r="T1982" i="4"/>
  <c r="H1983" i="4"/>
  <c r="I1983" i="4"/>
  <c r="J1983" i="4"/>
  <c r="K1983" i="4"/>
  <c r="L1983" i="4"/>
  <c r="M1983" i="4"/>
  <c r="N1983" i="4"/>
  <c r="O1983" i="4"/>
  <c r="P1983" i="4"/>
  <c r="Q1983" i="4"/>
  <c r="R1983" i="4"/>
  <c r="S1983" i="4"/>
  <c r="T1983" i="4"/>
  <c r="H1984" i="4"/>
  <c r="I1984" i="4"/>
  <c r="J1984" i="4"/>
  <c r="K1984" i="4"/>
  <c r="L1984" i="4"/>
  <c r="M1984" i="4"/>
  <c r="N1984" i="4"/>
  <c r="O1984" i="4"/>
  <c r="P1984" i="4"/>
  <c r="Q1984" i="4"/>
  <c r="R1984" i="4"/>
  <c r="S1984" i="4"/>
  <c r="T1984" i="4"/>
  <c r="H1985" i="4"/>
  <c r="I1985" i="4"/>
  <c r="J1985" i="4"/>
  <c r="K1985" i="4"/>
  <c r="L1985" i="4"/>
  <c r="M1985" i="4"/>
  <c r="N1985" i="4"/>
  <c r="O1985" i="4"/>
  <c r="P1985" i="4"/>
  <c r="Q1985" i="4"/>
  <c r="R1985" i="4"/>
  <c r="S1985" i="4"/>
  <c r="T1985" i="4"/>
  <c r="H1986" i="4"/>
  <c r="I1986" i="4"/>
  <c r="J1986" i="4"/>
  <c r="K1986" i="4"/>
  <c r="L1986" i="4"/>
  <c r="M1986" i="4"/>
  <c r="N1986" i="4"/>
  <c r="O1986" i="4"/>
  <c r="P1986" i="4"/>
  <c r="Q1986" i="4"/>
  <c r="R1986" i="4"/>
  <c r="S1986" i="4"/>
  <c r="T1986" i="4"/>
  <c r="H1987" i="4"/>
  <c r="I1987" i="4"/>
  <c r="J1987" i="4"/>
  <c r="K1987" i="4"/>
  <c r="L1987" i="4"/>
  <c r="M1987" i="4"/>
  <c r="N1987" i="4"/>
  <c r="O1987" i="4"/>
  <c r="P1987" i="4"/>
  <c r="Q1987" i="4"/>
  <c r="R1987" i="4"/>
  <c r="S1987" i="4"/>
  <c r="T1987" i="4"/>
  <c r="H1988" i="4"/>
  <c r="I1988" i="4"/>
  <c r="J1988" i="4"/>
  <c r="K1988" i="4"/>
  <c r="L1988" i="4"/>
  <c r="M1988" i="4"/>
  <c r="N1988" i="4"/>
  <c r="O1988" i="4"/>
  <c r="P1988" i="4"/>
  <c r="Q1988" i="4"/>
  <c r="R1988" i="4"/>
  <c r="S1988" i="4"/>
  <c r="T1988" i="4"/>
  <c r="H1989" i="4"/>
  <c r="I1989" i="4"/>
  <c r="J1989" i="4"/>
  <c r="K1989" i="4"/>
  <c r="L1989" i="4"/>
  <c r="M1989" i="4"/>
  <c r="N1989" i="4"/>
  <c r="O1989" i="4"/>
  <c r="P1989" i="4"/>
  <c r="Q1989" i="4"/>
  <c r="R1989" i="4"/>
  <c r="S1989" i="4"/>
  <c r="T1989" i="4"/>
  <c r="H1990" i="4"/>
  <c r="I1990" i="4"/>
  <c r="J1990" i="4"/>
  <c r="K1990" i="4"/>
  <c r="L1990" i="4"/>
  <c r="M1990" i="4"/>
  <c r="N1990" i="4"/>
  <c r="O1990" i="4"/>
  <c r="P1990" i="4"/>
  <c r="Q1990" i="4"/>
  <c r="R1990" i="4"/>
  <c r="S1990" i="4"/>
  <c r="T1990" i="4"/>
  <c r="H1991" i="4"/>
  <c r="I1991" i="4"/>
  <c r="J1991" i="4"/>
  <c r="K1991" i="4"/>
  <c r="L1991" i="4"/>
  <c r="M1991" i="4"/>
  <c r="N1991" i="4"/>
  <c r="O1991" i="4"/>
  <c r="P1991" i="4"/>
  <c r="Q1991" i="4"/>
  <c r="R1991" i="4"/>
  <c r="S1991" i="4"/>
  <c r="T1991" i="4"/>
  <c r="H1992" i="4"/>
  <c r="I1992" i="4"/>
  <c r="J1992" i="4"/>
  <c r="K1992" i="4"/>
  <c r="L1992" i="4"/>
  <c r="M1992" i="4"/>
  <c r="N1992" i="4"/>
  <c r="O1992" i="4"/>
  <c r="P1992" i="4"/>
  <c r="Q1992" i="4"/>
  <c r="R1992" i="4"/>
  <c r="S1992" i="4"/>
  <c r="T1992" i="4"/>
  <c r="H1993" i="4"/>
  <c r="I1993" i="4"/>
  <c r="J1993" i="4"/>
  <c r="K1993" i="4"/>
  <c r="L1993" i="4"/>
  <c r="M1993" i="4"/>
  <c r="N1993" i="4"/>
  <c r="O1993" i="4"/>
  <c r="P1993" i="4"/>
  <c r="Q1993" i="4"/>
  <c r="R1993" i="4"/>
  <c r="S1993" i="4"/>
  <c r="T1993" i="4"/>
  <c r="H1994" i="4"/>
  <c r="I1994" i="4"/>
  <c r="J1994" i="4"/>
  <c r="K1994" i="4"/>
  <c r="L1994" i="4"/>
  <c r="M1994" i="4"/>
  <c r="N1994" i="4"/>
  <c r="O1994" i="4"/>
  <c r="P1994" i="4"/>
  <c r="Q1994" i="4"/>
  <c r="R1994" i="4"/>
  <c r="S1994" i="4"/>
  <c r="T1994" i="4"/>
  <c r="H1995" i="4"/>
  <c r="I1995" i="4"/>
  <c r="J1995" i="4"/>
  <c r="K1995" i="4"/>
  <c r="L1995" i="4"/>
  <c r="M1995" i="4"/>
  <c r="N1995" i="4"/>
  <c r="O1995" i="4"/>
  <c r="P1995" i="4"/>
  <c r="Q1995" i="4"/>
  <c r="R1995" i="4"/>
  <c r="S1995" i="4"/>
  <c r="T1995" i="4"/>
  <c r="H1996" i="4"/>
  <c r="I1996" i="4"/>
  <c r="J1996" i="4"/>
  <c r="K1996" i="4"/>
  <c r="L1996" i="4"/>
  <c r="M1996" i="4"/>
  <c r="N1996" i="4"/>
  <c r="O1996" i="4"/>
  <c r="P1996" i="4"/>
  <c r="Q1996" i="4"/>
  <c r="R1996" i="4"/>
  <c r="S1996" i="4"/>
  <c r="T1996" i="4"/>
  <c r="H1997" i="4"/>
  <c r="I1997" i="4"/>
  <c r="J1997" i="4"/>
  <c r="K1997" i="4"/>
  <c r="L1997" i="4"/>
  <c r="M1997" i="4"/>
  <c r="N1997" i="4"/>
  <c r="O1997" i="4"/>
  <c r="P1997" i="4"/>
  <c r="Q1997" i="4"/>
  <c r="R1997" i="4"/>
  <c r="S1997" i="4"/>
  <c r="T1997" i="4"/>
  <c r="H1998" i="4"/>
  <c r="I1998" i="4"/>
  <c r="J1998" i="4"/>
  <c r="K1998" i="4"/>
  <c r="L1998" i="4"/>
  <c r="M1998" i="4"/>
  <c r="N1998" i="4"/>
  <c r="O1998" i="4"/>
  <c r="P1998" i="4"/>
  <c r="Q1998" i="4"/>
  <c r="R1998" i="4"/>
  <c r="S1998" i="4"/>
  <c r="T1998" i="4"/>
  <c r="H1999" i="4"/>
  <c r="I1999" i="4"/>
  <c r="J1999" i="4"/>
  <c r="K1999" i="4"/>
  <c r="L1999" i="4"/>
  <c r="M1999" i="4"/>
  <c r="N1999" i="4"/>
  <c r="O1999" i="4"/>
  <c r="P1999" i="4"/>
  <c r="Q1999" i="4"/>
  <c r="R1999" i="4"/>
  <c r="S1999" i="4"/>
  <c r="T1999" i="4"/>
  <c r="H2000" i="4"/>
  <c r="I2000" i="4"/>
  <c r="J2000" i="4"/>
  <c r="K2000" i="4"/>
  <c r="L2000" i="4"/>
  <c r="M2000" i="4"/>
  <c r="N2000" i="4"/>
  <c r="O2000" i="4"/>
  <c r="P2000" i="4"/>
  <c r="Q2000" i="4"/>
  <c r="R2000" i="4"/>
  <c r="S2000" i="4"/>
  <c r="T2000" i="4"/>
  <c r="H2001" i="4"/>
  <c r="I2001" i="4"/>
  <c r="J2001" i="4"/>
  <c r="K2001" i="4"/>
  <c r="L2001" i="4"/>
  <c r="M2001" i="4"/>
  <c r="N2001" i="4"/>
  <c r="O2001" i="4"/>
  <c r="P2001" i="4"/>
  <c r="Q2001" i="4"/>
  <c r="R2001" i="4"/>
  <c r="S2001" i="4"/>
  <c r="T2001" i="4"/>
  <c r="H2002" i="4"/>
  <c r="I2002" i="4"/>
  <c r="J2002" i="4"/>
  <c r="K2002" i="4"/>
  <c r="L2002" i="4"/>
  <c r="M2002" i="4"/>
  <c r="N2002" i="4"/>
  <c r="O2002" i="4"/>
  <c r="P2002" i="4"/>
  <c r="Q2002" i="4"/>
  <c r="R2002" i="4"/>
  <c r="S2002" i="4"/>
  <c r="T2002" i="4"/>
  <c r="H2003" i="4"/>
  <c r="I2003" i="4"/>
  <c r="J2003" i="4"/>
  <c r="K2003" i="4"/>
  <c r="L2003" i="4"/>
  <c r="M2003" i="4"/>
  <c r="N2003" i="4"/>
  <c r="O2003" i="4"/>
  <c r="P2003" i="4"/>
  <c r="Q2003" i="4"/>
  <c r="R2003" i="4"/>
  <c r="S2003" i="4"/>
  <c r="T2003" i="4"/>
  <c r="H2004" i="4"/>
  <c r="I2004" i="4"/>
  <c r="J2004" i="4"/>
  <c r="K2004" i="4"/>
  <c r="L2004" i="4"/>
  <c r="M2004" i="4"/>
  <c r="N2004" i="4"/>
  <c r="O2004" i="4"/>
  <c r="P2004" i="4"/>
  <c r="Q2004" i="4"/>
  <c r="R2004" i="4"/>
  <c r="S2004" i="4"/>
  <c r="T2004" i="4"/>
  <c r="H2005" i="4"/>
  <c r="I2005" i="4"/>
  <c r="J2005" i="4"/>
  <c r="K2005" i="4"/>
  <c r="L2005" i="4"/>
  <c r="M2005" i="4"/>
  <c r="N2005" i="4"/>
  <c r="O2005" i="4"/>
  <c r="P2005" i="4"/>
  <c r="Q2005" i="4"/>
  <c r="R2005" i="4"/>
  <c r="S2005" i="4"/>
  <c r="T2005" i="4"/>
  <c r="H2006" i="4"/>
  <c r="I2006" i="4"/>
  <c r="J2006" i="4"/>
  <c r="K2006" i="4"/>
  <c r="L2006" i="4"/>
  <c r="M2006" i="4"/>
  <c r="N2006" i="4"/>
  <c r="O2006" i="4"/>
  <c r="P2006" i="4"/>
  <c r="Q2006" i="4"/>
  <c r="R2006" i="4"/>
  <c r="S2006" i="4"/>
  <c r="T2006" i="4"/>
  <c r="H2007" i="4"/>
  <c r="I2007" i="4"/>
  <c r="J2007" i="4"/>
  <c r="K2007" i="4"/>
  <c r="L2007" i="4"/>
  <c r="M2007" i="4"/>
  <c r="N2007" i="4"/>
  <c r="O2007" i="4"/>
  <c r="P2007" i="4"/>
  <c r="Q2007" i="4"/>
  <c r="R2007" i="4"/>
  <c r="S2007" i="4"/>
  <c r="T2007" i="4"/>
  <c r="H2008" i="4"/>
  <c r="I2008" i="4"/>
  <c r="J2008" i="4"/>
  <c r="K2008" i="4"/>
  <c r="L2008" i="4"/>
  <c r="M2008" i="4"/>
  <c r="N2008" i="4"/>
  <c r="O2008" i="4"/>
  <c r="P2008" i="4"/>
  <c r="Q2008" i="4"/>
  <c r="R2008" i="4"/>
  <c r="S2008" i="4"/>
  <c r="T2008" i="4"/>
  <c r="H2009" i="4"/>
  <c r="I2009" i="4"/>
  <c r="J2009" i="4"/>
  <c r="K2009" i="4"/>
  <c r="L2009" i="4"/>
  <c r="M2009" i="4"/>
  <c r="N2009" i="4"/>
  <c r="O2009" i="4"/>
  <c r="P2009" i="4"/>
  <c r="Q2009" i="4"/>
  <c r="R2009" i="4"/>
  <c r="S2009" i="4"/>
  <c r="T2009" i="4"/>
  <c r="H2010" i="4"/>
  <c r="I2010" i="4"/>
  <c r="J2010" i="4"/>
  <c r="K2010" i="4"/>
  <c r="L2010" i="4"/>
  <c r="M2010" i="4"/>
  <c r="N2010" i="4"/>
  <c r="O2010" i="4"/>
  <c r="P2010" i="4"/>
  <c r="Q2010" i="4"/>
  <c r="R2010" i="4"/>
  <c r="S2010" i="4"/>
  <c r="T2010" i="4"/>
  <c r="H2011" i="4"/>
  <c r="I2011" i="4"/>
  <c r="J2011" i="4"/>
  <c r="K2011" i="4"/>
  <c r="L2011" i="4"/>
  <c r="M2011" i="4"/>
  <c r="N2011" i="4"/>
  <c r="O2011" i="4"/>
  <c r="P2011" i="4"/>
  <c r="Q2011" i="4"/>
  <c r="R2011" i="4"/>
  <c r="S2011" i="4"/>
  <c r="T2011" i="4"/>
  <c r="H2012" i="4"/>
  <c r="I2012" i="4"/>
  <c r="J2012" i="4"/>
  <c r="K2012" i="4"/>
  <c r="L2012" i="4"/>
  <c r="M2012" i="4"/>
  <c r="N2012" i="4"/>
  <c r="O2012" i="4"/>
  <c r="P2012" i="4"/>
  <c r="Q2012" i="4"/>
  <c r="R2012" i="4"/>
  <c r="S2012" i="4"/>
  <c r="T2012" i="4"/>
  <c r="H2013" i="4"/>
  <c r="I2013" i="4"/>
  <c r="J2013" i="4"/>
  <c r="K2013" i="4"/>
  <c r="L2013" i="4"/>
  <c r="M2013" i="4"/>
  <c r="N2013" i="4"/>
  <c r="O2013" i="4"/>
  <c r="P2013" i="4"/>
  <c r="Q2013" i="4"/>
  <c r="R2013" i="4"/>
  <c r="S2013" i="4"/>
  <c r="T2013" i="4"/>
  <c r="H2014" i="4"/>
  <c r="I2014" i="4"/>
  <c r="J2014" i="4"/>
  <c r="K2014" i="4"/>
  <c r="L2014" i="4"/>
  <c r="M2014" i="4"/>
  <c r="N2014" i="4"/>
  <c r="O2014" i="4"/>
  <c r="P2014" i="4"/>
  <c r="Q2014" i="4"/>
  <c r="R2014" i="4"/>
  <c r="S2014" i="4"/>
  <c r="T2014" i="4"/>
  <c r="H2015" i="4"/>
  <c r="I2015" i="4"/>
  <c r="J2015" i="4"/>
  <c r="K2015" i="4"/>
  <c r="L2015" i="4"/>
  <c r="M2015" i="4"/>
  <c r="N2015" i="4"/>
  <c r="O2015" i="4"/>
  <c r="P2015" i="4"/>
  <c r="Q2015" i="4"/>
  <c r="R2015" i="4"/>
  <c r="S2015" i="4"/>
  <c r="T2015" i="4"/>
  <c r="H2016" i="4"/>
  <c r="I2016" i="4"/>
  <c r="J2016" i="4"/>
  <c r="K2016" i="4"/>
  <c r="L2016" i="4"/>
  <c r="M2016" i="4"/>
  <c r="N2016" i="4"/>
  <c r="O2016" i="4"/>
  <c r="P2016" i="4"/>
  <c r="Q2016" i="4"/>
  <c r="R2016" i="4"/>
  <c r="S2016" i="4"/>
  <c r="T2016" i="4"/>
  <c r="H2017" i="4"/>
  <c r="I2017" i="4"/>
  <c r="J2017" i="4"/>
  <c r="K2017" i="4"/>
  <c r="L2017" i="4"/>
  <c r="M2017" i="4"/>
  <c r="N2017" i="4"/>
  <c r="O2017" i="4"/>
  <c r="P2017" i="4"/>
  <c r="Q2017" i="4"/>
  <c r="R2017" i="4"/>
  <c r="S2017" i="4"/>
  <c r="T2017" i="4"/>
  <c r="H2018" i="4"/>
  <c r="I2018" i="4"/>
  <c r="J2018" i="4"/>
  <c r="K2018" i="4"/>
  <c r="L2018" i="4"/>
  <c r="M2018" i="4"/>
  <c r="N2018" i="4"/>
  <c r="O2018" i="4"/>
  <c r="P2018" i="4"/>
  <c r="Q2018" i="4"/>
  <c r="R2018" i="4"/>
  <c r="S2018" i="4"/>
  <c r="T2018" i="4"/>
  <c r="H2019" i="4"/>
  <c r="I2019" i="4"/>
  <c r="J2019" i="4"/>
  <c r="K2019" i="4"/>
  <c r="L2019" i="4"/>
  <c r="M2019" i="4"/>
  <c r="N2019" i="4"/>
  <c r="O2019" i="4"/>
  <c r="P2019" i="4"/>
  <c r="Q2019" i="4"/>
  <c r="R2019" i="4"/>
  <c r="S2019" i="4"/>
  <c r="T2019" i="4"/>
  <c r="H2020" i="4"/>
  <c r="I2020" i="4"/>
  <c r="J2020" i="4"/>
  <c r="K2020" i="4"/>
  <c r="L2020" i="4"/>
  <c r="M2020" i="4"/>
  <c r="N2020" i="4"/>
  <c r="O2020" i="4"/>
  <c r="P2020" i="4"/>
  <c r="Q2020" i="4"/>
  <c r="R2020" i="4"/>
  <c r="S2020" i="4"/>
  <c r="T2020" i="4"/>
  <c r="H2021" i="4"/>
  <c r="I2021" i="4"/>
  <c r="J2021" i="4"/>
  <c r="K2021" i="4"/>
  <c r="L2021" i="4"/>
  <c r="M2021" i="4"/>
  <c r="N2021" i="4"/>
  <c r="O2021" i="4"/>
  <c r="P2021" i="4"/>
  <c r="Q2021" i="4"/>
  <c r="R2021" i="4"/>
  <c r="S2021" i="4"/>
  <c r="T2021" i="4"/>
  <c r="H2022" i="4"/>
  <c r="I2022" i="4"/>
  <c r="J2022" i="4"/>
  <c r="K2022" i="4"/>
  <c r="L2022" i="4"/>
  <c r="M2022" i="4"/>
  <c r="N2022" i="4"/>
  <c r="O2022" i="4"/>
  <c r="P2022" i="4"/>
  <c r="Q2022" i="4"/>
  <c r="R2022" i="4"/>
  <c r="S2022" i="4"/>
  <c r="T2022" i="4"/>
  <c r="H2023" i="4"/>
  <c r="I2023" i="4"/>
  <c r="J2023" i="4"/>
  <c r="K2023" i="4"/>
  <c r="L2023" i="4"/>
  <c r="M2023" i="4"/>
  <c r="N2023" i="4"/>
  <c r="O2023" i="4"/>
  <c r="P2023" i="4"/>
  <c r="Q2023" i="4"/>
  <c r="R2023" i="4"/>
  <c r="S2023" i="4"/>
  <c r="T2023" i="4"/>
  <c r="H2024" i="4"/>
  <c r="I2024" i="4"/>
  <c r="J2024" i="4"/>
  <c r="K2024" i="4"/>
  <c r="L2024" i="4"/>
  <c r="M2024" i="4"/>
  <c r="N2024" i="4"/>
  <c r="O2024" i="4"/>
  <c r="P2024" i="4"/>
  <c r="Q2024" i="4"/>
  <c r="R2024" i="4"/>
  <c r="S2024" i="4"/>
  <c r="T2024" i="4"/>
  <c r="H2025" i="4"/>
  <c r="I2025" i="4"/>
  <c r="J2025" i="4"/>
  <c r="K2025" i="4"/>
  <c r="L2025" i="4"/>
  <c r="M2025" i="4"/>
  <c r="N2025" i="4"/>
  <c r="O2025" i="4"/>
  <c r="P2025" i="4"/>
  <c r="Q2025" i="4"/>
  <c r="R2025" i="4"/>
  <c r="S2025" i="4"/>
  <c r="T2025" i="4"/>
  <c r="H2026" i="4"/>
  <c r="I2026" i="4"/>
  <c r="J2026" i="4"/>
  <c r="K2026" i="4"/>
  <c r="L2026" i="4"/>
  <c r="M2026" i="4"/>
  <c r="N2026" i="4"/>
  <c r="O2026" i="4"/>
  <c r="P2026" i="4"/>
  <c r="Q2026" i="4"/>
  <c r="R2026" i="4"/>
  <c r="S2026" i="4"/>
  <c r="T2026" i="4"/>
  <c r="H2027" i="4"/>
  <c r="I2027" i="4"/>
  <c r="J2027" i="4"/>
  <c r="K2027" i="4"/>
  <c r="L2027" i="4"/>
  <c r="M2027" i="4"/>
  <c r="N2027" i="4"/>
  <c r="O2027" i="4"/>
  <c r="P2027" i="4"/>
  <c r="Q2027" i="4"/>
  <c r="R2027" i="4"/>
  <c r="S2027" i="4"/>
  <c r="T2027" i="4"/>
  <c r="H2028" i="4"/>
  <c r="I2028" i="4"/>
  <c r="J2028" i="4"/>
  <c r="K2028" i="4"/>
  <c r="L2028" i="4"/>
  <c r="M2028" i="4"/>
  <c r="N2028" i="4"/>
  <c r="O2028" i="4"/>
  <c r="P2028" i="4"/>
  <c r="Q2028" i="4"/>
  <c r="R2028" i="4"/>
  <c r="S2028" i="4"/>
  <c r="T2028" i="4"/>
  <c r="H2029" i="4"/>
  <c r="I2029" i="4"/>
  <c r="J2029" i="4"/>
  <c r="K2029" i="4"/>
  <c r="L2029" i="4"/>
  <c r="M2029" i="4"/>
  <c r="N2029" i="4"/>
  <c r="O2029" i="4"/>
  <c r="P2029" i="4"/>
  <c r="Q2029" i="4"/>
  <c r="R2029" i="4"/>
  <c r="S2029" i="4"/>
  <c r="T2029" i="4"/>
  <c r="H2030" i="4"/>
  <c r="I2030" i="4"/>
  <c r="J2030" i="4"/>
  <c r="K2030" i="4"/>
  <c r="L2030" i="4"/>
  <c r="M2030" i="4"/>
  <c r="N2030" i="4"/>
  <c r="O2030" i="4"/>
  <c r="P2030" i="4"/>
  <c r="Q2030" i="4"/>
  <c r="R2030" i="4"/>
  <c r="S2030" i="4"/>
  <c r="T2030" i="4"/>
  <c r="H2031" i="4"/>
  <c r="I2031" i="4"/>
  <c r="J2031" i="4"/>
  <c r="K2031" i="4"/>
  <c r="L2031" i="4"/>
  <c r="M2031" i="4"/>
  <c r="N2031" i="4"/>
  <c r="O2031" i="4"/>
  <c r="P2031" i="4"/>
  <c r="Q2031" i="4"/>
  <c r="R2031" i="4"/>
  <c r="S2031" i="4"/>
  <c r="T2031" i="4"/>
  <c r="H2032" i="4"/>
  <c r="I2032" i="4"/>
  <c r="J2032" i="4"/>
  <c r="K2032" i="4"/>
  <c r="L2032" i="4"/>
  <c r="M2032" i="4"/>
  <c r="N2032" i="4"/>
  <c r="O2032" i="4"/>
  <c r="P2032" i="4"/>
  <c r="Q2032" i="4"/>
  <c r="R2032" i="4"/>
  <c r="S2032" i="4"/>
  <c r="T2032" i="4"/>
  <c r="H2033" i="4"/>
  <c r="I2033" i="4"/>
  <c r="J2033" i="4"/>
  <c r="K2033" i="4"/>
  <c r="L2033" i="4"/>
  <c r="M2033" i="4"/>
  <c r="N2033" i="4"/>
  <c r="O2033" i="4"/>
  <c r="P2033" i="4"/>
  <c r="Q2033" i="4"/>
  <c r="R2033" i="4"/>
  <c r="S2033" i="4"/>
  <c r="T2033" i="4"/>
  <c r="H2034" i="4"/>
  <c r="I2034" i="4"/>
  <c r="J2034" i="4"/>
  <c r="K2034" i="4"/>
  <c r="L2034" i="4"/>
  <c r="M2034" i="4"/>
  <c r="N2034" i="4"/>
  <c r="O2034" i="4"/>
  <c r="P2034" i="4"/>
  <c r="Q2034" i="4"/>
  <c r="R2034" i="4"/>
  <c r="S2034" i="4"/>
  <c r="T2034" i="4"/>
  <c r="H2035" i="4"/>
  <c r="I2035" i="4"/>
  <c r="J2035" i="4"/>
  <c r="K2035" i="4"/>
  <c r="L2035" i="4"/>
  <c r="M2035" i="4"/>
  <c r="N2035" i="4"/>
  <c r="O2035" i="4"/>
  <c r="P2035" i="4"/>
  <c r="Q2035" i="4"/>
  <c r="R2035" i="4"/>
  <c r="S2035" i="4"/>
  <c r="T2035" i="4"/>
  <c r="H2036" i="4"/>
  <c r="I2036" i="4"/>
  <c r="J2036" i="4"/>
  <c r="K2036" i="4"/>
  <c r="L2036" i="4"/>
  <c r="M2036" i="4"/>
  <c r="N2036" i="4"/>
  <c r="O2036" i="4"/>
  <c r="P2036" i="4"/>
  <c r="Q2036" i="4"/>
  <c r="R2036" i="4"/>
  <c r="S2036" i="4"/>
  <c r="T2036" i="4"/>
  <c r="H2037" i="4"/>
  <c r="I2037" i="4"/>
  <c r="J2037" i="4"/>
  <c r="K2037" i="4"/>
  <c r="L2037" i="4"/>
  <c r="M2037" i="4"/>
  <c r="N2037" i="4"/>
  <c r="O2037" i="4"/>
  <c r="P2037" i="4"/>
  <c r="Q2037" i="4"/>
  <c r="R2037" i="4"/>
  <c r="S2037" i="4"/>
  <c r="T2037" i="4"/>
  <c r="H2038" i="4"/>
  <c r="I2038" i="4"/>
  <c r="J2038" i="4"/>
  <c r="K2038" i="4"/>
  <c r="L2038" i="4"/>
  <c r="M2038" i="4"/>
  <c r="N2038" i="4"/>
  <c r="O2038" i="4"/>
  <c r="P2038" i="4"/>
  <c r="Q2038" i="4"/>
  <c r="R2038" i="4"/>
  <c r="S2038" i="4"/>
  <c r="T2038" i="4"/>
  <c r="H2039" i="4"/>
  <c r="I2039" i="4"/>
  <c r="J2039" i="4"/>
  <c r="K2039" i="4"/>
  <c r="L2039" i="4"/>
  <c r="M2039" i="4"/>
  <c r="N2039" i="4"/>
  <c r="O2039" i="4"/>
  <c r="P2039" i="4"/>
  <c r="Q2039" i="4"/>
  <c r="R2039" i="4"/>
  <c r="S2039" i="4"/>
  <c r="T2039" i="4"/>
  <c r="H2040" i="4"/>
  <c r="I2040" i="4"/>
  <c r="J2040" i="4"/>
  <c r="K2040" i="4"/>
  <c r="L2040" i="4"/>
  <c r="M2040" i="4"/>
  <c r="N2040" i="4"/>
  <c r="O2040" i="4"/>
  <c r="P2040" i="4"/>
  <c r="Q2040" i="4"/>
  <c r="R2040" i="4"/>
  <c r="S2040" i="4"/>
  <c r="T2040" i="4"/>
  <c r="H2041" i="4"/>
  <c r="I2041" i="4"/>
  <c r="J2041" i="4"/>
  <c r="K2041" i="4"/>
  <c r="L2041" i="4"/>
  <c r="M2041" i="4"/>
  <c r="N2041" i="4"/>
  <c r="O2041" i="4"/>
  <c r="P2041" i="4"/>
  <c r="Q2041" i="4"/>
  <c r="R2041" i="4"/>
  <c r="S2041" i="4"/>
  <c r="T2041" i="4"/>
  <c r="H2042" i="4"/>
  <c r="I2042" i="4"/>
  <c r="J2042" i="4"/>
  <c r="K2042" i="4"/>
  <c r="L2042" i="4"/>
  <c r="M2042" i="4"/>
  <c r="N2042" i="4"/>
  <c r="O2042" i="4"/>
  <c r="P2042" i="4"/>
  <c r="Q2042" i="4"/>
  <c r="R2042" i="4"/>
  <c r="S2042" i="4"/>
  <c r="T2042" i="4"/>
  <c r="H2043" i="4"/>
  <c r="I2043" i="4"/>
  <c r="J2043" i="4"/>
  <c r="K2043" i="4"/>
  <c r="L2043" i="4"/>
  <c r="M2043" i="4"/>
  <c r="N2043" i="4"/>
  <c r="O2043" i="4"/>
  <c r="P2043" i="4"/>
  <c r="Q2043" i="4"/>
  <c r="R2043" i="4"/>
  <c r="S2043" i="4"/>
  <c r="T2043" i="4"/>
  <c r="H2044" i="4"/>
  <c r="I2044" i="4"/>
  <c r="J2044" i="4"/>
  <c r="K2044" i="4"/>
  <c r="L2044" i="4"/>
  <c r="M2044" i="4"/>
  <c r="N2044" i="4"/>
  <c r="O2044" i="4"/>
  <c r="P2044" i="4"/>
  <c r="Q2044" i="4"/>
  <c r="R2044" i="4"/>
  <c r="S2044" i="4"/>
  <c r="T2044" i="4"/>
  <c r="H2045" i="4"/>
  <c r="I2045" i="4"/>
  <c r="J2045" i="4"/>
  <c r="K2045" i="4"/>
  <c r="L2045" i="4"/>
  <c r="M2045" i="4"/>
  <c r="N2045" i="4"/>
  <c r="O2045" i="4"/>
  <c r="P2045" i="4"/>
  <c r="Q2045" i="4"/>
  <c r="R2045" i="4"/>
  <c r="S2045" i="4"/>
  <c r="T2045" i="4"/>
  <c r="H2046" i="4"/>
  <c r="I2046" i="4"/>
  <c r="J2046" i="4"/>
  <c r="K2046" i="4"/>
  <c r="L2046" i="4"/>
  <c r="M2046" i="4"/>
  <c r="N2046" i="4"/>
  <c r="O2046" i="4"/>
  <c r="P2046" i="4"/>
  <c r="Q2046" i="4"/>
  <c r="R2046" i="4"/>
  <c r="S2046" i="4"/>
  <c r="T2046" i="4"/>
  <c r="H2047" i="4"/>
  <c r="I2047" i="4"/>
  <c r="J2047" i="4"/>
  <c r="K2047" i="4"/>
  <c r="L2047" i="4"/>
  <c r="M2047" i="4"/>
  <c r="N2047" i="4"/>
  <c r="O2047" i="4"/>
  <c r="P2047" i="4"/>
  <c r="Q2047" i="4"/>
  <c r="R2047" i="4"/>
  <c r="S2047" i="4"/>
  <c r="T2047" i="4"/>
  <c r="H2048" i="4"/>
  <c r="I2048" i="4"/>
  <c r="J2048" i="4"/>
  <c r="K2048" i="4"/>
  <c r="L2048" i="4"/>
  <c r="M2048" i="4"/>
  <c r="N2048" i="4"/>
  <c r="O2048" i="4"/>
  <c r="P2048" i="4"/>
  <c r="Q2048" i="4"/>
  <c r="R2048" i="4"/>
  <c r="S2048" i="4"/>
  <c r="T2048" i="4"/>
  <c r="H2049" i="4"/>
  <c r="I2049" i="4"/>
  <c r="J2049" i="4"/>
  <c r="K2049" i="4"/>
  <c r="L2049" i="4"/>
  <c r="M2049" i="4"/>
  <c r="N2049" i="4"/>
  <c r="O2049" i="4"/>
  <c r="P2049" i="4"/>
  <c r="Q2049" i="4"/>
  <c r="R2049" i="4"/>
  <c r="S2049" i="4"/>
  <c r="T2049" i="4"/>
  <c r="H2050" i="4"/>
  <c r="I2050" i="4"/>
  <c r="J2050" i="4"/>
  <c r="K2050" i="4"/>
  <c r="L2050" i="4"/>
  <c r="M2050" i="4"/>
  <c r="N2050" i="4"/>
  <c r="O2050" i="4"/>
  <c r="P2050" i="4"/>
  <c r="Q2050" i="4"/>
  <c r="R2050" i="4"/>
  <c r="S2050" i="4"/>
  <c r="T2050" i="4"/>
  <c r="H2051" i="4"/>
  <c r="I2051" i="4"/>
  <c r="J2051" i="4"/>
  <c r="K2051" i="4"/>
  <c r="L2051" i="4"/>
  <c r="M2051" i="4"/>
  <c r="N2051" i="4"/>
  <c r="O2051" i="4"/>
  <c r="P2051" i="4"/>
  <c r="Q2051" i="4"/>
  <c r="R2051" i="4"/>
  <c r="S2051" i="4"/>
  <c r="T2051" i="4"/>
  <c r="H2052" i="4"/>
  <c r="I2052" i="4"/>
  <c r="J2052" i="4"/>
  <c r="K2052" i="4"/>
  <c r="L2052" i="4"/>
  <c r="M2052" i="4"/>
  <c r="N2052" i="4"/>
  <c r="O2052" i="4"/>
  <c r="P2052" i="4"/>
  <c r="Q2052" i="4"/>
  <c r="R2052" i="4"/>
  <c r="S2052" i="4"/>
  <c r="T2052" i="4"/>
  <c r="H2053" i="4"/>
  <c r="I2053" i="4"/>
  <c r="J2053" i="4"/>
  <c r="K2053" i="4"/>
  <c r="L2053" i="4"/>
  <c r="M2053" i="4"/>
  <c r="N2053" i="4"/>
  <c r="O2053" i="4"/>
  <c r="P2053" i="4"/>
  <c r="Q2053" i="4"/>
  <c r="R2053" i="4"/>
  <c r="S2053" i="4"/>
  <c r="T2053" i="4"/>
  <c r="H2054" i="4"/>
  <c r="I2054" i="4"/>
  <c r="J2054" i="4"/>
  <c r="K2054" i="4"/>
  <c r="L2054" i="4"/>
  <c r="M2054" i="4"/>
  <c r="N2054" i="4"/>
  <c r="O2054" i="4"/>
  <c r="P2054" i="4"/>
  <c r="Q2054" i="4"/>
  <c r="R2054" i="4"/>
  <c r="S2054" i="4"/>
  <c r="T2054" i="4"/>
  <c r="H2055" i="4"/>
  <c r="I2055" i="4"/>
  <c r="J2055" i="4"/>
  <c r="K2055" i="4"/>
  <c r="L2055" i="4"/>
  <c r="M2055" i="4"/>
  <c r="N2055" i="4"/>
  <c r="O2055" i="4"/>
  <c r="P2055" i="4"/>
  <c r="Q2055" i="4"/>
  <c r="R2055" i="4"/>
  <c r="S2055" i="4"/>
  <c r="T2055" i="4"/>
  <c r="H2056" i="4"/>
  <c r="I2056" i="4"/>
  <c r="J2056" i="4"/>
  <c r="K2056" i="4"/>
  <c r="L2056" i="4"/>
  <c r="M2056" i="4"/>
  <c r="N2056" i="4"/>
  <c r="O2056" i="4"/>
  <c r="P2056" i="4"/>
  <c r="Q2056" i="4"/>
  <c r="R2056" i="4"/>
  <c r="S2056" i="4"/>
  <c r="T2056" i="4"/>
  <c r="H2057" i="4"/>
  <c r="I2057" i="4"/>
  <c r="J2057" i="4"/>
  <c r="K2057" i="4"/>
  <c r="L2057" i="4"/>
  <c r="M2057" i="4"/>
  <c r="N2057" i="4"/>
  <c r="O2057" i="4"/>
  <c r="P2057" i="4"/>
  <c r="Q2057" i="4"/>
  <c r="R2057" i="4"/>
  <c r="S2057" i="4"/>
  <c r="T2057" i="4"/>
  <c r="H2058" i="4"/>
  <c r="I2058" i="4"/>
  <c r="J2058" i="4"/>
  <c r="K2058" i="4"/>
  <c r="L2058" i="4"/>
  <c r="M2058" i="4"/>
  <c r="N2058" i="4"/>
  <c r="O2058" i="4"/>
  <c r="P2058" i="4"/>
  <c r="Q2058" i="4"/>
  <c r="R2058" i="4"/>
  <c r="S2058" i="4"/>
  <c r="T2058" i="4"/>
  <c r="H2059" i="4"/>
  <c r="I2059" i="4"/>
  <c r="J2059" i="4"/>
  <c r="K2059" i="4"/>
  <c r="L2059" i="4"/>
  <c r="M2059" i="4"/>
  <c r="N2059" i="4"/>
  <c r="O2059" i="4"/>
  <c r="P2059" i="4"/>
  <c r="Q2059" i="4"/>
  <c r="R2059" i="4"/>
  <c r="S2059" i="4"/>
  <c r="T2059" i="4"/>
  <c r="H2060" i="4"/>
  <c r="I2060" i="4"/>
  <c r="J2060" i="4"/>
  <c r="K2060" i="4"/>
  <c r="L2060" i="4"/>
  <c r="M2060" i="4"/>
  <c r="N2060" i="4"/>
  <c r="O2060" i="4"/>
  <c r="P2060" i="4"/>
  <c r="Q2060" i="4"/>
  <c r="R2060" i="4"/>
  <c r="S2060" i="4"/>
  <c r="T2060" i="4"/>
  <c r="H2061" i="4"/>
  <c r="I2061" i="4"/>
  <c r="J2061" i="4"/>
  <c r="K2061" i="4"/>
  <c r="L2061" i="4"/>
  <c r="M2061" i="4"/>
  <c r="N2061" i="4"/>
  <c r="O2061" i="4"/>
  <c r="P2061" i="4"/>
  <c r="Q2061" i="4"/>
  <c r="R2061" i="4"/>
  <c r="S2061" i="4"/>
  <c r="T2061" i="4"/>
  <c r="H2062" i="4"/>
  <c r="I2062" i="4"/>
  <c r="J2062" i="4"/>
  <c r="K2062" i="4"/>
  <c r="L2062" i="4"/>
  <c r="M2062" i="4"/>
  <c r="N2062" i="4"/>
  <c r="O2062" i="4"/>
  <c r="P2062" i="4"/>
  <c r="Q2062" i="4"/>
  <c r="R2062" i="4"/>
  <c r="S2062" i="4"/>
  <c r="T2062" i="4"/>
  <c r="H2063" i="4"/>
  <c r="I2063" i="4"/>
  <c r="J2063" i="4"/>
  <c r="K2063" i="4"/>
  <c r="L2063" i="4"/>
  <c r="M2063" i="4"/>
  <c r="N2063" i="4"/>
  <c r="O2063" i="4"/>
  <c r="P2063" i="4"/>
  <c r="Q2063" i="4"/>
  <c r="R2063" i="4"/>
  <c r="S2063" i="4"/>
  <c r="T2063" i="4"/>
  <c r="H2064" i="4"/>
  <c r="I2064" i="4"/>
  <c r="J2064" i="4"/>
  <c r="K2064" i="4"/>
  <c r="L2064" i="4"/>
  <c r="M2064" i="4"/>
  <c r="N2064" i="4"/>
  <c r="O2064" i="4"/>
  <c r="P2064" i="4"/>
  <c r="Q2064" i="4"/>
  <c r="R2064" i="4"/>
  <c r="S2064" i="4"/>
  <c r="T2064" i="4"/>
  <c r="H2065" i="4"/>
  <c r="I2065" i="4"/>
  <c r="J2065" i="4"/>
  <c r="K2065" i="4"/>
  <c r="L2065" i="4"/>
  <c r="M2065" i="4"/>
  <c r="N2065" i="4"/>
  <c r="O2065" i="4"/>
  <c r="P2065" i="4"/>
  <c r="Q2065" i="4"/>
  <c r="R2065" i="4"/>
  <c r="S2065" i="4"/>
  <c r="T2065" i="4"/>
  <c r="H2066" i="4"/>
  <c r="I2066" i="4"/>
  <c r="J2066" i="4"/>
  <c r="K2066" i="4"/>
  <c r="L2066" i="4"/>
  <c r="M2066" i="4"/>
  <c r="N2066" i="4"/>
  <c r="O2066" i="4"/>
  <c r="P2066" i="4"/>
  <c r="Q2066" i="4"/>
  <c r="R2066" i="4"/>
  <c r="S2066" i="4"/>
  <c r="T2066" i="4"/>
  <c r="H2067" i="4"/>
  <c r="I2067" i="4"/>
  <c r="J2067" i="4"/>
  <c r="K2067" i="4"/>
  <c r="L2067" i="4"/>
  <c r="M2067" i="4"/>
  <c r="N2067" i="4"/>
  <c r="O2067" i="4"/>
  <c r="P2067" i="4"/>
  <c r="Q2067" i="4"/>
  <c r="R2067" i="4"/>
  <c r="S2067" i="4"/>
  <c r="T2067" i="4"/>
  <c r="H2068" i="4"/>
  <c r="I2068" i="4"/>
  <c r="J2068" i="4"/>
  <c r="K2068" i="4"/>
  <c r="L2068" i="4"/>
  <c r="M2068" i="4"/>
  <c r="N2068" i="4"/>
  <c r="O2068" i="4"/>
  <c r="P2068" i="4"/>
  <c r="Q2068" i="4"/>
  <c r="R2068" i="4"/>
  <c r="S2068" i="4"/>
  <c r="T2068" i="4"/>
  <c r="H2069" i="4"/>
  <c r="I2069" i="4"/>
  <c r="J2069" i="4"/>
  <c r="K2069" i="4"/>
  <c r="L2069" i="4"/>
  <c r="M2069" i="4"/>
  <c r="N2069" i="4"/>
  <c r="O2069" i="4"/>
  <c r="P2069" i="4"/>
  <c r="Q2069" i="4"/>
  <c r="R2069" i="4"/>
  <c r="S2069" i="4"/>
  <c r="T2069" i="4"/>
  <c r="H2070" i="4"/>
  <c r="I2070" i="4"/>
  <c r="J2070" i="4"/>
  <c r="K2070" i="4"/>
  <c r="L2070" i="4"/>
  <c r="M2070" i="4"/>
  <c r="N2070" i="4"/>
  <c r="O2070" i="4"/>
  <c r="P2070" i="4"/>
  <c r="Q2070" i="4"/>
  <c r="R2070" i="4"/>
  <c r="S2070" i="4"/>
  <c r="T2070" i="4"/>
  <c r="H2071" i="4"/>
  <c r="I2071" i="4"/>
  <c r="J2071" i="4"/>
  <c r="K2071" i="4"/>
  <c r="L2071" i="4"/>
  <c r="M2071" i="4"/>
  <c r="N2071" i="4"/>
  <c r="O2071" i="4"/>
  <c r="P2071" i="4"/>
  <c r="Q2071" i="4"/>
  <c r="R2071" i="4"/>
  <c r="S2071" i="4"/>
  <c r="T2071" i="4"/>
  <c r="H2072" i="4"/>
  <c r="I2072" i="4"/>
  <c r="J2072" i="4"/>
  <c r="K2072" i="4"/>
  <c r="L2072" i="4"/>
  <c r="M2072" i="4"/>
  <c r="N2072" i="4"/>
  <c r="O2072" i="4"/>
  <c r="P2072" i="4"/>
  <c r="Q2072" i="4"/>
  <c r="R2072" i="4"/>
  <c r="S2072" i="4"/>
  <c r="T2072" i="4"/>
  <c r="H2073" i="4"/>
  <c r="I2073" i="4"/>
  <c r="J2073" i="4"/>
  <c r="K2073" i="4"/>
  <c r="L2073" i="4"/>
  <c r="M2073" i="4"/>
  <c r="N2073" i="4"/>
  <c r="O2073" i="4"/>
  <c r="P2073" i="4"/>
  <c r="Q2073" i="4"/>
  <c r="R2073" i="4"/>
  <c r="S2073" i="4"/>
  <c r="T2073" i="4"/>
  <c r="H2074" i="4"/>
  <c r="I2074" i="4"/>
  <c r="J2074" i="4"/>
  <c r="K2074" i="4"/>
  <c r="L2074" i="4"/>
  <c r="M2074" i="4"/>
  <c r="N2074" i="4"/>
  <c r="O2074" i="4"/>
  <c r="P2074" i="4"/>
  <c r="Q2074" i="4"/>
  <c r="R2074" i="4"/>
  <c r="S2074" i="4"/>
  <c r="T2074" i="4"/>
  <c r="H2075" i="4"/>
  <c r="I2075" i="4"/>
  <c r="J2075" i="4"/>
  <c r="K2075" i="4"/>
  <c r="L2075" i="4"/>
  <c r="M2075" i="4"/>
  <c r="N2075" i="4"/>
  <c r="O2075" i="4"/>
  <c r="P2075" i="4"/>
  <c r="Q2075" i="4"/>
  <c r="R2075" i="4"/>
  <c r="S2075" i="4"/>
  <c r="T2075" i="4"/>
  <c r="H2076" i="4"/>
  <c r="I2076" i="4"/>
  <c r="J2076" i="4"/>
  <c r="K2076" i="4"/>
  <c r="L2076" i="4"/>
  <c r="M2076" i="4"/>
  <c r="N2076" i="4"/>
  <c r="O2076" i="4"/>
  <c r="P2076" i="4"/>
  <c r="Q2076" i="4"/>
  <c r="R2076" i="4"/>
  <c r="S2076" i="4"/>
  <c r="T2076" i="4"/>
  <c r="H2077" i="4"/>
  <c r="I2077" i="4"/>
  <c r="J2077" i="4"/>
  <c r="K2077" i="4"/>
  <c r="L2077" i="4"/>
  <c r="M2077" i="4"/>
  <c r="N2077" i="4"/>
  <c r="O2077" i="4"/>
  <c r="P2077" i="4"/>
  <c r="Q2077" i="4"/>
  <c r="R2077" i="4"/>
  <c r="S2077" i="4"/>
  <c r="T2077" i="4"/>
  <c r="H2078" i="4"/>
  <c r="I2078" i="4"/>
  <c r="J2078" i="4"/>
  <c r="K2078" i="4"/>
  <c r="L2078" i="4"/>
  <c r="M2078" i="4"/>
  <c r="N2078" i="4"/>
  <c r="O2078" i="4"/>
  <c r="P2078" i="4"/>
  <c r="Q2078" i="4"/>
  <c r="R2078" i="4"/>
  <c r="S2078" i="4"/>
  <c r="T2078" i="4"/>
  <c r="H2079" i="4"/>
  <c r="I2079" i="4"/>
  <c r="J2079" i="4"/>
  <c r="K2079" i="4"/>
  <c r="L2079" i="4"/>
  <c r="M2079" i="4"/>
  <c r="N2079" i="4"/>
  <c r="O2079" i="4"/>
  <c r="P2079" i="4"/>
  <c r="Q2079" i="4"/>
  <c r="R2079" i="4"/>
  <c r="S2079" i="4"/>
  <c r="T2079" i="4"/>
  <c r="H2080" i="4"/>
  <c r="I2080" i="4"/>
  <c r="J2080" i="4"/>
  <c r="K2080" i="4"/>
  <c r="L2080" i="4"/>
  <c r="M2080" i="4"/>
  <c r="N2080" i="4"/>
  <c r="O2080" i="4"/>
  <c r="P2080" i="4"/>
  <c r="Q2080" i="4"/>
  <c r="R2080" i="4"/>
  <c r="S2080" i="4"/>
  <c r="T2080" i="4"/>
  <c r="H2081" i="4"/>
  <c r="I2081" i="4"/>
  <c r="J2081" i="4"/>
  <c r="K2081" i="4"/>
  <c r="L2081" i="4"/>
  <c r="M2081" i="4"/>
  <c r="N2081" i="4"/>
  <c r="O2081" i="4"/>
  <c r="P2081" i="4"/>
  <c r="Q2081" i="4"/>
  <c r="R2081" i="4"/>
  <c r="S2081" i="4"/>
  <c r="T2081" i="4"/>
  <c r="H2082" i="4"/>
  <c r="I2082" i="4"/>
  <c r="J2082" i="4"/>
  <c r="K2082" i="4"/>
  <c r="L2082" i="4"/>
  <c r="M2082" i="4"/>
  <c r="N2082" i="4"/>
  <c r="O2082" i="4"/>
  <c r="P2082" i="4"/>
  <c r="Q2082" i="4"/>
  <c r="R2082" i="4"/>
  <c r="S2082" i="4"/>
  <c r="T2082" i="4"/>
  <c r="H2083" i="4"/>
  <c r="I2083" i="4"/>
  <c r="J2083" i="4"/>
  <c r="K2083" i="4"/>
  <c r="L2083" i="4"/>
  <c r="M2083" i="4"/>
  <c r="N2083" i="4"/>
  <c r="O2083" i="4"/>
  <c r="P2083" i="4"/>
  <c r="Q2083" i="4"/>
  <c r="R2083" i="4"/>
  <c r="S2083" i="4"/>
  <c r="T2083" i="4"/>
  <c r="H2084" i="4"/>
  <c r="I2084" i="4"/>
  <c r="J2084" i="4"/>
  <c r="K2084" i="4"/>
  <c r="L2084" i="4"/>
  <c r="M2084" i="4"/>
  <c r="N2084" i="4"/>
  <c r="O2084" i="4"/>
  <c r="P2084" i="4"/>
  <c r="Q2084" i="4"/>
  <c r="R2084" i="4"/>
  <c r="S2084" i="4"/>
  <c r="T2084" i="4"/>
  <c r="H2085" i="4"/>
  <c r="I2085" i="4"/>
  <c r="J2085" i="4"/>
  <c r="K2085" i="4"/>
  <c r="L2085" i="4"/>
  <c r="M2085" i="4"/>
  <c r="N2085" i="4"/>
  <c r="O2085" i="4"/>
  <c r="P2085" i="4"/>
  <c r="Q2085" i="4"/>
  <c r="R2085" i="4"/>
  <c r="S2085" i="4"/>
  <c r="T2085" i="4"/>
  <c r="H2086" i="4"/>
  <c r="I2086" i="4"/>
  <c r="J2086" i="4"/>
  <c r="K2086" i="4"/>
  <c r="L2086" i="4"/>
  <c r="M2086" i="4"/>
  <c r="N2086" i="4"/>
  <c r="O2086" i="4"/>
  <c r="P2086" i="4"/>
  <c r="Q2086" i="4"/>
  <c r="R2086" i="4"/>
  <c r="S2086" i="4"/>
  <c r="T2086" i="4"/>
  <c r="H2087" i="4"/>
  <c r="I2087" i="4"/>
  <c r="J2087" i="4"/>
  <c r="K2087" i="4"/>
  <c r="L2087" i="4"/>
  <c r="M2087" i="4"/>
  <c r="N2087" i="4"/>
  <c r="O2087" i="4"/>
  <c r="P2087" i="4"/>
  <c r="Q2087" i="4"/>
  <c r="R2087" i="4"/>
  <c r="S2087" i="4"/>
  <c r="T2087" i="4"/>
  <c r="H2088" i="4"/>
  <c r="I2088" i="4"/>
  <c r="J2088" i="4"/>
  <c r="K2088" i="4"/>
  <c r="L2088" i="4"/>
  <c r="M2088" i="4"/>
  <c r="N2088" i="4"/>
  <c r="O2088" i="4"/>
  <c r="P2088" i="4"/>
  <c r="Q2088" i="4"/>
  <c r="R2088" i="4"/>
  <c r="S2088" i="4"/>
  <c r="T2088" i="4"/>
  <c r="H2089" i="4"/>
  <c r="I2089" i="4"/>
  <c r="J2089" i="4"/>
  <c r="K2089" i="4"/>
  <c r="L2089" i="4"/>
  <c r="M2089" i="4"/>
  <c r="N2089" i="4"/>
  <c r="O2089" i="4"/>
  <c r="P2089" i="4"/>
  <c r="Q2089" i="4"/>
  <c r="R2089" i="4"/>
  <c r="S2089" i="4"/>
  <c r="T2089" i="4"/>
  <c r="H2090" i="4"/>
  <c r="I2090" i="4"/>
  <c r="J2090" i="4"/>
  <c r="K2090" i="4"/>
  <c r="L2090" i="4"/>
  <c r="M2090" i="4"/>
  <c r="N2090" i="4"/>
  <c r="O2090" i="4"/>
  <c r="P2090" i="4"/>
  <c r="Q2090" i="4"/>
  <c r="R2090" i="4"/>
  <c r="S2090" i="4"/>
  <c r="T2090" i="4"/>
  <c r="H2091" i="4"/>
  <c r="I2091" i="4"/>
  <c r="J2091" i="4"/>
  <c r="K2091" i="4"/>
  <c r="L2091" i="4"/>
  <c r="M2091" i="4"/>
  <c r="N2091" i="4"/>
  <c r="O2091" i="4"/>
  <c r="P2091" i="4"/>
  <c r="Q2091" i="4"/>
  <c r="R2091" i="4"/>
  <c r="S2091" i="4"/>
  <c r="T2091" i="4"/>
  <c r="H2092" i="4"/>
  <c r="I2092" i="4"/>
  <c r="J2092" i="4"/>
  <c r="K2092" i="4"/>
  <c r="L2092" i="4"/>
  <c r="M2092" i="4"/>
  <c r="N2092" i="4"/>
  <c r="O2092" i="4"/>
  <c r="P2092" i="4"/>
  <c r="Q2092" i="4"/>
  <c r="R2092" i="4"/>
  <c r="S2092" i="4"/>
  <c r="T2092" i="4"/>
  <c r="H2093" i="4"/>
  <c r="I2093" i="4"/>
  <c r="J2093" i="4"/>
  <c r="K2093" i="4"/>
  <c r="L2093" i="4"/>
  <c r="M2093" i="4"/>
  <c r="N2093" i="4"/>
  <c r="O2093" i="4"/>
  <c r="P2093" i="4"/>
  <c r="Q2093" i="4"/>
  <c r="R2093" i="4"/>
  <c r="S2093" i="4"/>
  <c r="T2093" i="4"/>
  <c r="H2094" i="4"/>
  <c r="I2094" i="4"/>
  <c r="J2094" i="4"/>
  <c r="K2094" i="4"/>
  <c r="L2094" i="4"/>
  <c r="M2094" i="4"/>
  <c r="N2094" i="4"/>
  <c r="O2094" i="4"/>
  <c r="P2094" i="4"/>
  <c r="Q2094" i="4"/>
  <c r="R2094" i="4"/>
  <c r="S2094" i="4"/>
  <c r="T2094" i="4"/>
  <c r="H2095" i="4"/>
  <c r="I2095" i="4"/>
  <c r="J2095" i="4"/>
  <c r="K2095" i="4"/>
  <c r="L2095" i="4"/>
  <c r="M2095" i="4"/>
  <c r="N2095" i="4"/>
  <c r="O2095" i="4"/>
  <c r="P2095" i="4"/>
  <c r="Q2095" i="4"/>
  <c r="R2095" i="4"/>
  <c r="S2095" i="4"/>
  <c r="T2095" i="4"/>
  <c r="H2096" i="4"/>
  <c r="I2096" i="4"/>
  <c r="J2096" i="4"/>
  <c r="K2096" i="4"/>
  <c r="L2096" i="4"/>
  <c r="M2096" i="4"/>
  <c r="N2096" i="4"/>
  <c r="O2096" i="4"/>
  <c r="P2096" i="4"/>
  <c r="Q2096" i="4"/>
  <c r="R2096" i="4"/>
  <c r="S2096" i="4"/>
  <c r="T2096" i="4"/>
  <c r="H2097" i="4"/>
  <c r="I2097" i="4"/>
  <c r="J2097" i="4"/>
  <c r="K2097" i="4"/>
  <c r="L2097" i="4"/>
  <c r="M2097" i="4"/>
  <c r="N2097" i="4"/>
  <c r="O2097" i="4"/>
  <c r="P2097" i="4"/>
  <c r="Q2097" i="4"/>
  <c r="R2097" i="4"/>
  <c r="S2097" i="4"/>
  <c r="T2097" i="4"/>
  <c r="H2098" i="4"/>
  <c r="I2098" i="4"/>
  <c r="J2098" i="4"/>
  <c r="K2098" i="4"/>
  <c r="L2098" i="4"/>
  <c r="M2098" i="4"/>
  <c r="N2098" i="4"/>
  <c r="O2098" i="4"/>
  <c r="P2098" i="4"/>
  <c r="Q2098" i="4"/>
  <c r="R2098" i="4"/>
  <c r="S2098" i="4"/>
  <c r="T2098" i="4"/>
  <c r="H2099" i="4"/>
  <c r="I2099" i="4"/>
  <c r="J2099" i="4"/>
  <c r="K2099" i="4"/>
  <c r="L2099" i="4"/>
  <c r="M2099" i="4"/>
  <c r="N2099" i="4"/>
  <c r="O2099" i="4"/>
  <c r="P2099" i="4"/>
  <c r="Q2099" i="4"/>
  <c r="R2099" i="4"/>
  <c r="S2099" i="4"/>
  <c r="T2099" i="4"/>
  <c r="H2100" i="4"/>
  <c r="I2100" i="4"/>
  <c r="J2100" i="4"/>
  <c r="K2100" i="4"/>
  <c r="L2100" i="4"/>
  <c r="M2100" i="4"/>
  <c r="N2100" i="4"/>
  <c r="O2100" i="4"/>
  <c r="P2100" i="4"/>
  <c r="Q2100" i="4"/>
  <c r="R2100" i="4"/>
  <c r="S2100" i="4"/>
  <c r="T2100" i="4"/>
  <c r="H2101" i="4"/>
  <c r="I2101" i="4"/>
  <c r="J2101" i="4"/>
  <c r="K2101" i="4"/>
  <c r="L2101" i="4"/>
  <c r="M2101" i="4"/>
  <c r="N2101" i="4"/>
  <c r="O2101" i="4"/>
  <c r="P2101" i="4"/>
  <c r="Q2101" i="4"/>
  <c r="R2101" i="4"/>
  <c r="S2101" i="4"/>
  <c r="T2101" i="4"/>
  <c r="H2102" i="4"/>
  <c r="I2102" i="4"/>
  <c r="J2102" i="4"/>
  <c r="K2102" i="4"/>
  <c r="L2102" i="4"/>
  <c r="M2102" i="4"/>
  <c r="N2102" i="4"/>
  <c r="O2102" i="4"/>
  <c r="P2102" i="4"/>
  <c r="Q2102" i="4"/>
  <c r="R2102" i="4"/>
  <c r="S2102" i="4"/>
  <c r="T2102" i="4"/>
  <c r="H2103" i="4"/>
  <c r="I2103" i="4"/>
  <c r="J2103" i="4"/>
  <c r="K2103" i="4"/>
  <c r="L2103" i="4"/>
  <c r="M2103" i="4"/>
  <c r="N2103" i="4"/>
  <c r="O2103" i="4"/>
  <c r="P2103" i="4"/>
  <c r="Q2103" i="4"/>
  <c r="R2103" i="4"/>
  <c r="S2103" i="4"/>
  <c r="T2103" i="4"/>
  <c r="H2104" i="4"/>
  <c r="I2104" i="4"/>
  <c r="J2104" i="4"/>
  <c r="K2104" i="4"/>
  <c r="L2104" i="4"/>
  <c r="M2104" i="4"/>
  <c r="N2104" i="4"/>
  <c r="O2104" i="4"/>
  <c r="P2104" i="4"/>
  <c r="Q2104" i="4"/>
  <c r="R2104" i="4"/>
  <c r="S2104" i="4"/>
  <c r="T2104" i="4"/>
  <c r="H2105" i="4"/>
  <c r="I2105" i="4"/>
  <c r="J2105" i="4"/>
  <c r="K2105" i="4"/>
  <c r="L2105" i="4"/>
  <c r="M2105" i="4"/>
  <c r="N2105" i="4"/>
  <c r="O2105" i="4"/>
  <c r="P2105" i="4"/>
  <c r="Q2105" i="4"/>
  <c r="R2105" i="4"/>
  <c r="S2105" i="4"/>
  <c r="T2105" i="4"/>
  <c r="H2106" i="4"/>
  <c r="I2106" i="4"/>
  <c r="J2106" i="4"/>
  <c r="K2106" i="4"/>
  <c r="L2106" i="4"/>
  <c r="M2106" i="4"/>
  <c r="N2106" i="4"/>
  <c r="O2106" i="4"/>
  <c r="P2106" i="4"/>
  <c r="Q2106" i="4"/>
  <c r="R2106" i="4"/>
  <c r="S2106" i="4"/>
  <c r="T2106" i="4"/>
  <c r="H2107" i="4"/>
  <c r="I2107" i="4"/>
  <c r="J2107" i="4"/>
  <c r="K2107" i="4"/>
  <c r="L2107" i="4"/>
  <c r="M2107" i="4"/>
  <c r="N2107" i="4"/>
  <c r="O2107" i="4"/>
  <c r="P2107" i="4"/>
  <c r="Q2107" i="4"/>
  <c r="R2107" i="4"/>
  <c r="S2107" i="4"/>
  <c r="T2107" i="4"/>
  <c r="H2108" i="4"/>
  <c r="I2108" i="4"/>
  <c r="J2108" i="4"/>
  <c r="K2108" i="4"/>
  <c r="L2108" i="4"/>
  <c r="M2108" i="4"/>
  <c r="N2108" i="4"/>
  <c r="O2108" i="4"/>
  <c r="P2108" i="4"/>
  <c r="Q2108" i="4"/>
  <c r="R2108" i="4"/>
  <c r="S2108" i="4"/>
  <c r="T2108" i="4"/>
  <c r="H2109" i="4"/>
  <c r="I2109" i="4"/>
  <c r="J2109" i="4"/>
  <c r="K2109" i="4"/>
  <c r="L2109" i="4"/>
  <c r="M2109" i="4"/>
  <c r="N2109" i="4"/>
  <c r="O2109" i="4"/>
  <c r="P2109" i="4"/>
  <c r="Q2109" i="4"/>
  <c r="R2109" i="4"/>
  <c r="S2109" i="4"/>
  <c r="T2109" i="4"/>
  <c r="H2110" i="4"/>
  <c r="I2110" i="4"/>
  <c r="J2110" i="4"/>
  <c r="K2110" i="4"/>
  <c r="L2110" i="4"/>
  <c r="M2110" i="4"/>
  <c r="N2110" i="4"/>
  <c r="O2110" i="4"/>
  <c r="P2110" i="4"/>
  <c r="Q2110" i="4"/>
  <c r="R2110" i="4"/>
  <c r="S2110" i="4"/>
  <c r="T2110" i="4"/>
  <c r="H2111" i="4"/>
  <c r="I2111" i="4"/>
  <c r="J2111" i="4"/>
  <c r="K2111" i="4"/>
  <c r="L2111" i="4"/>
  <c r="M2111" i="4"/>
  <c r="N2111" i="4"/>
  <c r="O2111" i="4"/>
  <c r="P2111" i="4"/>
  <c r="Q2111" i="4"/>
  <c r="R2111" i="4"/>
  <c r="S2111" i="4"/>
  <c r="T2111" i="4"/>
  <c r="H2112" i="4"/>
  <c r="I2112" i="4"/>
  <c r="J2112" i="4"/>
  <c r="K2112" i="4"/>
  <c r="L2112" i="4"/>
  <c r="M2112" i="4"/>
  <c r="N2112" i="4"/>
  <c r="O2112" i="4"/>
  <c r="P2112" i="4"/>
  <c r="Q2112" i="4"/>
  <c r="R2112" i="4"/>
  <c r="S2112" i="4"/>
  <c r="T2112" i="4"/>
  <c r="H2113" i="4"/>
  <c r="I2113" i="4"/>
  <c r="J2113" i="4"/>
  <c r="K2113" i="4"/>
  <c r="L2113" i="4"/>
  <c r="M2113" i="4"/>
  <c r="N2113" i="4"/>
  <c r="O2113" i="4"/>
  <c r="P2113" i="4"/>
  <c r="Q2113" i="4"/>
  <c r="R2113" i="4"/>
  <c r="S2113" i="4"/>
  <c r="T2113" i="4"/>
  <c r="H2114" i="4"/>
  <c r="I2114" i="4"/>
  <c r="J2114" i="4"/>
  <c r="K2114" i="4"/>
  <c r="L2114" i="4"/>
  <c r="M2114" i="4"/>
  <c r="N2114" i="4"/>
  <c r="O2114" i="4"/>
  <c r="P2114" i="4"/>
  <c r="Q2114" i="4"/>
  <c r="R2114" i="4"/>
  <c r="S2114" i="4"/>
  <c r="T2114" i="4"/>
  <c r="H2115" i="4"/>
  <c r="I2115" i="4"/>
  <c r="J2115" i="4"/>
  <c r="K2115" i="4"/>
  <c r="L2115" i="4"/>
  <c r="M2115" i="4"/>
  <c r="N2115" i="4"/>
  <c r="O2115" i="4"/>
  <c r="P2115" i="4"/>
  <c r="Q2115" i="4"/>
  <c r="R2115" i="4"/>
  <c r="S2115" i="4"/>
  <c r="T2115" i="4"/>
  <c r="H2116" i="4"/>
  <c r="I2116" i="4"/>
  <c r="J2116" i="4"/>
  <c r="K2116" i="4"/>
  <c r="L2116" i="4"/>
  <c r="M2116" i="4"/>
  <c r="N2116" i="4"/>
  <c r="O2116" i="4"/>
  <c r="P2116" i="4"/>
  <c r="Q2116" i="4"/>
  <c r="R2116" i="4"/>
  <c r="S2116" i="4"/>
  <c r="T2116" i="4"/>
  <c r="H2117" i="4"/>
  <c r="I2117" i="4"/>
  <c r="J2117" i="4"/>
  <c r="K2117" i="4"/>
  <c r="L2117" i="4"/>
  <c r="M2117" i="4"/>
  <c r="N2117" i="4"/>
  <c r="O2117" i="4"/>
  <c r="P2117" i="4"/>
  <c r="Q2117" i="4"/>
  <c r="R2117" i="4"/>
  <c r="S2117" i="4"/>
  <c r="T2117" i="4"/>
  <c r="H2118" i="4"/>
  <c r="I2118" i="4"/>
  <c r="J2118" i="4"/>
  <c r="K2118" i="4"/>
  <c r="L2118" i="4"/>
  <c r="M2118" i="4"/>
  <c r="N2118" i="4"/>
  <c r="O2118" i="4"/>
  <c r="P2118" i="4"/>
  <c r="Q2118" i="4"/>
  <c r="R2118" i="4"/>
  <c r="S2118" i="4"/>
  <c r="T2118" i="4"/>
  <c r="H2119" i="4"/>
  <c r="I2119" i="4"/>
  <c r="J2119" i="4"/>
  <c r="K2119" i="4"/>
  <c r="L2119" i="4"/>
  <c r="M2119" i="4"/>
  <c r="N2119" i="4"/>
  <c r="O2119" i="4"/>
  <c r="P2119" i="4"/>
  <c r="Q2119" i="4"/>
  <c r="R2119" i="4"/>
  <c r="S2119" i="4"/>
  <c r="T2119" i="4"/>
  <c r="H2120" i="4"/>
  <c r="I2120" i="4"/>
  <c r="J2120" i="4"/>
  <c r="K2120" i="4"/>
  <c r="L2120" i="4"/>
  <c r="M2120" i="4"/>
  <c r="N2120" i="4"/>
  <c r="O2120" i="4"/>
  <c r="P2120" i="4"/>
  <c r="Q2120" i="4"/>
  <c r="R2120" i="4"/>
  <c r="S2120" i="4"/>
  <c r="T2120" i="4"/>
  <c r="H2121" i="4"/>
  <c r="I2121" i="4"/>
  <c r="J2121" i="4"/>
  <c r="K2121" i="4"/>
  <c r="L2121" i="4"/>
  <c r="M2121" i="4"/>
  <c r="N2121" i="4"/>
  <c r="O2121" i="4"/>
  <c r="P2121" i="4"/>
  <c r="Q2121" i="4"/>
  <c r="R2121" i="4"/>
  <c r="S2121" i="4"/>
  <c r="T2121" i="4"/>
  <c r="H2122" i="4"/>
  <c r="I2122" i="4"/>
  <c r="J2122" i="4"/>
  <c r="K2122" i="4"/>
  <c r="L2122" i="4"/>
  <c r="M2122" i="4"/>
  <c r="N2122" i="4"/>
  <c r="O2122" i="4"/>
  <c r="P2122" i="4"/>
  <c r="Q2122" i="4"/>
  <c r="R2122" i="4"/>
  <c r="S2122" i="4"/>
  <c r="T2122" i="4"/>
  <c r="H2123" i="4"/>
  <c r="I2123" i="4"/>
  <c r="J2123" i="4"/>
  <c r="K2123" i="4"/>
  <c r="L2123" i="4"/>
  <c r="M2123" i="4"/>
  <c r="N2123" i="4"/>
  <c r="O2123" i="4"/>
  <c r="P2123" i="4"/>
  <c r="Q2123" i="4"/>
  <c r="R2123" i="4"/>
  <c r="S2123" i="4"/>
  <c r="T2123" i="4"/>
  <c r="H2124" i="4"/>
  <c r="I2124" i="4"/>
  <c r="J2124" i="4"/>
  <c r="K2124" i="4"/>
  <c r="L2124" i="4"/>
  <c r="M2124" i="4"/>
  <c r="N2124" i="4"/>
  <c r="O2124" i="4"/>
  <c r="P2124" i="4"/>
  <c r="Q2124" i="4"/>
  <c r="R2124" i="4"/>
  <c r="S2124" i="4"/>
  <c r="T2124" i="4"/>
  <c r="H2125" i="4"/>
  <c r="I2125" i="4"/>
  <c r="J2125" i="4"/>
  <c r="K2125" i="4"/>
  <c r="L2125" i="4"/>
  <c r="M2125" i="4"/>
  <c r="N2125" i="4"/>
  <c r="O2125" i="4"/>
  <c r="P2125" i="4"/>
  <c r="Q2125" i="4"/>
  <c r="R2125" i="4"/>
  <c r="S2125" i="4"/>
  <c r="T2125" i="4"/>
  <c r="H2126" i="4"/>
  <c r="I2126" i="4"/>
  <c r="J2126" i="4"/>
  <c r="K2126" i="4"/>
  <c r="L2126" i="4"/>
  <c r="M2126" i="4"/>
  <c r="N2126" i="4"/>
  <c r="O2126" i="4"/>
  <c r="P2126" i="4"/>
  <c r="Q2126" i="4"/>
  <c r="R2126" i="4"/>
  <c r="S2126" i="4"/>
  <c r="T2126" i="4"/>
  <c r="H2127" i="4"/>
  <c r="I2127" i="4"/>
  <c r="J2127" i="4"/>
  <c r="K2127" i="4"/>
  <c r="L2127" i="4"/>
  <c r="M2127" i="4"/>
  <c r="N2127" i="4"/>
  <c r="O2127" i="4"/>
  <c r="P2127" i="4"/>
  <c r="Q2127" i="4"/>
  <c r="R2127" i="4"/>
  <c r="S2127" i="4"/>
  <c r="T2127" i="4"/>
  <c r="H2128" i="4"/>
  <c r="I2128" i="4"/>
  <c r="J2128" i="4"/>
  <c r="K2128" i="4"/>
  <c r="L2128" i="4"/>
  <c r="M2128" i="4"/>
  <c r="N2128" i="4"/>
  <c r="O2128" i="4"/>
  <c r="P2128" i="4"/>
  <c r="Q2128" i="4"/>
  <c r="R2128" i="4"/>
  <c r="S2128" i="4"/>
  <c r="T2128" i="4"/>
  <c r="H2129" i="4"/>
  <c r="I2129" i="4"/>
  <c r="J2129" i="4"/>
  <c r="K2129" i="4"/>
  <c r="L2129" i="4"/>
  <c r="M2129" i="4"/>
  <c r="N2129" i="4"/>
  <c r="O2129" i="4"/>
  <c r="P2129" i="4"/>
  <c r="Q2129" i="4"/>
  <c r="R2129" i="4"/>
  <c r="S2129" i="4"/>
  <c r="T2129" i="4"/>
  <c r="H2130" i="4"/>
  <c r="I2130" i="4"/>
  <c r="J2130" i="4"/>
  <c r="K2130" i="4"/>
  <c r="L2130" i="4"/>
  <c r="M2130" i="4"/>
  <c r="N2130" i="4"/>
  <c r="O2130" i="4"/>
  <c r="P2130" i="4"/>
  <c r="Q2130" i="4"/>
  <c r="R2130" i="4"/>
  <c r="S2130" i="4"/>
  <c r="T2130" i="4"/>
  <c r="H2131" i="4"/>
  <c r="I2131" i="4"/>
  <c r="J2131" i="4"/>
  <c r="K2131" i="4"/>
  <c r="L2131" i="4"/>
  <c r="M2131" i="4"/>
  <c r="N2131" i="4"/>
  <c r="O2131" i="4"/>
  <c r="P2131" i="4"/>
  <c r="Q2131" i="4"/>
  <c r="R2131" i="4"/>
  <c r="S2131" i="4"/>
  <c r="T2131" i="4"/>
  <c r="H2132" i="4"/>
  <c r="I2132" i="4"/>
  <c r="J2132" i="4"/>
  <c r="K2132" i="4"/>
  <c r="L2132" i="4"/>
  <c r="M2132" i="4"/>
  <c r="N2132" i="4"/>
  <c r="O2132" i="4"/>
  <c r="P2132" i="4"/>
  <c r="Q2132" i="4"/>
  <c r="R2132" i="4"/>
  <c r="S2132" i="4"/>
  <c r="T2132" i="4"/>
  <c r="H2133" i="4"/>
  <c r="I2133" i="4"/>
  <c r="J2133" i="4"/>
  <c r="K2133" i="4"/>
  <c r="L2133" i="4"/>
  <c r="M2133" i="4"/>
  <c r="N2133" i="4"/>
  <c r="O2133" i="4"/>
  <c r="P2133" i="4"/>
  <c r="Q2133" i="4"/>
  <c r="R2133" i="4"/>
  <c r="S2133" i="4"/>
  <c r="T2133" i="4"/>
  <c r="H2134" i="4"/>
  <c r="I2134" i="4"/>
  <c r="J2134" i="4"/>
  <c r="K2134" i="4"/>
  <c r="L2134" i="4"/>
  <c r="M2134" i="4"/>
  <c r="N2134" i="4"/>
  <c r="O2134" i="4"/>
  <c r="P2134" i="4"/>
  <c r="Q2134" i="4"/>
  <c r="R2134" i="4"/>
  <c r="S2134" i="4"/>
  <c r="T2134" i="4"/>
  <c r="H2135" i="4"/>
  <c r="I2135" i="4"/>
  <c r="J2135" i="4"/>
  <c r="K2135" i="4"/>
  <c r="L2135" i="4"/>
  <c r="M2135" i="4"/>
  <c r="N2135" i="4"/>
  <c r="O2135" i="4"/>
  <c r="P2135" i="4"/>
  <c r="Q2135" i="4"/>
  <c r="R2135" i="4"/>
  <c r="S2135" i="4"/>
  <c r="T2135" i="4"/>
  <c r="H2136" i="4"/>
  <c r="I2136" i="4"/>
  <c r="J2136" i="4"/>
  <c r="K2136" i="4"/>
  <c r="L2136" i="4"/>
  <c r="M2136" i="4"/>
  <c r="N2136" i="4"/>
  <c r="O2136" i="4"/>
  <c r="P2136" i="4"/>
  <c r="Q2136" i="4"/>
  <c r="R2136" i="4"/>
  <c r="S2136" i="4"/>
  <c r="T2136" i="4"/>
  <c r="H2137" i="4"/>
  <c r="I2137" i="4"/>
  <c r="J2137" i="4"/>
  <c r="K2137" i="4"/>
  <c r="L2137" i="4"/>
  <c r="M2137" i="4"/>
  <c r="N2137" i="4"/>
  <c r="O2137" i="4"/>
  <c r="P2137" i="4"/>
  <c r="Q2137" i="4"/>
  <c r="R2137" i="4"/>
  <c r="S2137" i="4"/>
  <c r="T2137" i="4"/>
  <c r="H2138" i="4"/>
  <c r="I2138" i="4"/>
  <c r="J2138" i="4"/>
  <c r="K2138" i="4"/>
  <c r="L2138" i="4"/>
  <c r="M2138" i="4"/>
  <c r="N2138" i="4"/>
  <c r="O2138" i="4"/>
  <c r="P2138" i="4"/>
  <c r="Q2138" i="4"/>
  <c r="R2138" i="4"/>
  <c r="S2138" i="4"/>
  <c r="T2138" i="4"/>
  <c r="H2139" i="4"/>
  <c r="I2139" i="4"/>
  <c r="J2139" i="4"/>
  <c r="K2139" i="4"/>
  <c r="L2139" i="4"/>
  <c r="M2139" i="4"/>
  <c r="N2139" i="4"/>
  <c r="O2139" i="4"/>
  <c r="P2139" i="4"/>
  <c r="Q2139" i="4"/>
  <c r="R2139" i="4"/>
  <c r="S2139" i="4"/>
  <c r="T2139" i="4"/>
  <c r="H2140" i="4"/>
  <c r="I2140" i="4"/>
  <c r="J2140" i="4"/>
  <c r="K2140" i="4"/>
  <c r="L2140" i="4"/>
  <c r="M2140" i="4"/>
  <c r="N2140" i="4"/>
  <c r="O2140" i="4"/>
  <c r="P2140" i="4"/>
  <c r="Q2140" i="4"/>
  <c r="R2140" i="4"/>
  <c r="S2140" i="4"/>
  <c r="T2140" i="4"/>
  <c r="H2141" i="4"/>
  <c r="I2141" i="4"/>
  <c r="J2141" i="4"/>
  <c r="K2141" i="4"/>
  <c r="L2141" i="4"/>
  <c r="M2141" i="4"/>
  <c r="N2141" i="4"/>
  <c r="O2141" i="4"/>
  <c r="P2141" i="4"/>
  <c r="Q2141" i="4"/>
  <c r="R2141" i="4"/>
  <c r="S2141" i="4"/>
  <c r="T2141" i="4"/>
  <c r="H2142" i="4"/>
  <c r="I2142" i="4"/>
  <c r="J2142" i="4"/>
  <c r="K2142" i="4"/>
  <c r="L2142" i="4"/>
  <c r="M2142" i="4"/>
  <c r="N2142" i="4"/>
  <c r="O2142" i="4"/>
  <c r="P2142" i="4"/>
  <c r="Q2142" i="4"/>
  <c r="R2142" i="4"/>
  <c r="S2142" i="4"/>
  <c r="T2142" i="4"/>
  <c r="H2143" i="4"/>
  <c r="I2143" i="4"/>
  <c r="J2143" i="4"/>
  <c r="K2143" i="4"/>
  <c r="L2143" i="4"/>
  <c r="M2143" i="4"/>
  <c r="N2143" i="4"/>
  <c r="O2143" i="4"/>
  <c r="P2143" i="4"/>
  <c r="Q2143" i="4"/>
  <c r="R2143" i="4"/>
  <c r="S2143" i="4"/>
  <c r="T2143" i="4"/>
  <c r="H2144" i="4"/>
  <c r="I2144" i="4"/>
  <c r="J2144" i="4"/>
  <c r="K2144" i="4"/>
  <c r="L2144" i="4"/>
  <c r="M2144" i="4"/>
  <c r="N2144" i="4"/>
  <c r="O2144" i="4"/>
  <c r="P2144" i="4"/>
  <c r="Q2144" i="4"/>
  <c r="R2144" i="4"/>
  <c r="S2144" i="4"/>
  <c r="T2144" i="4"/>
  <c r="H2145" i="4"/>
  <c r="I2145" i="4"/>
  <c r="J2145" i="4"/>
  <c r="K2145" i="4"/>
  <c r="L2145" i="4"/>
  <c r="M2145" i="4"/>
  <c r="N2145" i="4"/>
  <c r="O2145" i="4"/>
  <c r="P2145" i="4"/>
  <c r="Q2145" i="4"/>
  <c r="R2145" i="4"/>
  <c r="S2145" i="4"/>
  <c r="T2145" i="4"/>
  <c r="H2146" i="4"/>
  <c r="I2146" i="4"/>
  <c r="J2146" i="4"/>
  <c r="K2146" i="4"/>
  <c r="L2146" i="4"/>
  <c r="M2146" i="4"/>
  <c r="N2146" i="4"/>
  <c r="O2146" i="4"/>
  <c r="P2146" i="4"/>
  <c r="Q2146" i="4"/>
  <c r="R2146" i="4"/>
  <c r="S2146" i="4"/>
  <c r="T2146" i="4"/>
  <c r="H2147" i="4"/>
  <c r="I2147" i="4"/>
  <c r="J2147" i="4"/>
  <c r="K2147" i="4"/>
  <c r="L2147" i="4"/>
  <c r="M2147" i="4"/>
  <c r="N2147" i="4"/>
  <c r="O2147" i="4"/>
  <c r="P2147" i="4"/>
  <c r="Q2147" i="4"/>
  <c r="R2147" i="4"/>
  <c r="S2147" i="4"/>
  <c r="T2147" i="4"/>
  <c r="H2148" i="4"/>
  <c r="I2148" i="4"/>
  <c r="J2148" i="4"/>
  <c r="K2148" i="4"/>
  <c r="L2148" i="4"/>
  <c r="M2148" i="4"/>
  <c r="N2148" i="4"/>
  <c r="O2148" i="4"/>
  <c r="P2148" i="4"/>
  <c r="Q2148" i="4"/>
  <c r="R2148" i="4"/>
  <c r="S2148" i="4"/>
  <c r="T2148" i="4"/>
  <c r="H2149" i="4"/>
  <c r="I2149" i="4"/>
  <c r="J2149" i="4"/>
  <c r="K2149" i="4"/>
  <c r="L2149" i="4"/>
  <c r="M2149" i="4"/>
  <c r="N2149" i="4"/>
  <c r="O2149" i="4"/>
  <c r="P2149" i="4"/>
  <c r="Q2149" i="4"/>
  <c r="R2149" i="4"/>
  <c r="S2149" i="4"/>
  <c r="T2149" i="4"/>
  <c r="H2150" i="4"/>
  <c r="I2150" i="4"/>
  <c r="J2150" i="4"/>
  <c r="K2150" i="4"/>
  <c r="L2150" i="4"/>
  <c r="M2150" i="4"/>
  <c r="N2150" i="4"/>
  <c r="O2150" i="4"/>
  <c r="P2150" i="4"/>
  <c r="Q2150" i="4"/>
  <c r="R2150" i="4"/>
  <c r="S2150" i="4"/>
  <c r="T2150" i="4"/>
  <c r="H2151" i="4"/>
  <c r="I2151" i="4"/>
  <c r="J2151" i="4"/>
  <c r="K2151" i="4"/>
  <c r="L2151" i="4"/>
  <c r="M2151" i="4"/>
  <c r="N2151" i="4"/>
  <c r="O2151" i="4"/>
  <c r="P2151" i="4"/>
  <c r="Q2151" i="4"/>
  <c r="R2151" i="4"/>
  <c r="S2151" i="4"/>
  <c r="T2151" i="4"/>
  <c r="H2152" i="4"/>
  <c r="I2152" i="4"/>
  <c r="J2152" i="4"/>
  <c r="K2152" i="4"/>
  <c r="L2152" i="4"/>
  <c r="M2152" i="4"/>
  <c r="N2152" i="4"/>
  <c r="O2152" i="4"/>
  <c r="P2152" i="4"/>
  <c r="Q2152" i="4"/>
  <c r="R2152" i="4"/>
  <c r="S2152" i="4"/>
  <c r="T2152" i="4"/>
  <c r="H2153" i="4"/>
  <c r="I2153" i="4"/>
  <c r="J2153" i="4"/>
  <c r="K2153" i="4"/>
  <c r="L2153" i="4"/>
  <c r="M2153" i="4"/>
  <c r="N2153" i="4"/>
  <c r="O2153" i="4"/>
  <c r="P2153" i="4"/>
  <c r="Q2153" i="4"/>
  <c r="R2153" i="4"/>
  <c r="S2153" i="4"/>
  <c r="T2153" i="4"/>
  <c r="H2154" i="4"/>
  <c r="I2154" i="4"/>
  <c r="J2154" i="4"/>
  <c r="K2154" i="4"/>
  <c r="L2154" i="4"/>
  <c r="M2154" i="4"/>
  <c r="N2154" i="4"/>
  <c r="O2154" i="4"/>
  <c r="P2154" i="4"/>
  <c r="Q2154" i="4"/>
  <c r="R2154" i="4"/>
  <c r="S2154" i="4"/>
  <c r="T2154" i="4"/>
  <c r="H2155" i="4"/>
  <c r="I2155" i="4"/>
  <c r="J2155" i="4"/>
  <c r="K2155" i="4"/>
  <c r="L2155" i="4"/>
  <c r="M2155" i="4"/>
  <c r="N2155" i="4"/>
  <c r="O2155" i="4"/>
  <c r="P2155" i="4"/>
  <c r="Q2155" i="4"/>
  <c r="R2155" i="4"/>
  <c r="S2155" i="4"/>
  <c r="T2155" i="4"/>
  <c r="H2156" i="4"/>
  <c r="I2156" i="4"/>
  <c r="J2156" i="4"/>
  <c r="K2156" i="4"/>
  <c r="L2156" i="4"/>
  <c r="M2156" i="4"/>
  <c r="N2156" i="4"/>
  <c r="O2156" i="4"/>
  <c r="P2156" i="4"/>
  <c r="Q2156" i="4"/>
  <c r="R2156" i="4"/>
  <c r="S2156" i="4"/>
  <c r="T2156" i="4"/>
  <c r="H2157" i="4"/>
  <c r="I2157" i="4"/>
  <c r="J2157" i="4"/>
  <c r="K2157" i="4"/>
  <c r="L2157" i="4"/>
  <c r="M2157" i="4"/>
  <c r="N2157" i="4"/>
  <c r="O2157" i="4"/>
  <c r="P2157" i="4"/>
  <c r="Q2157" i="4"/>
  <c r="R2157" i="4"/>
  <c r="S2157" i="4"/>
  <c r="T2157" i="4"/>
  <c r="H2158" i="4"/>
  <c r="I2158" i="4"/>
  <c r="J2158" i="4"/>
  <c r="K2158" i="4"/>
  <c r="L2158" i="4"/>
  <c r="M2158" i="4"/>
  <c r="N2158" i="4"/>
  <c r="O2158" i="4"/>
  <c r="P2158" i="4"/>
  <c r="Q2158" i="4"/>
  <c r="R2158" i="4"/>
  <c r="S2158" i="4"/>
  <c r="T2158" i="4"/>
  <c r="H2159" i="4"/>
  <c r="I2159" i="4"/>
  <c r="J2159" i="4"/>
  <c r="K2159" i="4"/>
  <c r="L2159" i="4"/>
  <c r="M2159" i="4"/>
  <c r="N2159" i="4"/>
  <c r="O2159" i="4"/>
  <c r="P2159" i="4"/>
  <c r="Q2159" i="4"/>
  <c r="R2159" i="4"/>
  <c r="S2159" i="4"/>
  <c r="T2159" i="4"/>
  <c r="H2160" i="4"/>
  <c r="I2160" i="4"/>
  <c r="J2160" i="4"/>
  <c r="K2160" i="4"/>
  <c r="L2160" i="4"/>
  <c r="M2160" i="4"/>
  <c r="N2160" i="4"/>
  <c r="O2160" i="4"/>
  <c r="P2160" i="4"/>
  <c r="Q2160" i="4"/>
  <c r="R2160" i="4"/>
  <c r="S2160" i="4"/>
  <c r="T2160" i="4"/>
  <c r="H2161" i="4"/>
  <c r="I2161" i="4"/>
  <c r="J2161" i="4"/>
  <c r="K2161" i="4"/>
  <c r="L2161" i="4"/>
  <c r="M2161" i="4"/>
  <c r="N2161" i="4"/>
  <c r="O2161" i="4"/>
  <c r="P2161" i="4"/>
  <c r="Q2161" i="4"/>
  <c r="R2161" i="4"/>
  <c r="S2161" i="4"/>
  <c r="T2161" i="4"/>
  <c r="H2162" i="4"/>
  <c r="I2162" i="4"/>
  <c r="J2162" i="4"/>
  <c r="K2162" i="4"/>
  <c r="L2162" i="4"/>
  <c r="M2162" i="4"/>
  <c r="N2162" i="4"/>
  <c r="O2162" i="4"/>
  <c r="P2162" i="4"/>
  <c r="Q2162" i="4"/>
  <c r="R2162" i="4"/>
  <c r="S2162" i="4"/>
  <c r="T2162" i="4"/>
  <c r="H2163" i="4"/>
  <c r="I2163" i="4"/>
  <c r="J2163" i="4"/>
  <c r="K2163" i="4"/>
  <c r="L2163" i="4"/>
  <c r="M2163" i="4"/>
  <c r="N2163" i="4"/>
  <c r="O2163" i="4"/>
  <c r="P2163" i="4"/>
  <c r="Q2163" i="4"/>
  <c r="R2163" i="4"/>
  <c r="S2163" i="4"/>
  <c r="T2163" i="4"/>
  <c r="H2164" i="4"/>
  <c r="I2164" i="4"/>
  <c r="J2164" i="4"/>
  <c r="K2164" i="4"/>
  <c r="L2164" i="4"/>
  <c r="M2164" i="4"/>
  <c r="N2164" i="4"/>
  <c r="O2164" i="4"/>
  <c r="P2164" i="4"/>
  <c r="Q2164" i="4"/>
  <c r="R2164" i="4"/>
  <c r="S2164" i="4"/>
  <c r="T2164" i="4"/>
  <c r="H2165" i="4"/>
  <c r="I2165" i="4"/>
  <c r="J2165" i="4"/>
  <c r="K2165" i="4"/>
  <c r="L2165" i="4"/>
  <c r="M2165" i="4"/>
  <c r="N2165" i="4"/>
  <c r="O2165" i="4"/>
  <c r="P2165" i="4"/>
  <c r="Q2165" i="4"/>
  <c r="R2165" i="4"/>
  <c r="S2165" i="4"/>
  <c r="T2165" i="4"/>
  <c r="H2166" i="4"/>
  <c r="I2166" i="4"/>
  <c r="J2166" i="4"/>
  <c r="K2166" i="4"/>
  <c r="L2166" i="4"/>
  <c r="M2166" i="4"/>
  <c r="N2166" i="4"/>
  <c r="O2166" i="4"/>
  <c r="P2166" i="4"/>
  <c r="Q2166" i="4"/>
  <c r="R2166" i="4"/>
  <c r="S2166" i="4"/>
  <c r="T2166" i="4"/>
  <c r="H2167" i="4"/>
  <c r="I2167" i="4"/>
  <c r="J2167" i="4"/>
  <c r="K2167" i="4"/>
  <c r="L2167" i="4"/>
  <c r="M2167" i="4"/>
  <c r="N2167" i="4"/>
  <c r="O2167" i="4"/>
  <c r="P2167" i="4"/>
  <c r="Q2167" i="4"/>
  <c r="R2167" i="4"/>
  <c r="S2167" i="4"/>
  <c r="T2167" i="4"/>
  <c r="H2168" i="4"/>
  <c r="I2168" i="4"/>
  <c r="J2168" i="4"/>
  <c r="K2168" i="4"/>
  <c r="L2168" i="4"/>
  <c r="M2168" i="4"/>
  <c r="N2168" i="4"/>
  <c r="O2168" i="4"/>
  <c r="P2168" i="4"/>
  <c r="Q2168" i="4"/>
  <c r="R2168" i="4"/>
  <c r="S2168" i="4"/>
  <c r="T2168" i="4"/>
  <c r="H2169" i="4"/>
  <c r="I2169" i="4"/>
  <c r="J2169" i="4"/>
  <c r="K2169" i="4"/>
  <c r="L2169" i="4"/>
  <c r="M2169" i="4"/>
  <c r="N2169" i="4"/>
  <c r="O2169" i="4"/>
  <c r="P2169" i="4"/>
  <c r="Q2169" i="4"/>
  <c r="R2169" i="4"/>
  <c r="S2169" i="4"/>
  <c r="T2169" i="4"/>
  <c r="H2170" i="4"/>
  <c r="I2170" i="4"/>
  <c r="J2170" i="4"/>
  <c r="K2170" i="4"/>
  <c r="L2170" i="4"/>
  <c r="M2170" i="4"/>
  <c r="N2170" i="4"/>
  <c r="O2170" i="4"/>
  <c r="P2170" i="4"/>
  <c r="Q2170" i="4"/>
  <c r="R2170" i="4"/>
  <c r="S2170" i="4"/>
  <c r="T2170" i="4"/>
  <c r="H2171" i="4"/>
  <c r="I2171" i="4"/>
  <c r="J2171" i="4"/>
  <c r="K2171" i="4"/>
  <c r="L2171" i="4"/>
  <c r="M2171" i="4"/>
  <c r="N2171" i="4"/>
  <c r="O2171" i="4"/>
  <c r="P2171" i="4"/>
  <c r="Q2171" i="4"/>
  <c r="R2171" i="4"/>
  <c r="S2171" i="4"/>
  <c r="T2171" i="4"/>
  <c r="H2172" i="4"/>
  <c r="I2172" i="4"/>
  <c r="J2172" i="4"/>
  <c r="K2172" i="4"/>
  <c r="L2172" i="4"/>
  <c r="M2172" i="4"/>
  <c r="N2172" i="4"/>
  <c r="O2172" i="4"/>
  <c r="P2172" i="4"/>
  <c r="Q2172" i="4"/>
  <c r="R2172" i="4"/>
  <c r="S2172" i="4"/>
  <c r="T2172" i="4"/>
  <c r="H2173" i="4"/>
  <c r="I2173" i="4"/>
  <c r="J2173" i="4"/>
  <c r="K2173" i="4"/>
  <c r="L2173" i="4"/>
  <c r="M2173" i="4"/>
  <c r="N2173" i="4"/>
  <c r="O2173" i="4"/>
  <c r="P2173" i="4"/>
  <c r="Q2173" i="4"/>
  <c r="R2173" i="4"/>
  <c r="S2173" i="4"/>
  <c r="T2173" i="4"/>
  <c r="H2174" i="4"/>
  <c r="I2174" i="4"/>
  <c r="J2174" i="4"/>
  <c r="K2174" i="4"/>
  <c r="L2174" i="4"/>
  <c r="M2174" i="4"/>
  <c r="N2174" i="4"/>
  <c r="O2174" i="4"/>
  <c r="P2174" i="4"/>
  <c r="Q2174" i="4"/>
  <c r="R2174" i="4"/>
  <c r="S2174" i="4"/>
  <c r="T2174" i="4"/>
  <c r="H2175" i="4"/>
  <c r="I2175" i="4"/>
  <c r="J2175" i="4"/>
  <c r="K2175" i="4"/>
  <c r="L2175" i="4"/>
  <c r="M2175" i="4"/>
  <c r="N2175" i="4"/>
  <c r="O2175" i="4"/>
  <c r="P2175" i="4"/>
  <c r="Q2175" i="4"/>
  <c r="R2175" i="4"/>
  <c r="S2175" i="4"/>
  <c r="T2175" i="4"/>
  <c r="H2176" i="4"/>
  <c r="I2176" i="4"/>
  <c r="J2176" i="4"/>
  <c r="K2176" i="4"/>
  <c r="L2176" i="4"/>
  <c r="M2176" i="4"/>
  <c r="N2176" i="4"/>
  <c r="O2176" i="4"/>
  <c r="P2176" i="4"/>
  <c r="Q2176" i="4"/>
  <c r="R2176" i="4"/>
  <c r="S2176" i="4"/>
  <c r="T2176" i="4"/>
  <c r="H2177" i="4"/>
  <c r="I2177" i="4"/>
  <c r="J2177" i="4"/>
  <c r="K2177" i="4"/>
  <c r="L2177" i="4"/>
  <c r="M2177" i="4"/>
  <c r="N2177" i="4"/>
  <c r="O2177" i="4"/>
  <c r="P2177" i="4"/>
  <c r="Q2177" i="4"/>
  <c r="R2177" i="4"/>
  <c r="S2177" i="4"/>
  <c r="T2177" i="4"/>
  <c r="H2178" i="4"/>
  <c r="I2178" i="4"/>
  <c r="J2178" i="4"/>
  <c r="K2178" i="4"/>
  <c r="L2178" i="4"/>
  <c r="M2178" i="4"/>
  <c r="N2178" i="4"/>
  <c r="O2178" i="4"/>
  <c r="P2178" i="4"/>
  <c r="Q2178" i="4"/>
  <c r="R2178" i="4"/>
  <c r="S2178" i="4"/>
  <c r="T2178" i="4"/>
  <c r="H2179" i="4"/>
  <c r="I2179" i="4"/>
  <c r="J2179" i="4"/>
  <c r="K2179" i="4"/>
  <c r="L2179" i="4"/>
  <c r="M2179" i="4"/>
  <c r="N2179" i="4"/>
  <c r="O2179" i="4"/>
  <c r="P2179" i="4"/>
  <c r="Q2179" i="4"/>
  <c r="R2179" i="4"/>
  <c r="S2179" i="4"/>
  <c r="T2179" i="4"/>
  <c r="H2180" i="4"/>
  <c r="I2180" i="4"/>
  <c r="J2180" i="4"/>
  <c r="K2180" i="4"/>
  <c r="L2180" i="4"/>
  <c r="M2180" i="4"/>
  <c r="N2180" i="4"/>
  <c r="O2180" i="4"/>
  <c r="P2180" i="4"/>
  <c r="Q2180" i="4"/>
  <c r="R2180" i="4"/>
  <c r="S2180" i="4"/>
  <c r="T2180" i="4"/>
  <c r="H2181" i="4"/>
  <c r="I2181" i="4"/>
  <c r="J2181" i="4"/>
  <c r="K2181" i="4"/>
  <c r="L2181" i="4"/>
  <c r="M2181" i="4"/>
  <c r="N2181" i="4"/>
  <c r="O2181" i="4"/>
  <c r="P2181" i="4"/>
  <c r="Q2181" i="4"/>
  <c r="R2181" i="4"/>
  <c r="S2181" i="4"/>
  <c r="T2181" i="4"/>
  <c r="H2182" i="4"/>
  <c r="I2182" i="4"/>
  <c r="J2182" i="4"/>
  <c r="K2182" i="4"/>
  <c r="L2182" i="4"/>
  <c r="M2182" i="4"/>
  <c r="N2182" i="4"/>
  <c r="O2182" i="4"/>
  <c r="P2182" i="4"/>
  <c r="Q2182" i="4"/>
  <c r="R2182" i="4"/>
  <c r="S2182" i="4"/>
  <c r="T2182" i="4"/>
  <c r="H2183" i="4"/>
  <c r="I2183" i="4"/>
  <c r="J2183" i="4"/>
  <c r="K2183" i="4"/>
  <c r="L2183" i="4"/>
  <c r="M2183" i="4"/>
  <c r="N2183" i="4"/>
  <c r="O2183" i="4"/>
  <c r="P2183" i="4"/>
  <c r="Q2183" i="4"/>
  <c r="R2183" i="4"/>
  <c r="S2183" i="4"/>
  <c r="T2183" i="4"/>
  <c r="H2184" i="4"/>
  <c r="I2184" i="4"/>
  <c r="J2184" i="4"/>
  <c r="K2184" i="4"/>
  <c r="L2184" i="4"/>
  <c r="M2184" i="4"/>
  <c r="N2184" i="4"/>
  <c r="O2184" i="4"/>
  <c r="P2184" i="4"/>
  <c r="Q2184" i="4"/>
  <c r="R2184" i="4"/>
  <c r="S2184" i="4"/>
  <c r="T2184" i="4"/>
  <c r="H2185" i="4"/>
  <c r="I2185" i="4"/>
  <c r="J2185" i="4"/>
  <c r="K2185" i="4"/>
  <c r="L2185" i="4"/>
  <c r="M2185" i="4"/>
  <c r="N2185" i="4"/>
  <c r="O2185" i="4"/>
  <c r="P2185" i="4"/>
  <c r="Q2185" i="4"/>
  <c r="R2185" i="4"/>
  <c r="S2185" i="4"/>
  <c r="T2185" i="4"/>
  <c r="H2186" i="4"/>
  <c r="I2186" i="4"/>
  <c r="J2186" i="4"/>
  <c r="K2186" i="4"/>
  <c r="L2186" i="4"/>
  <c r="M2186" i="4"/>
  <c r="N2186" i="4"/>
  <c r="O2186" i="4"/>
  <c r="P2186" i="4"/>
  <c r="Q2186" i="4"/>
  <c r="R2186" i="4"/>
  <c r="S2186" i="4"/>
  <c r="T2186" i="4"/>
  <c r="H2187" i="4"/>
  <c r="I2187" i="4"/>
  <c r="J2187" i="4"/>
  <c r="K2187" i="4"/>
  <c r="L2187" i="4"/>
  <c r="M2187" i="4"/>
  <c r="N2187" i="4"/>
  <c r="O2187" i="4"/>
  <c r="P2187" i="4"/>
  <c r="Q2187" i="4"/>
  <c r="R2187" i="4"/>
  <c r="S2187" i="4"/>
  <c r="T2187" i="4"/>
  <c r="H2188" i="4"/>
  <c r="I2188" i="4"/>
  <c r="J2188" i="4"/>
  <c r="K2188" i="4"/>
  <c r="L2188" i="4"/>
  <c r="M2188" i="4"/>
  <c r="N2188" i="4"/>
  <c r="O2188" i="4"/>
  <c r="P2188" i="4"/>
  <c r="Q2188" i="4"/>
  <c r="R2188" i="4"/>
  <c r="S2188" i="4"/>
  <c r="T2188" i="4"/>
  <c r="H2189" i="4"/>
  <c r="I2189" i="4"/>
  <c r="J2189" i="4"/>
  <c r="K2189" i="4"/>
  <c r="L2189" i="4"/>
  <c r="M2189" i="4"/>
  <c r="N2189" i="4"/>
  <c r="O2189" i="4"/>
  <c r="P2189" i="4"/>
  <c r="Q2189" i="4"/>
  <c r="R2189" i="4"/>
  <c r="S2189" i="4"/>
  <c r="T2189" i="4"/>
  <c r="H2190" i="4"/>
  <c r="I2190" i="4"/>
  <c r="J2190" i="4"/>
  <c r="K2190" i="4"/>
  <c r="L2190" i="4"/>
  <c r="M2190" i="4"/>
  <c r="N2190" i="4"/>
  <c r="O2190" i="4"/>
  <c r="P2190" i="4"/>
  <c r="Q2190" i="4"/>
  <c r="R2190" i="4"/>
  <c r="S2190" i="4"/>
  <c r="T2190" i="4"/>
  <c r="H2191" i="4"/>
  <c r="I2191" i="4"/>
  <c r="J2191" i="4"/>
  <c r="K2191" i="4"/>
  <c r="L2191" i="4"/>
  <c r="M2191" i="4"/>
  <c r="N2191" i="4"/>
  <c r="O2191" i="4"/>
  <c r="P2191" i="4"/>
  <c r="Q2191" i="4"/>
  <c r="R2191" i="4"/>
  <c r="S2191" i="4"/>
  <c r="T2191" i="4"/>
  <c r="H2192" i="4"/>
  <c r="I2192" i="4"/>
  <c r="J2192" i="4"/>
  <c r="K2192" i="4"/>
  <c r="L2192" i="4"/>
  <c r="M2192" i="4"/>
  <c r="N2192" i="4"/>
  <c r="O2192" i="4"/>
  <c r="P2192" i="4"/>
  <c r="Q2192" i="4"/>
  <c r="R2192" i="4"/>
  <c r="S2192" i="4"/>
  <c r="T2192" i="4"/>
  <c r="H2193" i="4"/>
  <c r="I2193" i="4"/>
  <c r="J2193" i="4"/>
  <c r="K2193" i="4"/>
  <c r="L2193" i="4"/>
  <c r="M2193" i="4"/>
  <c r="N2193" i="4"/>
  <c r="O2193" i="4"/>
  <c r="P2193" i="4"/>
  <c r="Q2193" i="4"/>
  <c r="R2193" i="4"/>
  <c r="S2193" i="4"/>
  <c r="T2193" i="4"/>
  <c r="H2194" i="4"/>
  <c r="I2194" i="4"/>
  <c r="J2194" i="4"/>
  <c r="K2194" i="4"/>
  <c r="L2194" i="4"/>
  <c r="M2194" i="4"/>
  <c r="N2194" i="4"/>
  <c r="O2194" i="4"/>
  <c r="P2194" i="4"/>
  <c r="Q2194" i="4"/>
  <c r="R2194" i="4"/>
  <c r="S2194" i="4"/>
  <c r="T2194" i="4"/>
  <c r="H2195" i="4"/>
  <c r="I2195" i="4"/>
  <c r="J2195" i="4"/>
  <c r="K2195" i="4"/>
  <c r="L2195" i="4"/>
  <c r="M2195" i="4"/>
  <c r="N2195" i="4"/>
  <c r="O2195" i="4"/>
  <c r="P2195" i="4"/>
  <c r="Q2195" i="4"/>
  <c r="R2195" i="4"/>
  <c r="S2195" i="4"/>
  <c r="T2195" i="4"/>
  <c r="H2196" i="4"/>
  <c r="I2196" i="4"/>
  <c r="J2196" i="4"/>
  <c r="K2196" i="4"/>
  <c r="L2196" i="4"/>
  <c r="M2196" i="4"/>
  <c r="N2196" i="4"/>
  <c r="O2196" i="4"/>
  <c r="P2196" i="4"/>
  <c r="Q2196" i="4"/>
  <c r="R2196" i="4"/>
  <c r="S2196" i="4"/>
  <c r="T2196" i="4"/>
  <c r="H2197" i="4"/>
  <c r="I2197" i="4"/>
  <c r="J2197" i="4"/>
  <c r="K2197" i="4"/>
  <c r="L2197" i="4"/>
  <c r="M2197" i="4"/>
  <c r="N2197" i="4"/>
  <c r="O2197" i="4"/>
  <c r="P2197" i="4"/>
  <c r="Q2197" i="4"/>
  <c r="R2197" i="4"/>
  <c r="S2197" i="4"/>
  <c r="T2197" i="4"/>
  <c r="H2198" i="4"/>
  <c r="I2198" i="4"/>
  <c r="J2198" i="4"/>
  <c r="K2198" i="4"/>
  <c r="L2198" i="4"/>
  <c r="M2198" i="4"/>
  <c r="N2198" i="4"/>
  <c r="O2198" i="4"/>
  <c r="P2198" i="4"/>
  <c r="Q2198" i="4"/>
  <c r="R2198" i="4"/>
  <c r="S2198" i="4"/>
  <c r="T2198" i="4"/>
  <c r="H2199" i="4"/>
  <c r="I2199" i="4"/>
  <c r="J2199" i="4"/>
  <c r="K2199" i="4"/>
  <c r="L2199" i="4"/>
  <c r="M2199" i="4"/>
  <c r="N2199" i="4"/>
  <c r="O2199" i="4"/>
  <c r="P2199" i="4"/>
  <c r="Q2199" i="4"/>
  <c r="R2199" i="4"/>
  <c r="S2199" i="4"/>
  <c r="T2199" i="4"/>
  <c r="H2200" i="4"/>
  <c r="I2200" i="4"/>
  <c r="J2200" i="4"/>
  <c r="K2200" i="4"/>
  <c r="L2200" i="4"/>
  <c r="M2200" i="4"/>
  <c r="N2200" i="4"/>
  <c r="O2200" i="4"/>
  <c r="P2200" i="4"/>
  <c r="Q2200" i="4"/>
  <c r="R2200" i="4"/>
  <c r="S2200" i="4"/>
  <c r="T2200" i="4"/>
  <c r="H2201" i="4"/>
  <c r="I2201" i="4"/>
  <c r="J2201" i="4"/>
  <c r="K2201" i="4"/>
  <c r="L2201" i="4"/>
  <c r="M2201" i="4"/>
  <c r="N2201" i="4"/>
  <c r="O2201" i="4"/>
  <c r="P2201" i="4"/>
  <c r="Q2201" i="4"/>
  <c r="R2201" i="4"/>
  <c r="S2201" i="4"/>
  <c r="T2201" i="4"/>
  <c r="H2202" i="4"/>
  <c r="I2202" i="4"/>
  <c r="J2202" i="4"/>
  <c r="K2202" i="4"/>
  <c r="L2202" i="4"/>
  <c r="M2202" i="4"/>
  <c r="N2202" i="4"/>
  <c r="O2202" i="4"/>
  <c r="P2202" i="4"/>
  <c r="Q2202" i="4"/>
  <c r="R2202" i="4"/>
  <c r="S2202" i="4"/>
  <c r="T2202" i="4"/>
  <c r="H2203" i="4"/>
  <c r="I2203" i="4"/>
  <c r="J2203" i="4"/>
  <c r="K2203" i="4"/>
  <c r="L2203" i="4"/>
  <c r="M2203" i="4"/>
  <c r="N2203" i="4"/>
  <c r="O2203" i="4"/>
  <c r="P2203" i="4"/>
  <c r="Q2203" i="4"/>
  <c r="R2203" i="4"/>
  <c r="S2203" i="4"/>
  <c r="T2203" i="4"/>
  <c r="H2204" i="4"/>
  <c r="I2204" i="4"/>
  <c r="J2204" i="4"/>
  <c r="K2204" i="4"/>
  <c r="L2204" i="4"/>
  <c r="M2204" i="4"/>
  <c r="N2204" i="4"/>
  <c r="O2204" i="4"/>
  <c r="P2204" i="4"/>
  <c r="Q2204" i="4"/>
  <c r="R2204" i="4"/>
  <c r="S2204" i="4"/>
  <c r="T2204" i="4"/>
  <c r="H2205" i="4"/>
  <c r="I2205" i="4"/>
  <c r="J2205" i="4"/>
  <c r="K2205" i="4"/>
  <c r="L2205" i="4"/>
  <c r="M2205" i="4"/>
  <c r="N2205" i="4"/>
  <c r="O2205" i="4"/>
  <c r="P2205" i="4"/>
  <c r="Q2205" i="4"/>
  <c r="R2205" i="4"/>
  <c r="S2205" i="4"/>
  <c r="T2205" i="4"/>
  <c r="H2206" i="4"/>
  <c r="I2206" i="4"/>
  <c r="J2206" i="4"/>
  <c r="K2206" i="4"/>
  <c r="L2206" i="4"/>
  <c r="M2206" i="4"/>
  <c r="N2206" i="4"/>
  <c r="O2206" i="4"/>
  <c r="P2206" i="4"/>
  <c r="Q2206" i="4"/>
  <c r="R2206" i="4"/>
  <c r="S2206" i="4"/>
  <c r="T2206" i="4"/>
  <c r="H2207" i="4"/>
  <c r="I2207" i="4"/>
  <c r="J2207" i="4"/>
  <c r="K2207" i="4"/>
  <c r="L2207" i="4"/>
  <c r="M2207" i="4"/>
  <c r="N2207" i="4"/>
  <c r="O2207" i="4"/>
  <c r="P2207" i="4"/>
  <c r="Q2207" i="4"/>
  <c r="R2207" i="4"/>
  <c r="S2207" i="4"/>
  <c r="T2207" i="4"/>
  <c r="H2208" i="4"/>
  <c r="I2208" i="4"/>
  <c r="J2208" i="4"/>
  <c r="K2208" i="4"/>
  <c r="L2208" i="4"/>
  <c r="M2208" i="4"/>
  <c r="N2208" i="4"/>
  <c r="O2208" i="4"/>
  <c r="P2208" i="4"/>
  <c r="Q2208" i="4"/>
  <c r="R2208" i="4"/>
  <c r="S2208" i="4"/>
  <c r="T2208" i="4"/>
  <c r="H2209" i="4"/>
  <c r="I2209" i="4"/>
  <c r="J2209" i="4"/>
  <c r="K2209" i="4"/>
  <c r="L2209" i="4"/>
  <c r="M2209" i="4"/>
  <c r="N2209" i="4"/>
  <c r="O2209" i="4"/>
  <c r="P2209" i="4"/>
  <c r="Q2209" i="4"/>
  <c r="R2209" i="4"/>
  <c r="S2209" i="4"/>
  <c r="T2209" i="4"/>
  <c r="G3" i="4"/>
  <c r="G4" i="4"/>
  <c r="G5" i="4"/>
  <c r="G6" i="4"/>
  <c r="G7" i="4"/>
  <c r="G8" i="4"/>
  <c r="G9" i="4"/>
  <c r="G10" i="4"/>
  <c r="G11" i="4"/>
  <c r="G12" i="4"/>
  <c r="G13" i="4"/>
  <c r="G14" i="4"/>
  <c r="G15" i="4"/>
  <c r="G16" i="4"/>
  <c r="G17" i="4"/>
  <c r="G18" i="4"/>
  <c r="G19" i="4"/>
  <c r="G20" i="4"/>
  <c r="G21" i="4"/>
  <c r="G22" i="4"/>
  <c r="G23" i="4"/>
  <c r="G24" i="4"/>
  <c r="G25" i="4"/>
  <c r="G26" i="4"/>
  <c r="G27" i="4"/>
  <c r="G28" i="4"/>
  <c r="G29" i="4"/>
  <c r="G30" i="4"/>
  <c r="G31" i="4"/>
  <c r="G32" i="4"/>
  <c r="G33" i="4"/>
  <c r="G34" i="4"/>
  <c r="G35" i="4"/>
  <c r="G36" i="4"/>
  <c r="G37" i="4"/>
  <c r="G38" i="4"/>
  <c r="G39" i="4"/>
  <c r="G40" i="4"/>
  <c r="G41" i="4"/>
  <c r="G42" i="4"/>
  <c r="G43" i="4"/>
  <c r="G44" i="4"/>
  <c r="G45" i="4"/>
  <c r="G46" i="4"/>
  <c r="G47" i="4"/>
  <c r="G48" i="4"/>
  <c r="G49" i="4"/>
  <c r="G50" i="4"/>
  <c r="G51" i="4"/>
  <c r="G52" i="4"/>
  <c r="G53" i="4"/>
  <c r="G54" i="4"/>
  <c r="G55" i="4"/>
  <c r="G56" i="4"/>
  <c r="G57" i="4"/>
  <c r="G58" i="4"/>
  <c r="G59" i="4"/>
  <c r="G60" i="4"/>
  <c r="G61" i="4"/>
  <c r="G62" i="4"/>
  <c r="G63" i="4"/>
  <c r="G64" i="4"/>
  <c r="G65" i="4"/>
  <c r="G66" i="4"/>
  <c r="G67" i="4"/>
  <c r="G68" i="4"/>
  <c r="G69" i="4"/>
  <c r="G70" i="4"/>
  <c r="G71" i="4"/>
  <c r="G72" i="4"/>
  <c r="G73" i="4"/>
  <c r="G74" i="4"/>
  <c r="G75" i="4"/>
  <c r="G76" i="4"/>
  <c r="G77" i="4"/>
  <c r="G78" i="4"/>
  <c r="G79" i="4"/>
  <c r="G80" i="4"/>
  <c r="G81" i="4"/>
  <c r="G82" i="4"/>
  <c r="G83" i="4"/>
  <c r="G84" i="4"/>
  <c r="G85" i="4"/>
  <c r="G86" i="4"/>
  <c r="G87" i="4"/>
  <c r="G88" i="4"/>
  <c r="G89" i="4"/>
  <c r="G90" i="4"/>
  <c r="G91" i="4"/>
  <c r="G92" i="4"/>
  <c r="G93" i="4"/>
  <c r="G94" i="4"/>
  <c r="G95" i="4"/>
  <c r="G96" i="4"/>
  <c r="G97" i="4"/>
  <c r="G98" i="4"/>
  <c r="G99" i="4"/>
  <c r="G100" i="4"/>
  <c r="G101" i="4"/>
  <c r="G102" i="4"/>
  <c r="G103" i="4"/>
  <c r="G104" i="4"/>
  <c r="G105" i="4"/>
  <c r="G106" i="4"/>
  <c r="G107" i="4"/>
  <c r="G108" i="4"/>
  <c r="G109" i="4"/>
  <c r="G110" i="4"/>
  <c r="G111" i="4"/>
  <c r="G112" i="4"/>
  <c r="G113" i="4"/>
  <c r="G114" i="4"/>
  <c r="G115" i="4"/>
  <c r="G116" i="4"/>
  <c r="G117" i="4"/>
  <c r="G118" i="4"/>
  <c r="G119" i="4"/>
  <c r="G120" i="4"/>
  <c r="G121" i="4"/>
  <c r="G122" i="4"/>
  <c r="G123" i="4"/>
  <c r="G124" i="4"/>
  <c r="G125" i="4"/>
  <c r="G126" i="4"/>
  <c r="G127" i="4"/>
  <c r="G128" i="4"/>
  <c r="G129" i="4"/>
  <c r="G130" i="4"/>
  <c r="G131" i="4"/>
  <c r="G132" i="4"/>
  <c r="G133" i="4"/>
  <c r="G134" i="4"/>
  <c r="G135" i="4"/>
  <c r="G136" i="4"/>
  <c r="G137" i="4"/>
  <c r="G138" i="4"/>
  <c r="G139" i="4"/>
  <c r="G140" i="4"/>
  <c r="G141" i="4"/>
  <c r="G142" i="4"/>
  <c r="G143" i="4"/>
  <c r="G144" i="4"/>
  <c r="G145" i="4"/>
  <c r="G146" i="4"/>
  <c r="G147" i="4"/>
  <c r="G148" i="4"/>
  <c r="G149" i="4"/>
  <c r="G150" i="4"/>
  <c r="G151" i="4"/>
  <c r="G152" i="4"/>
  <c r="G153" i="4"/>
  <c r="G154" i="4"/>
  <c r="G155" i="4"/>
  <c r="G156" i="4"/>
  <c r="G157" i="4"/>
  <c r="G158" i="4"/>
  <c r="G159" i="4"/>
  <c r="G160" i="4"/>
  <c r="G161" i="4"/>
  <c r="G162" i="4"/>
  <c r="G163" i="4"/>
  <c r="G164" i="4"/>
  <c r="G165" i="4"/>
  <c r="G166" i="4"/>
  <c r="G167" i="4"/>
  <c r="G168" i="4"/>
  <c r="G169" i="4"/>
  <c r="G170" i="4"/>
  <c r="G171" i="4"/>
  <c r="G172" i="4"/>
  <c r="G173" i="4"/>
  <c r="G174" i="4"/>
  <c r="G175" i="4"/>
  <c r="G176" i="4"/>
  <c r="G177" i="4"/>
  <c r="G178" i="4"/>
  <c r="G179" i="4"/>
  <c r="G180" i="4"/>
  <c r="G181" i="4"/>
  <c r="G182" i="4"/>
  <c r="G183" i="4"/>
  <c r="G184" i="4"/>
  <c r="G185" i="4"/>
  <c r="G186" i="4"/>
  <c r="G187" i="4"/>
  <c r="G188" i="4"/>
  <c r="G189" i="4"/>
  <c r="G190" i="4"/>
  <c r="G191" i="4"/>
  <c r="G192" i="4"/>
  <c r="G193" i="4"/>
  <c r="G194" i="4"/>
  <c r="G195" i="4"/>
  <c r="G196" i="4"/>
  <c r="G197" i="4"/>
  <c r="G198" i="4"/>
  <c r="G199" i="4"/>
  <c r="G200" i="4"/>
  <c r="G201" i="4"/>
  <c r="G202" i="4"/>
  <c r="G203" i="4"/>
  <c r="G204" i="4"/>
  <c r="G205" i="4"/>
  <c r="G206" i="4"/>
  <c r="G207" i="4"/>
  <c r="G208" i="4"/>
  <c r="G209" i="4"/>
  <c r="G210" i="4"/>
  <c r="G211" i="4"/>
  <c r="G212" i="4"/>
  <c r="G213" i="4"/>
  <c r="G214" i="4"/>
  <c r="G215" i="4"/>
  <c r="G216" i="4"/>
  <c r="G217" i="4"/>
  <c r="G218" i="4"/>
  <c r="G219" i="4"/>
  <c r="G220" i="4"/>
  <c r="G221" i="4"/>
  <c r="G222" i="4"/>
  <c r="G223" i="4"/>
  <c r="G224" i="4"/>
  <c r="G225" i="4"/>
  <c r="G226" i="4"/>
  <c r="G227" i="4"/>
  <c r="G228" i="4"/>
  <c r="G229" i="4"/>
  <c r="G230" i="4"/>
  <c r="G231" i="4"/>
  <c r="G232" i="4"/>
  <c r="G233" i="4"/>
  <c r="G234" i="4"/>
  <c r="G235" i="4"/>
  <c r="G236" i="4"/>
  <c r="G237" i="4"/>
  <c r="G238" i="4"/>
  <c r="G239" i="4"/>
  <c r="G240" i="4"/>
  <c r="G241" i="4"/>
  <c r="G242" i="4"/>
  <c r="G243" i="4"/>
  <c r="G244" i="4"/>
  <c r="G245" i="4"/>
  <c r="G246" i="4"/>
  <c r="G247" i="4"/>
  <c r="G248" i="4"/>
  <c r="G249" i="4"/>
  <c r="G250" i="4"/>
  <c r="G251" i="4"/>
  <c r="G252" i="4"/>
  <c r="G253" i="4"/>
  <c r="G254" i="4"/>
  <c r="G255" i="4"/>
  <c r="G256" i="4"/>
  <c r="G257" i="4"/>
  <c r="G258" i="4"/>
  <c r="G259" i="4"/>
  <c r="G260" i="4"/>
  <c r="G261" i="4"/>
  <c r="G262" i="4"/>
  <c r="G263" i="4"/>
  <c r="G264" i="4"/>
  <c r="G265" i="4"/>
  <c r="G266" i="4"/>
  <c r="G267" i="4"/>
  <c r="G268" i="4"/>
  <c r="G269" i="4"/>
  <c r="G270" i="4"/>
  <c r="G271" i="4"/>
  <c r="G272" i="4"/>
  <c r="G273" i="4"/>
  <c r="G274" i="4"/>
  <c r="G275" i="4"/>
  <c r="G276" i="4"/>
  <c r="G277" i="4"/>
  <c r="G278" i="4"/>
  <c r="G279" i="4"/>
  <c r="G280" i="4"/>
  <c r="G281" i="4"/>
  <c r="G282" i="4"/>
  <c r="G283" i="4"/>
  <c r="G284" i="4"/>
  <c r="G285" i="4"/>
  <c r="G286" i="4"/>
  <c r="G287" i="4"/>
  <c r="G288" i="4"/>
  <c r="G289" i="4"/>
  <c r="G290" i="4"/>
  <c r="G291" i="4"/>
  <c r="G292" i="4"/>
  <c r="G293" i="4"/>
  <c r="G294" i="4"/>
  <c r="G295" i="4"/>
  <c r="G296" i="4"/>
  <c r="G297" i="4"/>
  <c r="G298" i="4"/>
  <c r="G299" i="4"/>
  <c r="G300" i="4"/>
  <c r="G301" i="4"/>
  <c r="G302" i="4"/>
  <c r="G303" i="4"/>
  <c r="G304" i="4"/>
  <c r="G305" i="4"/>
  <c r="G306" i="4"/>
  <c r="G307" i="4"/>
  <c r="G308" i="4"/>
  <c r="G309" i="4"/>
  <c r="G310" i="4"/>
  <c r="G311" i="4"/>
  <c r="G312" i="4"/>
  <c r="G313" i="4"/>
  <c r="G314" i="4"/>
  <c r="G315" i="4"/>
  <c r="G316" i="4"/>
  <c r="G317" i="4"/>
  <c r="G318" i="4"/>
  <c r="G319" i="4"/>
  <c r="G320" i="4"/>
  <c r="G321" i="4"/>
  <c r="G322" i="4"/>
  <c r="G323" i="4"/>
  <c r="G324" i="4"/>
  <c r="G325" i="4"/>
  <c r="G326" i="4"/>
  <c r="G327" i="4"/>
  <c r="G328" i="4"/>
  <c r="G329" i="4"/>
  <c r="G330" i="4"/>
  <c r="G331" i="4"/>
  <c r="G332" i="4"/>
  <c r="G333" i="4"/>
  <c r="G334" i="4"/>
  <c r="G335" i="4"/>
  <c r="G336" i="4"/>
  <c r="G337" i="4"/>
  <c r="G338" i="4"/>
  <c r="G339" i="4"/>
  <c r="G340" i="4"/>
  <c r="G341" i="4"/>
  <c r="G342" i="4"/>
  <c r="G343" i="4"/>
  <c r="G344" i="4"/>
  <c r="G345" i="4"/>
  <c r="G346" i="4"/>
  <c r="G347" i="4"/>
  <c r="G348" i="4"/>
  <c r="G349" i="4"/>
  <c r="G350" i="4"/>
  <c r="G351" i="4"/>
  <c r="G352" i="4"/>
  <c r="G353" i="4"/>
  <c r="G354" i="4"/>
  <c r="G355" i="4"/>
  <c r="G356" i="4"/>
  <c r="G357" i="4"/>
  <c r="G358" i="4"/>
  <c r="G359" i="4"/>
  <c r="G360" i="4"/>
  <c r="G361" i="4"/>
  <c r="G362" i="4"/>
  <c r="G363" i="4"/>
  <c r="G364" i="4"/>
  <c r="G365" i="4"/>
  <c r="G366" i="4"/>
  <c r="G367" i="4"/>
  <c r="G368" i="4"/>
  <c r="G369" i="4"/>
  <c r="G370" i="4"/>
  <c r="G371" i="4"/>
  <c r="G372" i="4"/>
  <c r="G373" i="4"/>
  <c r="G374" i="4"/>
  <c r="G375" i="4"/>
  <c r="G376" i="4"/>
  <c r="G377" i="4"/>
  <c r="G378" i="4"/>
  <c r="G379" i="4"/>
  <c r="G380" i="4"/>
  <c r="G381" i="4"/>
  <c r="G382" i="4"/>
  <c r="G383" i="4"/>
  <c r="G384" i="4"/>
  <c r="G385" i="4"/>
  <c r="G386" i="4"/>
  <c r="G387" i="4"/>
  <c r="G388" i="4"/>
  <c r="G389" i="4"/>
  <c r="G390" i="4"/>
  <c r="G391" i="4"/>
  <c r="G392" i="4"/>
  <c r="G393" i="4"/>
  <c r="G394" i="4"/>
  <c r="G395" i="4"/>
  <c r="G396" i="4"/>
  <c r="G397" i="4"/>
  <c r="G398" i="4"/>
  <c r="G399" i="4"/>
  <c r="G400" i="4"/>
  <c r="G401" i="4"/>
  <c r="G402" i="4"/>
  <c r="G403" i="4"/>
  <c r="G404" i="4"/>
  <c r="G405" i="4"/>
  <c r="G406" i="4"/>
  <c r="G407" i="4"/>
  <c r="G408" i="4"/>
  <c r="G409" i="4"/>
  <c r="G410" i="4"/>
  <c r="G411" i="4"/>
  <c r="G412" i="4"/>
  <c r="G413" i="4"/>
  <c r="G414" i="4"/>
  <c r="G415" i="4"/>
  <c r="G416" i="4"/>
  <c r="G417" i="4"/>
  <c r="G418" i="4"/>
  <c r="G419" i="4"/>
  <c r="G420" i="4"/>
  <c r="G421" i="4"/>
  <c r="G422" i="4"/>
  <c r="G423" i="4"/>
  <c r="G424" i="4"/>
  <c r="G425" i="4"/>
  <c r="G426" i="4"/>
  <c r="G427" i="4"/>
  <c r="G428" i="4"/>
  <c r="G429" i="4"/>
  <c r="G430" i="4"/>
  <c r="G431" i="4"/>
  <c r="G432" i="4"/>
  <c r="G433" i="4"/>
  <c r="G434" i="4"/>
  <c r="G435" i="4"/>
  <c r="G436" i="4"/>
  <c r="G437" i="4"/>
  <c r="G438" i="4"/>
  <c r="G439" i="4"/>
  <c r="G440" i="4"/>
  <c r="G441" i="4"/>
  <c r="G442" i="4"/>
  <c r="G443" i="4"/>
  <c r="G444" i="4"/>
  <c r="G445" i="4"/>
  <c r="G446" i="4"/>
  <c r="G447" i="4"/>
  <c r="G448" i="4"/>
  <c r="G449" i="4"/>
  <c r="G450" i="4"/>
  <c r="G451" i="4"/>
  <c r="G452" i="4"/>
  <c r="G453" i="4"/>
  <c r="G454" i="4"/>
  <c r="G455" i="4"/>
  <c r="G456" i="4"/>
  <c r="G457" i="4"/>
  <c r="G458" i="4"/>
  <c r="G459" i="4"/>
  <c r="G460" i="4"/>
  <c r="G461" i="4"/>
  <c r="G462" i="4"/>
  <c r="G463" i="4"/>
  <c r="G464" i="4"/>
  <c r="G465" i="4"/>
  <c r="G466" i="4"/>
  <c r="G467" i="4"/>
  <c r="G468" i="4"/>
  <c r="G469" i="4"/>
  <c r="G470" i="4"/>
  <c r="G471" i="4"/>
  <c r="G472" i="4"/>
  <c r="G473" i="4"/>
  <c r="G474" i="4"/>
  <c r="G475" i="4"/>
  <c r="G476" i="4"/>
  <c r="G477" i="4"/>
  <c r="G478" i="4"/>
  <c r="G479" i="4"/>
  <c r="G480" i="4"/>
  <c r="G481" i="4"/>
  <c r="G482" i="4"/>
  <c r="G483" i="4"/>
  <c r="G484" i="4"/>
  <c r="G485" i="4"/>
  <c r="G486" i="4"/>
  <c r="G487" i="4"/>
  <c r="G488" i="4"/>
  <c r="G489" i="4"/>
  <c r="G490" i="4"/>
  <c r="G491" i="4"/>
  <c r="G492" i="4"/>
  <c r="G493" i="4"/>
  <c r="G494" i="4"/>
  <c r="G495" i="4"/>
  <c r="G496" i="4"/>
  <c r="G497" i="4"/>
  <c r="G498" i="4"/>
  <c r="G499" i="4"/>
  <c r="G500" i="4"/>
  <c r="G501" i="4"/>
  <c r="G502" i="4"/>
  <c r="G503" i="4"/>
  <c r="G504" i="4"/>
  <c r="G505" i="4"/>
  <c r="G506" i="4"/>
  <c r="G507" i="4"/>
  <c r="G508" i="4"/>
  <c r="G509" i="4"/>
  <c r="G510" i="4"/>
  <c r="G511" i="4"/>
  <c r="G512" i="4"/>
  <c r="G513" i="4"/>
  <c r="G514" i="4"/>
  <c r="G515" i="4"/>
  <c r="G516" i="4"/>
  <c r="G517" i="4"/>
  <c r="G518" i="4"/>
  <c r="G519" i="4"/>
  <c r="G520" i="4"/>
  <c r="G521" i="4"/>
  <c r="G522" i="4"/>
  <c r="G523" i="4"/>
  <c r="G524" i="4"/>
  <c r="G525" i="4"/>
  <c r="G526" i="4"/>
  <c r="G527" i="4"/>
  <c r="G528" i="4"/>
  <c r="G529" i="4"/>
  <c r="G530" i="4"/>
  <c r="G531" i="4"/>
  <c r="G532" i="4"/>
  <c r="G533" i="4"/>
  <c r="G534" i="4"/>
  <c r="G535" i="4"/>
  <c r="G536" i="4"/>
  <c r="G537" i="4"/>
  <c r="G538" i="4"/>
  <c r="G539" i="4"/>
  <c r="G540" i="4"/>
  <c r="G541" i="4"/>
  <c r="G542" i="4"/>
  <c r="G543" i="4"/>
  <c r="G544" i="4"/>
  <c r="G545" i="4"/>
  <c r="G546" i="4"/>
  <c r="G547" i="4"/>
  <c r="G548" i="4"/>
  <c r="G549" i="4"/>
  <c r="G550" i="4"/>
  <c r="G551" i="4"/>
  <c r="G552" i="4"/>
  <c r="G553" i="4"/>
  <c r="G554" i="4"/>
  <c r="G555" i="4"/>
  <c r="G556" i="4"/>
  <c r="G557" i="4"/>
  <c r="G558" i="4"/>
  <c r="G559" i="4"/>
  <c r="G560" i="4"/>
  <c r="G561" i="4"/>
  <c r="G562" i="4"/>
  <c r="G563" i="4"/>
  <c r="G564" i="4"/>
  <c r="G565" i="4"/>
  <c r="G566" i="4"/>
  <c r="G567" i="4"/>
  <c r="G568" i="4"/>
  <c r="G569" i="4"/>
  <c r="G570" i="4"/>
  <c r="G571" i="4"/>
  <c r="G572" i="4"/>
  <c r="G573" i="4"/>
  <c r="G574" i="4"/>
  <c r="G575" i="4"/>
  <c r="G576" i="4"/>
  <c r="G577" i="4"/>
  <c r="G578" i="4"/>
  <c r="G579" i="4"/>
  <c r="G580" i="4"/>
  <c r="G581" i="4"/>
  <c r="G582" i="4"/>
  <c r="G583" i="4"/>
  <c r="G584" i="4"/>
  <c r="G585" i="4"/>
  <c r="G586" i="4"/>
  <c r="G587" i="4"/>
  <c r="G588" i="4"/>
  <c r="G589" i="4"/>
  <c r="G590" i="4"/>
  <c r="G591" i="4"/>
  <c r="G592" i="4"/>
  <c r="G593" i="4"/>
  <c r="G594" i="4"/>
  <c r="G595" i="4"/>
  <c r="G596" i="4"/>
  <c r="G597" i="4"/>
  <c r="G598" i="4"/>
  <c r="G599" i="4"/>
  <c r="G600" i="4"/>
  <c r="G601" i="4"/>
  <c r="G602" i="4"/>
  <c r="G603" i="4"/>
  <c r="G604" i="4"/>
  <c r="G605" i="4"/>
  <c r="G606" i="4"/>
  <c r="G607" i="4"/>
  <c r="G608" i="4"/>
  <c r="G609" i="4"/>
  <c r="G610" i="4"/>
  <c r="G611" i="4"/>
  <c r="G612" i="4"/>
  <c r="G613" i="4"/>
  <c r="G614" i="4"/>
  <c r="G615" i="4"/>
  <c r="G616" i="4"/>
  <c r="G617" i="4"/>
  <c r="G618" i="4"/>
  <c r="G619" i="4"/>
  <c r="G620" i="4"/>
  <c r="G621" i="4"/>
  <c r="G622" i="4"/>
  <c r="G623" i="4"/>
  <c r="G624" i="4"/>
  <c r="G625" i="4"/>
  <c r="G626" i="4"/>
  <c r="G627" i="4"/>
  <c r="G628" i="4"/>
  <c r="G629" i="4"/>
  <c r="G630" i="4"/>
  <c r="G631" i="4"/>
  <c r="G632" i="4"/>
  <c r="G633" i="4"/>
  <c r="G634" i="4"/>
  <c r="G635" i="4"/>
  <c r="G636" i="4"/>
  <c r="G637" i="4"/>
  <c r="G638" i="4"/>
  <c r="G639" i="4"/>
  <c r="G640" i="4"/>
  <c r="G641" i="4"/>
  <c r="G642" i="4"/>
  <c r="G643" i="4"/>
  <c r="G644" i="4"/>
  <c r="G645" i="4"/>
  <c r="G646" i="4"/>
  <c r="G647" i="4"/>
  <c r="G648" i="4"/>
  <c r="G649" i="4"/>
  <c r="G650" i="4"/>
  <c r="G651" i="4"/>
  <c r="G652" i="4"/>
  <c r="G653" i="4"/>
  <c r="G654" i="4"/>
  <c r="G655" i="4"/>
  <c r="G656" i="4"/>
  <c r="G657" i="4"/>
  <c r="G658" i="4"/>
  <c r="G659" i="4"/>
  <c r="G660" i="4"/>
  <c r="G661" i="4"/>
  <c r="G662" i="4"/>
  <c r="G663" i="4"/>
  <c r="G664" i="4"/>
  <c r="G665" i="4"/>
  <c r="G666" i="4"/>
  <c r="G667" i="4"/>
  <c r="G668" i="4"/>
  <c r="G669" i="4"/>
  <c r="G670" i="4"/>
  <c r="G671" i="4"/>
  <c r="G672" i="4"/>
  <c r="G673" i="4"/>
  <c r="G674" i="4"/>
  <c r="G675" i="4"/>
  <c r="G676" i="4"/>
  <c r="G677" i="4"/>
  <c r="G678" i="4"/>
  <c r="G679" i="4"/>
  <c r="G680" i="4"/>
  <c r="G681" i="4"/>
  <c r="G682" i="4"/>
  <c r="G683" i="4"/>
  <c r="G684" i="4"/>
  <c r="G685" i="4"/>
  <c r="G686" i="4"/>
  <c r="G687" i="4"/>
  <c r="G688" i="4"/>
  <c r="G689" i="4"/>
  <c r="G690" i="4"/>
  <c r="G691" i="4"/>
  <c r="G692" i="4"/>
  <c r="G693" i="4"/>
  <c r="G694" i="4"/>
  <c r="G695" i="4"/>
  <c r="G696" i="4"/>
  <c r="G697" i="4"/>
  <c r="G698" i="4"/>
  <c r="G699" i="4"/>
  <c r="G700" i="4"/>
  <c r="G701" i="4"/>
  <c r="G702" i="4"/>
  <c r="G703" i="4"/>
  <c r="G704" i="4"/>
  <c r="G705" i="4"/>
  <c r="G706" i="4"/>
  <c r="G707" i="4"/>
  <c r="G708" i="4"/>
  <c r="G709" i="4"/>
  <c r="G710" i="4"/>
  <c r="G711" i="4"/>
  <c r="G712" i="4"/>
  <c r="G713" i="4"/>
  <c r="G714" i="4"/>
  <c r="G715" i="4"/>
  <c r="G716" i="4"/>
  <c r="G717" i="4"/>
  <c r="G718" i="4"/>
  <c r="G719" i="4"/>
  <c r="G720" i="4"/>
  <c r="G721" i="4"/>
  <c r="G722" i="4"/>
  <c r="G723" i="4"/>
  <c r="G724" i="4"/>
  <c r="G725" i="4"/>
  <c r="G726" i="4"/>
  <c r="G727" i="4"/>
  <c r="G728" i="4"/>
  <c r="G729" i="4"/>
  <c r="G730" i="4"/>
  <c r="G731" i="4"/>
  <c r="G732" i="4"/>
  <c r="G733" i="4"/>
  <c r="G734" i="4"/>
  <c r="G735" i="4"/>
  <c r="G736" i="4"/>
  <c r="G737" i="4"/>
  <c r="G738" i="4"/>
  <c r="G739" i="4"/>
  <c r="G740" i="4"/>
  <c r="G741" i="4"/>
  <c r="G742" i="4"/>
  <c r="G743" i="4"/>
  <c r="G744" i="4"/>
  <c r="G745" i="4"/>
  <c r="G746" i="4"/>
  <c r="G747" i="4"/>
  <c r="G748" i="4"/>
  <c r="G749" i="4"/>
  <c r="G750" i="4"/>
  <c r="G751" i="4"/>
  <c r="G752" i="4"/>
  <c r="G753" i="4"/>
  <c r="G754" i="4"/>
  <c r="G755" i="4"/>
  <c r="G756" i="4"/>
  <c r="G757" i="4"/>
  <c r="G758" i="4"/>
  <c r="G759" i="4"/>
  <c r="G760" i="4"/>
  <c r="G761" i="4"/>
  <c r="G762" i="4"/>
  <c r="G763" i="4"/>
  <c r="G764" i="4"/>
  <c r="G765" i="4"/>
  <c r="G766" i="4"/>
  <c r="G767" i="4"/>
  <c r="G768" i="4"/>
  <c r="G769" i="4"/>
  <c r="G770" i="4"/>
  <c r="G771" i="4"/>
  <c r="G772" i="4"/>
  <c r="G773" i="4"/>
  <c r="G774" i="4"/>
  <c r="G775" i="4"/>
  <c r="G776" i="4"/>
  <c r="G777" i="4"/>
  <c r="G778" i="4"/>
  <c r="G779" i="4"/>
  <c r="G780" i="4"/>
  <c r="G781" i="4"/>
  <c r="G782" i="4"/>
  <c r="G783" i="4"/>
  <c r="G784" i="4"/>
  <c r="G785" i="4"/>
  <c r="G786" i="4"/>
  <c r="G787" i="4"/>
  <c r="G788" i="4"/>
  <c r="G789" i="4"/>
  <c r="G790" i="4"/>
  <c r="G791" i="4"/>
  <c r="G792" i="4"/>
  <c r="G793" i="4"/>
  <c r="G794" i="4"/>
  <c r="G795" i="4"/>
  <c r="G796" i="4"/>
  <c r="G797" i="4"/>
  <c r="G798" i="4"/>
  <c r="G799" i="4"/>
  <c r="G800" i="4"/>
  <c r="G801" i="4"/>
  <c r="G802" i="4"/>
  <c r="G803" i="4"/>
  <c r="G804" i="4"/>
  <c r="G805" i="4"/>
  <c r="G806" i="4"/>
  <c r="G807" i="4"/>
  <c r="G808" i="4"/>
  <c r="G809" i="4"/>
  <c r="G810" i="4"/>
  <c r="G811" i="4"/>
  <c r="G812" i="4"/>
  <c r="G813" i="4"/>
  <c r="G814" i="4"/>
  <c r="G815" i="4"/>
  <c r="G816" i="4"/>
  <c r="G817" i="4"/>
  <c r="G818" i="4"/>
  <c r="G819" i="4"/>
  <c r="G820" i="4"/>
  <c r="G821" i="4"/>
  <c r="G822" i="4"/>
  <c r="G823" i="4"/>
  <c r="G824" i="4"/>
  <c r="G825" i="4"/>
  <c r="G826" i="4"/>
  <c r="G827" i="4"/>
  <c r="G828" i="4"/>
  <c r="G829" i="4"/>
  <c r="G830" i="4"/>
  <c r="G831" i="4"/>
  <c r="G832" i="4"/>
  <c r="G833" i="4"/>
  <c r="G834" i="4"/>
  <c r="G835" i="4"/>
  <c r="G836" i="4"/>
  <c r="G837" i="4"/>
  <c r="G838" i="4"/>
  <c r="G839" i="4"/>
  <c r="G840" i="4"/>
  <c r="G841" i="4"/>
  <c r="G842" i="4"/>
  <c r="G843" i="4"/>
  <c r="G844" i="4"/>
  <c r="G845" i="4"/>
  <c r="G846" i="4"/>
  <c r="G847" i="4"/>
  <c r="G848" i="4"/>
  <c r="G849" i="4"/>
  <c r="G850" i="4"/>
  <c r="G851" i="4"/>
  <c r="G852" i="4"/>
  <c r="G853" i="4"/>
  <c r="G854" i="4"/>
  <c r="G855" i="4"/>
  <c r="G856" i="4"/>
  <c r="G857" i="4"/>
  <c r="G858" i="4"/>
  <c r="G859" i="4"/>
  <c r="G860" i="4"/>
  <c r="G861" i="4"/>
  <c r="G862" i="4"/>
  <c r="G863" i="4"/>
  <c r="G864" i="4"/>
  <c r="G865" i="4"/>
  <c r="G866" i="4"/>
  <c r="G867" i="4"/>
  <c r="G868" i="4"/>
  <c r="G869" i="4"/>
  <c r="G870" i="4"/>
  <c r="G871" i="4"/>
  <c r="G872" i="4"/>
  <c r="G873" i="4"/>
  <c r="G874" i="4"/>
  <c r="G875" i="4"/>
  <c r="G876" i="4"/>
  <c r="G877" i="4"/>
  <c r="G878" i="4"/>
  <c r="G879" i="4"/>
  <c r="G880" i="4"/>
  <c r="G881" i="4"/>
  <c r="G882" i="4"/>
  <c r="G883" i="4"/>
  <c r="G884" i="4"/>
  <c r="G885" i="4"/>
  <c r="G886" i="4"/>
  <c r="G887" i="4"/>
  <c r="G888" i="4"/>
  <c r="G889" i="4"/>
  <c r="G890" i="4"/>
  <c r="G891" i="4"/>
  <c r="G892" i="4"/>
  <c r="G893" i="4"/>
  <c r="G894" i="4"/>
  <c r="G895" i="4"/>
  <c r="G896" i="4"/>
  <c r="G897" i="4"/>
  <c r="G898" i="4"/>
  <c r="G899" i="4"/>
  <c r="G900" i="4"/>
  <c r="G901" i="4"/>
  <c r="G902" i="4"/>
  <c r="G903" i="4"/>
  <c r="G904" i="4"/>
  <c r="G905" i="4"/>
  <c r="G906" i="4"/>
  <c r="G907" i="4"/>
  <c r="G908" i="4"/>
  <c r="G909" i="4"/>
  <c r="G910" i="4"/>
  <c r="G911" i="4"/>
  <c r="G912" i="4"/>
  <c r="G913" i="4"/>
  <c r="G914" i="4"/>
  <c r="G915" i="4"/>
  <c r="G916" i="4"/>
  <c r="G917" i="4"/>
  <c r="G918" i="4"/>
  <c r="G919" i="4"/>
  <c r="G920" i="4"/>
  <c r="G921" i="4"/>
  <c r="G922" i="4"/>
  <c r="G923" i="4"/>
  <c r="G924" i="4"/>
  <c r="G925" i="4"/>
  <c r="G926" i="4"/>
  <c r="G927" i="4"/>
  <c r="G928" i="4"/>
  <c r="G929" i="4"/>
  <c r="G930" i="4"/>
  <c r="G931" i="4"/>
  <c r="G932" i="4"/>
  <c r="G933" i="4"/>
  <c r="G934" i="4"/>
  <c r="G935" i="4"/>
  <c r="G936" i="4"/>
  <c r="G937" i="4"/>
  <c r="G938" i="4"/>
  <c r="G939" i="4"/>
  <c r="G940" i="4"/>
  <c r="G941" i="4"/>
  <c r="G942" i="4"/>
  <c r="G943" i="4"/>
  <c r="G944" i="4"/>
  <c r="G945" i="4"/>
  <c r="G946" i="4"/>
  <c r="G947" i="4"/>
  <c r="G948" i="4"/>
  <c r="G949" i="4"/>
  <c r="G950" i="4"/>
  <c r="G951" i="4"/>
  <c r="G952" i="4"/>
  <c r="G953" i="4"/>
  <c r="G954" i="4"/>
  <c r="G955" i="4"/>
  <c r="G956" i="4"/>
  <c r="G957" i="4"/>
  <c r="G958" i="4"/>
  <c r="G959" i="4"/>
  <c r="G960" i="4"/>
  <c r="G961" i="4"/>
  <c r="G962" i="4"/>
  <c r="G963" i="4"/>
  <c r="G964" i="4"/>
  <c r="G965" i="4"/>
  <c r="G966" i="4"/>
  <c r="G967" i="4"/>
  <c r="G968" i="4"/>
  <c r="G969" i="4"/>
  <c r="G970" i="4"/>
  <c r="G971" i="4"/>
  <c r="G972" i="4"/>
  <c r="G973" i="4"/>
  <c r="G974" i="4"/>
  <c r="G975" i="4"/>
  <c r="G976" i="4"/>
  <c r="G977" i="4"/>
  <c r="G978" i="4"/>
  <c r="G979" i="4"/>
  <c r="G980" i="4"/>
  <c r="G981" i="4"/>
  <c r="G982" i="4"/>
  <c r="G983" i="4"/>
  <c r="G984" i="4"/>
  <c r="G985" i="4"/>
  <c r="G986" i="4"/>
  <c r="G987" i="4"/>
  <c r="G988" i="4"/>
  <c r="G989" i="4"/>
  <c r="G990" i="4"/>
  <c r="G991" i="4"/>
  <c r="G992" i="4"/>
  <c r="G993" i="4"/>
  <c r="G994" i="4"/>
  <c r="G995" i="4"/>
  <c r="G996" i="4"/>
  <c r="G997" i="4"/>
  <c r="G998" i="4"/>
  <c r="G999" i="4"/>
  <c r="G1000" i="4"/>
  <c r="G1001" i="4"/>
  <c r="G1002" i="4"/>
  <c r="G1003" i="4"/>
  <c r="G1004" i="4"/>
  <c r="G1005" i="4"/>
  <c r="G1006" i="4"/>
  <c r="G1007" i="4"/>
  <c r="G1008" i="4"/>
  <c r="G1009" i="4"/>
  <c r="G1010" i="4"/>
  <c r="G1011" i="4"/>
  <c r="G1012" i="4"/>
  <c r="G1013" i="4"/>
  <c r="G1014" i="4"/>
  <c r="G1015" i="4"/>
  <c r="G1016" i="4"/>
  <c r="G1017" i="4"/>
  <c r="G1018" i="4"/>
  <c r="G1019" i="4"/>
  <c r="G1020" i="4"/>
  <c r="G1021" i="4"/>
  <c r="G1022" i="4"/>
  <c r="G1023" i="4"/>
  <c r="G1024" i="4"/>
  <c r="G1025" i="4"/>
  <c r="G1026" i="4"/>
  <c r="G1027" i="4"/>
  <c r="G1028" i="4"/>
  <c r="G1029" i="4"/>
  <c r="G1030" i="4"/>
  <c r="G1031" i="4"/>
  <c r="G1032" i="4"/>
  <c r="G1033" i="4"/>
  <c r="G1034" i="4"/>
  <c r="G1035" i="4"/>
  <c r="G1036" i="4"/>
  <c r="G1037" i="4"/>
  <c r="G1038" i="4"/>
  <c r="G1039" i="4"/>
  <c r="G1040" i="4"/>
  <c r="G1041" i="4"/>
  <c r="G1042" i="4"/>
  <c r="G1043" i="4"/>
  <c r="G1044" i="4"/>
  <c r="G1045" i="4"/>
  <c r="G1046" i="4"/>
  <c r="G1047" i="4"/>
  <c r="G1048" i="4"/>
  <c r="G1049" i="4"/>
  <c r="G1050" i="4"/>
  <c r="G1051" i="4"/>
  <c r="G1052" i="4"/>
  <c r="G1053" i="4"/>
  <c r="G1054" i="4"/>
  <c r="G1055" i="4"/>
  <c r="G1056" i="4"/>
  <c r="G1057" i="4"/>
  <c r="G1058" i="4"/>
  <c r="G1059" i="4"/>
  <c r="G1060" i="4"/>
  <c r="G1061" i="4"/>
  <c r="G1062" i="4"/>
  <c r="G1063" i="4"/>
  <c r="G1064" i="4"/>
  <c r="G1065" i="4"/>
  <c r="G1066" i="4"/>
  <c r="G1067" i="4"/>
  <c r="G1068" i="4"/>
  <c r="G1069" i="4"/>
  <c r="G1070" i="4"/>
  <c r="G1071" i="4"/>
  <c r="G1072" i="4"/>
  <c r="G1073" i="4"/>
  <c r="G1074" i="4"/>
  <c r="G1075" i="4"/>
  <c r="G1076" i="4"/>
  <c r="G1077" i="4"/>
  <c r="G1078" i="4"/>
  <c r="G1079" i="4"/>
  <c r="G1080" i="4"/>
  <c r="G1081" i="4"/>
  <c r="G1082" i="4"/>
  <c r="G1083" i="4"/>
  <c r="G1084" i="4"/>
  <c r="G1085" i="4"/>
  <c r="G1086" i="4"/>
  <c r="G1087" i="4"/>
  <c r="G1088" i="4"/>
  <c r="G1089" i="4"/>
  <c r="G1090" i="4"/>
  <c r="G1091" i="4"/>
  <c r="G1092" i="4"/>
  <c r="G1093" i="4"/>
  <c r="G1094" i="4"/>
  <c r="G1095" i="4"/>
  <c r="G1096" i="4"/>
  <c r="G1097" i="4"/>
  <c r="G1098" i="4"/>
  <c r="G1099" i="4"/>
  <c r="G1100" i="4"/>
  <c r="G1101" i="4"/>
  <c r="G1102" i="4"/>
  <c r="G1103" i="4"/>
  <c r="G1104" i="4"/>
  <c r="G1105" i="4"/>
  <c r="G1106" i="4"/>
  <c r="G1107" i="4"/>
  <c r="G1108" i="4"/>
  <c r="G1109" i="4"/>
  <c r="G1110" i="4"/>
  <c r="G1111" i="4"/>
  <c r="G1112" i="4"/>
  <c r="G1113" i="4"/>
  <c r="G1114" i="4"/>
  <c r="G1115" i="4"/>
  <c r="G1116" i="4"/>
  <c r="G1117" i="4"/>
  <c r="G1118" i="4"/>
  <c r="G1119" i="4"/>
  <c r="G1120" i="4"/>
  <c r="G1121" i="4"/>
  <c r="G1122" i="4"/>
  <c r="G1123" i="4"/>
  <c r="G1124" i="4"/>
  <c r="G1125" i="4"/>
  <c r="G1126" i="4"/>
  <c r="G1127" i="4"/>
  <c r="G1128" i="4"/>
  <c r="G1129" i="4"/>
  <c r="G1130" i="4"/>
  <c r="G1131" i="4"/>
  <c r="G1132" i="4"/>
  <c r="G1133" i="4"/>
  <c r="G1134" i="4"/>
  <c r="G1135" i="4"/>
  <c r="G1136" i="4"/>
  <c r="G1137" i="4"/>
  <c r="G1138" i="4"/>
  <c r="G1139" i="4"/>
  <c r="G1140" i="4"/>
  <c r="G1141" i="4"/>
  <c r="G1142" i="4"/>
  <c r="G1143" i="4"/>
  <c r="G1144" i="4"/>
  <c r="G1145" i="4"/>
  <c r="G1146" i="4"/>
  <c r="G1147" i="4"/>
  <c r="G1148" i="4"/>
  <c r="G1149" i="4"/>
  <c r="G1150" i="4"/>
  <c r="G1151" i="4"/>
  <c r="G1152" i="4"/>
  <c r="G1153" i="4"/>
  <c r="G1154" i="4"/>
  <c r="G1155" i="4"/>
  <c r="G1156" i="4"/>
  <c r="G1157" i="4"/>
  <c r="G1158" i="4"/>
  <c r="G1159" i="4"/>
  <c r="G1160" i="4"/>
  <c r="G1161" i="4"/>
  <c r="G1162" i="4"/>
  <c r="G1163" i="4"/>
  <c r="G1164" i="4"/>
  <c r="G1165" i="4"/>
  <c r="G1166" i="4"/>
  <c r="G1167" i="4"/>
  <c r="G1168" i="4"/>
  <c r="G1169" i="4"/>
  <c r="G1170" i="4"/>
  <c r="G1171" i="4"/>
  <c r="G1172" i="4"/>
  <c r="G1173" i="4"/>
  <c r="G1174" i="4"/>
  <c r="G1175" i="4"/>
  <c r="G1176" i="4"/>
  <c r="G1177" i="4"/>
  <c r="G1178" i="4"/>
  <c r="G1179" i="4"/>
  <c r="G1180" i="4"/>
  <c r="G1181" i="4"/>
  <c r="G1182" i="4"/>
  <c r="G1183" i="4"/>
  <c r="G1184" i="4"/>
  <c r="G1185" i="4"/>
  <c r="G1186" i="4"/>
  <c r="G1187" i="4"/>
  <c r="G1188" i="4"/>
  <c r="G1189" i="4"/>
  <c r="G1190" i="4"/>
  <c r="G1191" i="4"/>
  <c r="G1192" i="4"/>
  <c r="G1193" i="4"/>
  <c r="G1194" i="4"/>
  <c r="G1195" i="4"/>
  <c r="G1196" i="4"/>
  <c r="G1197" i="4"/>
  <c r="G1198" i="4"/>
  <c r="G1199" i="4"/>
  <c r="G1200" i="4"/>
  <c r="G1201" i="4"/>
  <c r="G1202" i="4"/>
  <c r="G1203" i="4"/>
  <c r="G1204" i="4"/>
  <c r="G1205" i="4"/>
  <c r="G1206" i="4"/>
  <c r="G1207" i="4"/>
  <c r="G1208" i="4"/>
  <c r="G1209" i="4"/>
  <c r="G1210" i="4"/>
  <c r="G1211" i="4"/>
  <c r="G1212" i="4"/>
  <c r="G1213" i="4"/>
  <c r="G1214" i="4"/>
  <c r="G1215" i="4"/>
  <c r="G1216" i="4"/>
  <c r="G1217" i="4"/>
  <c r="G1218" i="4"/>
  <c r="G1219" i="4"/>
  <c r="G1220" i="4"/>
  <c r="G1221" i="4"/>
  <c r="G1222" i="4"/>
  <c r="G1223" i="4"/>
  <c r="G1224" i="4"/>
  <c r="G1225" i="4"/>
  <c r="G1226" i="4"/>
  <c r="G1227" i="4"/>
  <c r="G1228" i="4"/>
  <c r="G1229" i="4"/>
  <c r="G1230" i="4"/>
  <c r="G1231" i="4"/>
  <c r="G1232" i="4"/>
  <c r="G1233" i="4"/>
  <c r="G1234" i="4"/>
  <c r="G1235" i="4"/>
  <c r="G1236" i="4"/>
  <c r="G1237" i="4"/>
  <c r="G1238" i="4"/>
  <c r="G1239" i="4"/>
  <c r="G1240" i="4"/>
  <c r="G1241" i="4"/>
  <c r="G1242" i="4"/>
  <c r="G1243" i="4"/>
  <c r="G1244" i="4"/>
  <c r="G1245" i="4"/>
  <c r="G1246" i="4"/>
  <c r="G1247" i="4"/>
  <c r="G1248" i="4"/>
  <c r="G1249" i="4"/>
  <c r="G1250" i="4"/>
  <c r="G1251" i="4"/>
  <c r="G1252" i="4"/>
  <c r="G1253" i="4"/>
  <c r="G1254" i="4"/>
  <c r="G1255" i="4"/>
  <c r="G1256" i="4"/>
  <c r="G1257" i="4"/>
  <c r="G1258" i="4"/>
  <c r="G1259" i="4"/>
  <c r="G1260" i="4"/>
  <c r="G1261" i="4"/>
  <c r="G1262" i="4"/>
  <c r="G1263" i="4"/>
  <c r="G1264" i="4"/>
  <c r="G1265" i="4"/>
  <c r="G1266" i="4"/>
  <c r="G1267" i="4"/>
  <c r="G1268" i="4"/>
  <c r="G1269" i="4"/>
  <c r="G1270" i="4"/>
  <c r="G1271" i="4"/>
  <c r="G1272" i="4"/>
  <c r="G1273" i="4"/>
  <c r="G1274" i="4"/>
  <c r="G1275" i="4"/>
  <c r="G1276" i="4"/>
  <c r="G1277" i="4"/>
  <c r="G1278" i="4"/>
  <c r="G1279" i="4"/>
  <c r="G1280" i="4"/>
  <c r="G1281" i="4"/>
  <c r="G1282" i="4"/>
  <c r="G1283" i="4"/>
  <c r="G1284" i="4"/>
  <c r="G1285" i="4"/>
  <c r="G1286" i="4"/>
  <c r="G1287" i="4"/>
  <c r="G1288" i="4"/>
  <c r="G1289" i="4"/>
  <c r="G1290" i="4"/>
  <c r="G1291" i="4"/>
  <c r="G1292" i="4"/>
  <c r="G1293" i="4"/>
  <c r="G1294" i="4"/>
  <c r="G1295" i="4"/>
  <c r="G1296" i="4"/>
  <c r="G1297" i="4"/>
  <c r="G1298" i="4"/>
  <c r="G1299" i="4"/>
  <c r="G1300" i="4"/>
  <c r="G1301" i="4"/>
  <c r="G1302" i="4"/>
  <c r="G1303" i="4"/>
  <c r="G1304" i="4"/>
  <c r="G1305" i="4"/>
  <c r="G1306" i="4"/>
  <c r="G1307" i="4"/>
  <c r="G1308" i="4"/>
  <c r="G1309" i="4"/>
  <c r="G1310" i="4"/>
  <c r="G1311" i="4"/>
  <c r="G1312" i="4"/>
  <c r="G1313" i="4"/>
  <c r="G1314" i="4"/>
  <c r="G1315" i="4"/>
  <c r="G1316" i="4"/>
  <c r="G1317" i="4"/>
  <c r="G1318" i="4"/>
  <c r="G1319" i="4"/>
  <c r="G1320" i="4"/>
  <c r="G1321" i="4"/>
  <c r="G1322" i="4"/>
  <c r="G1323" i="4"/>
  <c r="G1324" i="4"/>
  <c r="G1325" i="4"/>
  <c r="G1326" i="4"/>
  <c r="G1327" i="4"/>
  <c r="G1328" i="4"/>
  <c r="G1329" i="4"/>
  <c r="G1330" i="4"/>
  <c r="G1331" i="4"/>
  <c r="G1332" i="4"/>
  <c r="G1333" i="4"/>
  <c r="G1334" i="4"/>
  <c r="G1335" i="4"/>
  <c r="G1336" i="4"/>
  <c r="G1337" i="4"/>
  <c r="G1338" i="4"/>
  <c r="G1339" i="4"/>
  <c r="G1340" i="4"/>
  <c r="G1341" i="4"/>
  <c r="G1342" i="4"/>
  <c r="G1343" i="4"/>
  <c r="G1344" i="4"/>
  <c r="G1345" i="4"/>
  <c r="G1346" i="4"/>
  <c r="G1347" i="4"/>
  <c r="G1348" i="4"/>
  <c r="G1349" i="4"/>
  <c r="G1350" i="4"/>
  <c r="G1351" i="4"/>
  <c r="G1352" i="4"/>
  <c r="G1353" i="4"/>
  <c r="G1354" i="4"/>
  <c r="G1355" i="4"/>
  <c r="G1356" i="4"/>
  <c r="G1357" i="4"/>
  <c r="G1358" i="4"/>
  <c r="G1359" i="4"/>
  <c r="G1360" i="4"/>
  <c r="G1361" i="4"/>
  <c r="G1362" i="4"/>
  <c r="G1363" i="4"/>
  <c r="G1364" i="4"/>
  <c r="G1365" i="4"/>
  <c r="G1366" i="4"/>
  <c r="G1367" i="4"/>
  <c r="G1368" i="4"/>
  <c r="G1369" i="4"/>
  <c r="G1370" i="4"/>
  <c r="G1371" i="4"/>
  <c r="G1372" i="4"/>
  <c r="G1373" i="4"/>
  <c r="G1374" i="4"/>
  <c r="G1375" i="4"/>
  <c r="G1376" i="4"/>
  <c r="G1377" i="4"/>
  <c r="G1378" i="4"/>
  <c r="G1379" i="4"/>
  <c r="G1380" i="4"/>
  <c r="G1381" i="4"/>
  <c r="G1382" i="4"/>
  <c r="G1383" i="4"/>
  <c r="G1384" i="4"/>
  <c r="G1385" i="4"/>
  <c r="G1386" i="4"/>
  <c r="G1387" i="4"/>
  <c r="G1388" i="4"/>
  <c r="G1389" i="4"/>
  <c r="G1390" i="4"/>
  <c r="G1391" i="4"/>
  <c r="G1392" i="4"/>
  <c r="G1393" i="4"/>
  <c r="G1394" i="4"/>
  <c r="G1395" i="4"/>
  <c r="G1396" i="4"/>
  <c r="G1397" i="4"/>
  <c r="G1398" i="4"/>
  <c r="G1399" i="4"/>
  <c r="G1400" i="4"/>
  <c r="G1401" i="4"/>
  <c r="G1402" i="4"/>
  <c r="G1403" i="4"/>
  <c r="G1404" i="4"/>
  <c r="G1405" i="4"/>
  <c r="G1406" i="4"/>
  <c r="G1407" i="4"/>
  <c r="G1408" i="4"/>
  <c r="G1409" i="4"/>
  <c r="G1410" i="4"/>
  <c r="G1411" i="4"/>
  <c r="G1412" i="4"/>
  <c r="G1413" i="4"/>
  <c r="G1414" i="4"/>
  <c r="G1415" i="4"/>
  <c r="G1416" i="4"/>
  <c r="G1417" i="4"/>
  <c r="G1418" i="4"/>
  <c r="G1419" i="4"/>
  <c r="G1420" i="4"/>
  <c r="G1421" i="4"/>
  <c r="G1422" i="4"/>
  <c r="G1423" i="4"/>
  <c r="G1424" i="4"/>
  <c r="G1425" i="4"/>
  <c r="G1426" i="4"/>
  <c r="G1427" i="4"/>
  <c r="G1428" i="4"/>
  <c r="G1429" i="4"/>
  <c r="G1430" i="4"/>
  <c r="G1431" i="4"/>
  <c r="G1432" i="4"/>
  <c r="G1433" i="4"/>
  <c r="G1434" i="4"/>
  <c r="G1435" i="4"/>
  <c r="G1436" i="4"/>
  <c r="G1437" i="4"/>
  <c r="G1438" i="4"/>
  <c r="G1439" i="4"/>
  <c r="G1440" i="4"/>
  <c r="G1441" i="4"/>
  <c r="G1442" i="4"/>
  <c r="G1443" i="4"/>
  <c r="G1444" i="4"/>
  <c r="G1445" i="4"/>
  <c r="G1446" i="4"/>
  <c r="G1447" i="4"/>
  <c r="G1448" i="4"/>
  <c r="G1449" i="4"/>
  <c r="G1450" i="4"/>
  <c r="G1451" i="4"/>
  <c r="G1452" i="4"/>
  <c r="G1453" i="4"/>
  <c r="G1454" i="4"/>
  <c r="G1455" i="4"/>
  <c r="G1456" i="4"/>
  <c r="G1457" i="4"/>
  <c r="G1458" i="4"/>
  <c r="G1459" i="4"/>
  <c r="G1460" i="4"/>
  <c r="G1461" i="4"/>
  <c r="G1462" i="4"/>
  <c r="G1463" i="4"/>
  <c r="G1464" i="4"/>
  <c r="G1465" i="4"/>
  <c r="G1466" i="4"/>
  <c r="G1467" i="4"/>
  <c r="G1468" i="4"/>
  <c r="G1469" i="4"/>
  <c r="G1470" i="4"/>
  <c r="G1471" i="4"/>
  <c r="G1472" i="4"/>
  <c r="G1473" i="4"/>
  <c r="G1474" i="4"/>
  <c r="G1475" i="4"/>
  <c r="G1476" i="4"/>
  <c r="G1477" i="4"/>
  <c r="G1478" i="4"/>
  <c r="G1479" i="4"/>
  <c r="G1480" i="4"/>
  <c r="G1481" i="4"/>
  <c r="G1482" i="4"/>
  <c r="G1483" i="4"/>
  <c r="G1484" i="4"/>
  <c r="G1485" i="4"/>
  <c r="G1486" i="4"/>
  <c r="G1487" i="4"/>
  <c r="G1488" i="4"/>
  <c r="G1489" i="4"/>
  <c r="G1490" i="4"/>
  <c r="G1491" i="4"/>
  <c r="G1492" i="4"/>
  <c r="G1493" i="4"/>
  <c r="G1494" i="4"/>
  <c r="G1495" i="4"/>
  <c r="G1496" i="4"/>
  <c r="G1497" i="4"/>
  <c r="G1498" i="4"/>
  <c r="G1499" i="4"/>
  <c r="G1500" i="4"/>
  <c r="G1501" i="4"/>
  <c r="G1502" i="4"/>
  <c r="G1503" i="4"/>
  <c r="G1504" i="4"/>
  <c r="G1505" i="4"/>
  <c r="G1506" i="4"/>
  <c r="G1507" i="4"/>
  <c r="G1508" i="4"/>
  <c r="G1509" i="4"/>
  <c r="G1510" i="4"/>
  <c r="G1511" i="4"/>
  <c r="G1512" i="4"/>
  <c r="G1513" i="4"/>
  <c r="G1514" i="4"/>
  <c r="G1515" i="4"/>
  <c r="G1516" i="4"/>
  <c r="G1517" i="4"/>
  <c r="G1518" i="4"/>
  <c r="G1519" i="4"/>
  <c r="G1520" i="4"/>
  <c r="G1521" i="4"/>
  <c r="G1522" i="4"/>
  <c r="G1523" i="4"/>
  <c r="G1524" i="4"/>
  <c r="G1525" i="4"/>
  <c r="G1526" i="4"/>
  <c r="G1527" i="4"/>
  <c r="G1528" i="4"/>
  <c r="G1529" i="4"/>
  <c r="G1530" i="4"/>
  <c r="G1531" i="4"/>
  <c r="G1532" i="4"/>
  <c r="G1533" i="4"/>
  <c r="G1534" i="4"/>
  <c r="G1535" i="4"/>
  <c r="G1536" i="4"/>
  <c r="G1537" i="4"/>
  <c r="G1538" i="4"/>
  <c r="G1539" i="4"/>
  <c r="G1540" i="4"/>
  <c r="G1541" i="4"/>
  <c r="G1542" i="4"/>
  <c r="G1543" i="4"/>
  <c r="G1544" i="4"/>
  <c r="G1545" i="4"/>
  <c r="G1546" i="4"/>
  <c r="G1547" i="4"/>
  <c r="G1548" i="4"/>
  <c r="G1549" i="4"/>
  <c r="G1550" i="4"/>
  <c r="G1551" i="4"/>
  <c r="G1552" i="4"/>
  <c r="G1553" i="4"/>
  <c r="G1554" i="4"/>
  <c r="G1555" i="4"/>
  <c r="G1556" i="4"/>
  <c r="G1557" i="4"/>
  <c r="G1558" i="4"/>
  <c r="G1559" i="4"/>
  <c r="G1560" i="4"/>
  <c r="G1561" i="4"/>
  <c r="G1562" i="4"/>
  <c r="G1563" i="4"/>
  <c r="G1564" i="4"/>
  <c r="G1565" i="4"/>
  <c r="G1566" i="4"/>
  <c r="G1567" i="4"/>
  <c r="G1568" i="4"/>
  <c r="G1569" i="4"/>
  <c r="G1570" i="4"/>
  <c r="G1571" i="4"/>
  <c r="G1572" i="4"/>
  <c r="G1573" i="4"/>
  <c r="G1574" i="4"/>
  <c r="G1575" i="4"/>
  <c r="G1576" i="4"/>
  <c r="G1577" i="4"/>
  <c r="G1578" i="4"/>
  <c r="G1579" i="4"/>
  <c r="G1580" i="4"/>
  <c r="G1581" i="4"/>
  <c r="G1582" i="4"/>
  <c r="G1583" i="4"/>
  <c r="G1584" i="4"/>
  <c r="G1585" i="4"/>
  <c r="G1586" i="4"/>
  <c r="G1587" i="4"/>
  <c r="G1588" i="4"/>
  <c r="G1589" i="4"/>
  <c r="G1590" i="4"/>
  <c r="G1591" i="4"/>
  <c r="G1592" i="4"/>
  <c r="G1593" i="4"/>
  <c r="G1594" i="4"/>
  <c r="G1595" i="4"/>
  <c r="G1596" i="4"/>
  <c r="G1597" i="4"/>
  <c r="G1598" i="4"/>
  <c r="G1599" i="4"/>
  <c r="G1600" i="4"/>
  <c r="G1601" i="4"/>
  <c r="G1602" i="4"/>
  <c r="G1603" i="4"/>
  <c r="G1604" i="4"/>
  <c r="G1605" i="4"/>
  <c r="G1606" i="4"/>
  <c r="G1607" i="4"/>
  <c r="G1608" i="4"/>
  <c r="G1609" i="4"/>
  <c r="G1610" i="4"/>
  <c r="G1611" i="4"/>
  <c r="G1612" i="4"/>
  <c r="G1613" i="4"/>
  <c r="G1614" i="4"/>
  <c r="G1615" i="4"/>
  <c r="G1616" i="4"/>
  <c r="G1617" i="4"/>
  <c r="G1618" i="4"/>
  <c r="G1619" i="4"/>
  <c r="G1620" i="4"/>
  <c r="G1621" i="4"/>
  <c r="G1622" i="4"/>
  <c r="G1623" i="4"/>
  <c r="G1624" i="4"/>
  <c r="G1625" i="4"/>
  <c r="G1626" i="4"/>
  <c r="G1627" i="4"/>
  <c r="G1628" i="4"/>
  <c r="G1629" i="4"/>
  <c r="G1630" i="4"/>
  <c r="G1631" i="4"/>
  <c r="G1632" i="4"/>
  <c r="G1633" i="4"/>
  <c r="G1634" i="4"/>
  <c r="G1635" i="4"/>
  <c r="G1636" i="4"/>
  <c r="G1637" i="4"/>
  <c r="G1638" i="4"/>
  <c r="G1639" i="4"/>
  <c r="G1640" i="4"/>
  <c r="G1641" i="4"/>
  <c r="G1642" i="4"/>
  <c r="G1643" i="4"/>
  <c r="G1644" i="4"/>
  <c r="G1645" i="4"/>
  <c r="G1646" i="4"/>
  <c r="G1647" i="4"/>
  <c r="G1648" i="4"/>
  <c r="G1649" i="4"/>
  <c r="G1650" i="4"/>
  <c r="G1651" i="4"/>
  <c r="G1652" i="4"/>
  <c r="G1653" i="4"/>
  <c r="G1654" i="4"/>
  <c r="G1655" i="4"/>
  <c r="G1656" i="4"/>
  <c r="G1657" i="4"/>
  <c r="G1658" i="4"/>
  <c r="G1659" i="4"/>
  <c r="G1660" i="4"/>
  <c r="G1661" i="4"/>
  <c r="G1662" i="4"/>
  <c r="G1663" i="4"/>
  <c r="G1664" i="4"/>
  <c r="G1665" i="4"/>
  <c r="G1666" i="4"/>
  <c r="G1667" i="4"/>
  <c r="G1668" i="4"/>
  <c r="G1669" i="4"/>
  <c r="G1670" i="4"/>
  <c r="G1671" i="4"/>
  <c r="G1672" i="4"/>
  <c r="G1673" i="4"/>
  <c r="G1674" i="4"/>
  <c r="G1675" i="4"/>
  <c r="G1676" i="4"/>
  <c r="G1677" i="4"/>
  <c r="G1678" i="4"/>
  <c r="G1679" i="4"/>
  <c r="G1680" i="4"/>
  <c r="G1681" i="4"/>
  <c r="G1682" i="4"/>
  <c r="G1683" i="4"/>
  <c r="G1684" i="4"/>
  <c r="G1685" i="4"/>
  <c r="G1686" i="4"/>
  <c r="G1687" i="4"/>
  <c r="G1688" i="4"/>
  <c r="G1689" i="4"/>
  <c r="G1690" i="4"/>
  <c r="G1691" i="4"/>
  <c r="G1692" i="4"/>
  <c r="G1693" i="4"/>
  <c r="G1694" i="4"/>
  <c r="G1695" i="4"/>
  <c r="G1696" i="4"/>
  <c r="G1697" i="4"/>
  <c r="G1698" i="4"/>
  <c r="G1699" i="4"/>
  <c r="G1700" i="4"/>
  <c r="G1701" i="4"/>
  <c r="G1702" i="4"/>
  <c r="G1703" i="4"/>
  <c r="G1704" i="4"/>
  <c r="G1705" i="4"/>
  <c r="G1706" i="4"/>
  <c r="G1707" i="4"/>
  <c r="G1708" i="4"/>
  <c r="G1709" i="4"/>
  <c r="G1710" i="4"/>
  <c r="G1711" i="4"/>
  <c r="G1712" i="4"/>
  <c r="G1713" i="4"/>
  <c r="G1714" i="4"/>
  <c r="G1715" i="4"/>
  <c r="G1716" i="4"/>
  <c r="G1717" i="4"/>
  <c r="G1718" i="4"/>
  <c r="G1719" i="4"/>
  <c r="G1720" i="4"/>
  <c r="G1721" i="4"/>
  <c r="G1722" i="4"/>
  <c r="G1723" i="4"/>
  <c r="G1724" i="4"/>
  <c r="G1725" i="4"/>
  <c r="G1726" i="4"/>
  <c r="G1727" i="4"/>
  <c r="G1728" i="4"/>
  <c r="G1729" i="4"/>
  <c r="G1730" i="4"/>
  <c r="G1731" i="4"/>
  <c r="G1732" i="4"/>
  <c r="G1733" i="4"/>
  <c r="G1734" i="4"/>
  <c r="G1735" i="4"/>
  <c r="G1736" i="4"/>
  <c r="G1737" i="4"/>
  <c r="G1738" i="4"/>
  <c r="G1739" i="4"/>
  <c r="G1740" i="4"/>
  <c r="G1741" i="4"/>
  <c r="G1742" i="4"/>
  <c r="G1743" i="4"/>
  <c r="G1744" i="4"/>
  <c r="G1745" i="4"/>
  <c r="G1746" i="4"/>
  <c r="G1747" i="4"/>
  <c r="G1748" i="4"/>
  <c r="G1749" i="4"/>
  <c r="G1750" i="4"/>
  <c r="G1751" i="4"/>
  <c r="G1752" i="4"/>
  <c r="G1753" i="4"/>
  <c r="G1754" i="4"/>
  <c r="G1755" i="4"/>
  <c r="G1756" i="4"/>
  <c r="G1757" i="4"/>
  <c r="G1758" i="4"/>
  <c r="G1759" i="4"/>
  <c r="G1760" i="4"/>
  <c r="G1761" i="4"/>
  <c r="G1762" i="4"/>
  <c r="G1763" i="4"/>
  <c r="G1764" i="4"/>
  <c r="G1765" i="4"/>
  <c r="G1766" i="4"/>
  <c r="G1767" i="4"/>
  <c r="G1768" i="4"/>
  <c r="G1769" i="4"/>
  <c r="G1770" i="4"/>
  <c r="G1771" i="4"/>
  <c r="G1772" i="4"/>
  <c r="G1773" i="4"/>
  <c r="G1774" i="4"/>
  <c r="G1775" i="4"/>
  <c r="G1776" i="4"/>
  <c r="G1777" i="4"/>
  <c r="G1778" i="4"/>
  <c r="G1779" i="4"/>
  <c r="G1780" i="4"/>
  <c r="G1781" i="4"/>
  <c r="G1782" i="4"/>
  <c r="G1783" i="4"/>
  <c r="G1784" i="4"/>
  <c r="G1785" i="4"/>
  <c r="G1786" i="4"/>
  <c r="G1787" i="4"/>
  <c r="G1788" i="4"/>
  <c r="G1789" i="4"/>
  <c r="G1790" i="4"/>
  <c r="G1791" i="4"/>
  <c r="G1792" i="4"/>
  <c r="G1793" i="4"/>
  <c r="G1794" i="4"/>
  <c r="G1795" i="4"/>
  <c r="G1796" i="4"/>
  <c r="G1797" i="4"/>
  <c r="G1798" i="4"/>
  <c r="G1799" i="4"/>
  <c r="G1800" i="4"/>
  <c r="G1801" i="4"/>
  <c r="G1802" i="4"/>
  <c r="G1803" i="4"/>
  <c r="G1804" i="4"/>
  <c r="G1805" i="4"/>
  <c r="G1806" i="4"/>
  <c r="G1807" i="4"/>
  <c r="G1808" i="4"/>
  <c r="G1809" i="4"/>
  <c r="G1810" i="4"/>
  <c r="G1811" i="4"/>
  <c r="G1812" i="4"/>
  <c r="G1813" i="4"/>
  <c r="G1814" i="4"/>
  <c r="G1815" i="4"/>
  <c r="G1816" i="4"/>
  <c r="G1817" i="4"/>
  <c r="G1818" i="4"/>
  <c r="G1819" i="4"/>
  <c r="G1820" i="4"/>
  <c r="G1821" i="4"/>
  <c r="G1822" i="4"/>
  <c r="G1823" i="4"/>
  <c r="G1824" i="4"/>
  <c r="G1825" i="4"/>
  <c r="G1826" i="4"/>
  <c r="G1827" i="4"/>
  <c r="G1828" i="4"/>
  <c r="G1829" i="4"/>
  <c r="G1830" i="4"/>
  <c r="G1831" i="4"/>
  <c r="G1832" i="4"/>
  <c r="G1833" i="4"/>
  <c r="G1834" i="4"/>
  <c r="G1835" i="4"/>
  <c r="G1836" i="4"/>
  <c r="G1837" i="4"/>
  <c r="G1838" i="4"/>
  <c r="G1839" i="4"/>
  <c r="G1840" i="4"/>
  <c r="G1841" i="4"/>
  <c r="G1842" i="4"/>
  <c r="G1843" i="4"/>
  <c r="G1844" i="4"/>
  <c r="G1845" i="4"/>
  <c r="G1846" i="4"/>
  <c r="G1847" i="4"/>
  <c r="G1848" i="4"/>
  <c r="G1849" i="4"/>
  <c r="G1850" i="4"/>
  <c r="G1851" i="4"/>
  <c r="G1852" i="4"/>
  <c r="G1853" i="4"/>
  <c r="G1854" i="4"/>
  <c r="G1855" i="4"/>
  <c r="G1856" i="4"/>
  <c r="G1857" i="4"/>
  <c r="G1858" i="4"/>
  <c r="G1859" i="4"/>
  <c r="G1860" i="4"/>
  <c r="G1861" i="4"/>
  <c r="G1862" i="4"/>
  <c r="G1863" i="4"/>
  <c r="G1864" i="4"/>
  <c r="G1865" i="4"/>
  <c r="G1866" i="4"/>
  <c r="G1867" i="4"/>
  <c r="G1868" i="4"/>
  <c r="G1869" i="4"/>
  <c r="G1870" i="4"/>
  <c r="G1871" i="4"/>
  <c r="G1872" i="4"/>
  <c r="G1873" i="4"/>
  <c r="G1874" i="4"/>
  <c r="G1875" i="4"/>
  <c r="G1876" i="4"/>
  <c r="G1877" i="4"/>
  <c r="G1878" i="4"/>
  <c r="G1879" i="4"/>
  <c r="G1880" i="4"/>
  <c r="G1881" i="4"/>
  <c r="G1882" i="4"/>
  <c r="G1883" i="4"/>
  <c r="G1884" i="4"/>
  <c r="G1885" i="4"/>
  <c r="G1886" i="4"/>
  <c r="G1887" i="4"/>
  <c r="G1888" i="4"/>
  <c r="G1889" i="4"/>
  <c r="G1890" i="4"/>
  <c r="G1891" i="4"/>
  <c r="G1892" i="4"/>
  <c r="G1893" i="4"/>
  <c r="G1894" i="4"/>
  <c r="G1895" i="4"/>
  <c r="G1896" i="4"/>
  <c r="G1897" i="4"/>
  <c r="G1898" i="4"/>
  <c r="G1899" i="4"/>
  <c r="G1900" i="4"/>
  <c r="G1901" i="4"/>
  <c r="G1902" i="4"/>
  <c r="G1903" i="4"/>
  <c r="G1904" i="4"/>
  <c r="G1905" i="4"/>
  <c r="G1906" i="4"/>
  <c r="G1907" i="4"/>
  <c r="G1908" i="4"/>
  <c r="G1909" i="4"/>
  <c r="G1910" i="4"/>
  <c r="G1911" i="4"/>
  <c r="G1912" i="4"/>
  <c r="G1913" i="4"/>
  <c r="G1914" i="4"/>
  <c r="G1915" i="4"/>
  <c r="G1916" i="4"/>
  <c r="G1917" i="4"/>
  <c r="G1918" i="4"/>
  <c r="G1919" i="4"/>
  <c r="G1920" i="4"/>
  <c r="G1921" i="4"/>
  <c r="G1922" i="4"/>
  <c r="G1923" i="4"/>
  <c r="G1924" i="4"/>
  <c r="G1925" i="4"/>
  <c r="G1926" i="4"/>
  <c r="G1927" i="4"/>
  <c r="G1928" i="4"/>
  <c r="G1929" i="4"/>
  <c r="G1930" i="4"/>
  <c r="G1931" i="4"/>
  <c r="G1932" i="4"/>
  <c r="G1933" i="4"/>
  <c r="G1934" i="4"/>
  <c r="G1935" i="4"/>
  <c r="G1936" i="4"/>
  <c r="G1937" i="4"/>
  <c r="G1938" i="4"/>
  <c r="G1939" i="4"/>
  <c r="G1940" i="4"/>
  <c r="G1941" i="4"/>
  <c r="G1942" i="4"/>
  <c r="G1943" i="4"/>
  <c r="G1944" i="4"/>
  <c r="G1945" i="4"/>
  <c r="G1946" i="4"/>
  <c r="G1947" i="4"/>
  <c r="G1948" i="4"/>
  <c r="G1949" i="4"/>
  <c r="G1950" i="4"/>
  <c r="G1951" i="4"/>
  <c r="G1952" i="4"/>
  <c r="G1953" i="4"/>
  <c r="G1954" i="4"/>
  <c r="G1955" i="4"/>
  <c r="G1956" i="4"/>
  <c r="G1957" i="4"/>
  <c r="G1958" i="4"/>
  <c r="G1959" i="4"/>
  <c r="G1960" i="4"/>
  <c r="G1961" i="4"/>
  <c r="G1962" i="4"/>
  <c r="G1963" i="4"/>
  <c r="G1964" i="4"/>
  <c r="G1965" i="4"/>
  <c r="G1966" i="4"/>
  <c r="G1967" i="4"/>
  <c r="G1968" i="4"/>
  <c r="G1969" i="4"/>
  <c r="G1970" i="4"/>
  <c r="G1971" i="4"/>
  <c r="G1972" i="4"/>
  <c r="G1973" i="4"/>
  <c r="G1974" i="4"/>
  <c r="G1975" i="4"/>
  <c r="G1976" i="4"/>
  <c r="G1977" i="4"/>
  <c r="G1978" i="4"/>
  <c r="G1979" i="4"/>
  <c r="G1980" i="4"/>
  <c r="G1981" i="4"/>
  <c r="G1982" i="4"/>
  <c r="G1983" i="4"/>
  <c r="G1984" i="4"/>
  <c r="G1985" i="4"/>
  <c r="G1986" i="4"/>
  <c r="G1987" i="4"/>
  <c r="G1988" i="4"/>
  <c r="G1989" i="4"/>
  <c r="G1990" i="4"/>
  <c r="G1991" i="4"/>
  <c r="G1992" i="4"/>
  <c r="G1993" i="4"/>
  <c r="G1994" i="4"/>
  <c r="G1995" i="4"/>
  <c r="G1996" i="4"/>
  <c r="G1997" i="4"/>
  <c r="G1998" i="4"/>
  <c r="G1999" i="4"/>
  <c r="G2000" i="4"/>
  <c r="G2001" i="4"/>
  <c r="G2002" i="4"/>
  <c r="G2003" i="4"/>
  <c r="G2004" i="4"/>
  <c r="G2005" i="4"/>
  <c r="G2006" i="4"/>
  <c r="G2007" i="4"/>
  <c r="G2008" i="4"/>
  <c r="G2009" i="4"/>
  <c r="G2010" i="4"/>
  <c r="G2011" i="4"/>
  <c r="G2012" i="4"/>
  <c r="G2013" i="4"/>
  <c r="G2014" i="4"/>
  <c r="G2015" i="4"/>
  <c r="G2016" i="4"/>
  <c r="G2017" i="4"/>
  <c r="G2018" i="4"/>
  <c r="G2019" i="4"/>
  <c r="G2020" i="4"/>
  <c r="G2021" i="4"/>
  <c r="G2022" i="4"/>
  <c r="G2023" i="4"/>
  <c r="G2024" i="4"/>
  <c r="G2025" i="4"/>
  <c r="G2026" i="4"/>
  <c r="G2027" i="4"/>
  <c r="G2028" i="4"/>
  <c r="G2029" i="4"/>
  <c r="G2030" i="4"/>
  <c r="G2031" i="4"/>
  <c r="G2032" i="4"/>
  <c r="G2033" i="4"/>
  <c r="G2034" i="4"/>
  <c r="G2035" i="4"/>
  <c r="G2036" i="4"/>
  <c r="G2037" i="4"/>
  <c r="G2038" i="4"/>
  <c r="G2039" i="4"/>
  <c r="G2040" i="4"/>
  <c r="G2041" i="4"/>
  <c r="G2042" i="4"/>
  <c r="G2043" i="4"/>
  <c r="G2044" i="4"/>
  <c r="G2045" i="4"/>
  <c r="G2046" i="4"/>
  <c r="G2047" i="4"/>
  <c r="G2048" i="4"/>
  <c r="G2049" i="4"/>
  <c r="G2050" i="4"/>
  <c r="G2051" i="4"/>
  <c r="G2052" i="4"/>
  <c r="G2053" i="4"/>
  <c r="G2054" i="4"/>
  <c r="G2055" i="4"/>
  <c r="G2056" i="4"/>
  <c r="G2057" i="4"/>
  <c r="G2058" i="4"/>
  <c r="G2059" i="4"/>
  <c r="G2060" i="4"/>
  <c r="G2061" i="4"/>
  <c r="G2062" i="4"/>
  <c r="G2063" i="4"/>
  <c r="G2064" i="4"/>
  <c r="G2065" i="4"/>
  <c r="G2066" i="4"/>
  <c r="G2067" i="4"/>
  <c r="G2068" i="4"/>
  <c r="G2069" i="4"/>
  <c r="G2070" i="4"/>
  <c r="G2071" i="4"/>
  <c r="G2072" i="4"/>
  <c r="G2073" i="4"/>
  <c r="G2074" i="4"/>
  <c r="G2075" i="4"/>
  <c r="G2076" i="4"/>
  <c r="G2077" i="4"/>
  <c r="G2078" i="4"/>
  <c r="G2079" i="4"/>
  <c r="G2080" i="4"/>
  <c r="G2081" i="4"/>
  <c r="G2082" i="4"/>
  <c r="G2083" i="4"/>
  <c r="G2084" i="4"/>
  <c r="G2085" i="4"/>
  <c r="G2086" i="4"/>
  <c r="G2087" i="4"/>
  <c r="G2088" i="4"/>
  <c r="G2089" i="4"/>
  <c r="G2090" i="4"/>
  <c r="G2091" i="4"/>
  <c r="G2092" i="4"/>
  <c r="G2093" i="4"/>
  <c r="G2094" i="4"/>
  <c r="G2095" i="4"/>
  <c r="G2096" i="4"/>
  <c r="G2097" i="4"/>
  <c r="G2098" i="4"/>
  <c r="G2099" i="4"/>
  <c r="G2100" i="4"/>
  <c r="G2101" i="4"/>
  <c r="G2102" i="4"/>
  <c r="G2103" i="4"/>
  <c r="G2104" i="4"/>
  <c r="G2105" i="4"/>
  <c r="G2106" i="4"/>
  <c r="G2107" i="4"/>
  <c r="G2108" i="4"/>
  <c r="G2109" i="4"/>
  <c r="G2110" i="4"/>
  <c r="G2111" i="4"/>
  <c r="G2112" i="4"/>
  <c r="G2113" i="4"/>
  <c r="G2114" i="4"/>
  <c r="G2115" i="4"/>
  <c r="G2116" i="4"/>
  <c r="G2117" i="4"/>
  <c r="G2118" i="4"/>
  <c r="G2119" i="4"/>
  <c r="G2120" i="4"/>
  <c r="G2121" i="4"/>
  <c r="G2122" i="4"/>
  <c r="G2123" i="4"/>
  <c r="G2124" i="4"/>
  <c r="G2125" i="4"/>
  <c r="G2126" i="4"/>
  <c r="G2127" i="4"/>
  <c r="G2128" i="4"/>
  <c r="G2129" i="4"/>
  <c r="G2130" i="4"/>
  <c r="G2131" i="4"/>
  <c r="G2132" i="4"/>
  <c r="G2133" i="4"/>
  <c r="G2134" i="4"/>
  <c r="G2135" i="4"/>
  <c r="G2136" i="4"/>
  <c r="G2137" i="4"/>
  <c r="G2138" i="4"/>
  <c r="G2139" i="4"/>
  <c r="G2140" i="4"/>
  <c r="G2141" i="4"/>
  <c r="G2142" i="4"/>
  <c r="G2143" i="4"/>
  <c r="G2144" i="4"/>
  <c r="G2145" i="4"/>
  <c r="G2146" i="4"/>
  <c r="G2147" i="4"/>
  <c r="G2148" i="4"/>
  <c r="G2149" i="4"/>
  <c r="G2150" i="4"/>
  <c r="G2151" i="4"/>
  <c r="G2152" i="4"/>
  <c r="G2153" i="4"/>
  <c r="G2154" i="4"/>
  <c r="G2155" i="4"/>
  <c r="G2156" i="4"/>
  <c r="G2157" i="4"/>
  <c r="G2158" i="4"/>
  <c r="G2159" i="4"/>
  <c r="G2160" i="4"/>
  <c r="G2161" i="4"/>
  <c r="G2162" i="4"/>
  <c r="G2163" i="4"/>
  <c r="G2164" i="4"/>
  <c r="G2165" i="4"/>
  <c r="G2166" i="4"/>
  <c r="G2167" i="4"/>
  <c r="G2168" i="4"/>
  <c r="G2169" i="4"/>
  <c r="G2170" i="4"/>
  <c r="G2171" i="4"/>
  <c r="G2172" i="4"/>
  <c r="G2173" i="4"/>
  <c r="G2174" i="4"/>
  <c r="G2175" i="4"/>
  <c r="G2176" i="4"/>
  <c r="G2177" i="4"/>
  <c r="G2178" i="4"/>
  <c r="G2179" i="4"/>
  <c r="G2180" i="4"/>
  <c r="G2181" i="4"/>
  <c r="G2182" i="4"/>
  <c r="G2183" i="4"/>
  <c r="G2184" i="4"/>
  <c r="G2185" i="4"/>
  <c r="G2186" i="4"/>
  <c r="G2187" i="4"/>
  <c r="G2188" i="4"/>
  <c r="G2189" i="4"/>
  <c r="G2190" i="4"/>
  <c r="G2191" i="4"/>
  <c r="G2192" i="4"/>
  <c r="G2193" i="4"/>
  <c r="G2194" i="4"/>
  <c r="G2195" i="4"/>
  <c r="G2196" i="4"/>
  <c r="G2197" i="4"/>
  <c r="G2198" i="4"/>
  <c r="G2199" i="4"/>
  <c r="G2200" i="4"/>
  <c r="G2201" i="4"/>
  <c r="G2202" i="4"/>
  <c r="G2203" i="4"/>
  <c r="G2204" i="4"/>
  <c r="G2205" i="4"/>
  <c r="G2206" i="4"/>
  <c r="G2207" i="4"/>
  <c r="G2208" i="4"/>
  <c r="G2209" i="4"/>
  <c r="G2" i="4"/>
  <c r="F3" i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56" i="1"/>
  <c r="F57" i="1"/>
  <c r="F58" i="1"/>
  <c r="F59" i="1"/>
  <c r="F60" i="1"/>
  <c r="F61" i="1"/>
  <c r="F62" i="1"/>
  <c r="F63" i="1"/>
  <c r="F64" i="1"/>
  <c r="F65" i="1"/>
  <c r="F66" i="1"/>
  <c r="F67" i="1"/>
  <c r="F68" i="1"/>
  <c r="F69" i="1"/>
  <c r="F70" i="1"/>
  <c r="F71" i="1"/>
  <c r="F72" i="1"/>
  <c r="F73" i="1"/>
  <c r="F74" i="1"/>
  <c r="F75" i="1"/>
  <c r="F76" i="1"/>
  <c r="F77" i="1"/>
  <c r="F78" i="1"/>
  <c r="F79" i="1"/>
  <c r="F80" i="1"/>
  <c r="F81" i="1"/>
  <c r="F82" i="1"/>
  <c r="F83" i="1"/>
  <c r="F84" i="1"/>
  <c r="F85" i="1"/>
  <c r="F86" i="1"/>
  <c r="F87" i="1"/>
  <c r="F88" i="1"/>
  <c r="F89" i="1"/>
  <c r="F90" i="1"/>
  <c r="F91" i="1"/>
  <c r="F92" i="1"/>
  <c r="F93" i="1"/>
  <c r="F94" i="1"/>
  <c r="F95" i="1"/>
  <c r="F96" i="1"/>
  <c r="F97" i="1"/>
  <c r="F98" i="1"/>
  <c r="F99" i="1"/>
  <c r="F100" i="1"/>
  <c r="F101" i="1"/>
  <c r="F102" i="1"/>
  <c r="F103" i="1"/>
  <c r="F104" i="1"/>
  <c r="F105" i="1"/>
  <c r="F106" i="1"/>
  <c r="F107" i="1"/>
  <c r="F108" i="1"/>
  <c r="F109" i="1"/>
  <c r="F110" i="1"/>
  <c r="F111" i="1"/>
  <c r="F112" i="1"/>
  <c r="F113" i="1"/>
  <c r="F114" i="1"/>
  <c r="F115" i="1"/>
  <c r="F116" i="1"/>
  <c r="F117" i="1"/>
  <c r="F118" i="1"/>
  <c r="F119" i="1"/>
  <c r="F120" i="1"/>
  <c r="F121" i="1"/>
  <c r="F122" i="1"/>
  <c r="F123" i="1"/>
  <c r="F124" i="1"/>
  <c r="F125" i="1"/>
  <c r="F126" i="1"/>
  <c r="F127" i="1"/>
  <c r="F128" i="1"/>
  <c r="F129" i="1"/>
  <c r="F130" i="1"/>
  <c r="F131" i="1"/>
  <c r="F132" i="1"/>
  <c r="F133" i="1"/>
  <c r="F134" i="1"/>
  <c r="F135" i="1"/>
  <c r="F136" i="1"/>
  <c r="F137" i="1"/>
  <c r="F138" i="1"/>
  <c r="F139" i="1"/>
  <c r="F140" i="1"/>
  <c r="F141" i="1"/>
  <c r="F142" i="1"/>
  <c r="F143" i="1"/>
  <c r="F144" i="1"/>
  <c r="F145" i="1"/>
  <c r="F146" i="1"/>
  <c r="F147" i="1"/>
  <c r="F148" i="1"/>
  <c r="F149" i="1"/>
  <c r="F150" i="1"/>
  <c r="F151" i="1"/>
  <c r="F152" i="1"/>
  <c r="F153" i="1"/>
  <c r="F154" i="1"/>
  <c r="F155" i="1"/>
  <c r="F156" i="1"/>
  <c r="F157" i="1"/>
  <c r="F158" i="1"/>
  <c r="F159" i="1"/>
  <c r="F160" i="1"/>
  <c r="F161" i="1"/>
  <c r="F162" i="1"/>
  <c r="F163" i="1"/>
  <c r="F164" i="1"/>
  <c r="F165" i="1"/>
  <c r="F166" i="1"/>
  <c r="F167" i="1"/>
  <c r="F168" i="1"/>
  <c r="F169" i="1"/>
  <c r="F170" i="1"/>
  <c r="F171" i="1"/>
  <c r="F172" i="1"/>
  <c r="F173" i="1"/>
  <c r="F174" i="1"/>
  <c r="F175" i="1"/>
  <c r="F176" i="1"/>
  <c r="F177" i="1"/>
  <c r="F178" i="1"/>
  <c r="F179" i="1"/>
  <c r="F180" i="1"/>
  <c r="F181" i="1"/>
  <c r="F182" i="1"/>
  <c r="F183" i="1"/>
  <c r="F184" i="1"/>
  <c r="F185" i="1"/>
  <c r="F186" i="1"/>
  <c r="F187" i="1"/>
  <c r="F188" i="1"/>
  <c r="F189" i="1"/>
  <c r="F190" i="1"/>
  <c r="F191" i="1"/>
  <c r="F192" i="1"/>
  <c r="F193" i="1"/>
  <c r="F194" i="1"/>
  <c r="F195" i="1"/>
  <c r="F196" i="1"/>
  <c r="F197" i="1"/>
  <c r="F198" i="1"/>
  <c r="F199" i="1"/>
  <c r="F200" i="1"/>
  <c r="F201" i="1"/>
  <c r="F202" i="1"/>
  <c r="F203" i="1"/>
  <c r="F204" i="1"/>
  <c r="F205" i="1"/>
  <c r="F206" i="1"/>
  <c r="F207" i="1"/>
  <c r="F208" i="1"/>
  <c r="F209" i="1"/>
  <c r="F210" i="1"/>
  <c r="F211" i="1"/>
  <c r="F212" i="1"/>
  <c r="F213" i="1"/>
  <c r="F214" i="1"/>
  <c r="F215" i="1"/>
  <c r="F216" i="1"/>
  <c r="F217" i="1"/>
  <c r="F218" i="1"/>
  <c r="F219" i="1"/>
  <c r="F220" i="1"/>
  <c r="F221" i="1"/>
  <c r="F222" i="1"/>
  <c r="F223" i="1"/>
  <c r="F224" i="1"/>
  <c r="F225" i="1"/>
  <c r="F226" i="1"/>
  <c r="F227" i="1"/>
  <c r="F228" i="1"/>
  <c r="F229" i="1"/>
  <c r="F230" i="1"/>
  <c r="F231" i="1"/>
  <c r="F232" i="1"/>
  <c r="F233" i="1"/>
  <c r="F234" i="1"/>
  <c r="F235" i="1"/>
  <c r="F236" i="1"/>
  <c r="F237" i="1"/>
  <c r="F238" i="1"/>
  <c r="F239" i="1"/>
  <c r="F240" i="1"/>
  <c r="F241" i="1"/>
  <c r="F242" i="1"/>
  <c r="F243" i="1"/>
  <c r="F244" i="1"/>
  <c r="F245" i="1"/>
  <c r="F246" i="1"/>
  <c r="F247" i="1"/>
  <c r="F248" i="1"/>
  <c r="F249" i="1"/>
  <c r="F250" i="1"/>
  <c r="F251" i="1"/>
  <c r="F252" i="1"/>
  <c r="F253" i="1"/>
  <c r="F254" i="1"/>
  <c r="F255" i="1"/>
  <c r="F256" i="1"/>
  <c r="F257" i="1"/>
  <c r="F258" i="1"/>
  <c r="F259" i="1"/>
  <c r="F260" i="1"/>
  <c r="F261" i="1"/>
  <c r="F262" i="1"/>
  <c r="F263" i="1"/>
  <c r="F264" i="1"/>
  <c r="F265" i="1"/>
  <c r="F266" i="1"/>
  <c r="F267" i="1"/>
  <c r="F268" i="1"/>
  <c r="F269" i="1"/>
  <c r="F270" i="1"/>
  <c r="F271" i="1"/>
  <c r="F272" i="1"/>
  <c r="F273" i="1"/>
  <c r="F274" i="1"/>
  <c r="F275" i="1"/>
  <c r="F276" i="1"/>
  <c r="F277" i="1"/>
  <c r="F278" i="1"/>
  <c r="F279" i="1"/>
  <c r="F280" i="1"/>
  <c r="F281" i="1"/>
  <c r="F282" i="1"/>
  <c r="F283" i="1"/>
  <c r="F284" i="1"/>
  <c r="F285" i="1"/>
  <c r="F286" i="1"/>
  <c r="F287" i="1"/>
  <c r="F288" i="1"/>
  <c r="F289" i="1"/>
  <c r="F290" i="1"/>
  <c r="F291" i="1"/>
  <c r="F292" i="1"/>
  <c r="F293" i="1"/>
  <c r="F294" i="1"/>
  <c r="F295" i="1"/>
  <c r="F296" i="1"/>
  <c r="F297" i="1"/>
  <c r="F298" i="1"/>
  <c r="F299" i="1"/>
  <c r="F300" i="1"/>
  <c r="F301" i="1"/>
  <c r="F302" i="1"/>
  <c r="F303" i="1"/>
  <c r="F304" i="1"/>
  <c r="F305" i="1"/>
  <c r="F306" i="1"/>
  <c r="F307" i="1"/>
  <c r="F308" i="1"/>
  <c r="F309" i="1"/>
  <c r="F310" i="1"/>
  <c r="F311" i="1"/>
  <c r="F312" i="1"/>
  <c r="F313" i="1"/>
  <c r="F314" i="1"/>
  <c r="F315" i="1"/>
  <c r="F316" i="1"/>
  <c r="F317" i="1"/>
  <c r="F318" i="1"/>
  <c r="F319" i="1"/>
  <c r="F320" i="1"/>
  <c r="F321" i="1"/>
  <c r="F322" i="1"/>
  <c r="F323" i="1"/>
  <c r="F324" i="1"/>
  <c r="F325" i="1"/>
  <c r="F326" i="1"/>
  <c r="F327" i="1"/>
  <c r="F328" i="1"/>
  <c r="F329" i="1"/>
  <c r="F330" i="1"/>
  <c r="F331" i="1"/>
  <c r="F332" i="1"/>
  <c r="F333" i="1"/>
  <c r="F334" i="1"/>
  <c r="F335" i="1"/>
  <c r="F336" i="1"/>
  <c r="F337" i="1"/>
  <c r="F338" i="1"/>
  <c r="F339" i="1"/>
  <c r="F340" i="1"/>
  <c r="F341" i="1"/>
  <c r="F342" i="1"/>
  <c r="F343" i="1"/>
  <c r="F344" i="1"/>
  <c r="F345" i="1"/>
  <c r="F346" i="1"/>
  <c r="F347" i="1"/>
  <c r="F348" i="1"/>
  <c r="F349" i="1"/>
  <c r="F350" i="1"/>
  <c r="F351" i="1"/>
  <c r="F352" i="1"/>
  <c r="F353" i="1"/>
  <c r="F354" i="1"/>
  <c r="F355" i="1"/>
  <c r="F356" i="1"/>
  <c r="F357" i="1"/>
  <c r="F358" i="1"/>
  <c r="F359" i="1"/>
  <c r="F360" i="1"/>
  <c r="F361" i="1"/>
  <c r="F362" i="1"/>
  <c r="F363" i="1"/>
  <c r="F364" i="1"/>
  <c r="F365" i="1"/>
  <c r="F366" i="1"/>
  <c r="F367" i="1"/>
  <c r="F368" i="1"/>
  <c r="F369" i="1"/>
  <c r="F370" i="1"/>
  <c r="F371" i="1"/>
  <c r="F372" i="1"/>
  <c r="F373" i="1"/>
  <c r="F374" i="1"/>
  <c r="F375" i="1"/>
  <c r="F376" i="1"/>
  <c r="F377" i="1"/>
  <c r="F378" i="1"/>
  <c r="F379" i="1"/>
  <c r="F380" i="1"/>
  <c r="F381" i="1"/>
  <c r="F382" i="1"/>
  <c r="F383" i="1"/>
  <c r="F384" i="1"/>
  <c r="F385" i="1"/>
  <c r="F386" i="1"/>
  <c r="F387" i="1"/>
  <c r="F388" i="1"/>
  <c r="F389" i="1"/>
  <c r="F390" i="1"/>
  <c r="F391" i="1"/>
  <c r="F392" i="1"/>
  <c r="F393" i="1"/>
  <c r="F394" i="1"/>
  <c r="F395" i="1"/>
  <c r="F396" i="1"/>
  <c r="F397" i="1"/>
  <c r="F398" i="1"/>
  <c r="F399" i="1"/>
  <c r="F400" i="1"/>
  <c r="F401" i="1"/>
  <c r="F402" i="1"/>
  <c r="F403" i="1"/>
  <c r="F404" i="1"/>
  <c r="F405" i="1"/>
  <c r="F406" i="1"/>
  <c r="F407" i="1"/>
  <c r="F408" i="1"/>
  <c r="F409" i="1"/>
  <c r="F410" i="1"/>
  <c r="F411" i="1"/>
  <c r="F412" i="1"/>
  <c r="F413" i="1"/>
  <c r="F414" i="1"/>
  <c r="F415" i="1"/>
  <c r="F416" i="1"/>
  <c r="F417" i="1"/>
  <c r="F418" i="1"/>
  <c r="F419" i="1"/>
  <c r="F420" i="1"/>
  <c r="F421" i="1"/>
  <c r="F422" i="1"/>
  <c r="F423" i="1"/>
  <c r="F424" i="1"/>
  <c r="F425" i="1"/>
  <c r="F426" i="1"/>
  <c r="F427" i="1"/>
  <c r="F428" i="1"/>
  <c r="F429" i="1"/>
  <c r="F430" i="1"/>
  <c r="F431" i="1"/>
  <c r="F432" i="1"/>
  <c r="F433" i="1"/>
  <c r="F434" i="1"/>
  <c r="F435" i="1"/>
  <c r="F436" i="1"/>
  <c r="F437" i="1"/>
  <c r="F438" i="1"/>
  <c r="F439" i="1"/>
  <c r="F440" i="1"/>
  <c r="F441" i="1"/>
  <c r="F442" i="1"/>
  <c r="F443" i="1"/>
  <c r="F444" i="1"/>
  <c r="F445" i="1"/>
  <c r="F446" i="1"/>
  <c r="F447" i="1"/>
  <c r="F448" i="1"/>
  <c r="F449" i="1"/>
  <c r="F450" i="1"/>
  <c r="F451" i="1"/>
  <c r="F452" i="1"/>
  <c r="F453" i="1"/>
  <c r="F454" i="1"/>
  <c r="F455" i="1"/>
  <c r="F456" i="1"/>
  <c r="F457" i="1"/>
  <c r="F458" i="1"/>
  <c r="F459" i="1"/>
  <c r="F460" i="1"/>
  <c r="F461" i="1"/>
  <c r="F462" i="1"/>
  <c r="F463" i="1"/>
  <c r="F464" i="1"/>
  <c r="F465" i="1"/>
  <c r="F466" i="1"/>
  <c r="F467" i="1"/>
  <c r="F468" i="1"/>
  <c r="F469" i="1"/>
  <c r="F470" i="1"/>
  <c r="F471" i="1"/>
  <c r="F472" i="1"/>
  <c r="F473" i="1"/>
  <c r="F474" i="1"/>
  <c r="F475" i="1"/>
  <c r="F476" i="1"/>
  <c r="F477" i="1"/>
  <c r="F478" i="1"/>
  <c r="F479" i="1"/>
  <c r="F480" i="1"/>
  <c r="F481" i="1"/>
  <c r="F482" i="1"/>
  <c r="F483" i="1"/>
  <c r="F484" i="1"/>
  <c r="F485" i="1"/>
  <c r="F486" i="1"/>
  <c r="F487" i="1"/>
  <c r="F488" i="1"/>
  <c r="F489" i="1"/>
  <c r="F490" i="1"/>
  <c r="F491" i="1"/>
  <c r="F492" i="1"/>
  <c r="F493" i="1"/>
  <c r="F494" i="1"/>
  <c r="F495" i="1"/>
  <c r="F496" i="1"/>
  <c r="F497" i="1"/>
  <c r="F498" i="1"/>
  <c r="F499" i="1"/>
  <c r="F500" i="1"/>
  <c r="F501" i="1"/>
  <c r="F502" i="1"/>
  <c r="F503" i="1"/>
  <c r="F504" i="1"/>
  <c r="F505" i="1"/>
  <c r="F506" i="1"/>
  <c r="F507" i="1"/>
  <c r="F508" i="1"/>
  <c r="F509" i="1"/>
  <c r="F510" i="1"/>
  <c r="F511" i="1"/>
  <c r="F512" i="1"/>
  <c r="F513" i="1"/>
  <c r="F514" i="1"/>
  <c r="F515" i="1"/>
  <c r="F516" i="1"/>
  <c r="F517" i="1"/>
  <c r="F518" i="1"/>
  <c r="F519" i="1"/>
  <c r="F520" i="1"/>
  <c r="F521" i="1"/>
  <c r="F522" i="1"/>
  <c r="F523" i="1"/>
  <c r="F524" i="1"/>
  <c r="F525" i="1"/>
  <c r="F526" i="1"/>
  <c r="F527" i="1"/>
  <c r="F528" i="1"/>
  <c r="F529" i="1"/>
  <c r="F530" i="1"/>
  <c r="F531" i="1"/>
  <c r="F532" i="1"/>
  <c r="F533" i="1"/>
  <c r="F534" i="1"/>
  <c r="F535" i="1"/>
  <c r="F536" i="1"/>
  <c r="F537" i="1"/>
  <c r="F538" i="1"/>
  <c r="F539" i="1"/>
  <c r="F540" i="1"/>
  <c r="F541" i="1"/>
  <c r="F542" i="1"/>
  <c r="F543" i="1"/>
  <c r="F544" i="1"/>
  <c r="F545" i="1"/>
  <c r="F546" i="1"/>
  <c r="F547" i="1"/>
  <c r="F548" i="1"/>
  <c r="F549" i="1"/>
  <c r="F550" i="1"/>
  <c r="F551" i="1"/>
  <c r="F552" i="1"/>
  <c r="F553" i="1"/>
  <c r="F554" i="1"/>
  <c r="F555" i="1"/>
  <c r="F556" i="1"/>
  <c r="F557" i="1"/>
  <c r="F558" i="1"/>
  <c r="F559" i="1"/>
  <c r="F560" i="1"/>
  <c r="F561" i="1"/>
  <c r="F562" i="1"/>
  <c r="F563" i="1"/>
  <c r="F564" i="1"/>
  <c r="F565" i="1"/>
  <c r="F566" i="1"/>
  <c r="F567" i="1"/>
  <c r="F568" i="1"/>
  <c r="F569" i="1"/>
  <c r="F570" i="1"/>
  <c r="F571" i="1"/>
  <c r="F572" i="1"/>
  <c r="F573" i="1"/>
  <c r="F574" i="1"/>
  <c r="F575" i="1"/>
  <c r="F576" i="1"/>
  <c r="F577" i="1"/>
  <c r="F578" i="1"/>
  <c r="F579" i="1"/>
  <c r="F580" i="1"/>
  <c r="F581" i="1"/>
  <c r="F582" i="1"/>
  <c r="F583" i="1"/>
  <c r="F584" i="1"/>
  <c r="F585" i="1"/>
  <c r="F586" i="1"/>
  <c r="F587" i="1"/>
  <c r="F588" i="1"/>
  <c r="F589" i="1"/>
  <c r="F590" i="1"/>
  <c r="F591" i="1"/>
  <c r="F592" i="1"/>
  <c r="F593" i="1"/>
  <c r="F594" i="1"/>
  <c r="F595" i="1"/>
  <c r="F596" i="1"/>
  <c r="F597" i="1"/>
  <c r="F598" i="1"/>
  <c r="F599" i="1"/>
  <c r="F600" i="1"/>
  <c r="F601" i="1"/>
  <c r="F602" i="1"/>
  <c r="F603" i="1"/>
  <c r="F604" i="1"/>
  <c r="F605" i="1"/>
  <c r="F606" i="1"/>
  <c r="F607" i="1"/>
  <c r="F608" i="1"/>
  <c r="F609" i="1"/>
  <c r="F610" i="1"/>
  <c r="F611" i="1"/>
  <c r="F612" i="1"/>
  <c r="F613" i="1"/>
  <c r="F614" i="1"/>
  <c r="F615" i="1"/>
  <c r="F616" i="1"/>
  <c r="F617" i="1"/>
  <c r="F618" i="1"/>
  <c r="F619" i="1"/>
  <c r="F620" i="1"/>
  <c r="F621" i="1"/>
  <c r="F622" i="1"/>
  <c r="F623" i="1"/>
  <c r="F624" i="1"/>
  <c r="F625" i="1"/>
  <c r="F626" i="1"/>
  <c r="F627" i="1"/>
  <c r="F628" i="1"/>
  <c r="F629" i="1"/>
  <c r="F630" i="1"/>
  <c r="F631" i="1"/>
  <c r="F632" i="1"/>
  <c r="F633" i="1"/>
  <c r="F634" i="1"/>
  <c r="F635" i="1"/>
  <c r="F636" i="1"/>
  <c r="F637" i="1"/>
  <c r="F638" i="1"/>
  <c r="F639" i="1"/>
  <c r="F640" i="1"/>
  <c r="F641" i="1"/>
  <c r="F642" i="1"/>
  <c r="F643" i="1"/>
  <c r="F644" i="1"/>
  <c r="F645" i="1"/>
  <c r="F646" i="1"/>
  <c r="F647" i="1"/>
  <c r="F648" i="1"/>
  <c r="F649" i="1"/>
  <c r="F650" i="1"/>
  <c r="F651" i="1"/>
  <c r="F652" i="1"/>
  <c r="F653" i="1"/>
  <c r="F654" i="1"/>
  <c r="F655" i="1"/>
  <c r="F656" i="1"/>
  <c r="F657" i="1"/>
  <c r="F658" i="1"/>
  <c r="F659" i="1"/>
  <c r="F660" i="1"/>
  <c r="F661" i="1"/>
  <c r="F662" i="1"/>
  <c r="F663" i="1"/>
  <c r="F664" i="1"/>
  <c r="F665" i="1"/>
  <c r="F666" i="1"/>
  <c r="F667" i="1"/>
  <c r="F668" i="1"/>
  <c r="F669" i="1"/>
  <c r="F670" i="1"/>
  <c r="F671" i="1"/>
  <c r="F672" i="1"/>
  <c r="F673" i="1"/>
  <c r="F674" i="1"/>
  <c r="F675" i="1"/>
  <c r="F676" i="1"/>
  <c r="F677" i="1"/>
  <c r="F678" i="1"/>
  <c r="F679" i="1"/>
  <c r="F680" i="1"/>
  <c r="F681" i="1"/>
  <c r="F682" i="1"/>
  <c r="F683" i="1"/>
  <c r="F684" i="1"/>
  <c r="F685" i="1"/>
  <c r="F686" i="1"/>
  <c r="F687" i="1"/>
  <c r="F688" i="1"/>
  <c r="F689" i="1"/>
  <c r="F690" i="1"/>
  <c r="F691" i="1"/>
  <c r="F692" i="1"/>
  <c r="F693" i="1"/>
  <c r="F694" i="1"/>
  <c r="F695" i="1"/>
  <c r="F696" i="1"/>
  <c r="F697" i="1"/>
  <c r="F698" i="1"/>
  <c r="F699" i="1"/>
  <c r="F700" i="1"/>
  <c r="F701" i="1"/>
  <c r="F702" i="1"/>
  <c r="F703" i="1"/>
  <c r="F704" i="1"/>
  <c r="F705" i="1"/>
  <c r="F706" i="1"/>
  <c r="F707" i="1"/>
  <c r="F708" i="1"/>
  <c r="F709" i="1"/>
  <c r="F710" i="1"/>
  <c r="F711" i="1"/>
  <c r="F712" i="1"/>
  <c r="F713" i="1"/>
  <c r="F714" i="1"/>
  <c r="F715" i="1"/>
  <c r="F716" i="1"/>
  <c r="F717" i="1"/>
  <c r="F718" i="1"/>
  <c r="F719" i="1"/>
  <c r="F720" i="1"/>
  <c r="F721" i="1"/>
  <c r="F722" i="1"/>
  <c r="F723" i="1"/>
  <c r="F724" i="1"/>
  <c r="F725" i="1"/>
  <c r="F726" i="1"/>
  <c r="F727" i="1"/>
  <c r="F728" i="1"/>
  <c r="F729" i="1"/>
  <c r="F730" i="1"/>
  <c r="F731" i="1"/>
  <c r="F732" i="1"/>
  <c r="F733" i="1"/>
  <c r="F734" i="1"/>
  <c r="F735" i="1"/>
  <c r="F736" i="1"/>
  <c r="F737" i="1"/>
  <c r="F738" i="1"/>
  <c r="F739" i="1"/>
  <c r="F740" i="1"/>
  <c r="F741" i="1"/>
  <c r="F742" i="1"/>
  <c r="F743" i="1"/>
  <c r="F744" i="1"/>
  <c r="F745" i="1"/>
  <c r="F746" i="1"/>
  <c r="F747" i="1"/>
  <c r="F748" i="1"/>
  <c r="F749" i="1"/>
  <c r="F750" i="1"/>
  <c r="F751" i="1"/>
  <c r="F752" i="1"/>
  <c r="F753" i="1"/>
  <c r="F754" i="1"/>
  <c r="F755" i="1"/>
  <c r="F756" i="1"/>
  <c r="F757" i="1"/>
  <c r="F758" i="1"/>
  <c r="F759" i="1"/>
  <c r="F760" i="1"/>
  <c r="F761" i="1"/>
  <c r="F762" i="1"/>
  <c r="F763" i="1"/>
  <c r="F764" i="1"/>
  <c r="F765" i="1"/>
  <c r="F766" i="1"/>
  <c r="F767" i="1"/>
  <c r="F768" i="1"/>
  <c r="F769" i="1"/>
  <c r="F770" i="1"/>
  <c r="F771" i="1"/>
  <c r="F772" i="1"/>
  <c r="F773" i="1"/>
  <c r="F774" i="1"/>
  <c r="F775" i="1"/>
  <c r="F776" i="1"/>
  <c r="F777" i="1"/>
  <c r="F778" i="1"/>
  <c r="F779" i="1"/>
  <c r="F780" i="1"/>
  <c r="F781" i="1"/>
  <c r="F782" i="1"/>
  <c r="F783" i="1"/>
  <c r="F784" i="1"/>
  <c r="F785" i="1"/>
  <c r="F786" i="1"/>
  <c r="F787" i="1"/>
  <c r="F788" i="1"/>
  <c r="F789" i="1"/>
  <c r="F790" i="1"/>
  <c r="F791" i="1"/>
  <c r="F792" i="1"/>
  <c r="F793" i="1"/>
  <c r="F794" i="1"/>
  <c r="F795" i="1"/>
  <c r="F796" i="1"/>
  <c r="F797" i="1"/>
  <c r="F798" i="1"/>
  <c r="F799" i="1"/>
  <c r="F800" i="1"/>
  <c r="F801" i="1"/>
  <c r="F802" i="1"/>
  <c r="F803" i="1"/>
  <c r="F804" i="1"/>
  <c r="F805" i="1"/>
  <c r="F806" i="1"/>
  <c r="F807" i="1"/>
  <c r="F808" i="1"/>
  <c r="F809" i="1"/>
  <c r="F810" i="1"/>
  <c r="F811" i="1"/>
  <c r="F812" i="1"/>
  <c r="F813" i="1"/>
  <c r="F814" i="1"/>
  <c r="F815" i="1"/>
  <c r="F816" i="1"/>
  <c r="F817" i="1"/>
  <c r="F818" i="1"/>
  <c r="F819" i="1"/>
  <c r="F820" i="1"/>
  <c r="F821" i="1"/>
  <c r="F822" i="1"/>
  <c r="F823" i="1"/>
  <c r="F824" i="1"/>
  <c r="F825" i="1"/>
  <c r="F826" i="1"/>
  <c r="F827" i="1"/>
  <c r="F828" i="1"/>
  <c r="F829" i="1"/>
  <c r="F830" i="1"/>
  <c r="F831" i="1"/>
  <c r="F832" i="1"/>
  <c r="F833" i="1"/>
  <c r="F834" i="1"/>
  <c r="F835" i="1"/>
  <c r="F836" i="1"/>
  <c r="F837" i="1"/>
  <c r="F838" i="1"/>
  <c r="F839" i="1"/>
  <c r="F840" i="1"/>
  <c r="F841" i="1"/>
  <c r="F842" i="1"/>
  <c r="F843" i="1"/>
  <c r="F844" i="1"/>
  <c r="F845" i="1"/>
  <c r="F846" i="1"/>
  <c r="F847" i="1"/>
  <c r="F848" i="1"/>
  <c r="F849" i="1"/>
  <c r="F850" i="1"/>
  <c r="F851" i="1"/>
  <c r="F852" i="1"/>
  <c r="F853" i="1"/>
  <c r="F854" i="1"/>
  <c r="F855" i="1"/>
  <c r="F856" i="1"/>
  <c r="F857" i="1"/>
  <c r="F858" i="1"/>
  <c r="F859" i="1"/>
  <c r="F860" i="1"/>
  <c r="F861" i="1"/>
  <c r="F862" i="1"/>
  <c r="F863" i="1"/>
  <c r="F864" i="1"/>
  <c r="F865" i="1"/>
  <c r="F866" i="1"/>
  <c r="F867" i="1"/>
  <c r="F868" i="1"/>
  <c r="F869" i="1"/>
  <c r="F870" i="1"/>
  <c r="F871" i="1"/>
  <c r="F872" i="1"/>
  <c r="F873" i="1"/>
  <c r="F874" i="1"/>
  <c r="F875" i="1"/>
  <c r="F876" i="1"/>
  <c r="F877" i="1"/>
  <c r="F878" i="1"/>
  <c r="F879" i="1"/>
  <c r="F880" i="1"/>
  <c r="F881" i="1"/>
  <c r="F882" i="1"/>
  <c r="F883" i="1"/>
  <c r="F884" i="1"/>
  <c r="F885" i="1"/>
  <c r="F886" i="1"/>
  <c r="F887" i="1"/>
  <c r="F888" i="1"/>
  <c r="F889" i="1"/>
  <c r="F890" i="1"/>
  <c r="F891" i="1"/>
  <c r="F892" i="1"/>
  <c r="F893" i="1"/>
  <c r="F894" i="1"/>
  <c r="F895" i="1"/>
  <c r="F896" i="1"/>
  <c r="F897" i="1"/>
  <c r="F898" i="1"/>
  <c r="F899" i="1"/>
  <c r="F900" i="1"/>
  <c r="F901" i="1"/>
  <c r="F902" i="1"/>
  <c r="F903" i="1"/>
  <c r="F904" i="1"/>
  <c r="F905" i="1"/>
  <c r="F906" i="1"/>
  <c r="F907" i="1"/>
  <c r="F908" i="1"/>
  <c r="F909" i="1"/>
  <c r="F910" i="1"/>
  <c r="F911" i="1"/>
  <c r="F912" i="1"/>
  <c r="F913" i="1"/>
  <c r="F914" i="1"/>
  <c r="F915" i="1"/>
  <c r="F916" i="1"/>
  <c r="F917" i="1"/>
  <c r="F918" i="1"/>
  <c r="F919" i="1"/>
  <c r="F920" i="1"/>
  <c r="F921" i="1"/>
  <c r="F922" i="1"/>
  <c r="F923" i="1"/>
  <c r="F924" i="1"/>
  <c r="F925" i="1"/>
  <c r="F926" i="1"/>
  <c r="F927" i="1"/>
  <c r="F928" i="1"/>
  <c r="F929" i="1"/>
  <c r="F930" i="1"/>
  <c r="F931" i="1"/>
  <c r="F932" i="1"/>
  <c r="F933" i="1"/>
  <c r="F934" i="1"/>
  <c r="F935" i="1"/>
  <c r="F936" i="1"/>
  <c r="F937" i="1"/>
  <c r="F938" i="1"/>
  <c r="F939" i="1"/>
  <c r="F940" i="1"/>
  <c r="F941" i="1"/>
  <c r="F942" i="1"/>
  <c r="F943" i="1"/>
  <c r="F944" i="1"/>
  <c r="F945" i="1"/>
  <c r="F946" i="1"/>
  <c r="F947" i="1"/>
  <c r="F948" i="1"/>
  <c r="F949" i="1"/>
  <c r="F950" i="1"/>
  <c r="F951" i="1"/>
  <c r="F952" i="1"/>
  <c r="F953" i="1"/>
  <c r="F954" i="1"/>
  <c r="F955" i="1"/>
  <c r="F956" i="1"/>
  <c r="F957" i="1"/>
  <c r="F958" i="1"/>
  <c r="F959" i="1"/>
  <c r="F960" i="1"/>
  <c r="F961" i="1"/>
  <c r="F962" i="1"/>
  <c r="F963" i="1"/>
  <c r="F964" i="1"/>
  <c r="F965" i="1"/>
  <c r="F966" i="1"/>
  <c r="F967" i="1"/>
  <c r="F968" i="1"/>
  <c r="F969" i="1"/>
  <c r="F970" i="1"/>
  <c r="F971" i="1"/>
  <c r="F972" i="1"/>
  <c r="F973" i="1"/>
  <c r="F974" i="1"/>
  <c r="F975" i="1"/>
  <c r="F976" i="1"/>
  <c r="F977" i="1"/>
  <c r="F978" i="1"/>
  <c r="F979" i="1"/>
  <c r="F980" i="1"/>
  <c r="F981" i="1"/>
  <c r="F982" i="1"/>
  <c r="F983" i="1"/>
  <c r="F984" i="1"/>
  <c r="F985" i="1"/>
  <c r="F986" i="1"/>
  <c r="F987" i="1"/>
  <c r="F988" i="1"/>
  <c r="F989" i="1"/>
  <c r="F990" i="1"/>
  <c r="F991" i="1"/>
  <c r="F992" i="1"/>
  <c r="F993" i="1"/>
  <c r="F994" i="1"/>
  <c r="F995" i="1"/>
  <c r="F996" i="1"/>
  <c r="F997" i="1"/>
  <c r="F998" i="1"/>
  <c r="F999" i="1"/>
  <c r="F1000" i="1"/>
  <c r="F1001" i="1"/>
  <c r="F1002" i="1"/>
  <c r="F1003" i="1"/>
  <c r="F1004" i="1"/>
  <c r="F1005" i="1"/>
  <c r="F1006" i="1"/>
  <c r="F1007" i="1"/>
  <c r="F1008" i="1"/>
  <c r="F1009" i="1"/>
  <c r="F1010" i="1"/>
  <c r="F1011" i="1"/>
  <c r="F1012" i="1"/>
  <c r="F1013" i="1"/>
  <c r="F1014" i="1"/>
  <c r="F1015" i="1"/>
  <c r="F1016" i="1"/>
  <c r="F1017" i="1"/>
  <c r="F1018" i="1"/>
  <c r="F1019" i="1"/>
  <c r="F1020" i="1"/>
  <c r="F1021" i="1"/>
  <c r="F1022" i="1"/>
  <c r="F1023" i="1"/>
  <c r="F1024" i="1"/>
  <c r="F1025" i="1"/>
  <c r="F1026" i="1"/>
  <c r="F1027" i="1"/>
  <c r="F1028" i="1"/>
  <c r="F1029" i="1"/>
  <c r="F1030" i="1"/>
  <c r="F1031" i="1"/>
  <c r="F1032" i="1"/>
  <c r="F1033" i="1"/>
  <c r="F1034" i="1"/>
  <c r="F1035" i="1"/>
  <c r="F1036" i="1"/>
  <c r="F1037" i="1"/>
  <c r="F1038" i="1"/>
  <c r="F1039" i="1"/>
  <c r="F1040" i="1"/>
  <c r="F1041" i="1"/>
  <c r="F1042" i="1"/>
  <c r="F1043" i="1"/>
  <c r="F1044" i="1"/>
  <c r="F1045" i="1"/>
  <c r="F1046" i="1"/>
  <c r="F1047" i="1"/>
  <c r="F1048" i="1"/>
  <c r="F1049" i="1"/>
  <c r="F1050" i="1"/>
  <c r="F1051" i="1"/>
  <c r="F1052" i="1"/>
  <c r="F1053" i="1"/>
  <c r="F1054" i="1"/>
  <c r="F1055" i="1"/>
  <c r="F1056" i="1"/>
  <c r="F1057" i="1"/>
  <c r="F1058" i="1"/>
  <c r="F1059" i="1"/>
  <c r="F1060" i="1"/>
  <c r="F1061" i="1"/>
  <c r="F1062" i="1"/>
  <c r="F1063" i="1"/>
  <c r="F1064" i="1"/>
  <c r="F1065" i="1"/>
  <c r="F1066" i="1"/>
  <c r="F1067" i="1"/>
  <c r="F1068" i="1"/>
  <c r="F1069" i="1"/>
  <c r="F1070" i="1"/>
  <c r="F1071" i="1"/>
  <c r="F1072" i="1"/>
  <c r="F1073" i="1"/>
  <c r="F1074" i="1"/>
  <c r="F1075" i="1"/>
  <c r="F1076" i="1"/>
  <c r="F1077" i="1"/>
  <c r="F1078" i="1"/>
  <c r="F1079" i="1"/>
  <c r="F1080" i="1"/>
  <c r="F1081" i="1"/>
  <c r="F1082" i="1"/>
  <c r="F1083" i="1"/>
  <c r="F1084" i="1"/>
  <c r="F1085" i="1"/>
  <c r="F1086" i="1"/>
  <c r="F1087" i="1"/>
  <c r="F1088" i="1"/>
  <c r="F1089" i="1"/>
  <c r="F1090" i="1"/>
  <c r="F1091" i="1"/>
  <c r="F1092" i="1"/>
  <c r="F1093" i="1"/>
  <c r="F1094" i="1"/>
  <c r="F1095" i="1"/>
  <c r="F1096" i="1"/>
  <c r="F1097" i="1"/>
  <c r="F1098" i="1"/>
  <c r="F1099" i="1"/>
  <c r="F1100" i="1"/>
  <c r="F1101" i="1"/>
  <c r="F1102" i="1"/>
  <c r="F1103" i="1"/>
  <c r="F1104" i="1"/>
  <c r="F1105" i="1"/>
  <c r="F1106" i="1"/>
  <c r="F1107" i="1"/>
  <c r="F1108" i="1"/>
  <c r="F1109" i="1"/>
  <c r="F1110" i="1"/>
  <c r="F1111" i="1"/>
  <c r="F1112" i="1"/>
  <c r="F1113" i="1"/>
  <c r="F1114" i="1"/>
  <c r="F1115" i="1"/>
  <c r="F1116" i="1"/>
  <c r="F1117" i="1"/>
  <c r="F1118" i="1"/>
  <c r="F1119" i="1"/>
  <c r="F1120" i="1"/>
  <c r="F1121" i="1"/>
  <c r="F1122" i="1"/>
  <c r="F1123" i="1"/>
  <c r="F1124" i="1"/>
  <c r="F1125" i="1"/>
  <c r="F1126" i="1"/>
  <c r="F1127" i="1"/>
  <c r="F1128" i="1"/>
  <c r="F1129" i="1"/>
  <c r="F1130" i="1"/>
  <c r="F1131" i="1"/>
  <c r="F1132" i="1"/>
  <c r="F1133" i="1"/>
  <c r="F1134" i="1"/>
  <c r="F1135" i="1"/>
  <c r="F1136" i="1"/>
  <c r="F1137" i="1"/>
  <c r="F1138" i="1"/>
  <c r="F1139" i="1"/>
  <c r="F1140" i="1"/>
  <c r="F1141" i="1"/>
  <c r="F1142" i="1"/>
  <c r="F1143" i="1"/>
  <c r="F1144" i="1"/>
  <c r="F1145" i="1"/>
  <c r="F1146" i="1"/>
  <c r="F1147" i="1"/>
  <c r="F1148" i="1"/>
  <c r="F1149" i="1"/>
  <c r="F1150" i="1"/>
  <c r="F1151" i="1"/>
  <c r="F1152" i="1"/>
  <c r="F1153" i="1"/>
  <c r="F1154" i="1"/>
  <c r="F1155" i="1"/>
  <c r="F1156" i="1"/>
  <c r="F1157" i="1"/>
  <c r="F1158" i="1"/>
  <c r="F1159" i="1"/>
  <c r="F1160" i="1"/>
  <c r="F1161" i="1"/>
  <c r="F1162" i="1"/>
  <c r="F1163" i="1"/>
  <c r="F1164" i="1"/>
  <c r="F1165" i="1"/>
  <c r="F1166" i="1"/>
  <c r="F1167" i="1"/>
  <c r="F1168" i="1"/>
  <c r="F1169" i="1"/>
  <c r="F1170" i="1"/>
  <c r="F1171" i="1"/>
  <c r="F1172" i="1"/>
  <c r="F1173" i="1"/>
  <c r="F1174" i="1"/>
  <c r="F1175" i="1"/>
  <c r="F1176" i="1"/>
  <c r="F1177" i="1"/>
  <c r="F1178" i="1"/>
  <c r="F1179" i="1"/>
  <c r="F1180" i="1"/>
  <c r="F1181" i="1"/>
  <c r="F1182" i="1"/>
  <c r="F1183" i="1"/>
  <c r="F1184" i="1"/>
  <c r="F1185" i="1"/>
  <c r="F1186" i="1"/>
  <c r="F1187" i="1"/>
  <c r="F1188" i="1"/>
  <c r="F1189" i="1"/>
  <c r="F1190" i="1"/>
  <c r="F1191" i="1"/>
  <c r="F1192" i="1"/>
  <c r="F1193" i="1"/>
  <c r="F1194" i="1"/>
  <c r="F1195" i="1"/>
  <c r="F1196" i="1"/>
  <c r="F1197" i="1"/>
  <c r="F1198" i="1"/>
  <c r="F1199" i="1"/>
  <c r="F1200" i="1"/>
  <c r="F1201" i="1"/>
  <c r="F1202" i="1"/>
  <c r="F1203" i="1"/>
  <c r="F1204" i="1"/>
  <c r="F1205" i="1"/>
  <c r="F1206" i="1"/>
  <c r="F1207" i="1"/>
  <c r="F1208" i="1"/>
  <c r="F1209" i="1"/>
  <c r="F1210" i="1"/>
  <c r="F1211" i="1"/>
  <c r="F1212" i="1"/>
  <c r="F1213" i="1"/>
  <c r="F1214" i="1"/>
  <c r="F1215" i="1"/>
  <c r="F1216" i="1"/>
  <c r="F1217" i="1"/>
  <c r="F1218" i="1"/>
  <c r="F1219" i="1"/>
  <c r="F1220" i="1"/>
  <c r="F1221" i="1"/>
  <c r="F1222" i="1"/>
  <c r="F1223" i="1"/>
  <c r="F1224" i="1"/>
  <c r="F1225" i="1"/>
  <c r="F1226" i="1"/>
  <c r="F1227" i="1"/>
  <c r="F1228" i="1"/>
  <c r="F1229" i="1"/>
  <c r="F1230" i="1"/>
  <c r="F1231" i="1"/>
  <c r="F1232" i="1"/>
  <c r="F1233" i="1"/>
  <c r="F1234" i="1"/>
  <c r="F1235" i="1"/>
  <c r="F1236" i="1"/>
  <c r="F1237" i="1"/>
  <c r="F1238" i="1"/>
  <c r="F1239" i="1"/>
  <c r="F1240" i="1"/>
  <c r="F1241" i="1"/>
  <c r="F1242" i="1"/>
  <c r="F1243" i="1"/>
  <c r="F1244" i="1"/>
  <c r="F1245" i="1"/>
  <c r="F1246" i="1"/>
  <c r="F1247" i="1"/>
  <c r="F1248" i="1"/>
  <c r="F1249" i="1"/>
  <c r="F1250" i="1"/>
  <c r="F1251" i="1"/>
  <c r="F1252" i="1"/>
  <c r="F1253" i="1"/>
  <c r="F1254" i="1"/>
  <c r="F1255" i="1"/>
  <c r="F1256" i="1"/>
  <c r="F1257" i="1"/>
  <c r="F1258" i="1"/>
  <c r="F1259" i="1"/>
  <c r="F1260" i="1"/>
  <c r="F1261" i="1"/>
  <c r="F1262" i="1"/>
  <c r="F1263" i="1"/>
  <c r="F1264" i="1"/>
  <c r="F1265" i="1"/>
  <c r="F1266" i="1"/>
  <c r="F1267" i="1"/>
  <c r="F1268" i="1"/>
  <c r="F1269" i="1"/>
  <c r="F1270" i="1"/>
  <c r="F1271" i="1"/>
  <c r="F1272" i="1"/>
  <c r="F1273" i="1"/>
  <c r="F1274" i="1"/>
  <c r="F1275" i="1"/>
  <c r="F1276" i="1"/>
  <c r="F1277" i="1"/>
  <c r="F1278" i="1"/>
  <c r="F1279" i="1"/>
  <c r="F1280" i="1"/>
  <c r="F1281" i="1"/>
  <c r="F1282" i="1"/>
  <c r="F1283" i="1"/>
  <c r="F1284" i="1"/>
  <c r="F1285" i="1"/>
  <c r="F1286" i="1"/>
  <c r="F1287" i="1"/>
  <c r="F1288" i="1"/>
  <c r="F1289" i="1"/>
  <c r="F1290" i="1"/>
  <c r="F1291" i="1"/>
  <c r="F1292" i="1"/>
  <c r="F1293" i="1"/>
  <c r="F1294" i="1"/>
  <c r="F1295" i="1"/>
  <c r="F1296" i="1"/>
  <c r="F1297" i="1"/>
  <c r="F1298" i="1"/>
  <c r="F1299" i="1"/>
  <c r="F1300" i="1"/>
  <c r="F1301" i="1"/>
  <c r="F1302" i="1"/>
  <c r="F1303" i="1"/>
  <c r="F1304" i="1"/>
  <c r="F1305" i="1"/>
  <c r="F1306" i="1"/>
  <c r="F1307" i="1"/>
  <c r="F1308" i="1"/>
  <c r="F1309" i="1"/>
  <c r="F1310" i="1"/>
  <c r="F1311" i="1"/>
  <c r="F1312" i="1"/>
  <c r="F1313" i="1"/>
  <c r="F1314" i="1"/>
  <c r="F1315" i="1"/>
  <c r="F1316" i="1"/>
  <c r="F1317" i="1"/>
  <c r="F1318" i="1"/>
  <c r="F1319" i="1"/>
  <c r="F1320" i="1"/>
  <c r="F1321" i="1"/>
  <c r="F1322" i="1"/>
  <c r="F1323" i="1"/>
  <c r="F1324" i="1"/>
  <c r="F1325" i="1"/>
  <c r="F1326" i="1"/>
  <c r="F1327" i="1"/>
  <c r="F1328" i="1"/>
  <c r="F1329" i="1"/>
  <c r="F1330" i="1"/>
  <c r="F1331" i="1"/>
  <c r="F1332" i="1"/>
  <c r="F1333" i="1"/>
  <c r="F1334" i="1"/>
  <c r="F1335" i="1"/>
  <c r="F1336" i="1"/>
  <c r="F1337" i="1"/>
  <c r="F1338" i="1"/>
  <c r="F1339" i="1"/>
  <c r="F1340" i="1"/>
  <c r="F1341" i="1"/>
  <c r="F1342" i="1"/>
  <c r="F1343" i="1"/>
  <c r="F1344" i="1"/>
  <c r="F1345" i="1"/>
  <c r="F1346" i="1"/>
  <c r="F1347" i="1"/>
  <c r="F1348" i="1"/>
  <c r="F1349" i="1"/>
  <c r="F1350" i="1"/>
  <c r="F1351" i="1"/>
  <c r="F1352" i="1"/>
  <c r="F1353" i="1"/>
  <c r="F1354" i="1"/>
  <c r="F1355" i="1"/>
  <c r="F1356" i="1"/>
  <c r="F1357" i="1"/>
  <c r="F1358" i="1"/>
  <c r="F1359" i="1"/>
  <c r="F1360" i="1"/>
  <c r="F1361" i="1"/>
  <c r="F1362" i="1"/>
  <c r="F1363" i="1"/>
  <c r="F1364" i="1"/>
  <c r="F1365" i="1"/>
  <c r="F1366" i="1"/>
  <c r="F1367" i="1"/>
  <c r="F1368" i="1"/>
  <c r="F1369" i="1"/>
  <c r="F1370" i="1"/>
  <c r="F1371" i="1"/>
  <c r="F1372" i="1"/>
  <c r="F1373" i="1"/>
  <c r="F1374" i="1"/>
  <c r="F1375" i="1"/>
  <c r="F1376" i="1"/>
  <c r="F1377" i="1"/>
  <c r="F1378" i="1"/>
  <c r="F1379" i="1"/>
  <c r="F1380" i="1"/>
  <c r="F1381" i="1"/>
  <c r="F1382" i="1"/>
  <c r="F1383" i="1"/>
  <c r="F1384" i="1"/>
  <c r="F1385" i="1"/>
  <c r="F1386" i="1"/>
  <c r="F1387" i="1"/>
  <c r="F1388" i="1"/>
  <c r="F1389" i="1"/>
  <c r="F1390" i="1"/>
  <c r="F1391" i="1"/>
  <c r="F1392" i="1"/>
  <c r="F1393" i="1"/>
  <c r="F1394" i="1"/>
  <c r="F1395" i="1"/>
  <c r="F1396" i="1"/>
  <c r="F1397" i="1"/>
  <c r="F1398" i="1"/>
  <c r="F1399" i="1"/>
  <c r="F1400" i="1"/>
  <c r="F1401" i="1"/>
  <c r="F1402" i="1"/>
  <c r="F1403" i="1"/>
  <c r="F1404" i="1"/>
  <c r="F1405" i="1"/>
  <c r="F1406" i="1"/>
  <c r="F1407" i="1"/>
  <c r="F1408" i="1"/>
  <c r="F1409" i="1"/>
  <c r="F1410" i="1"/>
  <c r="F1411" i="1"/>
  <c r="F1412" i="1"/>
  <c r="F1413" i="1"/>
  <c r="F1414" i="1"/>
  <c r="F1415" i="1"/>
  <c r="F1416" i="1"/>
  <c r="F1417" i="1"/>
  <c r="F1418" i="1"/>
  <c r="F1419" i="1"/>
  <c r="F1420" i="1"/>
  <c r="F1421" i="1"/>
  <c r="F1422" i="1"/>
  <c r="F1423" i="1"/>
  <c r="F1424" i="1"/>
  <c r="F1425" i="1"/>
  <c r="F1426" i="1"/>
  <c r="F1427" i="1"/>
  <c r="F1428" i="1"/>
  <c r="F1429" i="1"/>
  <c r="F1430" i="1"/>
  <c r="F1431" i="1"/>
  <c r="F1432" i="1"/>
  <c r="F1433" i="1"/>
  <c r="F1434" i="1"/>
  <c r="F1435" i="1"/>
  <c r="F1436" i="1"/>
  <c r="F1437" i="1"/>
  <c r="F1438" i="1"/>
  <c r="F1439" i="1"/>
  <c r="F1440" i="1"/>
  <c r="F1441" i="1"/>
  <c r="F1442" i="1"/>
  <c r="F1443" i="1"/>
  <c r="F1444" i="1"/>
  <c r="F1445" i="1"/>
  <c r="F1446" i="1"/>
  <c r="F1447" i="1"/>
  <c r="F1448" i="1"/>
  <c r="F1449" i="1"/>
  <c r="F1450" i="1"/>
  <c r="F1451" i="1"/>
  <c r="F1452" i="1"/>
  <c r="F1453" i="1"/>
  <c r="F1454" i="1"/>
  <c r="F1455" i="1"/>
  <c r="F1456" i="1"/>
  <c r="F1457" i="1"/>
  <c r="F1458" i="1"/>
  <c r="F1459" i="1"/>
  <c r="F1460" i="1"/>
  <c r="F1461" i="1"/>
  <c r="F1462" i="1"/>
  <c r="F1463" i="1"/>
  <c r="F1464" i="1"/>
  <c r="F1465" i="1"/>
  <c r="F1466" i="1"/>
  <c r="F1467" i="1"/>
  <c r="F1468" i="1"/>
  <c r="F1469" i="1"/>
  <c r="F1470" i="1"/>
  <c r="F1471" i="1"/>
  <c r="F1472" i="1"/>
  <c r="F1473" i="1"/>
  <c r="F1474" i="1"/>
  <c r="F1475" i="1"/>
  <c r="F1476" i="1"/>
  <c r="F1477" i="1"/>
  <c r="F1478" i="1"/>
  <c r="F1479" i="1"/>
  <c r="F1480" i="1"/>
  <c r="F1481" i="1"/>
  <c r="F1482" i="1"/>
  <c r="F1483" i="1"/>
  <c r="F1484" i="1"/>
  <c r="F1485" i="1"/>
  <c r="F1486" i="1"/>
  <c r="F1487" i="1"/>
  <c r="F1488" i="1"/>
  <c r="F1489" i="1"/>
  <c r="F1490" i="1"/>
  <c r="F1491" i="1"/>
  <c r="F1492" i="1"/>
  <c r="F1493" i="1"/>
  <c r="F1494" i="1"/>
  <c r="F1495" i="1"/>
  <c r="F1496" i="1"/>
  <c r="F1497" i="1"/>
  <c r="F1498" i="1"/>
  <c r="F1499" i="1"/>
  <c r="F1500" i="1"/>
  <c r="F1501" i="1"/>
  <c r="F1502" i="1"/>
  <c r="F1503" i="1"/>
  <c r="F1504" i="1"/>
  <c r="F1505" i="1"/>
  <c r="F1506" i="1"/>
  <c r="F1507" i="1"/>
  <c r="F1508" i="1"/>
  <c r="F1509" i="1"/>
  <c r="F1510" i="1"/>
  <c r="F1511" i="1"/>
  <c r="F1512" i="1"/>
  <c r="F1513" i="1"/>
  <c r="F1514" i="1"/>
  <c r="F1515" i="1"/>
  <c r="F1516" i="1"/>
  <c r="F1517" i="1"/>
  <c r="F1518" i="1"/>
  <c r="F1519" i="1"/>
  <c r="F1520" i="1"/>
  <c r="F1521" i="1"/>
  <c r="F1522" i="1"/>
  <c r="F1523" i="1"/>
  <c r="F1524" i="1"/>
  <c r="F1525" i="1"/>
  <c r="F1526" i="1"/>
  <c r="F1527" i="1"/>
  <c r="F1528" i="1"/>
  <c r="F1529" i="1"/>
  <c r="F1530" i="1"/>
  <c r="F1531" i="1"/>
  <c r="F1532" i="1"/>
  <c r="F1533" i="1"/>
  <c r="F1534" i="1"/>
  <c r="F1535" i="1"/>
  <c r="F1536" i="1"/>
  <c r="F1537" i="1"/>
  <c r="F1538" i="1"/>
  <c r="F1539" i="1"/>
  <c r="F1540" i="1"/>
  <c r="F1541" i="1"/>
  <c r="F1542" i="1"/>
  <c r="F1543" i="1"/>
  <c r="F1544" i="1"/>
  <c r="F1545" i="1"/>
  <c r="F1546" i="1"/>
  <c r="F1547" i="1"/>
  <c r="F1548" i="1"/>
  <c r="F1549" i="1"/>
  <c r="F1550" i="1"/>
  <c r="F1551" i="1"/>
  <c r="F1552" i="1"/>
  <c r="F1553" i="1"/>
  <c r="F1554" i="1"/>
  <c r="F1555" i="1"/>
  <c r="F1556" i="1"/>
  <c r="F1557" i="1"/>
  <c r="F1558" i="1"/>
  <c r="F1559" i="1"/>
  <c r="F1560" i="1"/>
  <c r="F1561" i="1"/>
  <c r="F1562" i="1"/>
  <c r="F1563" i="1"/>
  <c r="F1564" i="1"/>
  <c r="F1565" i="1"/>
  <c r="F1566" i="1"/>
  <c r="F1567" i="1"/>
  <c r="F1568" i="1"/>
  <c r="F1569" i="1"/>
  <c r="F1570" i="1"/>
  <c r="F1571" i="1"/>
  <c r="F1572" i="1"/>
  <c r="F1573" i="1"/>
  <c r="F1574" i="1"/>
  <c r="F1575" i="1"/>
  <c r="F1576" i="1"/>
  <c r="F1577" i="1"/>
  <c r="F1578" i="1"/>
  <c r="F1579" i="1"/>
  <c r="F1580" i="1"/>
  <c r="F1581" i="1"/>
  <c r="F1582" i="1"/>
  <c r="F1583" i="1"/>
  <c r="F1584" i="1"/>
  <c r="F1585" i="1"/>
  <c r="F1586" i="1"/>
  <c r="F1587" i="1"/>
  <c r="F1588" i="1"/>
  <c r="F1589" i="1"/>
  <c r="F1590" i="1"/>
  <c r="F1591" i="1"/>
  <c r="F1592" i="1"/>
  <c r="F1593" i="1"/>
  <c r="F1594" i="1"/>
  <c r="F1595" i="1"/>
  <c r="F1596" i="1"/>
  <c r="F1597" i="1"/>
  <c r="F1598" i="1"/>
  <c r="F1599" i="1"/>
  <c r="F1600" i="1"/>
  <c r="F1601" i="1"/>
  <c r="F1602" i="1"/>
  <c r="F1603" i="1"/>
  <c r="F1604" i="1"/>
  <c r="F1605" i="1"/>
  <c r="F1606" i="1"/>
  <c r="F1607" i="1"/>
  <c r="F1608" i="1"/>
  <c r="F1609" i="1"/>
  <c r="F1610" i="1"/>
  <c r="F1611" i="1"/>
  <c r="F1612" i="1"/>
  <c r="F1613" i="1"/>
  <c r="F1614" i="1"/>
  <c r="F1615" i="1"/>
  <c r="F1616" i="1"/>
  <c r="F1617" i="1"/>
  <c r="F1618" i="1"/>
  <c r="F1619" i="1"/>
  <c r="F1620" i="1"/>
  <c r="F1621" i="1"/>
  <c r="F1622" i="1"/>
  <c r="F1623" i="1"/>
  <c r="F1624" i="1"/>
  <c r="F1625" i="1"/>
  <c r="F1626" i="1"/>
  <c r="F1627" i="1"/>
  <c r="F1628" i="1"/>
  <c r="F1629" i="1"/>
  <c r="F1630" i="1"/>
  <c r="F1631" i="1"/>
  <c r="F1632" i="1"/>
  <c r="F1633" i="1"/>
  <c r="F1634" i="1"/>
  <c r="F1635" i="1"/>
  <c r="F1636" i="1"/>
  <c r="F1637" i="1"/>
  <c r="F1638" i="1"/>
  <c r="F1639" i="1"/>
  <c r="F1640" i="1"/>
  <c r="F1641" i="1"/>
  <c r="F1642" i="1"/>
  <c r="F1643" i="1"/>
  <c r="F1644" i="1"/>
  <c r="F1645" i="1"/>
  <c r="F1646" i="1"/>
  <c r="F1647" i="1"/>
  <c r="F1648" i="1"/>
  <c r="F1649" i="1"/>
  <c r="F1650" i="1"/>
  <c r="F1651" i="1"/>
  <c r="F1652" i="1"/>
  <c r="F1653" i="1"/>
  <c r="F1654" i="1"/>
  <c r="F1655" i="1"/>
  <c r="F1656" i="1"/>
  <c r="F1657" i="1"/>
  <c r="F1658" i="1"/>
  <c r="F1659" i="1"/>
  <c r="F1660" i="1"/>
  <c r="F1661" i="1"/>
  <c r="F1662" i="1"/>
  <c r="F1663" i="1"/>
  <c r="F1664" i="1"/>
  <c r="F1665" i="1"/>
  <c r="F1666" i="1"/>
  <c r="F1667" i="1"/>
  <c r="F1668" i="1"/>
  <c r="F1669" i="1"/>
  <c r="F1670" i="1"/>
  <c r="F1671" i="1"/>
  <c r="F1672" i="1"/>
  <c r="F1673" i="1"/>
  <c r="F1674" i="1"/>
  <c r="F1675" i="1"/>
  <c r="F1676" i="1"/>
  <c r="F1677" i="1"/>
  <c r="F1678" i="1"/>
  <c r="F1679" i="1"/>
  <c r="F1680" i="1"/>
  <c r="F1681" i="1"/>
  <c r="F1682" i="1"/>
  <c r="F1683" i="1"/>
  <c r="F1684" i="1"/>
  <c r="F1685" i="1"/>
  <c r="F1686" i="1"/>
  <c r="F1687" i="1"/>
  <c r="F1688" i="1"/>
  <c r="F1689" i="1"/>
  <c r="F1690" i="1"/>
  <c r="F1691" i="1"/>
  <c r="F1692" i="1"/>
  <c r="F1693" i="1"/>
  <c r="F1694" i="1"/>
  <c r="F1695" i="1"/>
  <c r="F1696" i="1"/>
  <c r="F1697" i="1"/>
  <c r="F1698" i="1"/>
  <c r="F1699" i="1"/>
  <c r="F1700" i="1"/>
  <c r="F1701" i="1"/>
  <c r="F1702" i="1"/>
  <c r="F1703" i="1"/>
  <c r="F1704" i="1"/>
  <c r="F1705" i="1"/>
  <c r="F1706" i="1"/>
  <c r="F1707" i="1"/>
  <c r="F1708" i="1"/>
  <c r="F1709" i="1"/>
  <c r="F1710" i="1"/>
  <c r="F1711" i="1"/>
  <c r="F1712" i="1"/>
  <c r="F1713" i="1"/>
  <c r="F1714" i="1"/>
  <c r="F1715" i="1"/>
  <c r="F1716" i="1"/>
  <c r="F1717" i="1"/>
  <c r="F1718" i="1"/>
  <c r="F1719" i="1"/>
  <c r="F1720" i="1"/>
  <c r="F1721" i="1"/>
  <c r="F1722" i="1"/>
  <c r="F1723" i="1"/>
  <c r="F1724" i="1"/>
  <c r="F1725" i="1"/>
  <c r="F1726" i="1"/>
  <c r="F1727" i="1"/>
  <c r="F1728" i="1"/>
  <c r="F1729" i="1"/>
  <c r="F1730" i="1"/>
  <c r="F1731" i="1"/>
  <c r="F1732" i="1"/>
  <c r="F1733" i="1"/>
  <c r="F1734" i="1"/>
  <c r="F1735" i="1"/>
  <c r="F1736" i="1"/>
  <c r="F1737" i="1"/>
  <c r="F1738" i="1"/>
  <c r="F1739" i="1"/>
  <c r="F1740" i="1"/>
  <c r="F1741" i="1"/>
  <c r="F1742" i="1"/>
  <c r="F1743" i="1"/>
  <c r="F1744" i="1"/>
  <c r="F1745" i="1"/>
  <c r="F1746" i="1"/>
  <c r="F1747" i="1"/>
  <c r="F1748" i="1"/>
  <c r="F1749" i="1"/>
  <c r="F1750" i="1"/>
  <c r="F1751" i="1"/>
  <c r="F1752" i="1"/>
  <c r="F1753" i="1"/>
  <c r="F1754" i="1"/>
  <c r="F1755" i="1"/>
  <c r="F1756" i="1"/>
  <c r="F1757" i="1"/>
  <c r="F1758" i="1"/>
  <c r="F1759" i="1"/>
  <c r="F1760" i="1"/>
  <c r="F1761" i="1"/>
  <c r="F1762" i="1"/>
  <c r="F1763" i="1"/>
  <c r="F1764" i="1"/>
  <c r="F1765" i="1"/>
  <c r="F1766" i="1"/>
  <c r="F1767" i="1"/>
  <c r="F1768" i="1"/>
  <c r="F1769" i="1"/>
  <c r="F1770" i="1"/>
  <c r="F1771" i="1"/>
  <c r="F1772" i="1"/>
  <c r="F1773" i="1"/>
  <c r="F1774" i="1"/>
  <c r="F1775" i="1"/>
  <c r="F1776" i="1"/>
  <c r="F1777" i="1"/>
  <c r="F1778" i="1"/>
  <c r="F1779" i="1"/>
  <c r="F1780" i="1"/>
  <c r="F1781" i="1"/>
  <c r="F1782" i="1"/>
  <c r="F1783" i="1"/>
  <c r="F1784" i="1"/>
  <c r="F1785" i="1"/>
  <c r="F1786" i="1"/>
  <c r="F1787" i="1"/>
  <c r="F1788" i="1"/>
  <c r="F1789" i="1"/>
  <c r="F1790" i="1"/>
  <c r="F1791" i="1"/>
  <c r="F1792" i="1"/>
  <c r="F1793" i="1"/>
  <c r="F1794" i="1"/>
  <c r="F1795" i="1"/>
  <c r="F1796" i="1"/>
  <c r="F1797" i="1"/>
  <c r="F1798" i="1"/>
  <c r="F1799" i="1"/>
  <c r="F1800" i="1"/>
  <c r="F1801" i="1"/>
  <c r="F1802" i="1"/>
  <c r="F1803" i="1"/>
  <c r="F1804" i="1"/>
  <c r="F1805" i="1"/>
  <c r="F1806" i="1"/>
  <c r="F1807" i="1"/>
  <c r="F1808" i="1"/>
  <c r="F1809" i="1"/>
  <c r="F1810" i="1"/>
  <c r="F1811" i="1"/>
  <c r="F1812" i="1"/>
  <c r="F1813" i="1"/>
  <c r="F1814" i="1"/>
  <c r="F1815" i="1"/>
  <c r="F1816" i="1"/>
  <c r="F1817" i="1"/>
  <c r="F1818" i="1"/>
  <c r="F1819" i="1"/>
  <c r="F1820" i="1"/>
  <c r="F1821" i="1"/>
  <c r="F1822" i="1"/>
  <c r="F1823" i="1"/>
  <c r="F1824" i="1"/>
  <c r="F1825" i="1"/>
  <c r="F1826" i="1"/>
  <c r="F1827" i="1"/>
  <c r="F1828" i="1"/>
  <c r="F1829" i="1"/>
  <c r="F1830" i="1"/>
  <c r="F1831" i="1"/>
  <c r="F1832" i="1"/>
  <c r="F1833" i="1"/>
  <c r="F1834" i="1"/>
  <c r="F1835" i="1"/>
  <c r="F1836" i="1"/>
  <c r="F1837" i="1"/>
  <c r="F1838" i="1"/>
  <c r="F1839" i="1"/>
  <c r="F1840" i="1"/>
  <c r="F1841" i="1"/>
  <c r="F1842" i="1"/>
  <c r="F1843" i="1"/>
  <c r="F1844" i="1"/>
  <c r="F1845" i="1"/>
  <c r="F1846" i="1"/>
  <c r="F1847" i="1"/>
  <c r="F1848" i="1"/>
  <c r="F1849" i="1"/>
  <c r="F1850" i="1"/>
  <c r="F1851" i="1"/>
  <c r="F1852" i="1"/>
  <c r="F1853" i="1"/>
  <c r="F1854" i="1"/>
  <c r="F1855" i="1"/>
  <c r="F1856" i="1"/>
  <c r="F1857" i="1"/>
  <c r="F1858" i="1"/>
  <c r="F1859" i="1"/>
  <c r="F1860" i="1"/>
  <c r="F1861" i="1"/>
  <c r="F1862" i="1"/>
  <c r="F1863" i="1"/>
  <c r="F1864" i="1"/>
  <c r="F1865" i="1"/>
  <c r="F1866" i="1"/>
  <c r="F1867" i="1"/>
  <c r="F1868" i="1"/>
  <c r="F1869" i="1"/>
  <c r="F1870" i="1"/>
  <c r="F1871" i="1"/>
  <c r="F1872" i="1"/>
  <c r="F1873" i="1"/>
  <c r="F1874" i="1"/>
  <c r="F1875" i="1"/>
  <c r="F1876" i="1"/>
  <c r="F1877" i="1"/>
  <c r="F1878" i="1"/>
  <c r="F1879" i="1"/>
  <c r="F1880" i="1"/>
  <c r="F1881" i="1"/>
  <c r="F1882" i="1"/>
  <c r="F1883" i="1"/>
  <c r="F1884" i="1"/>
  <c r="F1885" i="1"/>
  <c r="F1886" i="1"/>
  <c r="F1887" i="1"/>
  <c r="F1888" i="1"/>
  <c r="F1889" i="1"/>
  <c r="F1890" i="1"/>
  <c r="F1891" i="1"/>
  <c r="F1892" i="1"/>
  <c r="F1893" i="1"/>
  <c r="F1894" i="1"/>
  <c r="F1895" i="1"/>
  <c r="F1896" i="1"/>
  <c r="F1897" i="1"/>
  <c r="F1898" i="1"/>
  <c r="F1899" i="1"/>
  <c r="F1900" i="1"/>
  <c r="F1901" i="1"/>
  <c r="F1902" i="1"/>
  <c r="F1903" i="1"/>
  <c r="F1904" i="1"/>
  <c r="F1905" i="1"/>
  <c r="F1906" i="1"/>
  <c r="F1907" i="1"/>
  <c r="F1908" i="1"/>
  <c r="F1909" i="1"/>
  <c r="F1910" i="1"/>
  <c r="F1911" i="1"/>
  <c r="F1912" i="1"/>
  <c r="F1913" i="1"/>
  <c r="F1914" i="1"/>
  <c r="F1915" i="1"/>
  <c r="F1916" i="1"/>
  <c r="F1917" i="1"/>
  <c r="F1918" i="1"/>
  <c r="F1919" i="1"/>
  <c r="F1920" i="1"/>
  <c r="F1921" i="1"/>
  <c r="F1922" i="1"/>
  <c r="F1923" i="1"/>
  <c r="F1924" i="1"/>
  <c r="F1925" i="1"/>
  <c r="F1926" i="1"/>
  <c r="F1927" i="1"/>
  <c r="F1928" i="1"/>
  <c r="F1929" i="1"/>
  <c r="F1930" i="1"/>
  <c r="F1931" i="1"/>
  <c r="F1932" i="1"/>
  <c r="F1933" i="1"/>
  <c r="F1934" i="1"/>
  <c r="F1935" i="1"/>
  <c r="F1936" i="1"/>
  <c r="F1937" i="1"/>
  <c r="F1938" i="1"/>
  <c r="F1939" i="1"/>
  <c r="F1940" i="1"/>
  <c r="F1941" i="1"/>
  <c r="F1942" i="1"/>
  <c r="F1943" i="1"/>
  <c r="F1944" i="1"/>
  <c r="F1945" i="1"/>
  <c r="F1946" i="1"/>
  <c r="F1947" i="1"/>
  <c r="F1948" i="1"/>
  <c r="F1949" i="1"/>
  <c r="F1950" i="1"/>
  <c r="F1951" i="1"/>
  <c r="F1952" i="1"/>
  <c r="F1953" i="1"/>
  <c r="F1954" i="1"/>
  <c r="F1955" i="1"/>
  <c r="F1956" i="1"/>
  <c r="F1957" i="1"/>
  <c r="F1958" i="1"/>
  <c r="F1959" i="1"/>
  <c r="F1960" i="1"/>
  <c r="F1961" i="1"/>
  <c r="F1962" i="1"/>
  <c r="F1963" i="1"/>
  <c r="F1964" i="1"/>
  <c r="F1965" i="1"/>
  <c r="F1966" i="1"/>
  <c r="F1967" i="1"/>
  <c r="F1968" i="1"/>
  <c r="F1969" i="1"/>
  <c r="F1970" i="1"/>
  <c r="F1971" i="1"/>
  <c r="F1972" i="1"/>
  <c r="F1973" i="1"/>
  <c r="F1974" i="1"/>
  <c r="F1975" i="1"/>
  <c r="F1976" i="1"/>
  <c r="F1977" i="1"/>
  <c r="F1978" i="1"/>
  <c r="F1979" i="1"/>
  <c r="F1980" i="1"/>
  <c r="F1981" i="1"/>
  <c r="F1982" i="1"/>
  <c r="F1983" i="1"/>
  <c r="F1984" i="1"/>
  <c r="F1985" i="1"/>
  <c r="F1986" i="1"/>
  <c r="F1987" i="1"/>
  <c r="F1988" i="1"/>
  <c r="F1989" i="1"/>
  <c r="F1990" i="1"/>
  <c r="F1991" i="1"/>
  <c r="F1992" i="1"/>
  <c r="F1993" i="1"/>
  <c r="F1994" i="1"/>
  <c r="F1995" i="1"/>
  <c r="F1996" i="1"/>
  <c r="F1997" i="1"/>
  <c r="F1998" i="1"/>
  <c r="F1999" i="1"/>
  <c r="F2000" i="1"/>
  <c r="F2001" i="1"/>
  <c r="F2002" i="1"/>
  <c r="F2003" i="1"/>
  <c r="F2004" i="1"/>
  <c r="F2005" i="1"/>
  <c r="F2006" i="1"/>
  <c r="F2007" i="1"/>
  <c r="F2008" i="1"/>
  <c r="F2009" i="1"/>
  <c r="F2010" i="1"/>
  <c r="F2011" i="1"/>
  <c r="F2012" i="1"/>
  <c r="F2013" i="1"/>
  <c r="F2014" i="1"/>
  <c r="F2015" i="1"/>
  <c r="F2016" i="1"/>
  <c r="F2017" i="1"/>
  <c r="F2018" i="1"/>
  <c r="F2019" i="1"/>
  <c r="F2020" i="1"/>
  <c r="F2021" i="1"/>
  <c r="F2022" i="1"/>
  <c r="F2023" i="1"/>
  <c r="F2024" i="1"/>
  <c r="F2025" i="1"/>
  <c r="F2026" i="1"/>
  <c r="F2027" i="1"/>
  <c r="F2028" i="1"/>
  <c r="F2029" i="1"/>
  <c r="F2030" i="1"/>
  <c r="F2031" i="1"/>
  <c r="F2032" i="1"/>
  <c r="F2033" i="1"/>
  <c r="F2034" i="1"/>
  <c r="F2035" i="1"/>
  <c r="F2036" i="1"/>
  <c r="F2037" i="1"/>
  <c r="F2038" i="1"/>
  <c r="F2039" i="1"/>
  <c r="F2040" i="1"/>
  <c r="F2041" i="1"/>
  <c r="F2042" i="1"/>
  <c r="F2043" i="1"/>
  <c r="F2044" i="1"/>
  <c r="F2045" i="1"/>
  <c r="F2046" i="1"/>
  <c r="F2047" i="1"/>
  <c r="F2048" i="1"/>
  <c r="F2049" i="1"/>
  <c r="F2050" i="1"/>
  <c r="F2051" i="1"/>
  <c r="F2052" i="1"/>
  <c r="F2053" i="1"/>
  <c r="F2054" i="1"/>
  <c r="F2055" i="1"/>
  <c r="F2056" i="1"/>
  <c r="F2057" i="1"/>
  <c r="F2058" i="1"/>
  <c r="F2059" i="1"/>
  <c r="F2060" i="1"/>
  <c r="F2061" i="1"/>
  <c r="F2062" i="1"/>
  <c r="F2063" i="1"/>
  <c r="F2064" i="1"/>
  <c r="F2065" i="1"/>
  <c r="F2066" i="1"/>
  <c r="F2067" i="1"/>
  <c r="F2068" i="1"/>
  <c r="F2069" i="1"/>
  <c r="F2070" i="1"/>
  <c r="F2071" i="1"/>
  <c r="F2072" i="1"/>
  <c r="F2073" i="1"/>
  <c r="F2074" i="1"/>
  <c r="F2075" i="1"/>
  <c r="F2076" i="1"/>
  <c r="F2077" i="1"/>
  <c r="F2078" i="1"/>
  <c r="F2079" i="1"/>
  <c r="F2080" i="1"/>
  <c r="F2081" i="1"/>
  <c r="F2082" i="1"/>
  <c r="F2083" i="1"/>
  <c r="F2084" i="1"/>
  <c r="F2085" i="1"/>
  <c r="F2086" i="1"/>
  <c r="F2087" i="1"/>
  <c r="F2088" i="1"/>
  <c r="F2089" i="1"/>
  <c r="F2090" i="1"/>
  <c r="F2091" i="1"/>
  <c r="F2092" i="1"/>
  <c r="F2093" i="1"/>
  <c r="F2094" i="1"/>
  <c r="F2095" i="1"/>
  <c r="F2096" i="1"/>
  <c r="F2097" i="1"/>
  <c r="F2098" i="1"/>
  <c r="F2099" i="1"/>
  <c r="F2100" i="1"/>
  <c r="F2101" i="1"/>
  <c r="F2102" i="1"/>
  <c r="F2103" i="1"/>
  <c r="F2104" i="1"/>
  <c r="F2105" i="1"/>
  <c r="F2106" i="1"/>
  <c r="F2107" i="1"/>
  <c r="F2108" i="1"/>
  <c r="F2109" i="1"/>
  <c r="F2110" i="1"/>
  <c r="F2111" i="1"/>
  <c r="F2112" i="1"/>
  <c r="F2113" i="1"/>
  <c r="F2114" i="1"/>
  <c r="F2115" i="1"/>
  <c r="F2116" i="1"/>
  <c r="F2117" i="1"/>
  <c r="F2118" i="1"/>
  <c r="F2119" i="1"/>
  <c r="F2120" i="1"/>
  <c r="F2121" i="1"/>
  <c r="F2122" i="1"/>
  <c r="F2123" i="1"/>
  <c r="F2124" i="1"/>
  <c r="F2125" i="1"/>
  <c r="F2126" i="1"/>
  <c r="F2127" i="1"/>
  <c r="F2128" i="1"/>
  <c r="F2129" i="1"/>
  <c r="F2130" i="1"/>
  <c r="F2131" i="1"/>
  <c r="F2132" i="1"/>
  <c r="F2133" i="1"/>
  <c r="F2134" i="1"/>
  <c r="F2135" i="1"/>
  <c r="F2136" i="1"/>
  <c r="F2137" i="1"/>
  <c r="F2138" i="1"/>
  <c r="F2139" i="1"/>
  <c r="F2140" i="1"/>
  <c r="F2141" i="1"/>
  <c r="F2142" i="1"/>
  <c r="F2143" i="1"/>
  <c r="F2144" i="1"/>
  <c r="F2145" i="1"/>
  <c r="F2146" i="1"/>
  <c r="F2147" i="1"/>
  <c r="F2148" i="1"/>
  <c r="F2149" i="1"/>
  <c r="F2150" i="1"/>
  <c r="F2151" i="1"/>
  <c r="F2152" i="1"/>
  <c r="F2153" i="1"/>
  <c r="F2154" i="1"/>
  <c r="F2155" i="1"/>
  <c r="F2156" i="1"/>
  <c r="F2157" i="1"/>
  <c r="F2158" i="1"/>
  <c r="F2159" i="1"/>
  <c r="F2160" i="1"/>
  <c r="F2161" i="1"/>
  <c r="F2162" i="1"/>
  <c r="F2163" i="1"/>
  <c r="F2164" i="1"/>
  <c r="F2165" i="1"/>
  <c r="F2166" i="1"/>
  <c r="F2167" i="1"/>
  <c r="F2168" i="1"/>
  <c r="F2169" i="1"/>
  <c r="F2170" i="1"/>
  <c r="F2171" i="1"/>
  <c r="F2172" i="1"/>
  <c r="F2173" i="1"/>
  <c r="F2174" i="1"/>
  <c r="F2175" i="1"/>
  <c r="F2176" i="1"/>
  <c r="F2177" i="1"/>
  <c r="F2178" i="1"/>
  <c r="F2179" i="1"/>
  <c r="F2180" i="1"/>
  <c r="F2181" i="1"/>
  <c r="F2182" i="1"/>
  <c r="F2183" i="1"/>
  <c r="F2184" i="1"/>
  <c r="F2185" i="1"/>
  <c r="F2186" i="1"/>
  <c r="F2187" i="1"/>
  <c r="F2188" i="1"/>
  <c r="F2189" i="1"/>
  <c r="F2190" i="1"/>
  <c r="F2191" i="1"/>
  <c r="F2192" i="1"/>
  <c r="F2193" i="1"/>
  <c r="F2194" i="1"/>
  <c r="F2195" i="1"/>
  <c r="F2196" i="1"/>
  <c r="F2197" i="1"/>
  <c r="F2198" i="1"/>
  <c r="F2199" i="1"/>
  <c r="F2200" i="1"/>
  <c r="F2201" i="1"/>
  <c r="F2202" i="1"/>
  <c r="F2203" i="1"/>
  <c r="F2204" i="1"/>
  <c r="F2205" i="1"/>
  <c r="F2206" i="1"/>
  <c r="F2207" i="1"/>
  <c r="F2208" i="1"/>
  <c r="F2209" i="1"/>
  <c r="F2" i="1"/>
  <c r="M2" i="1"/>
  <c r="M3" i="1" l="1"/>
  <c r="M4" i="1"/>
  <c r="M5" i="1"/>
  <c r="M6" i="1"/>
  <c r="M7" i="1"/>
  <c r="M8" i="1"/>
  <c r="M9" i="1"/>
  <c r="M10" i="1"/>
  <c r="M11" i="1"/>
  <c r="M12" i="1"/>
  <c r="M13" i="1"/>
  <c r="M14" i="1"/>
  <c r="M15" i="1"/>
  <c r="M16" i="1"/>
  <c r="M17" i="1"/>
  <c r="M18" i="1"/>
  <c r="M19" i="1"/>
  <c r="M20" i="1"/>
  <c r="M21" i="1"/>
  <c r="M22" i="1"/>
  <c r="M23" i="1"/>
  <c r="M24" i="1"/>
  <c r="M25" i="1"/>
  <c r="M26" i="1"/>
  <c r="M27" i="1"/>
  <c r="M28" i="1"/>
  <c r="M29" i="1"/>
  <c r="M30" i="1"/>
  <c r="M31" i="1"/>
  <c r="M32" i="1"/>
  <c r="M33" i="1"/>
  <c r="M34" i="1"/>
  <c r="M35" i="1"/>
  <c r="M36" i="1"/>
  <c r="M37" i="1"/>
  <c r="M38" i="1"/>
  <c r="M39" i="1"/>
  <c r="M40" i="1"/>
  <c r="M41" i="1"/>
  <c r="M42" i="1"/>
  <c r="M43" i="1"/>
  <c r="M44" i="1"/>
  <c r="M45" i="1"/>
  <c r="M46" i="1"/>
  <c r="M47" i="1"/>
  <c r="M48" i="1"/>
  <c r="M49" i="1"/>
  <c r="M50" i="1"/>
  <c r="M51" i="1"/>
  <c r="M52" i="1"/>
  <c r="M53" i="1"/>
  <c r="M54" i="1"/>
  <c r="M55" i="1"/>
  <c r="M56" i="1"/>
  <c r="M57" i="1"/>
  <c r="M58" i="1"/>
  <c r="M59" i="1"/>
  <c r="M60" i="1"/>
  <c r="M61" i="1"/>
  <c r="M62" i="1"/>
  <c r="M63" i="1"/>
  <c r="M64" i="1"/>
  <c r="M65" i="1"/>
  <c r="M66" i="1"/>
  <c r="M67" i="1"/>
  <c r="M68" i="1"/>
  <c r="M69" i="1"/>
  <c r="M70" i="1"/>
  <c r="M71" i="1"/>
  <c r="M72" i="1"/>
  <c r="M73" i="1"/>
  <c r="M74" i="1"/>
  <c r="M75" i="1"/>
  <c r="M76" i="1"/>
  <c r="M77" i="1"/>
  <c r="M78" i="1"/>
  <c r="M79" i="1"/>
  <c r="M80" i="1"/>
  <c r="M81" i="1"/>
  <c r="M82" i="1"/>
  <c r="M83" i="1"/>
  <c r="M84" i="1"/>
  <c r="M85" i="1"/>
  <c r="M86" i="1"/>
  <c r="M87" i="1"/>
  <c r="M88" i="1"/>
  <c r="M89" i="1"/>
  <c r="M90" i="1"/>
  <c r="M91" i="1"/>
  <c r="M92" i="1"/>
  <c r="M93" i="1"/>
  <c r="M94" i="1"/>
  <c r="M95" i="1"/>
  <c r="M96" i="1"/>
  <c r="M97" i="1"/>
  <c r="M98" i="1"/>
  <c r="M99" i="1"/>
  <c r="M100" i="1"/>
  <c r="M101" i="1"/>
  <c r="M102" i="1"/>
  <c r="M103" i="1"/>
  <c r="M104" i="1"/>
  <c r="M105" i="1"/>
  <c r="M106" i="1"/>
  <c r="M107" i="1"/>
  <c r="M108" i="1"/>
  <c r="M109" i="1"/>
  <c r="M110" i="1"/>
  <c r="M111" i="1"/>
  <c r="M112" i="1"/>
  <c r="M113" i="1"/>
  <c r="M114" i="1"/>
  <c r="M115" i="1"/>
  <c r="M116" i="1"/>
  <c r="M117" i="1"/>
  <c r="M118" i="1"/>
  <c r="M119" i="1"/>
  <c r="M120" i="1"/>
  <c r="M121" i="1"/>
  <c r="M122" i="1"/>
  <c r="M123" i="1"/>
  <c r="M124" i="1"/>
  <c r="M125" i="1"/>
  <c r="M126" i="1"/>
  <c r="M127" i="1"/>
  <c r="M128" i="1"/>
  <c r="M129" i="1"/>
  <c r="M130" i="1"/>
  <c r="M131" i="1"/>
  <c r="M132" i="1"/>
  <c r="M133" i="1"/>
  <c r="M134" i="1"/>
  <c r="M135" i="1"/>
  <c r="M136" i="1"/>
  <c r="M137" i="1"/>
  <c r="M138" i="1"/>
  <c r="M139" i="1"/>
  <c r="M140" i="1"/>
  <c r="M141" i="1"/>
  <c r="M142" i="1"/>
  <c r="M143" i="1"/>
  <c r="M144" i="1"/>
  <c r="M145" i="1"/>
  <c r="M146" i="1"/>
  <c r="M147" i="1"/>
  <c r="M148" i="1"/>
  <c r="M149" i="1"/>
  <c r="M150" i="1"/>
  <c r="M151" i="1"/>
  <c r="M152" i="1"/>
  <c r="M153" i="1"/>
  <c r="M154" i="1"/>
  <c r="M155" i="1"/>
  <c r="M156" i="1"/>
  <c r="M157" i="1"/>
  <c r="M158" i="1"/>
  <c r="M159" i="1"/>
  <c r="M160" i="1"/>
  <c r="M161" i="1"/>
  <c r="M162" i="1"/>
  <c r="M163" i="1"/>
  <c r="M164" i="1"/>
  <c r="M165" i="1"/>
  <c r="M166" i="1"/>
  <c r="M167" i="1"/>
  <c r="M168" i="1"/>
  <c r="M169" i="1"/>
  <c r="M170" i="1"/>
  <c r="M171" i="1"/>
  <c r="M172" i="1"/>
  <c r="M173" i="1"/>
  <c r="M174" i="1"/>
  <c r="M175" i="1"/>
  <c r="M176" i="1"/>
  <c r="M177" i="1"/>
  <c r="M178" i="1"/>
  <c r="M179" i="1"/>
  <c r="M180" i="1"/>
  <c r="M181" i="1"/>
  <c r="M182" i="1"/>
  <c r="M183" i="1"/>
  <c r="M184" i="1"/>
  <c r="M185" i="1"/>
  <c r="M186" i="1"/>
  <c r="M187" i="1"/>
  <c r="M188" i="1"/>
  <c r="M189" i="1"/>
  <c r="M190" i="1"/>
  <c r="M191" i="1"/>
  <c r="M192" i="1"/>
  <c r="M193" i="1"/>
  <c r="M194" i="1"/>
  <c r="M195" i="1"/>
  <c r="M196" i="1"/>
  <c r="M197" i="1"/>
  <c r="M198" i="1"/>
  <c r="M199" i="1"/>
  <c r="M200" i="1"/>
  <c r="M201" i="1"/>
  <c r="M202" i="1"/>
  <c r="M203" i="1"/>
  <c r="M204" i="1"/>
  <c r="M205" i="1"/>
  <c r="M206" i="1"/>
  <c r="M207" i="1"/>
  <c r="M208" i="1"/>
  <c r="M209" i="1"/>
  <c r="M210" i="1"/>
  <c r="M211" i="1"/>
  <c r="M212" i="1"/>
  <c r="M213" i="1"/>
  <c r="M214" i="1"/>
  <c r="M215" i="1"/>
  <c r="M216" i="1"/>
  <c r="M217" i="1"/>
  <c r="M218" i="1"/>
  <c r="M219" i="1"/>
  <c r="M220" i="1"/>
  <c r="M221" i="1"/>
  <c r="M222" i="1"/>
  <c r="M223" i="1"/>
  <c r="M224" i="1"/>
  <c r="M225" i="1"/>
  <c r="M226" i="1"/>
  <c r="M227" i="1"/>
  <c r="M228" i="1"/>
  <c r="M229" i="1"/>
  <c r="M230" i="1"/>
  <c r="M231" i="1"/>
  <c r="M232" i="1"/>
  <c r="M233" i="1"/>
  <c r="M234" i="1"/>
  <c r="M235" i="1"/>
  <c r="M236" i="1"/>
  <c r="M237" i="1"/>
  <c r="M238" i="1"/>
  <c r="M239" i="1"/>
  <c r="M240" i="1"/>
  <c r="M241" i="1"/>
  <c r="M242" i="1"/>
  <c r="M243" i="1"/>
  <c r="M244" i="1"/>
  <c r="M245" i="1"/>
  <c r="M246" i="1"/>
  <c r="M247" i="1"/>
  <c r="M248" i="1"/>
  <c r="M249" i="1"/>
  <c r="M250" i="1"/>
  <c r="M251" i="1"/>
  <c r="M252" i="1"/>
  <c r="M253" i="1"/>
  <c r="M254" i="1"/>
  <c r="M255" i="1"/>
  <c r="M256" i="1"/>
  <c r="M257" i="1"/>
  <c r="M258" i="1"/>
  <c r="M259" i="1"/>
  <c r="M260" i="1"/>
  <c r="M261" i="1"/>
  <c r="M262" i="1"/>
  <c r="M263" i="1"/>
  <c r="M264" i="1"/>
  <c r="M265" i="1"/>
  <c r="M266" i="1"/>
  <c r="M267" i="1"/>
  <c r="M268" i="1"/>
  <c r="M269" i="1"/>
  <c r="M270" i="1"/>
  <c r="M271" i="1"/>
  <c r="M272" i="1"/>
  <c r="M273" i="1"/>
  <c r="M274" i="1"/>
  <c r="M275" i="1"/>
  <c r="M276" i="1"/>
  <c r="M277" i="1"/>
  <c r="M278" i="1"/>
  <c r="M279" i="1"/>
  <c r="M280" i="1"/>
  <c r="M281" i="1"/>
  <c r="M282" i="1"/>
  <c r="M283" i="1"/>
  <c r="M284" i="1"/>
  <c r="M285" i="1"/>
  <c r="M286" i="1"/>
  <c r="M287" i="1"/>
  <c r="M288" i="1"/>
  <c r="M289" i="1"/>
  <c r="M290" i="1"/>
  <c r="M291" i="1"/>
  <c r="M292" i="1"/>
  <c r="M293" i="1"/>
  <c r="M294" i="1"/>
  <c r="M295" i="1"/>
  <c r="M296" i="1"/>
  <c r="M297" i="1"/>
  <c r="M298" i="1"/>
  <c r="M299" i="1"/>
  <c r="M300" i="1"/>
  <c r="M301" i="1"/>
  <c r="M302" i="1"/>
  <c r="M303" i="1"/>
  <c r="M304" i="1"/>
  <c r="M305" i="1"/>
  <c r="M306" i="1"/>
  <c r="M307" i="1"/>
  <c r="M308" i="1"/>
  <c r="M309" i="1"/>
  <c r="M310" i="1"/>
  <c r="M311" i="1"/>
  <c r="M312" i="1"/>
  <c r="M313" i="1"/>
  <c r="M314" i="1"/>
  <c r="M315" i="1"/>
  <c r="M316" i="1"/>
  <c r="M317" i="1"/>
  <c r="M318" i="1"/>
  <c r="M319" i="1"/>
  <c r="M320" i="1"/>
  <c r="M321" i="1"/>
  <c r="M322" i="1"/>
  <c r="M323" i="1"/>
  <c r="M324" i="1"/>
  <c r="M325" i="1"/>
  <c r="M326" i="1"/>
  <c r="M327" i="1"/>
  <c r="M328" i="1"/>
  <c r="M329" i="1"/>
  <c r="M330" i="1"/>
  <c r="M331" i="1"/>
  <c r="M332" i="1"/>
  <c r="M333" i="1"/>
  <c r="M334" i="1"/>
  <c r="M335" i="1"/>
  <c r="M336" i="1"/>
  <c r="M337" i="1"/>
  <c r="M338" i="1"/>
  <c r="M339" i="1"/>
  <c r="M340" i="1"/>
  <c r="M341" i="1"/>
  <c r="M342" i="1"/>
  <c r="M343" i="1"/>
  <c r="M344" i="1"/>
  <c r="M345" i="1"/>
  <c r="M346" i="1"/>
  <c r="M347" i="1"/>
  <c r="M348" i="1"/>
  <c r="M349" i="1"/>
  <c r="M350" i="1"/>
  <c r="M351" i="1"/>
  <c r="M352" i="1"/>
  <c r="M353" i="1"/>
  <c r="M354" i="1"/>
  <c r="M355" i="1"/>
  <c r="M356" i="1"/>
  <c r="M357" i="1"/>
  <c r="M358" i="1"/>
  <c r="M359" i="1"/>
  <c r="M360" i="1"/>
  <c r="M361" i="1"/>
  <c r="M362" i="1"/>
  <c r="M363" i="1"/>
  <c r="M364" i="1"/>
  <c r="M365" i="1"/>
  <c r="M366" i="1"/>
  <c r="M367" i="1"/>
  <c r="M368" i="1"/>
  <c r="M369" i="1"/>
  <c r="M370" i="1"/>
  <c r="M371" i="1"/>
  <c r="M372" i="1"/>
  <c r="M373" i="1"/>
  <c r="M374" i="1"/>
  <c r="M375" i="1"/>
  <c r="M376" i="1"/>
  <c r="M377" i="1"/>
  <c r="M378" i="1"/>
  <c r="M379" i="1"/>
  <c r="M380" i="1"/>
  <c r="M381" i="1"/>
  <c r="M382" i="1"/>
  <c r="M383" i="1"/>
  <c r="M384" i="1"/>
  <c r="M385" i="1"/>
  <c r="M386" i="1"/>
  <c r="M387" i="1"/>
  <c r="M388" i="1"/>
  <c r="M389" i="1"/>
  <c r="M390" i="1"/>
  <c r="M391" i="1"/>
  <c r="M392" i="1"/>
  <c r="M393" i="1"/>
  <c r="M394" i="1"/>
  <c r="M395" i="1"/>
  <c r="M396" i="1"/>
  <c r="M397" i="1"/>
  <c r="M398" i="1"/>
  <c r="M399" i="1"/>
  <c r="M400" i="1"/>
  <c r="M401" i="1"/>
  <c r="M402" i="1"/>
  <c r="M403" i="1"/>
  <c r="M404" i="1"/>
  <c r="M405" i="1"/>
  <c r="M406" i="1"/>
  <c r="M407" i="1"/>
  <c r="M408" i="1"/>
  <c r="M409" i="1"/>
  <c r="M410" i="1"/>
  <c r="M411" i="1"/>
  <c r="M412" i="1"/>
  <c r="M413" i="1"/>
  <c r="M414" i="1"/>
  <c r="M415" i="1"/>
  <c r="M416" i="1"/>
  <c r="M417" i="1"/>
  <c r="M418" i="1"/>
  <c r="M419" i="1"/>
  <c r="M420" i="1"/>
  <c r="M421" i="1"/>
  <c r="M422" i="1"/>
  <c r="M423" i="1"/>
  <c r="M424" i="1"/>
  <c r="M425" i="1"/>
  <c r="M426" i="1"/>
  <c r="M427" i="1"/>
  <c r="M428" i="1"/>
  <c r="M429" i="1"/>
  <c r="M430" i="1"/>
  <c r="M431" i="1"/>
  <c r="M432" i="1"/>
  <c r="M433" i="1"/>
  <c r="M434" i="1"/>
  <c r="M435" i="1"/>
  <c r="M436" i="1"/>
  <c r="M437" i="1"/>
  <c r="M438" i="1"/>
  <c r="M439" i="1"/>
  <c r="M440" i="1"/>
  <c r="M441" i="1"/>
  <c r="M442" i="1"/>
  <c r="M443" i="1"/>
  <c r="M444" i="1"/>
  <c r="M445" i="1"/>
  <c r="M446" i="1"/>
  <c r="M447" i="1"/>
  <c r="M448" i="1"/>
  <c r="M449" i="1"/>
  <c r="M450" i="1"/>
  <c r="M451" i="1"/>
  <c r="M452" i="1"/>
  <c r="M453" i="1"/>
  <c r="M454" i="1"/>
  <c r="M455" i="1"/>
  <c r="M456" i="1"/>
  <c r="M457" i="1"/>
  <c r="M458" i="1"/>
  <c r="M459" i="1"/>
  <c r="M460" i="1"/>
  <c r="M461" i="1"/>
  <c r="M462" i="1"/>
  <c r="M463" i="1"/>
  <c r="M464" i="1"/>
  <c r="M465" i="1"/>
  <c r="M466" i="1"/>
  <c r="M467" i="1"/>
  <c r="M468" i="1"/>
  <c r="M469" i="1"/>
  <c r="M470" i="1"/>
  <c r="M471" i="1"/>
  <c r="M472" i="1"/>
  <c r="M473" i="1"/>
  <c r="M474" i="1"/>
  <c r="M475" i="1"/>
  <c r="M476" i="1"/>
  <c r="M477" i="1"/>
  <c r="M478" i="1"/>
  <c r="M479" i="1"/>
  <c r="M480" i="1"/>
  <c r="M481" i="1"/>
  <c r="M482" i="1"/>
  <c r="M483" i="1"/>
  <c r="M484" i="1"/>
  <c r="M485" i="1"/>
  <c r="M486" i="1"/>
  <c r="M487" i="1"/>
  <c r="M488" i="1"/>
  <c r="M489" i="1"/>
  <c r="M490" i="1"/>
  <c r="M491" i="1"/>
  <c r="M492" i="1"/>
  <c r="M493" i="1"/>
  <c r="M494" i="1"/>
  <c r="M495" i="1"/>
  <c r="M496" i="1"/>
  <c r="M497" i="1"/>
  <c r="M498" i="1"/>
  <c r="M499" i="1"/>
  <c r="M500" i="1"/>
  <c r="M501" i="1"/>
  <c r="M502" i="1"/>
  <c r="M503" i="1"/>
  <c r="M504" i="1"/>
  <c r="M505" i="1"/>
  <c r="M506" i="1"/>
  <c r="M507" i="1"/>
  <c r="M508" i="1"/>
  <c r="M509" i="1"/>
  <c r="M510" i="1"/>
  <c r="M511" i="1"/>
  <c r="M512" i="1"/>
  <c r="M513" i="1"/>
  <c r="M514" i="1"/>
  <c r="M515" i="1"/>
  <c r="M516" i="1"/>
  <c r="M517" i="1"/>
  <c r="M518" i="1"/>
  <c r="M519" i="1"/>
  <c r="M520" i="1"/>
  <c r="M521" i="1"/>
  <c r="M522" i="1"/>
  <c r="M523" i="1"/>
  <c r="M524" i="1"/>
  <c r="M525" i="1"/>
  <c r="M526" i="1"/>
  <c r="M527" i="1"/>
  <c r="M528" i="1"/>
  <c r="M529" i="1"/>
  <c r="M530" i="1"/>
  <c r="M531" i="1"/>
  <c r="M532" i="1"/>
  <c r="M533" i="1"/>
  <c r="M534" i="1"/>
  <c r="M535" i="1"/>
  <c r="M536" i="1"/>
  <c r="M537" i="1"/>
  <c r="M538" i="1"/>
  <c r="M539" i="1"/>
  <c r="M540" i="1"/>
  <c r="M541" i="1"/>
  <c r="M542" i="1"/>
  <c r="M543" i="1"/>
  <c r="M544" i="1"/>
  <c r="M545" i="1"/>
  <c r="M546" i="1"/>
  <c r="M547" i="1"/>
  <c r="M548" i="1"/>
  <c r="M549" i="1"/>
  <c r="M550" i="1"/>
  <c r="M551" i="1"/>
  <c r="M552" i="1"/>
  <c r="M553" i="1"/>
  <c r="M554" i="1"/>
  <c r="M555" i="1"/>
  <c r="M556" i="1"/>
  <c r="M557" i="1"/>
  <c r="M558" i="1"/>
  <c r="M559" i="1"/>
  <c r="M560" i="1"/>
  <c r="M561" i="1"/>
  <c r="M562" i="1"/>
  <c r="M563" i="1"/>
  <c r="M564" i="1"/>
  <c r="M565" i="1"/>
  <c r="M566" i="1"/>
  <c r="M567" i="1"/>
  <c r="M568" i="1"/>
  <c r="M569" i="1"/>
  <c r="M570" i="1"/>
  <c r="M571" i="1"/>
  <c r="M572" i="1"/>
  <c r="M573" i="1"/>
  <c r="M574" i="1"/>
  <c r="M575" i="1"/>
  <c r="M576" i="1"/>
  <c r="M577" i="1"/>
  <c r="M578" i="1"/>
  <c r="M579" i="1"/>
  <c r="M580" i="1"/>
  <c r="M581" i="1"/>
  <c r="M582" i="1"/>
  <c r="M583" i="1"/>
  <c r="M584" i="1"/>
  <c r="M585" i="1"/>
  <c r="M586" i="1"/>
  <c r="M587" i="1"/>
  <c r="M588" i="1"/>
  <c r="M589" i="1"/>
  <c r="M590" i="1"/>
  <c r="M591" i="1"/>
  <c r="M592" i="1"/>
  <c r="M593" i="1"/>
  <c r="M594" i="1"/>
  <c r="M595" i="1"/>
  <c r="M596" i="1"/>
  <c r="M597" i="1"/>
  <c r="M598" i="1"/>
  <c r="M599" i="1"/>
  <c r="M600" i="1"/>
  <c r="M601" i="1"/>
  <c r="M602" i="1"/>
  <c r="M603" i="1"/>
  <c r="M604" i="1"/>
  <c r="M605" i="1"/>
  <c r="M606" i="1"/>
  <c r="M607" i="1"/>
  <c r="M608" i="1"/>
  <c r="M609" i="1"/>
  <c r="M610" i="1"/>
  <c r="M611" i="1"/>
  <c r="M612" i="1"/>
  <c r="M613" i="1"/>
  <c r="M614" i="1"/>
  <c r="M615" i="1"/>
  <c r="M616" i="1"/>
  <c r="M617" i="1"/>
  <c r="M618" i="1"/>
  <c r="M619" i="1"/>
  <c r="M620" i="1"/>
  <c r="M621" i="1"/>
  <c r="M622" i="1"/>
  <c r="M623" i="1"/>
  <c r="M624" i="1"/>
  <c r="M625" i="1"/>
  <c r="M626" i="1"/>
  <c r="M627" i="1"/>
  <c r="M628" i="1"/>
  <c r="M629" i="1"/>
  <c r="M630" i="1"/>
  <c r="M631" i="1"/>
  <c r="M632" i="1"/>
  <c r="M633" i="1"/>
  <c r="M634" i="1"/>
  <c r="M635" i="1"/>
  <c r="M636" i="1"/>
  <c r="M637" i="1"/>
  <c r="M638" i="1"/>
  <c r="M639" i="1"/>
  <c r="M640" i="1"/>
  <c r="M641" i="1"/>
  <c r="M642" i="1"/>
  <c r="M643" i="1"/>
  <c r="M644" i="1"/>
  <c r="M645" i="1"/>
  <c r="M646" i="1"/>
  <c r="M647" i="1"/>
  <c r="M648" i="1"/>
  <c r="M649" i="1"/>
  <c r="M650" i="1"/>
  <c r="M651" i="1"/>
  <c r="M652" i="1"/>
  <c r="M653" i="1"/>
  <c r="M654" i="1"/>
  <c r="M655" i="1"/>
  <c r="M656" i="1"/>
  <c r="M657" i="1"/>
  <c r="M658" i="1"/>
  <c r="M659" i="1"/>
  <c r="M660" i="1"/>
  <c r="M661" i="1"/>
  <c r="M662" i="1"/>
  <c r="M663" i="1"/>
  <c r="M664" i="1"/>
  <c r="M665" i="1"/>
  <c r="M666" i="1"/>
  <c r="M667" i="1"/>
  <c r="M668" i="1"/>
  <c r="M669" i="1"/>
  <c r="M670" i="1"/>
  <c r="M671" i="1"/>
  <c r="M672" i="1"/>
  <c r="M673" i="1"/>
  <c r="M674" i="1"/>
  <c r="M675" i="1"/>
  <c r="M676" i="1"/>
  <c r="M677" i="1"/>
  <c r="M678" i="1"/>
  <c r="M679" i="1"/>
  <c r="M680" i="1"/>
  <c r="M681" i="1"/>
  <c r="M682" i="1"/>
  <c r="M683" i="1"/>
  <c r="M684" i="1"/>
  <c r="M685" i="1"/>
  <c r="M686" i="1"/>
  <c r="M687" i="1"/>
  <c r="M688" i="1"/>
  <c r="M689" i="1"/>
  <c r="M690" i="1"/>
  <c r="M691" i="1"/>
  <c r="M692" i="1"/>
  <c r="M693" i="1"/>
  <c r="M694" i="1"/>
  <c r="M695" i="1"/>
  <c r="M696" i="1"/>
  <c r="M697" i="1"/>
  <c r="M698" i="1"/>
  <c r="M699" i="1"/>
  <c r="M700" i="1"/>
  <c r="M701" i="1"/>
  <c r="M702" i="1"/>
  <c r="M703" i="1"/>
  <c r="M704" i="1"/>
  <c r="M705" i="1"/>
  <c r="M706" i="1"/>
  <c r="M707" i="1"/>
  <c r="M708" i="1"/>
  <c r="M709" i="1"/>
  <c r="M710" i="1"/>
  <c r="M711" i="1"/>
  <c r="M712" i="1"/>
  <c r="M713" i="1"/>
  <c r="M714" i="1"/>
  <c r="M715" i="1"/>
  <c r="M716" i="1"/>
  <c r="M717" i="1"/>
  <c r="M718" i="1"/>
  <c r="M719" i="1"/>
  <c r="M720" i="1"/>
  <c r="M721" i="1"/>
  <c r="M722" i="1"/>
  <c r="M723" i="1"/>
  <c r="M724" i="1"/>
  <c r="M725" i="1"/>
  <c r="M726" i="1"/>
  <c r="M727" i="1"/>
  <c r="M728" i="1"/>
  <c r="M729" i="1"/>
  <c r="M730" i="1"/>
  <c r="M731" i="1"/>
  <c r="M732" i="1"/>
  <c r="M733" i="1"/>
  <c r="M734" i="1"/>
  <c r="M735" i="1"/>
  <c r="M736" i="1"/>
  <c r="M737" i="1"/>
  <c r="M738" i="1"/>
  <c r="M739" i="1"/>
  <c r="M740" i="1"/>
  <c r="M741" i="1"/>
  <c r="M742" i="1"/>
  <c r="M743" i="1"/>
  <c r="M744" i="1"/>
  <c r="M745" i="1"/>
  <c r="M746" i="1"/>
  <c r="M747" i="1"/>
  <c r="M748" i="1"/>
  <c r="M749" i="1"/>
  <c r="M750" i="1"/>
  <c r="M751" i="1"/>
  <c r="M752" i="1"/>
  <c r="M753" i="1"/>
  <c r="M754" i="1"/>
  <c r="M755" i="1"/>
  <c r="M756" i="1"/>
  <c r="M757" i="1"/>
  <c r="M758" i="1"/>
  <c r="M759" i="1"/>
  <c r="M760" i="1"/>
  <c r="M761" i="1"/>
  <c r="M762" i="1"/>
  <c r="M763" i="1"/>
  <c r="M764" i="1"/>
  <c r="M765" i="1"/>
  <c r="M766" i="1"/>
  <c r="M767" i="1"/>
  <c r="M768" i="1"/>
  <c r="M769" i="1"/>
  <c r="M770" i="1"/>
  <c r="M771" i="1"/>
  <c r="M772" i="1"/>
  <c r="M773" i="1"/>
  <c r="M774" i="1"/>
  <c r="M775" i="1"/>
  <c r="M776" i="1"/>
  <c r="M777" i="1"/>
  <c r="M778" i="1"/>
  <c r="M779" i="1"/>
  <c r="M780" i="1"/>
  <c r="M781" i="1"/>
  <c r="M782" i="1"/>
  <c r="M783" i="1"/>
  <c r="M784" i="1"/>
  <c r="M785" i="1"/>
  <c r="M786" i="1"/>
  <c r="M787" i="1"/>
  <c r="M788" i="1"/>
  <c r="M789" i="1"/>
  <c r="M790" i="1"/>
  <c r="M791" i="1"/>
  <c r="M792" i="1"/>
  <c r="M793" i="1"/>
  <c r="M794" i="1"/>
  <c r="M795" i="1"/>
  <c r="M796" i="1"/>
  <c r="M797" i="1"/>
  <c r="M798" i="1"/>
  <c r="M799" i="1"/>
  <c r="M800" i="1"/>
  <c r="M801" i="1"/>
  <c r="M802" i="1"/>
  <c r="M803" i="1"/>
  <c r="M804" i="1"/>
  <c r="M805" i="1"/>
  <c r="M806" i="1"/>
  <c r="M807" i="1"/>
  <c r="M808" i="1"/>
  <c r="M809" i="1"/>
  <c r="M810" i="1"/>
  <c r="M811" i="1"/>
  <c r="M812" i="1"/>
  <c r="M813" i="1"/>
  <c r="M814" i="1"/>
  <c r="M815" i="1"/>
  <c r="M816" i="1"/>
  <c r="M817" i="1"/>
  <c r="M818" i="1"/>
  <c r="M819" i="1"/>
  <c r="M820" i="1"/>
  <c r="M821" i="1"/>
  <c r="M822" i="1"/>
  <c r="M823" i="1"/>
  <c r="M824" i="1"/>
  <c r="M825" i="1"/>
  <c r="M826" i="1"/>
  <c r="M827" i="1"/>
  <c r="M828" i="1"/>
  <c r="M829" i="1"/>
  <c r="M830" i="1"/>
  <c r="M831" i="1"/>
  <c r="M832" i="1"/>
  <c r="M833" i="1"/>
  <c r="M834" i="1"/>
  <c r="M835" i="1"/>
  <c r="M836" i="1"/>
  <c r="M837" i="1"/>
  <c r="M838" i="1"/>
  <c r="M839" i="1"/>
  <c r="M840" i="1"/>
  <c r="M841" i="1"/>
  <c r="M842" i="1"/>
  <c r="M843" i="1"/>
  <c r="M844" i="1"/>
  <c r="M845" i="1"/>
  <c r="M846" i="1"/>
  <c r="M847" i="1"/>
  <c r="M848" i="1"/>
  <c r="M849" i="1"/>
  <c r="M850" i="1"/>
  <c r="M851" i="1"/>
  <c r="M852" i="1"/>
  <c r="M853" i="1"/>
  <c r="M854" i="1"/>
  <c r="M855" i="1"/>
  <c r="M856" i="1"/>
  <c r="M857" i="1"/>
  <c r="M858" i="1"/>
  <c r="M859" i="1"/>
  <c r="M860" i="1"/>
  <c r="M861" i="1"/>
  <c r="M862" i="1"/>
  <c r="M863" i="1"/>
  <c r="M864" i="1"/>
  <c r="M865" i="1"/>
  <c r="M866" i="1"/>
  <c r="M867" i="1"/>
  <c r="M868" i="1"/>
  <c r="M869" i="1"/>
  <c r="M870" i="1"/>
  <c r="M871" i="1"/>
  <c r="M872" i="1"/>
  <c r="M873" i="1"/>
  <c r="M874" i="1"/>
  <c r="M875" i="1"/>
  <c r="M876" i="1"/>
  <c r="M877" i="1"/>
  <c r="M878" i="1"/>
  <c r="M879" i="1"/>
  <c r="M880" i="1"/>
  <c r="M881" i="1"/>
  <c r="M882" i="1"/>
  <c r="M883" i="1"/>
  <c r="M884" i="1"/>
  <c r="M885" i="1"/>
  <c r="M886" i="1"/>
  <c r="M887" i="1"/>
  <c r="M888" i="1"/>
  <c r="M889" i="1"/>
  <c r="M890" i="1"/>
  <c r="M891" i="1"/>
  <c r="M892" i="1"/>
  <c r="M893" i="1"/>
  <c r="M894" i="1"/>
  <c r="M895" i="1"/>
  <c r="M896" i="1"/>
  <c r="M897" i="1"/>
  <c r="M898" i="1"/>
  <c r="M899" i="1"/>
  <c r="M900" i="1"/>
  <c r="M901" i="1"/>
  <c r="M902" i="1"/>
  <c r="M903" i="1"/>
  <c r="M904" i="1"/>
  <c r="M905" i="1"/>
  <c r="M906" i="1"/>
  <c r="M907" i="1"/>
  <c r="M908" i="1"/>
  <c r="M909" i="1"/>
  <c r="M910" i="1"/>
  <c r="M911" i="1"/>
  <c r="M912" i="1"/>
  <c r="M913" i="1"/>
  <c r="M914" i="1"/>
  <c r="M915" i="1"/>
  <c r="M916" i="1"/>
  <c r="M917" i="1"/>
  <c r="M918" i="1"/>
  <c r="M919" i="1"/>
  <c r="M920" i="1"/>
  <c r="M921" i="1"/>
  <c r="M922" i="1"/>
  <c r="M923" i="1"/>
  <c r="M924" i="1"/>
  <c r="M925" i="1"/>
  <c r="M926" i="1"/>
  <c r="M927" i="1"/>
  <c r="M928" i="1"/>
  <c r="M929" i="1"/>
  <c r="M930" i="1"/>
  <c r="M931" i="1"/>
  <c r="M932" i="1"/>
  <c r="M933" i="1"/>
  <c r="M934" i="1"/>
  <c r="M935" i="1"/>
  <c r="M936" i="1"/>
  <c r="M937" i="1"/>
  <c r="M938" i="1"/>
  <c r="M939" i="1"/>
  <c r="M940" i="1"/>
  <c r="M941" i="1"/>
  <c r="M942" i="1"/>
  <c r="M943" i="1"/>
  <c r="M944" i="1"/>
  <c r="M945" i="1"/>
  <c r="M946" i="1"/>
  <c r="M947" i="1"/>
  <c r="M948" i="1"/>
  <c r="M949" i="1"/>
  <c r="M950" i="1"/>
  <c r="M951" i="1"/>
  <c r="M952" i="1"/>
  <c r="M953" i="1"/>
  <c r="M954" i="1"/>
  <c r="M955" i="1"/>
  <c r="M956" i="1"/>
  <c r="M957" i="1"/>
  <c r="M958" i="1"/>
  <c r="M959" i="1"/>
  <c r="M960" i="1"/>
  <c r="M961" i="1"/>
  <c r="M962" i="1"/>
  <c r="M963" i="1"/>
  <c r="M964" i="1"/>
  <c r="M965" i="1"/>
  <c r="M966" i="1"/>
  <c r="M967" i="1"/>
  <c r="M968" i="1"/>
  <c r="M969" i="1"/>
  <c r="M970" i="1"/>
  <c r="M971" i="1"/>
  <c r="M972" i="1"/>
  <c r="M973" i="1"/>
  <c r="M974" i="1"/>
  <c r="M975" i="1"/>
  <c r="M976" i="1"/>
  <c r="M977" i="1"/>
  <c r="M978" i="1"/>
  <c r="M979" i="1"/>
  <c r="M980" i="1"/>
  <c r="M981" i="1"/>
  <c r="M982" i="1"/>
  <c r="M983" i="1"/>
  <c r="M984" i="1"/>
  <c r="M985" i="1"/>
  <c r="M986" i="1"/>
  <c r="M987" i="1"/>
  <c r="M988" i="1"/>
  <c r="M989" i="1"/>
  <c r="M990" i="1"/>
  <c r="M991" i="1"/>
  <c r="M992" i="1"/>
  <c r="M993" i="1"/>
  <c r="M994" i="1"/>
  <c r="M995" i="1"/>
  <c r="M996" i="1"/>
  <c r="M997" i="1"/>
  <c r="M998" i="1"/>
  <c r="M999" i="1"/>
  <c r="M1000" i="1"/>
  <c r="M1001" i="1"/>
  <c r="M1002" i="1"/>
  <c r="M1003" i="1"/>
  <c r="M1004" i="1"/>
  <c r="M1005" i="1"/>
  <c r="M1006" i="1"/>
  <c r="M1007" i="1"/>
  <c r="M1008" i="1"/>
  <c r="M1009" i="1"/>
  <c r="M1010" i="1"/>
  <c r="M1011" i="1"/>
  <c r="M1012" i="1"/>
  <c r="M1013" i="1"/>
  <c r="M1014" i="1"/>
  <c r="M1015" i="1"/>
  <c r="M1016" i="1"/>
  <c r="M1017" i="1"/>
  <c r="M1018" i="1"/>
  <c r="M1019" i="1"/>
  <c r="M1020" i="1"/>
  <c r="M1021" i="1"/>
  <c r="M1022" i="1"/>
  <c r="M1023" i="1"/>
  <c r="M1024" i="1"/>
  <c r="M1025" i="1"/>
  <c r="M1026" i="1"/>
  <c r="M1027" i="1"/>
  <c r="M1028" i="1"/>
  <c r="M1029" i="1"/>
  <c r="M1030" i="1"/>
  <c r="M1031" i="1"/>
  <c r="M1032" i="1"/>
  <c r="M1033" i="1"/>
  <c r="M1034" i="1"/>
  <c r="M1035" i="1"/>
  <c r="M1036" i="1"/>
  <c r="M1037" i="1"/>
  <c r="M1038" i="1"/>
  <c r="M1039" i="1"/>
  <c r="M1040" i="1"/>
  <c r="M1041" i="1"/>
  <c r="M1042" i="1"/>
  <c r="M1043" i="1"/>
  <c r="M1044" i="1"/>
  <c r="M1045" i="1"/>
  <c r="M1046" i="1"/>
  <c r="M1047" i="1"/>
  <c r="M1048" i="1"/>
  <c r="M1049" i="1"/>
  <c r="M1050" i="1"/>
  <c r="M1051" i="1"/>
  <c r="M1052" i="1"/>
  <c r="M1053" i="1"/>
  <c r="M1054" i="1"/>
  <c r="M1055" i="1"/>
  <c r="M1056" i="1"/>
  <c r="M1057" i="1"/>
  <c r="M1058" i="1"/>
  <c r="M1059" i="1"/>
  <c r="M1060" i="1"/>
  <c r="M1061" i="1"/>
  <c r="M1062" i="1"/>
  <c r="M1063" i="1"/>
  <c r="M1064" i="1"/>
  <c r="M1065" i="1"/>
  <c r="M1066" i="1"/>
  <c r="M1067" i="1"/>
  <c r="M1068" i="1"/>
  <c r="M1069" i="1"/>
  <c r="M1070" i="1"/>
  <c r="M1071" i="1"/>
  <c r="M1072" i="1"/>
  <c r="M1073" i="1"/>
  <c r="M1074" i="1"/>
  <c r="M1075" i="1"/>
  <c r="M1076" i="1"/>
  <c r="M1077" i="1"/>
  <c r="M1078" i="1"/>
  <c r="M1079" i="1"/>
  <c r="M1080" i="1"/>
  <c r="M1081" i="1"/>
  <c r="M1082" i="1"/>
  <c r="M1083" i="1"/>
  <c r="M1084" i="1"/>
  <c r="M1085" i="1"/>
  <c r="M1086" i="1"/>
  <c r="M1087" i="1"/>
  <c r="M1088" i="1"/>
  <c r="M1089" i="1"/>
  <c r="M1090" i="1"/>
  <c r="M1091" i="1"/>
  <c r="M1092" i="1"/>
  <c r="M1093" i="1"/>
  <c r="M1094" i="1"/>
  <c r="M1095" i="1"/>
  <c r="M1096" i="1"/>
  <c r="M1097" i="1"/>
  <c r="M1098" i="1"/>
  <c r="M1099" i="1"/>
  <c r="M1100" i="1"/>
  <c r="M1101" i="1"/>
  <c r="M1102" i="1"/>
  <c r="M1103" i="1"/>
  <c r="M1104" i="1"/>
  <c r="M1105" i="1"/>
  <c r="M1106" i="1"/>
  <c r="M1107" i="1"/>
  <c r="M1108" i="1"/>
  <c r="M1109" i="1"/>
  <c r="M1110" i="1"/>
  <c r="M1111" i="1"/>
  <c r="M1112" i="1"/>
  <c r="M1113" i="1"/>
  <c r="M1114" i="1"/>
  <c r="M1115" i="1"/>
  <c r="M1116" i="1"/>
  <c r="M1117" i="1"/>
  <c r="M1118" i="1"/>
  <c r="M1119" i="1"/>
  <c r="M1120" i="1"/>
  <c r="M1121" i="1"/>
  <c r="M1122" i="1"/>
  <c r="M1123" i="1"/>
  <c r="M1124" i="1"/>
  <c r="M1125" i="1"/>
  <c r="M1126" i="1"/>
  <c r="M1127" i="1"/>
  <c r="M1128" i="1"/>
  <c r="M1129" i="1"/>
  <c r="M1130" i="1"/>
  <c r="M1131" i="1"/>
  <c r="M1132" i="1"/>
  <c r="M1133" i="1"/>
  <c r="M1134" i="1"/>
  <c r="M1135" i="1"/>
  <c r="M1136" i="1"/>
  <c r="M1137" i="1"/>
  <c r="M1138" i="1"/>
  <c r="M1139" i="1"/>
  <c r="M1140" i="1"/>
  <c r="M1141" i="1"/>
  <c r="M1142" i="1"/>
  <c r="M1143" i="1"/>
  <c r="M1144" i="1"/>
  <c r="M1145" i="1"/>
  <c r="M1146" i="1"/>
  <c r="M1147" i="1"/>
  <c r="M1148" i="1"/>
  <c r="M1149" i="1"/>
  <c r="M1150" i="1"/>
  <c r="M1151" i="1"/>
  <c r="M1152" i="1"/>
  <c r="M1153" i="1"/>
  <c r="M1154" i="1"/>
  <c r="M1155" i="1"/>
  <c r="M1156" i="1"/>
  <c r="M1157" i="1"/>
  <c r="M1158" i="1"/>
  <c r="M1159" i="1"/>
  <c r="M1160" i="1"/>
  <c r="M1161" i="1"/>
  <c r="M1162" i="1"/>
  <c r="M1163" i="1"/>
  <c r="M1164" i="1"/>
  <c r="M1165" i="1"/>
  <c r="M1166" i="1"/>
  <c r="M1167" i="1"/>
  <c r="M1168" i="1"/>
  <c r="M1169" i="1"/>
  <c r="M1170" i="1"/>
  <c r="M1171" i="1"/>
  <c r="M1172" i="1"/>
  <c r="M1173" i="1"/>
  <c r="M1174" i="1"/>
  <c r="M1175" i="1"/>
  <c r="M1176" i="1"/>
  <c r="M1177" i="1"/>
  <c r="M1178" i="1"/>
  <c r="M1179" i="1"/>
  <c r="M1180" i="1"/>
  <c r="M1181" i="1"/>
  <c r="M1182" i="1"/>
  <c r="M1183" i="1"/>
  <c r="M1184" i="1"/>
  <c r="M1185" i="1"/>
  <c r="M1186" i="1"/>
  <c r="M1187" i="1"/>
  <c r="M1188" i="1"/>
  <c r="M1189" i="1"/>
  <c r="M1190" i="1"/>
  <c r="M1191" i="1"/>
  <c r="M1192" i="1"/>
  <c r="M1193" i="1"/>
  <c r="M1194" i="1"/>
  <c r="M1195" i="1"/>
  <c r="M1196" i="1"/>
  <c r="M1197" i="1"/>
  <c r="M1198" i="1"/>
  <c r="M1199" i="1"/>
  <c r="M1200" i="1"/>
  <c r="M1201" i="1"/>
  <c r="M1202" i="1"/>
  <c r="M1203" i="1"/>
  <c r="M1204" i="1"/>
  <c r="M1205" i="1"/>
  <c r="M1206" i="1"/>
  <c r="M1207" i="1"/>
  <c r="M1208" i="1"/>
  <c r="M1209" i="1"/>
  <c r="M1210" i="1"/>
  <c r="M1211" i="1"/>
  <c r="M1212" i="1"/>
  <c r="M1213" i="1"/>
  <c r="M1214" i="1"/>
  <c r="M1215" i="1"/>
  <c r="M1216" i="1"/>
  <c r="M1217" i="1"/>
  <c r="M1218" i="1"/>
  <c r="M1219" i="1"/>
  <c r="M1220" i="1"/>
  <c r="M1221" i="1"/>
  <c r="M1222" i="1"/>
  <c r="M1223" i="1"/>
  <c r="M1224" i="1"/>
  <c r="M1225" i="1"/>
  <c r="M1226" i="1"/>
  <c r="M1227" i="1"/>
  <c r="M1228" i="1"/>
  <c r="M1229" i="1"/>
  <c r="M1230" i="1"/>
  <c r="M1231" i="1"/>
  <c r="M1232" i="1"/>
  <c r="M1233" i="1"/>
  <c r="M1234" i="1"/>
  <c r="M1235" i="1"/>
  <c r="M1236" i="1"/>
  <c r="M1237" i="1"/>
  <c r="M1238" i="1"/>
  <c r="M1239" i="1"/>
  <c r="M1240" i="1"/>
  <c r="M1241" i="1"/>
  <c r="M1242" i="1"/>
  <c r="M1243" i="1"/>
  <c r="M1244" i="1"/>
  <c r="M1245" i="1"/>
  <c r="M1246" i="1"/>
  <c r="M1247" i="1"/>
  <c r="M1248" i="1"/>
  <c r="M1249" i="1"/>
  <c r="M1250" i="1"/>
  <c r="M1251" i="1"/>
  <c r="M1252" i="1"/>
  <c r="M1253" i="1"/>
  <c r="M1254" i="1"/>
  <c r="M1255" i="1"/>
  <c r="M1256" i="1"/>
  <c r="M1257" i="1"/>
  <c r="M1258" i="1"/>
  <c r="M1259" i="1"/>
  <c r="M1260" i="1"/>
  <c r="M1261" i="1"/>
  <c r="M1262" i="1"/>
  <c r="M1263" i="1"/>
  <c r="M1264" i="1"/>
  <c r="M1265" i="1"/>
  <c r="M1266" i="1"/>
  <c r="M1267" i="1"/>
  <c r="M1268" i="1"/>
  <c r="M1269" i="1"/>
  <c r="M1270" i="1"/>
  <c r="M1271" i="1"/>
  <c r="M1272" i="1"/>
  <c r="M1273" i="1"/>
  <c r="M1274" i="1"/>
  <c r="M1275" i="1"/>
  <c r="M1276" i="1"/>
  <c r="M1277" i="1"/>
  <c r="M1278" i="1"/>
  <c r="M1279" i="1"/>
  <c r="M1280" i="1"/>
  <c r="M1281" i="1"/>
  <c r="M1282" i="1"/>
  <c r="M1283" i="1"/>
  <c r="M1284" i="1"/>
  <c r="M1285" i="1"/>
  <c r="M1286" i="1"/>
  <c r="M1287" i="1"/>
  <c r="M1288" i="1"/>
  <c r="M1289" i="1"/>
  <c r="M1290" i="1"/>
  <c r="M1291" i="1"/>
  <c r="M1292" i="1"/>
  <c r="M1293" i="1"/>
  <c r="M1294" i="1"/>
  <c r="M1295" i="1"/>
  <c r="M1296" i="1"/>
  <c r="M1297" i="1"/>
  <c r="M1298" i="1"/>
  <c r="M1299" i="1"/>
  <c r="M1300" i="1"/>
  <c r="M1301" i="1"/>
  <c r="M1302" i="1"/>
  <c r="M1303" i="1"/>
  <c r="M1304" i="1"/>
  <c r="M1305" i="1"/>
  <c r="M1306" i="1"/>
  <c r="M1307" i="1"/>
  <c r="M1308" i="1"/>
  <c r="M1309" i="1"/>
  <c r="M1310" i="1"/>
  <c r="M1311" i="1"/>
  <c r="M1312" i="1"/>
  <c r="M1313" i="1"/>
  <c r="M1314" i="1"/>
  <c r="M1315" i="1"/>
  <c r="M1316" i="1"/>
  <c r="M1317" i="1"/>
  <c r="M1318" i="1"/>
  <c r="M1319" i="1"/>
  <c r="M1320" i="1"/>
  <c r="M1321" i="1"/>
  <c r="M1322" i="1"/>
  <c r="M1323" i="1"/>
  <c r="M1324" i="1"/>
  <c r="M1325" i="1"/>
  <c r="M1326" i="1"/>
  <c r="M1327" i="1"/>
  <c r="M1328" i="1"/>
  <c r="M1329" i="1"/>
  <c r="M1330" i="1"/>
  <c r="M1331" i="1"/>
  <c r="M1332" i="1"/>
  <c r="M1333" i="1"/>
  <c r="M1334" i="1"/>
  <c r="M1335" i="1"/>
  <c r="M1336" i="1"/>
  <c r="M1337" i="1"/>
  <c r="M1338" i="1"/>
  <c r="M1339" i="1"/>
  <c r="M1340" i="1"/>
  <c r="M1341" i="1"/>
  <c r="M1342" i="1"/>
  <c r="M1343" i="1"/>
  <c r="M1344" i="1"/>
  <c r="M1345" i="1"/>
  <c r="M1346" i="1"/>
  <c r="M1347" i="1"/>
  <c r="M1348" i="1"/>
  <c r="M1349" i="1"/>
  <c r="M1350" i="1"/>
  <c r="M1351" i="1"/>
  <c r="M1352" i="1"/>
  <c r="M1353" i="1"/>
  <c r="M1354" i="1"/>
  <c r="M1355" i="1"/>
  <c r="M1356" i="1"/>
  <c r="M1357" i="1"/>
  <c r="M1358" i="1"/>
  <c r="M1359" i="1"/>
  <c r="M1360" i="1"/>
  <c r="M1361" i="1"/>
  <c r="M1362" i="1"/>
  <c r="M1363" i="1"/>
  <c r="M1364" i="1"/>
  <c r="M1365" i="1"/>
  <c r="M1366" i="1"/>
  <c r="M1367" i="1"/>
  <c r="M1368" i="1"/>
  <c r="M1369" i="1"/>
  <c r="M1370" i="1"/>
  <c r="M1371" i="1"/>
  <c r="M1372" i="1"/>
  <c r="M1373" i="1"/>
  <c r="M1374" i="1"/>
  <c r="M1375" i="1"/>
  <c r="M1376" i="1"/>
  <c r="M1377" i="1"/>
  <c r="M1378" i="1"/>
  <c r="M1379" i="1"/>
  <c r="M1380" i="1"/>
  <c r="M1381" i="1"/>
  <c r="M1382" i="1"/>
  <c r="M1383" i="1"/>
  <c r="M1384" i="1"/>
  <c r="M1385" i="1"/>
  <c r="M1386" i="1"/>
  <c r="M1387" i="1"/>
  <c r="M1388" i="1"/>
  <c r="M1389" i="1"/>
  <c r="M1390" i="1"/>
  <c r="M1391" i="1"/>
  <c r="M1392" i="1"/>
  <c r="M1393" i="1"/>
  <c r="M1394" i="1"/>
  <c r="M1395" i="1"/>
  <c r="M1396" i="1"/>
  <c r="M1397" i="1"/>
  <c r="M1398" i="1"/>
  <c r="M1399" i="1"/>
  <c r="M1400" i="1"/>
  <c r="M1401" i="1"/>
  <c r="M1402" i="1"/>
  <c r="M1403" i="1"/>
  <c r="M1404" i="1"/>
  <c r="M1405" i="1"/>
  <c r="M1406" i="1"/>
  <c r="M1407" i="1"/>
  <c r="M1408" i="1"/>
  <c r="M1409" i="1"/>
  <c r="M1410" i="1"/>
  <c r="M1411" i="1"/>
  <c r="M1412" i="1"/>
  <c r="M1413" i="1"/>
  <c r="M1414" i="1"/>
  <c r="M1415" i="1"/>
  <c r="M1416" i="1"/>
  <c r="M1417" i="1"/>
  <c r="M1418" i="1"/>
  <c r="M1419" i="1"/>
  <c r="M1420" i="1"/>
  <c r="M1421" i="1"/>
  <c r="M1422" i="1"/>
  <c r="M1423" i="1"/>
  <c r="M1424" i="1"/>
  <c r="M1425" i="1"/>
  <c r="M1426" i="1"/>
  <c r="M1427" i="1"/>
  <c r="M1428" i="1"/>
  <c r="M1429" i="1"/>
  <c r="M1430" i="1"/>
  <c r="M1431" i="1"/>
  <c r="M1432" i="1"/>
  <c r="M1433" i="1"/>
  <c r="M1434" i="1"/>
  <c r="M1435" i="1"/>
  <c r="M1436" i="1"/>
  <c r="M1437" i="1"/>
  <c r="M1438" i="1"/>
  <c r="M1439" i="1"/>
  <c r="M1440" i="1"/>
  <c r="M1441" i="1"/>
  <c r="M1442" i="1"/>
  <c r="M1443" i="1"/>
  <c r="M1444" i="1"/>
  <c r="M1445" i="1"/>
  <c r="M1446" i="1"/>
  <c r="M1447" i="1"/>
  <c r="M1448" i="1"/>
  <c r="M1449" i="1"/>
  <c r="M1450" i="1"/>
  <c r="M1451" i="1"/>
  <c r="M1452" i="1"/>
  <c r="M1453" i="1"/>
  <c r="M1454" i="1"/>
  <c r="M1455" i="1"/>
  <c r="M1456" i="1"/>
  <c r="M1457" i="1"/>
  <c r="M1458" i="1"/>
  <c r="M1459" i="1"/>
  <c r="M1460" i="1"/>
  <c r="M1461" i="1"/>
  <c r="M1462" i="1"/>
  <c r="M1463" i="1"/>
  <c r="M1464" i="1"/>
  <c r="M1465" i="1"/>
  <c r="M1466" i="1"/>
  <c r="M1467" i="1"/>
  <c r="M1468" i="1"/>
  <c r="M1469" i="1"/>
  <c r="M1470" i="1"/>
  <c r="M1471" i="1"/>
  <c r="M1472" i="1"/>
  <c r="M1473" i="1"/>
  <c r="M1474" i="1"/>
  <c r="M1475" i="1"/>
  <c r="M1476" i="1"/>
  <c r="M1477" i="1"/>
  <c r="M1478" i="1"/>
  <c r="M1479" i="1"/>
  <c r="M1480" i="1"/>
  <c r="M1481" i="1"/>
  <c r="M1482" i="1"/>
  <c r="M1483" i="1"/>
  <c r="M1484" i="1"/>
  <c r="M1485" i="1"/>
  <c r="M1486" i="1"/>
  <c r="M1487" i="1"/>
  <c r="M1488" i="1"/>
  <c r="M1489" i="1"/>
  <c r="M1490" i="1"/>
  <c r="M1491" i="1"/>
  <c r="M1492" i="1"/>
  <c r="M1493" i="1"/>
  <c r="M1494" i="1"/>
  <c r="M1495" i="1"/>
  <c r="M1496" i="1"/>
  <c r="M1497" i="1"/>
  <c r="M1498" i="1"/>
  <c r="M1499" i="1"/>
  <c r="M1500" i="1"/>
  <c r="M1501" i="1"/>
  <c r="M1502" i="1"/>
  <c r="M1503" i="1"/>
  <c r="M1504" i="1"/>
  <c r="M1505" i="1"/>
  <c r="M1506" i="1"/>
  <c r="M1507" i="1"/>
  <c r="M1508" i="1"/>
  <c r="M1509" i="1"/>
  <c r="M1510" i="1"/>
  <c r="M1511" i="1"/>
  <c r="M1512" i="1"/>
  <c r="M1513" i="1"/>
  <c r="M1514" i="1"/>
  <c r="M1515" i="1"/>
  <c r="M1516" i="1"/>
  <c r="M1517" i="1"/>
  <c r="M1518" i="1"/>
  <c r="M1519" i="1"/>
  <c r="M1520" i="1"/>
  <c r="M1521" i="1"/>
  <c r="M1522" i="1"/>
  <c r="M1523" i="1"/>
  <c r="M1524" i="1"/>
  <c r="M1525" i="1"/>
  <c r="M1526" i="1"/>
  <c r="M1527" i="1"/>
  <c r="M1528" i="1"/>
  <c r="M1529" i="1"/>
  <c r="M1530" i="1"/>
  <c r="M1531" i="1"/>
  <c r="M1532" i="1"/>
  <c r="M1533" i="1"/>
  <c r="M1534" i="1"/>
  <c r="M1535" i="1"/>
  <c r="M1536" i="1"/>
  <c r="M1537" i="1"/>
  <c r="M1538" i="1"/>
  <c r="M1539" i="1"/>
  <c r="M1540" i="1"/>
  <c r="M1541" i="1"/>
  <c r="M1542" i="1"/>
  <c r="M1543" i="1"/>
  <c r="M1544" i="1"/>
  <c r="M1545" i="1"/>
  <c r="M1546" i="1"/>
  <c r="M1547" i="1"/>
  <c r="M1548" i="1"/>
  <c r="M1549" i="1"/>
  <c r="M1550" i="1"/>
  <c r="M1551" i="1"/>
  <c r="M1552" i="1"/>
  <c r="M1553" i="1"/>
  <c r="M1554" i="1"/>
  <c r="M1555" i="1"/>
  <c r="M1556" i="1"/>
  <c r="M1557" i="1"/>
  <c r="M1558" i="1"/>
  <c r="M1559" i="1"/>
  <c r="M1560" i="1"/>
  <c r="M1561" i="1"/>
  <c r="M1562" i="1"/>
  <c r="M1563" i="1"/>
  <c r="M1564" i="1"/>
  <c r="M1565" i="1"/>
  <c r="M1566" i="1"/>
  <c r="M1567" i="1"/>
  <c r="M1568" i="1"/>
  <c r="M1569" i="1"/>
  <c r="M1570" i="1"/>
  <c r="M1571" i="1"/>
  <c r="M1572" i="1"/>
  <c r="M1573" i="1"/>
  <c r="M1574" i="1"/>
  <c r="M1575" i="1"/>
  <c r="M1576" i="1"/>
  <c r="M1577" i="1"/>
  <c r="M1578" i="1"/>
  <c r="M1579" i="1"/>
  <c r="M1580" i="1"/>
  <c r="M1581" i="1"/>
  <c r="M1582" i="1"/>
  <c r="M1583" i="1"/>
  <c r="M1584" i="1"/>
  <c r="M1585" i="1"/>
  <c r="M1586" i="1"/>
  <c r="M1587" i="1"/>
  <c r="M1588" i="1"/>
  <c r="M1589" i="1"/>
  <c r="M1590" i="1"/>
  <c r="M1591" i="1"/>
  <c r="M1592" i="1"/>
  <c r="M1593" i="1"/>
  <c r="M1594" i="1"/>
  <c r="M1595" i="1"/>
  <c r="M1596" i="1"/>
  <c r="M1597" i="1"/>
  <c r="M1598" i="1"/>
  <c r="M1599" i="1"/>
  <c r="M1600" i="1"/>
  <c r="M1601" i="1"/>
  <c r="M1602" i="1"/>
  <c r="M1603" i="1"/>
  <c r="M1604" i="1"/>
  <c r="M1605" i="1"/>
  <c r="M1606" i="1"/>
  <c r="M1607" i="1"/>
  <c r="M1608" i="1"/>
  <c r="M1609" i="1"/>
  <c r="M1610" i="1"/>
  <c r="M1611" i="1"/>
  <c r="M1612" i="1"/>
  <c r="M1613" i="1"/>
  <c r="M1614" i="1"/>
  <c r="M1615" i="1"/>
  <c r="M1616" i="1"/>
  <c r="M1617" i="1"/>
  <c r="M1618" i="1"/>
  <c r="M1619" i="1"/>
  <c r="M1620" i="1"/>
  <c r="M1621" i="1"/>
  <c r="M1622" i="1"/>
  <c r="M1623" i="1"/>
  <c r="M1624" i="1"/>
  <c r="M1625" i="1"/>
  <c r="M1626" i="1"/>
  <c r="M1627" i="1"/>
  <c r="M1628" i="1"/>
  <c r="M1629" i="1"/>
  <c r="M1630" i="1"/>
  <c r="M1631" i="1"/>
  <c r="M1632" i="1"/>
  <c r="M1633" i="1"/>
  <c r="M1634" i="1"/>
  <c r="M1635" i="1"/>
  <c r="M1636" i="1"/>
  <c r="M1637" i="1"/>
  <c r="M1638" i="1"/>
  <c r="M1639" i="1"/>
  <c r="M1640" i="1"/>
  <c r="M1641" i="1"/>
  <c r="M1642" i="1"/>
  <c r="M1643" i="1"/>
  <c r="M1644" i="1"/>
  <c r="M1645" i="1"/>
  <c r="M1646" i="1"/>
  <c r="M1647" i="1"/>
  <c r="M1648" i="1"/>
  <c r="M1649" i="1"/>
  <c r="M1650" i="1"/>
  <c r="M1651" i="1"/>
  <c r="M1652" i="1"/>
  <c r="M1653" i="1"/>
  <c r="M1654" i="1"/>
  <c r="M1655" i="1"/>
  <c r="M1656" i="1"/>
  <c r="M1657" i="1"/>
  <c r="M1658" i="1"/>
  <c r="M1659" i="1"/>
  <c r="M1660" i="1"/>
  <c r="M1661" i="1"/>
  <c r="M1662" i="1"/>
  <c r="M1663" i="1"/>
  <c r="M1664" i="1"/>
  <c r="M1665" i="1"/>
  <c r="M1666" i="1"/>
  <c r="M1667" i="1"/>
  <c r="M1668" i="1"/>
  <c r="M1669" i="1"/>
  <c r="M1670" i="1"/>
  <c r="M1671" i="1"/>
  <c r="M1672" i="1"/>
  <c r="M1673" i="1"/>
  <c r="M1674" i="1"/>
  <c r="M1675" i="1"/>
  <c r="M1676" i="1"/>
  <c r="M1677" i="1"/>
  <c r="M1678" i="1"/>
  <c r="M1679" i="1"/>
  <c r="M1680" i="1"/>
  <c r="M1681" i="1"/>
  <c r="M1682" i="1"/>
  <c r="M1683" i="1"/>
  <c r="M1684" i="1"/>
  <c r="M1685" i="1"/>
  <c r="M1686" i="1"/>
  <c r="M1687" i="1"/>
  <c r="M1688" i="1"/>
  <c r="M1689" i="1"/>
  <c r="M1690" i="1"/>
  <c r="M1691" i="1"/>
  <c r="M1692" i="1"/>
  <c r="M1693" i="1"/>
  <c r="M1694" i="1"/>
  <c r="M1695" i="1"/>
  <c r="M1696" i="1"/>
  <c r="M1697" i="1"/>
  <c r="M1698" i="1"/>
  <c r="M1699" i="1"/>
  <c r="M1700" i="1"/>
  <c r="M1701" i="1"/>
  <c r="M1702" i="1"/>
  <c r="M1703" i="1"/>
  <c r="M1704" i="1"/>
  <c r="M1705" i="1"/>
  <c r="M1706" i="1"/>
  <c r="M1707" i="1"/>
  <c r="M1708" i="1"/>
  <c r="M1709" i="1"/>
  <c r="M1710" i="1"/>
  <c r="M1711" i="1"/>
  <c r="M1712" i="1"/>
  <c r="M1713" i="1"/>
  <c r="M1714" i="1"/>
  <c r="M1715" i="1"/>
  <c r="M1716" i="1"/>
  <c r="M1717" i="1"/>
  <c r="M1718" i="1"/>
  <c r="M1719" i="1"/>
  <c r="M1720" i="1"/>
  <c r="M1721" i="1"/>
  <c r="M1722" i="1"/>
  <c r="M1723" i="1"/>
  <c r="M1724" i="1"/>
  <c r="M1725" i="1"/>
  <c r="M1726" i="1"/>
  <c r="M1727" i="1"/>
  <c r="M1728" i="1"/>
  <c r="M1729" i="1"/>
  <c r="M1730" i="1"/>
  <c r="M1731" i="1"/>
  <c r="M1732" i="1"/>
  <c r="M1733" i="1"/>
  <c r="M1734" i="1"/>
  <c r="M1735" i="1"/>
  <c r="M1736" i="1"/>
  <c r="M1737" i="1"/>
  <c r="M1738" i="1"/>
  <c r="M1739" i="1"/>
  <c r="M1740" i="1"/>
  <c r="M1741" i="1"/>
  <c r="M1742" i="1"/>
  <c r="M1743" i="1"/>
  <c r="M1744" i="1"/>
  <c r="M1745" i="1"/>
  <c r="M1746" i="1"/>
  <c r="M1747" i="1"/>
  <c r="M1748" i="1"/>
  <c r="M1749" i="1"/>
  <c r="M1750" i="1"/>
  <c r="M1751" i="1"/>
  <c r="M1752" i="1"/>
  <c r="M1753" i="1"/>
  <c r="M1754" i="1"/>
  <c r="M1755" i="1"/>
  <c r="M1756" i="1"/>
  <c r="M1757" i="1"/>
  <c r="M1758" i="1"/>
  <c r="M1759" i="1"/>
  <c r="M1760" i="1"/>
  <c r="M1761" i="1"/>
  <c r="M1762" i="1"/>
  <c r="M1763" i="1"/>
  <c r="M1764" i="1"/>
  <c r="M1765" i="1"/>
  <c r="M1766" i="1"/>
  <c r="M1767" i="1"/>
  <c r="M1768" i="1"/>
  <c r="M1769" i="1"/>
  <c r="M1770" i="1"/>
  <c r="M1771" i="1"/>
  <c r="M1772" i="1"/>
  <c r="M1773" i="1"/>
  <c r="M1774" i="1"/>
  <c r="M1775" i="1"/>
  <c r="M1776" i="1"/>
  <c r="M1777" i="1"/>
  <c r="M1778" i="1"/>
  <c r="M1779" i="1"/>
  <c r="M1780" i="1"/>
  <c r="M1781" i="1"/>
  <c r="M1782" i="1"/>
  <c r="M1783" i="1"/>
  <c r="M1784" i="1"/>
  <c r="M1785" i="1"/>
  <c r="M1786" i="1"/>
  <c r="M1787" i="1"/>
  <c r="M1788" i="1"/>
  <c r="M1789" i="1"/>
  <c r="M1790" i="1"/>
  <c r="M1791" i="1"/>
  <c r="M1792" i="1"/>
  <c r="M1793" i="1"/>
  <c r="M1794" i="1"/>
  <c r="M1795" i="1"/>
  <c r="M1796" i="1"/>
  <c r="M1797" i="1"/>
  <c r="M1798" i="1"/>
  <c r="M1799" i="1"/>
  <c r="M1800" i="1"/>
  <c r="M1801" i="1"/>
  <c r="M1802" i="1"/>
  <c r="M1803" i="1"/>
  <c r="M1804" i="1"/>
  <c r="M1805" i="1"/>
  <c r="M1806" i="1"/>
  <c r="M1807" i="1"/>
  <c r="M1808" i="1"/>
  <c r="M1809" i="1"/>
  <c r="M1810" i="1"/>
  <c r="M1811" i="1"/>
  <c r="M1812" i="1"/>
  <c r="M1813" i="1"/>
  <c r="M1814" i="1"/>
  <c r="M1815" i="1"/>
  <c r="M1816" i="1"/>
  <c r="M1817" i="1"/>
  <c r="M1818" i="1"/>
  <c r="M1819" i="1"/>
  <c r="M1820" i="1"/>
  <c r="M1821" i="1"/>
  <c r="M1822" i="1"/>
  <c r="M1823" i="1"/>
  <c r="M1824" i="1"/>
  <c r="M1825" i="1"/>
  <c r="M1826" i="1"/>
  <c r="M1827" i="1"/>
  <c r="M1828" i="1"/>
  <c r="M1829" i="1"/>
  <c r="M1830" i="1"/>
  <c r="M1831" i="1"/>
  <c r="M1832" i="1"/>
  <c r="M1833" i="1"/>
  <c r="M1834" i="1"/>
  <c r="M1835" i="1"/>
  <c r="M1836" i="1"/>
  <c r="M1837" i="1"/>
  <c r="M1838" i="1"/>
  <c r="M1839" i="1"/>
  <c r="M1840" i="1"/>
  <c r="M1841" i="1"/>
  <c r="M1842" i="1"/>
  <c r="M1843" i="1"/>
  <c r="M1844" i="1"/>
  <c r="M1845" i="1"/>
  <c r="M1846" i="1"/>
  <c r="M1847" i="1"/>
  <c r="M1848" i="1"/>
  <c r="M1849" i="1"/>
  <c r="M1850" i="1"/>
  <c r="M1851" i="1"/>
  <c r="M1852" i="1"/>
  <c r="M1853" i="1"/>
  <c r="M1854" i="1"/>
  <c r="M1855" i="1"/>
  <c r="M1856" i="1"/>
  <c r="M1857" i="1"/>
  <c r="M1858" i="1"/>
  <c r="M1859" i="1"/>
  <c r="M1860" i="1"/>
  <c r="M1861" i="1"/>
  <c r="M1862" i="1"/>
  <c r="M1863" i="1"/>
  <c r="M1864" i="1"/>
  <c r="M1865" i="1"/>
  <c r="M1866" i="1"/>
  <c r="M1867" i="1"/>
  <c r="M1868" i="1"/>
  <c r="M1869" i="1"/>
  <c r="M1870" i="1"/>
  <c r="M1871" i="1"/>
  <c r="M1872" i="1"/>
  <c r="M1873" i="1"/>
  <c r="M1874" i="1"/>
  <c r="M1875" i="1"/>
  <c r="M1876" i="1"/>
  <c r="M1877" i="1"/>
  <c r="M1878" i="1"/>
  <c r="M1879" i="1"/>
  <c r="M1880" i="1"/>
  <c r="M1881" i="1"/>
  <c r="M1882" i="1"/>
  <c r="M1883" i="1"/>
  <c r="M1884" i="1"/>
  <c r="M1885" i="1"/>
  <c r="M1886" i="1"/>
  <c r="M1887" i="1"/>
  <c r="M1888" i="1"/>
  <c r="M1889" i="1"/>
  <c r="M1890" i="1"/>
  <c r="M1891" i="1"/>
  <c r="M1892" i="1"/>
  <c r="M1893" i="1"/>
  <c r="M1894" i="1"/>
  <c r="M1895" i="1"/>
  <c r="M1896" i="1"/>
  <c r="M1897" i="1"/>
  <c r="M1898" i="1"/>
  <c r="M1899" i="1"/>
  <c r="M1900" i="1"/>
  <c r="M1901" i="1"/>
  <c r="M1902" i="1"/>
  <c r="M1903" i="1"/>
  <c r="M1904" i="1"/>
  <c r="M1905" i="1"/>
  <c r="M1906" i="1"/>
  <c r="M1907" i="1"/>
  <c r="M1908" i="1"/>
  <c r="M1909" i="1"/>
  <c r="M1910" i="1"/>
  <c r="M1911" i="1"/>
  <c r="M1912" i="1"/>
  <c r="M1913" i="1"/>
  <c r="M1914" i="1"/>
  <c r="M1915" i="1"/>
  <c r="M1916" i="1"/>
  <c r="M1917" i="1"/>
  <c r="M1918" i="1"/>
  <c r="M1919" i="1"/>
  <c r="M1920" i="1"/>
  <c r="M1921" i="1"/>
  <c r="M1922" i="1"/>
  <c r="M1923" i="1"/>
  <c r="M1924" i="1"/>
  <c r="M1925" i="1"/>
  <c r="M1926" i="1"/>
  <c r="M1927" i="1"/>
  <c r="M1928" i="1"/>
  <c r="M1929" i="1"/>
  <c r="M1930" i="1"/>
  <c r="M1931" i="1"/>
  <c r="M1932" i="1"/>
  <c r="M1933" i="1"/>
  <c r="M1934" i="1"/>
  <c r="M1935" i="1"/>
  <c r="M1936" i="1"/>
  <c r="M1937" i="1"/>
  <c r="M1938" i="1"/>
  <c r="M1939" i="1"/>
  <c r="M1940" i="1"/>
  <c r="M1941" i="1"/>
  <c r="M1942" i="1"/>
  <c r="M1943" i="1"/>
  <c r="M1944" i="1"/>
  <c r="M1945" i="1"/>
  <c r="M1946" i="1"/>
  <c r="M1947" i="1"/>
  <c r="M1948" i="1"/>
  <c r="M1949" i="1"/>
  <c r="M1950" i="1"/>
  <c r="M1951" i="1"/>
  <c r="M1952" i="1"/>
  <c r="M1953" i="1"/>
  <c r="M1954" i="1"/>
  <c r="M1955" i="1"/>
  <c r="M1956" i="1"/>
  <c r="M1957" i="1"/>
  <c r="M1958" i="1"/>
  <c r="M1959" i="1"/>
  <c r="M1960" i="1"/>
  <c r="M1961" i="1"/>
  <c r="M1962" i="1"/>
  <c r="M1963" i="1"/>
  <c r="M1964" i="1"/>
  <c r="M1965" i="1"/>
  <c r="M1966" i="1"/>
  <c r="M1967" i="1"/>
  <c r="M1968" i="1"/>
  <c r="M1969" i="1"/>
  <c r="M1970" i="1"/>
  <c r="M1971" i="1"/>
  <c r="M1972" i="1"/>
  <c r="M1973" i="1"/>
  <c r="M1974" i="1"/>
  <c r="M1975" i="1"/>
  <c r="M1976" i="1"/>
  <c r="M1977" i="1"/>
  <c r="M1978" i="1"/>
  <c r="M1979" i="1"/>
  <c r="M1980" i="1"/>
  <c r="M1981" i="1"/>
  <c r="M1982" i="1"/>
  <c r="M1983" i="1"/>
  <c r="M1984" i="1"/>
  <c r="M1985" i="1"/>
  <c r="M1986" i="1"/>
  <c r="M1987" i="1"/>
  <c r="M1988" i="1"/>
  <c r="M1989" i="1"/>
  <c r="M1990" i="1"/>
  <c r="M1991" i="1"/>
  <c r="M1992" i="1"/>
  <c r="M1993" i="1"/>
  <c r="M1994" i="1"/>
  <c r="M1995" i="1"/>
  <c r="M1996" i="1"/>
  <c r="M1997" i="1"/>
  <c r="M1998" i="1"/>
  <c r="M1999" i="1"/>
  <c r="M2000" i="1"/>
  <c r="M2001" i="1"/>
  <c r="M2002" i="1"/>
  <c r="M2003" i="1"/>
  <c r="M2004" i="1"/>
  <c r="M2005" i="1"/>
  <c r="M2006" i="1"/>
  <c r="M2007" i="1"/>
  <c r="M2008" i="1"/>
  <c r="M2009" i="1"/>
  <c r="M2010" i="1"/>
  <c r="M2011" i="1"/>
  <c r="M2012" i="1"/>
  <c r="M2013" i="1"/>
  <c r="M2014" i="1"/>
  <c r="M2015" i="1"/>
  <c r="M2016" i="1"/>
  <c r="M2017" i="1"/>
  <c r="M2018" i="1"/>
  <c r="M2019" i="1"/>
  <c r="M2020" i="1"/>
  <c r="M2021" i="1"/>
  <c r="M2022" i="1"/>
  <c r="M2023" i="1"/>
  <c r="M2024" i="1"/>
  <c r="M2025" i="1"/>
  <c r="M2026" i="1"/>
  <c r="M2027" i="1"/>
  <c r="M2028" i="1"/>
  <c r="M2029" i="1"/>
  <c r="M2030" i="1"/>
  <c r="M2031" i="1"/>
  <c r="M2032" i="1"/>
  <c r="M2033" i="1"/>
  <c r="M2034" i="1"/>
  <c r="M2035" i="1"/>
  <c r="M2036" i="1"/>
  <c r="M2037" i="1"/>
  <c r="M2038" i="1"/>
  <c r="M2039" i="1"/>
  <c r="M2040" i="1"/>
  <c r="M2041" i="1"/>
  <c r="M2042" i="1"/>
  <c r="M2043" i="1"/>
  <c r="M2044" i="1"/>
  <c r="M2045" i="1"/>
  <c r="M2046" i="1"/>
  <c r="M2047" i="1"/>
  <c r="M2048" i="1"/>
  <c r="M2049" i="1"/>
  <c r="M2050" i="1"/>
  <c r="M2051" i="1"/>
  <c r="M2052" i="1"/>
  <c r="M2053" i="1"/>
  <c r="M2054" i="1"/>
  <c r="M2055" i="1"/>
  <c r="M2056" i="1"/>
  <c r="M2057" i="1"/>
  <c r="M2058" i="1"/>
  <c r="M2059" i="1"/>
  <c r="M2060" i="1"/>
  <c r="M2061" i="1"/>
  <c r="M2062" i="1"/>
  <c r="M2063" i="1"/>
  <c r="M2064" i="1"/>
  <c r="M2065" i="1"/>
  <c r="M2066" i="1"/>
  <c r="M2067" i="1"/>
  <c r="M2068" i="1"/>
  <c r="M2069" i="1"/>
  <c r="M2070" i="1"/>
  <c r="M2071" i="1"/>
  <c r="M2072" i="1"/>
  <c r="M2073" i="1"/>
  <c r="M2074" i="1"/>
  <c r="M2075" i="1"/>
  <c r="M2076" i="1"/>
  <c r="M2077" i="1"/>
  <c r="M2078" i="1"/>
  <c r="M2079" i="1"/>
  <c r="M2080" i="1"/>
  <c r="M2081" i="1"/>
  <c r="M2082" i="1"/>
  <c r="M2083" i="1"/>
  <c r="M2084" i="1"/>
  <c r="M2085" i="1"/>
  <c r="M2086" i="1"/>
  <c r="M2087" i="1"/>
  <c r="M2088" i="1"/>
  <c r="M2089" i="1"/>
  <c r="M2090" i="1"/>
  <c r="M2091" i="1"/>
  <c r="M2092" i="1"/>
  <c r="M2093" i="1"/>
  <c r="M2094" i="1"/>
  <c r="M2095" i="1"/>
  <c r="M2096" i="1"/>
  <c r="M2097" i="1"/>
  <c r="M2098" i="1"/>
  <c r="M2099" i="1"/>
  <c r="M2100" i="1"/>
  <c r="M2101" i="1"/>
  <c r="M2102" i="1"/>
  <c r="M2103" i="1"/>
  <c r="M2104" i="1"/>
  <c r="M2105" i="1"/>
  <c r="M2106" i="1"/>
  <c r="M2107" i="1"/>
  <c r="M2108" i="1"/>
  <c r="M2109" i="1"/>
  <c r="M2110" i="1"/>
  <c r="M2111" i="1"/>
  <c r="M2112" i="1"/>
  <c r="M2113" i="1"/>
  <c r="M2114" i="1"/>
  <c r="M2115" i="1"/>
  <c r="M2116" i="1"/>
  <c r="M2117" i="1"/>
  <c r="M2118" i="1"/>
  <c r="M2119" i="1"/>
  <c r="M2120" i="1"/>
  <c r="M2121" i="1"/>
  <c r="M2122" i="1"/>
  <c r="M2123" i="1"/>
  <c r="M2124" i="1"/>
  <c r="M2125" i="1"/>
  <c r="M2126" i="1"/>
  <c r="M2127" i="1"/>
  <c r="M2128" i="1"/>
  <c r="M2129" i="1"/>
  <c r="M2130" i="1"/>
  <c r="M2131" i="1"/>
  <c r="M2132" i="1"/>
  <c r="M2133" i="1"/>
  <c r="M2134" i="1"/>
  <c r="M2135" i="1"/>
  <c r="M2136" i="1"/>
  <c r="M2137" i="1"/>
  <c r="M2138" i="1"/>
  <c r="M2139" i="1"/>
  <c r="M2140" i="1"/>
  <c r="M2141" i="1"/>
  <c r="M2142" i="1"/>
  <c r="M2143" i="1"/>
  <c r="M2144" i="1"/>
  <c r="M2145" i="1"/>
  <c r="M2146" i="1"/>
  <c r="M2147" i="1"/>
  <c r="M2148" i="1"/>
  <c r="M2149" i="1"/>
  <c r="M2150" i="1"/>
  <c r="M2151" i="1"/>
  <c r="M2152" i="1"/>
  <c r="M2153" i="1"/>
  <c r="M2154" i="1"/>
  <c r="M2155" i="1"/>
  <c r="M2156" i="1"/>
  <c r="M2157" i="1"/>
  <c r="M2158" i="1"/>
  <c r="M2159" i="1"/>
  <c r="M2160" i="1"/>
  <c r="M2161" i="1"/>
  <c r="M2162" i="1"/>
  <c r="M2163" i="1"/>
  <c r="M2164" i="1"/>
  <c r="M2165" i="1"/>
  <c r="M2166" i="1"/>
  <c r="M2167" i="1"/>
  <c r="M2168" i="1"/>
  <c r="M2169" i="1"/>
  <c r="M2170" i="1"/>
  <c r="M2171" i="1"/>
  <c r="M2172" i="1"/>
  <c r="M2173" i="1"/>
  <c r="M2174" i="1"/>
  <c r="M2175" i="1"/>
  <c r="M2176" i="1"/>
  <c r="M2177" i="1"/>
  <c r="M2178" i="1"/>
  <c r="M2179" i="1"/>
  <c r="M2180" i="1"/>
  <c r="M2181" i="1"/>
  <c r="M2182" i="1"/>
  <c r="M2183" i="1"/>
  <c r="M2184" i="1"/>
  <c r="M2185" i="1"/>
  <c r="M2186" i="1"/>
  <c r="M2187" i="1"/>
  <c r="M2188" i="1"/>
  <c r="M2189" i="1"/>
  <c r="M2190" i="1"/>
  <c r="M2191" i="1"/>
  <c r="M2192" i="1"/>
  <c r="M2193" i="1"/>
  <c r="M2194" i="1"/>
  <c r="M2195" i="1"/>
  <c r="M2196" i="1"/>
  <c r="M2197" i="1"/>
  <c r="M2198" i="1"/>
  <c r="M2199" i="1"/>
  <c r="M2200" i="1"/>
  <c r="M2201" i="1"/>
  <c r="M2202" i="1"/>
  <c r="M2203" i="1"/>
  <c r="M2204" i="1"/>
  <c r="M2205" i="1"/>
  <c r="M2206" i="1"/>
  <c r="M2207" i="1"/>
  <c r="M2208" i="1"/>
  <c r="M2209" i="1"/>
  <c r="C3" i="5" l="1"/>
  <c r="C4" i="5"/>
  <c r="C5" i="5"/>
  <c r="C6" i="5"/>
  <c r="C7" i="5"/>
  <c r="C8" i="5"/>
  <c r="C9" i="5"/>
  <c r="C10" i="5"/>
  <c r="C11" i="5"/>
  <c r="C12" i="5"/>
  <c r="C13" i="5"/>
  <c r="C14" i="5"/>
  <c r="C15" i="5"/>
  <c r="C16" i="5"/>
  <c r="C17" i="5"/>
  <c r="C18" i="5"/>
  <c r="C19" i="5"/>
  <c r="C20" i="5"/>
  <c r="C21" i="5"/>
  <c r="C22" i="5"/>
  <c r="C23" i="5"/>
  <c r="C24" i="5"/>
  <c r="C25" i="5"/>
  <c r="C26" i="5"/>
  <c r="C27" i="5"/>
  <c r="C28" i="5"/>
  <c r="C29" i="5"/>
  <c r="C30" i="5"/>
  <c r="C31" i="5"/>
  <c r="C32" i="5"/>
  <c r="C33" i="5"/>
  <c r="C34" i="5"/>
  <c r="C35" i="5"/>
  <c r="C36" i="5"/>
  <c r="C37" i="5"/>
  <c r="C38" i="5"/>
  <c r="C39" i="5"/>
  <c r="C40" i="5"/>
  <c r="C41" i="5"/>
  <c r="C42" i="5"/>
  <c r="C43" i="5"/>
  <c r="C44" i="5"/>
  <c r="C45" i="5"/>
  <c r="C46" i="5"/>
  <c r="C47" i="5"/>
  <c r="C48" i="5"/>
  <c r="C49" i="5"/>
  <c r="C50" i="5"/>
  <c r="C51" i="5"/>
  <c r="C52" i="5"/>
  <c r="C53" i="5"/>
  <c r="C54" i="5"/>
  <c r="C55" i="5"/>
  <c r="C56" i="5"/>
  <c r="C57" i="5"/>
  <c r="C58" i="5"/>
  <c r="C59" i="5"/>
  <c r="C60" i="5"/>
  <c r="C61" i="5"/>
  <c r="C62" i="5"/>
  <c r="C63" i="5"/>
  <c r="C64" i="5"/>
  <c r="C65" i="5"/>
  <c r="C66" i="5"/>
  <c r="C67" i="5"/>
  <c r="C68" i="5"/>
  <c r="C69" i="5"/>
  <c r="C70" i="5"/>
  <c r="C71" i="5"/>
  <c r="C72" i="5"/>
  <c r="C73" i="5"/>
  <c r="C74" i="5"/>
  <c r="C75" i="5"/>
  <c r="C76" i="5"/>
  <c r="C77" i="5"/>
  <c r="C78" i="5"/>
  <c r="C79" i="5"/>
  <c r="C80" i="5"/>
  <c r="C81" i="5"/>
  <c r="C82" i="5"/>
  <c r="C83" i="5"/>
  <c r="C84" i="5"/>
  <c r="C85" i="5"/>
  <c r="C86" i="5"/>
  <c r="C87" i="5"/>
  <c r="C88" i="5"/>
  <c r="C89" i="5"/>
  <c r="C90" i="5"/>
  <c r="C91" i="5"/>
  <c r="C92" i="5"/>
  <c r="C93" i="5"/>
  <c r="C2" i="5"/>
  <c r="B2" i="5"/>
  <c r="B3" i="5"/>
  <c r="B4" i="5"/>
  <c r="B5" i="5"/>
  <c r="B6" i="5"/>
  <c r="B7" i="5"/>
  <c r="B8" i="5"/>
  <c r="B9" i="5"/>
  <c r="B10" i="5"/>
  <c r="B11" i="5"/>
  <c r="B12" i="5"/>
  <c r="B13" i="5"/>
  <c r="B14" i="5"/>
  <c r="B15" i="5"/>
  <c r="B16" i="5"/>
  <c r="B17" i="5"/>
  <c r="B18" i="5"/>
  <c r="B19" i="5"/>
  <c r="B20" i="5"/>
  <c r="B21" i="5"/>
  <c r="B22" i="5"/>
  <c r="B23" i="5"/>
  <c r="B24" i="5"/>
  <c r="B25" i="5"/>
  <c r="B26" i="5"/>
  <c r="B27" i="5"/>
  <c r="B28" i="5"/>
  <c r="B29" i="5"/>
  <c r="B30" i="5"/>
  <c r="B31" i="5"/>
  <c r="B32" i="5"/>
  <c r="B33" i="5"/>
  <c r="B34" i="5"/>
  <c r="B35" i="5"/>
  <c r="B36" i="5"/>
  <c r="B37" i="5"/>
  <c r="B38" i="5"/>
  <c r="B39" i="5"/>
  <c r="B40" i="5"/>
  <c r="B41" i="5"/>
  <c r="B42" i="5"/>
  <c r="B43" i="5"/>
  <c r="B44" i="5"/>
  <c r="B45" i="5"/>
  <c r="B46" i="5"/>
  <c r="B47" i="5"/>
  <c r="B48" i="5"/>
  <c r="B49" i="5"/>
  <c r="B50" i="5"/>
  <c r="B51" i="5"/>
  <c r="B52" i="5"/>
  <c r="B53" i="5"/>
  <c r="B54" i="5"/>
  <c r="B55" i="5"/>
  <c r="B56" i="5"/>
  <c r="B57" i="5"/>
  <c r="B58" i="5"/>
  <c r="B59" i="5"/>
  <c r="B60" i="5"/>
  <c r="B61" i="5"/>
  <c r="B62" i="5"/>
  <c r="B63" i="5"/>
  <c r="B64" i="5"/>
  <c r="B65" i="5"/>
  <c r="B66" i="5"/>
  <c r="B67" i="5"/>
  <c r="B68" i="5"/>
  <c r="B69" i="5"/>
  <c r="B70" i="5"/>
  <c r="B71" i="5"/>
  <c r="B72" i="5"/>
  <c r="B73" i="5"/>
  <c r="B74" i="5"/>
  <c r="B75" i="5"/>
  <c r="B76" i="5"/>
  <c r="B77" i="5"/>
  <c r="B78" i="5"/>
  <c r="B79" i="5"/>
  <c r="B80" i="5"/>
  <c r="B81" i="5"/>
  <c r="B82" i="5"/>
  <c r="B83" i="5"/>
  <c r="B84" i="5"/>
  <c r="B85" i="5"/>
  <c r="B86" i="5"/>
  <c r="B87" i="5"/>
  <c r="B88" i="5"/>
  <c r="B89" i="5"/>
  <c r="B90" i="5"/>
  <c r="B91" i="5"/>
  <c r="B92" i="5"/>
  <c r="B93" i="5"/>
  <c r="E3" i="4"/>
  <c r="E4" i="4"/>
  <c r="E5" i="4"/>
  <c r="E6" i="4"/>
  <c r="E7" i="4"/>
  <c r="E8" i="4"/>
  <c r="E9" i="4"/>
  <c r="E10" i="4"/>
  <c r="E11" i="4"/>
  <c r="E12" i="4"/>
  <c r="E13" i="4"/>
  <c r="E14" i="4"/>
  <c r="E15" i="4"/>
  <c r="E16" i="4"/>
  <c r="E17" i="4"/>
  <c r="E18" i="4"/>
  <c r="E19" i="4"/>
  <c r="E20" i="4"/>
  <c r="E21" i="4"/>
  <c r="E22" i="4"/>
  <c r="E23" i="4"/>
  <c r="E24" i="4"/>
  <c r="E25" i="4"/>
  <c r="E26" i="4"/>
  <c r="E27" i="4"/>
  <c r="E28" i="4"/>
  <c r="E29" i="4"/>
  <c r="E30" i="4"/>
  <c r="E31" i="4"/>
  <c r="E32" i="4"/>
  <c r="E33" i="4"/>
  <c r="E34" i="4"/>
  <c r="E35" i="4"/>
  <c r="E36" i="4"/>
  <c r="E37" i="4"/>
  <c r="E38" i="4"/>
  <c r="E39" i="4"/>
  <c r="E40" i="4"/>
  <c r="E41" i="4"/>
  <c r="E42" i="4"/>
  <c r="E43" i="4"/>
  <c r="E44" i="4"/>
  <c r="E45" i="4"/>
  <c r="E46" i="4"/>
  <c r="E47" i="4"/>
  <c r="E48" i="4"/>
  <c r="E49" i="4"/>
  <c r="E50" i="4"/>
  <c r="E51" i="4"/>
  <c r="E52" i="4"/>
  <c r="E53" i="4"/>
  <c r="E54" i="4"/>
  <c r="E55" i="4"/>
  <c r="E56" i="4"/>
  <c r="E57" i="4"/>
  <c r="E58" i="4"/>
  <c r="E59" i="4"/>
  <c r="E60" i="4"/>
  <c r="E61" i="4"/>
  <c r="E62" i="4"/>
  <c r="E63" i="4"/>
  <c r="E64" i="4"/>
  <c r="E65" i="4"/>
  <c r="E66" i="4"/>
  <c r="E67" i="4"/>
  <c r="E68" i="4"/>
  <c r="E69" i="4"/>
  <c r="E70" i="4"/>
  <c r="E71" i="4"/>
  <c r="E72" i="4"/>
  <c r="E73" i="4"/>
  <c r="E74" i="4"/>
  <c r="E75" i="4"/>
  <c r="E76" i="4"/>
  <c r="E77" i="4"/>
  <c r="E78" i="4"/>
  <c r="E79" i="4"/>
  <c r="E80" i="4"/>
  <c r="E81" i="4"/>
  <c r="E82" i="4"/>
  <c r="E83" i="4"/>
  <c r="E84" i="4"/>
  <c r="E85" i="4"/>
  <c r="E86" i="4"/>
  <c r="E87" i="4"/>
  <c r="E88" i="4"/>
  <c r="E89" i="4"/>
  <c r="E90" i="4"/>
  <c r="E91" i="4"/>
  <c r="E92" i="4"/>
  <c r="E93" i="4"/>
  <c r="E94" i="4"/>
  <c r="E95" i="4"/>
  <c r="E96" i="4"/>
  <c r="E97" i="4"/>
  <c r="E98" i="4"/>
  <c r="E99" i="4"/>
  <c r="E100" i="4"/>
  <c r="E101" i="4"/>
  <c r="E102" i="4"/>
  <c r="E103" i="4"/>
  <c r="E104" i="4"/>
  <c r="E105" i="4"/>
  <c r="E106" i="4"/>
  <c r="E107" i="4"/>
  <c r="E108" i="4"/>
  <c r="E109" i="4"/>
  <c r="E110" i="4"/>
  <c r="E111" i="4"/>
  <c r="E112" i="4"/>
  <c r="E113" i="4"/>
  <c r="E114" i="4"/>
  <c r="E115" i="4"/>
  <c r="E116" i="4"/>
  <c r="E117" i="4"/>
  <c r="E118" i="4"/>
  <c r="E119" i="4"/>
  <c r="E120" i="4"/>
  <c r="E121" i="4"/>
  <c r="E122" i="4"/>
  <c r="E123" i="4"/>
  <c r="E124" i="4"/>
  <c r="E125" i="4"/>
  <c r="E126" i="4"/>
  <c r="E127" i="4"/>
  <c r="E128" i="4"/>
  <c r="E129" i="4"/>
  <c r="E130" i="4"/>
  <c r="E131" i="4"/>
  <c r="E132" i="4"/>
  <c r="E133" i="4"/>
  <c r="E134" i="4"/>
  <c r="E135" i="4"/>
  <c r="E136" i="4"/>
  <c r="E137" i="4"/>
  <c r="E138" i="4"/>
  <c r="E139" i="4"/>
  <c r="E140" i="4"/>
  <c r="E141" i="4"/>
  <c r="E142" i="4"/>
  <c r="E143" i="4"/>
  <c r="E144" i="4"/>
  <c r="E145" i="4"/>
  <c r="E146" i="4"/>
  <c r="E147" i="4"/>
  <c r="E148" i="4"/>
  <c r="E149" i="4"/>
  <c r="E150" i="4"/>
  <c r="E151" i="4"/>
  <c r="E152" i="4"/>
  <c r="E153" i="4"/>
  <c r="E154" i="4"/>
  <c r="E155" i="4"/>
  <c r="E156" i="4"/>
  <c r="E157" i="4"/>
  <c r="E158" i="4"/>
  <c r="E159" i="4"/>
  <c r="E160" i="4"/>
  <c r="E161" i="4"/>
  <c r="E162" i="4"/>
  <c r="E163" i="4"/>
  <c r="E164" i="4"/>
  <c r="E165" i="4"/>
  <c r="E166" i="4"/>
  <c r="E167" i="4"/>
  <c r="E168" i="4"/>
  <c r="E169" i="4"/>
  <c r="E170" i="4"/>
  <c r="E171" i="4"/>
  <c r="E172" i="4"/>
  <c r="E173" i="4"/>
  <c r="E174" i="4"/>
  <c r="E175" i="4"/>
  <c r="E176" i="4"/>
  <c r="E177" i="4"/>
  <c r="E178" i="4"/>
  <c r="E179" i="4"/>
  <c r="E180" i="4"/>
  <c r="E181" i="4"/>
  <c r="E182" i="4"/>
  <c r="E183" i="4"/>
  <c r="E184" i="4"/>
  <c r="E185" i="4"/>
  <c r="E186" i="4"/>
  <c r="E187" i="4"/>
  <c r="E188" i="4"/>
  <c r="E189" i="4"/>
  <c r="E190" i="4"/>
  <c r="E191" i="4"/>
  <c r="E192" i="4"/>
  <c r="E193" i="4"/>
  <c r="E194" i="4"/>
  <c r="E195" i="4"/>
  <c r="E196" i="4"/>
  <c r="E197" i="4"/>
  <c r="E198" i="4"/>
  <c r="E199" i="4"/>
  <c r="E200" i="4"/>
  <c r="E201" i="4"/>
  <c r="E202" i="4"/>
  <c r="E203" i="4"/>
  <c r="E204" i="4"/>
  <c r="E205" i="4"/>
  <c r="E206" i="4"/>
  <c r="E207" i="4"/>
  <c r="E208" i="4"/>
  <c r="E209" i="4"/>
  <c r="E210" i="4"/>
  <c r="E211" i="4"/>
  <c r="E212" i="4"/>
  <c r="E213" i="4"/>
  <c r="E214" i="4"/>
  <c r="E215" i="4"/>
  <c r="E216" i="4"/>
  <c r="E217" i="4"/>
  <c r="E218" i="4"/>
  <c r="E219" i="4"/>
  <c r="E220" i="4"/>
  <c r="E221" i="4"/>
  <c r="E222" i="4"/>
  <c r="E223" i="4"/>
  <c r="E224" i="4"/>
  <c r="E225" i="4"/>
  <c r="E226" i="4"/>
  <c r="E227" i="4"/>
  <c r="E228" i="4"/>
  <c r="E229" i="4"/>
  <c r="E230" i="4"/>
  <c r="E231" i="4"/>
  <c r="E232" i="4"/>
  <c r="E233" i="4"/>
  <c r="E234" i="4"/>
  <c r="E235" i="4"/>
  <c r="E236" i="4"/>
  <c r="E237" i="4"/>
  <c r="E238" i="4"/>
  <c r="E239" i="4"/>
  <c r="E240" i="4"/>
  <c r="E241" i="4"/>
  <c r="E242" i="4"/>
  <c r="E243" i="4"/>
  <c r="E244" i="4"/>
  <c r="E245" i="4"/>
  <c r="E246" i="4"/>
  <c r="E247" i="4"/>
  <c r="E248" i="4"/>
  <c r="E249" i="4"/>
  <c r="E250" i="4"/>
  <c r="E251" i="4"/>
  <c r="E252" i="4"/>
  <c r="E253" i="4"/>
  <c r="E254" i="4"/>
  <c r="E255" i="4"/>
  <c r="E256" i="4"/>
  <c r="E257" i="4"/>
  <c r="E258" i="4"/>
  <c r="E259" i="4"/>
  <c r="E260" i="4"/>
  <c r="E261" i="4"/>
  <c r="E262" i="4"/>
  <c r="E263" i="4"/>
  <c r="E264" i="4"/>
  <c r="E265" i="4"/>
  <c r="E266" i="4"/>
  <c r="E267" i="4"/>
  <c r="E268" i="4"/>
  <c r="E269" i="4"/>
  <c r="E270" i="4"/>
  <c r="E271" i="4"/>
  <c r="E272" i="4"/>
  <c r="E273" i="4"/>
  <c r="E274" i="4"/>
  <c r="E275" i="4"/>
  <c r="E276" i="4"/>
  <c r="E277" i="4"/>
  <c r="E278" i="4"/>
  <c r="E279" i="4"/>
  <c r="E280" i="4"/>
  <c r="E281" i="4"/>
  <c r="E282" i="4"/>
  <c r="E283" i="4"/>
  <c r="E284" i="4"/>
  <c r="E285" i="4"/>
  <c r="E286" i="4"/>
  <c r="E287" i="4"/>
  <c r="E288" i="4"/>
  <c r="E289" i="4"/>
  <c r="E290" i="4"/>
  <c r="E291" i="4"/>
  <c r="E292" i="4"/>
  <c r="E293" i="4"/>
  <c r="E294" i="4"/>
  <c r="E295" i="4"/>
  <c r="E296" i="4"/>
  <c r="E297" i="4"/>
  <c r="E298" i="4"/>
  <c r="E299" i="4"/>
  <c r="E300" i="4"/>
  <c r="E301" i="4"/>
  <c r="E302" i="4"/>
  <c r="E303" i="4"/>
  <c r="E304" i="4"/>
  <c r="E305" i="4"/>
  <c r="E306" i="4"/>
  <c r="E307" i="4"/>
  <c r="E308" i="4"/>
  <c r="E309" i="4"/>
  <c r="E310" i="4"/>
  <c r="E311" i="4"/>
  <c r="E312" i="4"/>
  <c r="E313" i="4"/>
  <c r="E314" i="4"/>
  <c r="E315" i="4"/>
  <c r="E316" i="4"/>
  <c r="E317" i="4"/>
  <c r="E318" i="4"/>
  <c r="E319" i="4"/>
  <c r="E320" i="4"/>
  <c r="E321" i="4"/>
  <c r="E322" i="4"/>
  <c r="E323" i="4"/>
  <c r="E324" i="4"/>
  <c r="E325" i="4"/>
  <c r="E326" i="4"/>
  <c r="E327" i="4"/>
  <c r="E328" i="4"/>
  <c r="E329" i="4"/>
  <c r="E330" i="4"/>
  <c r="E331" i="4"/>
  <c r="E332" i="4"/>
  <c r="E333" i="4"/>
  <c r="E334" i="4"/>
  <c r="E335" i="4"/>
  <c r="E336" i="4"/>
  <c r="E337" i="4"/>
  <c r="E338" i="4"/>
  <c r="E339" i="4"/>
  <c r="E340" i="4"/>
  <c r="E341" i="4"/>
  <c r="E342" i="4"/>
  <c r="E343" i="4"/>
  <c r="E344" i="4"/>
  <c r="E345" i="4"/>
  <c r="E346" i="4"/>
  <c r="E347" i="4"/>
  <c r="E348" i="4"/>
  <c r="E349" i="4"/>
  <c r="E350" i="4"/>
  <c r="E351" i="4"/>
  <c r="E352" i="4"/>
  <c r="E353" i="4"/>
  <c r="E354" i="4"/>
  <c r="E355" i="4"/>
  <c r="E356" i="4"/>
  <c r="E357" i="4"/>
  <c r="E358" i="4"/>
  <c r="E359" i="4"/>
  <c r="E360" i="4"/>
  <c r="E361" i="4"/>
  <c r="E362" i="4"/>
  <c r="E363" i="4"/>
  <c r="E364" i="4"/>
  <c r="E365" i="4"/>
  <c r="E366" i="4"/>
  <c r="E367" i="4"/>
  <c r="E368" i="4"/>
  <c r="E369" i="4"/>
  <c r="E370" i="4"/>
  <c r="E371" i="4"/>
  <c r="E372" i="4"/>
  <c r="E373" i="4"/>
  <c r="E374" i="4"/>
  <c r="E375" i="4"/>
  <c r="E376" i="4"/>
  <c r="E377" i="4"/>
  <c r="E378" i="4"/>
  <c r="E379" i="4"/>
  <c r="E380" i="4"/>
  <c r="E381" i="4"/>
  <c r="E382" i="4"/>
  <c r="E383" i="4"/>
  <c r="E384" i="4"/>
  <c r="E385" i="4"/>
  <c r="E386" i="4"/>
  <c r="E387" i="4"/>
  <c r="E388" i="4"/>
  <c r="E389" i="4"/>
  <c r="E390" i="4"/>
  <c r="E391" i="4"/>
  <c r="E392" i="4"/>
  <c r="E393" i="4"/>
  <c r="E394" i="4"/>
  <c r="E395" i="4"/>
  <c r="E396" i="4"/>
  <c r="E397" i="4"/>
  <c r="E398" i="4"/>
  <c r="E399" i="4"/>
  <c r="E400" i="4"/>
  <c r="E401" i="4"/>
  <c r="E402" i="4"/>
  <c r="E403" i="4"/>
  <c r="E404" i="4"/>
  <c r="E405" i="4"/>
  <c r="E406" i="4"/>
  <c r="E407" i="4"/>
  <c r="E408" i="4"/>
  <c r="E409" i="4"/>
  <c r="E410" i="4"/>
  <c r="E411" i="4"/>
  <c r="E412" i="4"/>
  <c r="E413" i="4"/>
  <c r="E414" i="4"/>
  <c r="E415" i="4"/>
  <c r="E416" i="4"/>
  <c r="E417" i="4"/>
  <c r="E418" i="4"/>
  <c r="E419" i="4"/>
  <c r="E420" i="4"/>
  <c r="E421" i="4"/>
  <c r="E422" i="4"/>
  <c r="E423" i="4"/>
  <c r="E424" i="4"/>
  <c r="E425" i="4"/>
  <c r="E426" i="4"/>
  <c r="E427" i="4"/>
  <c r="E428" i="4"/>
  <c r="E429" i="4"/>
  <c r="E430" i="4"/>
  <c r="E431" i="4"/>
  <c r="E432" i="4"/>
  <c r="E433" i="4"/>
  <c r="E434" i="4"/>
  <c r="E435" i="4"/>
  <c r="E436" i="4"/>
  <c r="E437" i="4"/>
  <c r="E438" i="4"/>
  <c r="E439" i="4"/>
  <c r="E440" i="4"/>
  <c r="E441" i="4"/>
  <c r="E442" i="4"/>
  <c r="E443" i="4"/>
  <c r="E444" i="4"/>
  <c r="E445" i="4"/>
  <c r="E446" i="4"/>
  <c r="E447" i="4"/>
  <c r="E448" i="4"/>
  <c r="E449" i="4"/>
  <c r="E450" i="4"/>
  <c r="E451" i="4"/>
  <c r="E452" i="4"/>
  <c r="E453" i="4"/>
  <c r="E454" i="4"/>
  <c r="E455" i="4"/>
  <c r="E456" i="4"/>
  <c r="E457" i="4"/>
  <c r="E458" i="4"/>
  <c r="E459" i="4"/>
  <c r="E460" i="4"/>
  <c r="E461" i="4"/>
  <c r="E462" i="4"/>
  <c r="E463" i="4"/>
  <c r="E464" i="4"/>
  <c r="E465" i="4"/>
  <c r="E466" i="4"/>
  <c r="E467" i="4"/>
  <c r="E468" i="4"/>
  <c r="E469" i="4"/>
  <c r="E470" i="4"/>
  <c r="E471" i="4"/>
  <c r="E472" i="4"/>
  <c r="E473" i="4"/>
  <c r="E474" i="4"/>
  <c r="E475" i="4"/>
  <c r="E476" i="4"/>
  <c r="E477" i="4"/>
  <c r="E478" i="4"/>
  <c r="E479" i="4"/>
  <c r="E480" i="4"/>
  <c r="E481" i="4"/>
  <c r="E482" i="4"/>
  <c r="E483" i="4"/>
  <c r="E484" i="4"/>
  <c r="E485" i="4"/>
  <c r="E486" i="4"/>
  <c r="E487" i="4"/>
  <c r="E488" i="4"/>
  <c r="E489" i="4"/>
  <c r="E490" i="4"/>
  <c r="E491" i="4"/>
  <c r="E492" i="4"/>
  <c r="E493" i="4"/>
  <c r="E494" i="4"/>
  <c r="E495" i="4"/>
  <c r="E496" i="4"/>
  <c r="E497" i="4"/>
  <c r="E498" i="4"/>
  <c r="E499" i="4"/>
  <c r="E500" i="4"/>
  <c r="E501" i="4"/>
  <c r="E502" i="4"/>
  <c r="E503" i="4"/>
  <c r="E504" i="4"/>
  <c r="E505" i="4"/>
  <c r="E506" i="4"/>
  <c r="E507" i="4"/>
  <c r="E508" i="4"/>
  <c r="E509" i="4"/>
  <c r="E510" i="4"/>
  <c r="E511" i="4"/>
  <c r="E512" i="4"/>
  <c r="E513" i="4"/>
  <c r="E514" i="4"/>
  <c r="E515" i="4"/>
  <c r="E516" i="4"/>
  <c r="E517" i="4"/>
  <c r="E518" i="4"/>
  <c r="E519" i="4"/>
  <c r="E520" i="4"/>
  <c r="E521" i="4"/>
  <c r="E522" i="4"/>
  <c r="E523" i="4"/>
  <c r="E524" i="4"/>
  <c r="E525" i="4"/>
  <c r="E526" i="4"/>
  <c r="E527" i="4"/>
  <c r="E528" i="4"/>
  <c r="E529" i="4"/>
  <c r="E530" i="4"/>
  <c r="E531" i="4"/>
  <c r="E532" i="4"/>
  <c r="E533" i="4"/>
  <c r="E534" i="4"/>
  <c r="E535" i="4"/>
  <c r="E536" i="4"/>
  <c r="E537" i="4"/>
  <c r="E538" i="4"/>
  <c r="E539" i="4"/>
  <c r="E540" i="4"/>
  <c r="E541" i="4"/>
  <c r="E542" i="4"/>
  <c r="E543" i="4"/>
  <c r="E544" i="4"/>
  <c r="E545" i="4"/>
  <c r="E546" i="4"/>
  <c r="E547" i="4"/>
  <c r="E548" i="4"/>
  <c r="E549" i="4"/>
  <c r="E550" i="4"/>
  <c r="E551" i="4"/>
  <c r="E552" i="4"/>
  <c r="E553" i="4"/>
  <c r="E554" i="4"/>
  <c r="E555" i="4"/>
  <c r="E556" i="4"/>
  <c r="E557" i="4"/>
  <c r="E558" i="4"/>
  <c r="E559" i="4"/>
  <c r="E560" i="4"/>
  <c r="E561" i="4"/>
  <c r="E562" i="4"/>
  <c r="E563" i="4"/>
  <c r="E564" i="4"/>
  <c r="E565" i="4"/>
  <c r="E566" i="4"/>
  <c r="E567" i="4"/>
  <c r="E568" i="4"/>
  <c r="E569" i="4"/>
  <c r="E570" i="4"/>
  <c r="E571" i="4"/>
  <c r="E572" i="4"/>
  <c r="E573" i="4"/>
  <c r="E574" i="4"/>
  <c r="E575" i="4"/>
  <c r="E576" i="4"/>
  <c r="E577" i="4"/>
  <c r="E578" i="4"/>
  <c r="E579" i="4"/>
  <c r="E580" i="4"/>
  <c r="E581" i="4"/>
  <c r="E582" i="4"/>
  <c r="E583" i="4"/>
  <c r="E584" i="4"/>
  <c r="E585" i="4"/>
  <c r="E586" i="4"/>
  <c r="E587" i="4"/>
  <c r="E588" i="4"/>
  <c r="E589" i="4"/>
  <c r="E590" i="4"/>
  <c r="E591" i="4"/>
  <c r="E592" i="4"/>
  <c r="E593" i="4"/>
  <c r="E594" i="4"/>
  <c r="E595" i="4"/>
  <c r="E596" i="4"/>
  <c r="E597" i="4"/>
  <c r="E598" i="4"/>
  <c r="E599" i="4"/>
  <c r="E600" i="4"/>
  <c r="E601" i="4"/>
  <c r="E602" i="4"/>
  <c r="E603" i="4"/>
  <c r="E604" i="4"/>
  <c r="E605" i="4"/>
  <c r="E606" i="4"/>
  <c r="E607" i="4"/>
  <c r="E608" i="4"/>
  <c r="E609" i="4"/>
  <c r="E610" i="4"/>
  <c r="E611" i="4"/>
  <c r="E612" i="4"/>
  <c r="E613" i="4"/>
  <c r="E614" i="4"/>
  <c r="E615" i="4"/>
  <c r="E616" i="4"/>
  <c r="E617" i="4"/>
  <c r="E618" i="4"/>
  <c r="E619" i="4"/>
  <c r="E620" i="4"/>
  <c r="E621" i="4"/>
  <c r="E622" i="4"/>
  <c r="E623" i="4"/>
  <c r="E624" i="4"/>
  <c r="E625" i="4"/>
  <c r="E626" i="4"/>
  <c r="E627" i="4"/>
  <c r="E628" i="4"/>
  <c r="E629" i="4"/>
  <c r="E630" i="4"/>
  <c r="E631" i="4"/>
  <c r="E632" i="4"/>
  <c r="E633" i="4"/>
  <c r="E634" i="4"/>
  <c r="E635" i="4"/>
  <c r="E636" i="4"/>
  <c r="E637" i="4"/>
  <c r="E638" i="4"/>
  <c r="E639" i="4"/>
  <c r="E640" i="4"/>
  <c r="E641" i="4"/>
  <c r="E642" i="4"/>
  <c r="E643" i="4"/>
  <c r="E644" i="4"/>
  <c r="E645" i="4"/>
  <c r="E646" i="4"/>
  <c r="E647" i="4"/>
  <c r="E648" i="4"/>
  <c r="E649" i="4"/>
  <c r="E650" i="4"/>
  <c r="E651" i="4"/>
  <c r="E652" i="4"/>
  <c r="E653" i="4"/>
  <c r="E654" i="4"/>
  <c r="E655" i="4"/>
  <c r="E656" i="4"/>
  <c r="E657" i="4"/>
  <c r="E658" i="4"/>
  <c r="E659" i="4"/>
  <c r="E660" i="4"/>
  <c r="E661" i="4"/>
  <c r="E662" i="4"/>
  <c r="E663" i="4"/>
  <c r="E664" i="4"/>
  <c r="E665" i="4"/>
  <c r="E666" i="4"/>
  <c r="E667" i="4"/>
  <c r="E668" i="4"/>
  <c r="E669" i="4"/>
  <c r="E670" i="4"/>
  <c r="E671" i="4"/>
  <c r="E672" i="4"/>
  <c r="E673" i="4"/>
  <c r="E674" i="4"/>
  <c r="E675" i="4"/>
  <c r="E676" i="4"/>
  <c r="E677" i="4"/>
  <c r="E678" i="4"/>
  <c r="E679" i="4"/>
  <c r="E680" i="4"/>
  <c r="E681" i="4"/>
  <c r="E682" i="4"/>
  <c r="E683" i="4"/>
  <c r="E684" i="4"/>
  <c r="E685" i="4"/>
  <c r="E686" i="4"/>
  <c r="E687" i="4"/>
  <c r="E688" i="4"/>
  <c r="E689" i="4"/>
  <c r="E690" i="4"/>
  <c r="E691" i="4"/>
  <c r="E692" i="4"/>
  <c r="E693" i="4"/>
  <c r="E694" i="4"/>
  <c r="E695" i="4"/>
  <c r="E696" i="4"/>
  <c r="E697" i="4"/>
  <c r="E698" i="4"/>
  <c r="E699" i="4"/>
  <c r="E700" i="4"/>
  <c r="E701" i="4"/>
  <c r="E702" i="4"/>
  <c r="E703" i="4"/>
  <c r="E704" i="4"/>
  <c r="E705" i="4"/>
  <c r="E706" i="4"/>
  <c r="E707" i="4"/>
  <c r="E708" i="4"/>
  <c r="E709" i="4"/>
  <c r="E710" i="4"/>
  <c r="E711" i="4"/>
  <c r="E712" i="4"/>
  <c r="E713" i="4"/>
  <c r="E714" i="4"/>
  <c r="E715" i="4"/>
  <c r="E716" i="4"/>
  <c r="E717" i="4"/>
  <c r="E718" i="4"/>
  <c r="E719" i="4"/>
  <c r="E720" i="4"/>
  <c r="E721" i="4"/>
  <c r="E722" i="4"/>
  <c r="E723" i="4"/>
  <c r="E724" i="4"/>
  <c r="E725" i="4"/>
  <c r="E726" i="4"/>
  <c r="E727" i="4"/>
  <c r="E728" i="4"/>
  <c r="E729" i="4"/>
  <c r="E730" i="4"/>
  <c r="E731" i="4"/>
  <c r="E732" i="4"/>
  <c r="E733" i="4"/>
  <c r="E734" i="4"/>
  <c r="E735" i="4"/>
  <c r="E736" i="4"/>
  <c r="E737" i="4"/>
  <c r="E738" i="4"/>
  <c r="E739" i="4"/>
  <c r="E740" i="4"/>
  <c r="E741" i="4"/>
  <c r="E742" i="4"/>
  <c r="E743" i="4"/>
  <c r="E744" i="4"/>
  <c r="E745" i="4"/>
  <c r="E746" i="4"/>
  <c r="E747" i="4"/>
  <c r="E748" i="4"/>
  <c r="E749" i="4"/>
  <c r="E750" i="4"/>
  <c r="E751" i="4"/>
  <c r="E752" i="4"/>
  <c r="E753" i="4"/>
  <c r="E754" i="4"/>
  <c r="E755" i="4"/>
  <c r="E756" i="4"/>
  <c r="E757" i="4"/>
  <c r="E758" i="4"/>
  <c r="E759" i="4"/>
  <c r="E760" i="4"/>
  <c r="E761" i="4"/>
  <c r="E762" i="4"/>
  <c r="E763" i="4"/>
  <c r="E764" i="4"/>
  <c r="E765" i="4"/>
  <c r="E766" i="4"/>
  <c r="E767" i="4"/>
  <c r="E768" i="4"/>
  <c r="E769" i="4"/>
  <c r="E770" i="4"/>
  <c r="E771" i="4"/>
  <c r="E772" i="4"/>
  <c r="E773" i="4"/>
  <c r="E774" i="4"/>
  <c r="E775" i="4"/>
  <c r="E776" i="4"/>
  <c r="E777" i="4"/>
  <c r="E778" i="4"/>
  <c r="E779" i="4"/>
  <c r="E780" i="4"/>
  <c r="E781" i="4"/>
  <c r="E782" i="4"/>
  <c r="E783" i="4"/>
  <c r="E784" i="4"/>
  <c r="E785" i="4"/>
  <c r="E786" i="4"/>
  <c r="E787" i="4"/>
  <c r="E788" i="4"/>
  <c r="E789" i="4"/>
  <c r="E790" i="4"/>
  <c r="E791" i="4"/>
  <c r="E792" i="4"/>
  <c r="E793" i="4"/>
  <c r="E794" i="4"/>
  <c r="E795" i="4"/>
  <c r="E796" i="4"/>
  <c r="E797" i="4"/>
  <c r="E798" i="4"/>
  <c r="E799" i="4"/>
  <c r="E800" i="4"/>
  <c r="E801" i="4"/>
  <c r="E802" i="4"/>
  <c r="E803" i="4"/>
  <c r="E804" i="4"/>
  <c r="E805" i="4"/>
  <c r="E806" i="4"/>
  <c r="E807" i="4"/>
  <c r="E808" i="4"/>
  <c r="E809" i="4"/>
  <c r="E810" i="4"/>
  <c r="E811" i="4"/>
  <c r="E812" i="4"/>
  <c r="E813" i="4"/>
  <c r="E814" i="4"/>
  <c r="E815" i="4"/>
  <c r="E816" i="4"/>
  <c r="E817" i="4"/>
  <c r="E818" i="4"/>
  <c r="E819" i="4"/>
  <c r="E820" i="4"/>
  <c r="E821" i="4"/>
  <c r="E822" i="4"/>
  <c r="E823" i="4"/>
  <c r="E824" i="4"/>
  <c r="E825" i="4"/>
  <c r="E826" i="4"/>
  <c r="E827" i="4"/>
  <c r="E828" i="4"/>
  <c r="E829" i="4"/>
  <c r="E830" i="4"/>
  <c r="E831" i="4"/>
  <c r="E832" i="4"/>
  <c r="E833" i="4"/>
  <c r="E834" i="4"/>
  <c r="E835" i="4"/>
  <c r="E836" i="4"/>
  <c r="E837" i="4"/>
  <c r="E838" i="4"/>
  <c r="E839" i="4"/>
  <c r="E840" i="4"/>
  <c r="E841" i="4"/>
  <c r="E842" i="4"/>
  <c r="E843" i="4"/>
  <c r="E844" i="4"/>
  <c r="E845" i="4"/>
  <c r="E846" i="4"/>
  <c r="E847" i="4"/>
  <c r="E848" i="4"/>
  <c r="E849" i="4"/>
  <c r="E850" i="4"/>
  <c r="E851" i="4"/>
  <c r="E852" i="4"/>
  <c r="E853" i="4"/>
  <c r="E854" i="4"/>
  <c r="E855" i="4"/>
  <c r="E856" i="4"/>
  <c r="E857" i="4"/>
  <c r="E858" i="4"/>
  <c r="E859" i="4"/>
  <c r="E860" i="4"/>
  <c r="E861" i="4"/>
  <c r="E862" i="4"/>
  <c r="E863" i="4"/>
  <c r="E864" i="4"/>
  <c r="E865" i="4"/>
  <c r="E866" i="4"/>
  <c r="E867" i="4"/>
  <c r="E868" i="4"/>
  <c r="E869" i="4"/>
  <c r="E870" i="4"/>
  <c r="E871" i="4"/>
  <c r="E872" i="4"/>
  <c r="E873" i="4"/>
  <c r="E874" i="4"/>
  <c r="E875" i="4"/>
  <c r="E876" i="4"/>
  <c r="E877" i="4"/>
  <c r="E878" i="4"/>
  <c r="E879" i="4"/>
  <c r="E880" i="4"/>
  <c r="E881" i="4"/>
  <c r="E882" i="4"/>
  <c r="E883" i="4"/>
  <c r="E884" i="4"/>
  <c r="E885" i="4"/>
  <c r="E886" i="4"/>
  <c r="E887" i="4"/>
  <c r="E888" i="4"/>
  <c r="E889" i="4"/>
  <c r="E890" i="4"/>
  <c r="E891" i="4"/>
  <c r="E892" i="4"/>
  <c r="E893" i="4"/>
  <c r="E894" i="4"/>
  <c r="E895" i="4"/>
  <c r="E896" i="4"/>
  <c r="E897" i="4"/>
  <c r="E898" i="4"/>
  <c r="E899" i="4"/>
  <c r="E900" i="4"/>
  <c r="E901" i="4"/>
  <c r="E902" i="4"/>
  <c r="E903" i="4"/>
  <c r="E904" i="4"/>
  <c r="E905" i="4"/>
  <c r="E906" i="4"/>
  <c r="E907" i="4"/>
  <c r="E908" i="4"/>
  <c r="E909" i="4"/>
  <c r="E910" i="4"/>
  <c r="E911" i="4"/>
  <c r="E912" i="4"/>
  <c r="E913" i="4"/>
  <c r="E914" i="4"/>
  <c r="E915" i="4"/>
  <c r="E916" i="4"/>
  <c r="E917" i="4"/>
  <c r="E918" i="4"/>
  <c r="E919" i="4"/>
  <c r="E920" i="4"/>
  <c r="E921" i="4"/>
  <c r="E922" i="4"/>
  <c r="E923" i="4"/>
  <c r="E924" i="4"/>
  <c r="E925" i="4"/>
  <c r="E926" i="4"/>
  <c r="E927" i="4"/>
  <c r="E928" i="4"/>
  <c r="E929" i="4"/>
  <c r="E930" i="4"/>
  <c r="E931" i="4"/>
  <c r="E932" i="4"/>
  <c r="E933" i="4"/>
  <c r="E934" i="4"/>
  <c r="E935" i="4"/>
  <c r="E936" i="4"/>
  <c r="E937" i="4"/>
  <c r="E938" i="4"/>
  <c r="E939" i="4"/>
  <c r="E940" i="4"/>
  <c r="E941" i="4"/>
  <c r="E942" i="4"/>
  <c r="E943" i="4"/>
  <c r="E944" i="4"/>
  <c r="E945" i="4"/>
  <c r="E946" i="4"/>
  <c r="E947" i="4"/>
  <c r="E948" i="4"/>
  <c r="E949" i="4"/>
  <c r="E950" i="4"/>
  <c r="E951" i="4"/>
  <c r="E952" i="4"/>
  <c r="E953" i="4"/>
  <c r="E954" i="4"/>
  <c r="E955" i="4"/>
  <c r="E956" i="4"/>
  <c r="E957" i="4"/>
  <c r="E958" i="4"/>
  <c r="E959" i="4"/>
  <c r="E960" i="4"/>
  <c r="E961" i="4"/>
  <c r="E962" i="4"/>
  <c r="E963" i="4"/>
  <c r="E964" i="4"/>
  <c r="E965" i="4"/>
  <c r="E966" i="4"/>
  <c r="E967" i="4"/>
  <c r="E968" i="4"/>
  <c r="E969" i="4"/>
  <c r="E970" i="4"/>
  <c r="E971" i="4"/>
  <c r="E972" i="4"/>
  <c r="E973" i="4"/>
  <c r="E974" i="4"/>
  <c r="E975" i="4"/>
  <c r="E976" i="4"/>
  <c r="E977" i="4"/>
  <c r="E978" i="4"/>
  <c r="E979" i="4"/>
  <c r="E980" i="4"/>
  <c r="E981" i="4"/>
  <c r="E982" i="4"/>
  <c r="E983" i="4"/>
  <c r="E984" i="4"/>
  <c r="E985" i="4"/>
  <c r="E986" i="4"/>
  <c r="E987" i="4"/>
  <c r="E988" i="4"/>
  <c r="E989" i="4"/>
  <c r="E990" i="4"/>
  <c r="E991" i="4"/>
  <c r="E992" i="4"/>
  <c r="E993" i="4"/>
  <c r="E994" i="4"/>
  <c r="E995" i="4"/>
  <c r="E996" i="4"/>
  <c r="E997" i="4"/>
  <c r="E998" i="4"/>
  <c r="E999" i="4"/>
  <c r="E1000" i="4"/>
  <c r="E1001" i="4"/>
  <c r="E1002" i="4"/>
  <c r="E1003" i="4"/>
  <c r="E1004" i="4"/>
  <c r="E1005" i="4"/>
  <c r="E1006" i="4"/>
  <c r="E1007" i="4"/>
  <c r="E1008" i="4"/>
  <c r="E1009" i="4"/>
  <c r="E1010" i="4"/>
  <c r="E1011" i="4"/>
  <c r="E1012" i="4"/>
  <c r="E1013" i="4"/>
  <c r="E1014" i="4"/>
  <c r="E1015" i="4"/>
  <c r="E1016" i="4"/>
  <c r="E1017" i="4"/>
  <c r="E1018" i="4"/>
  <c r="E1019" i="4"/>
  <c r="E1020" i="4"/>
  <c r="E1021" i="4"/>
  <c r="E1022" i="4"/>
  <c r="E1023" i="4"/>
  <c r="E1024" i="4"/>
  <c r="E1025" i="4"/>
  <c r="E1026" i="4"/>
  <c r="E1027" i="4"/>
  <c r="E1028" i="4"/>
  <c r="E1029" i="4"/>
  <c r="E1030" i="4"/>
  <c r="E1031" i="4"/>
  <c r="E1032" i="4"/>
  <c r="E1033" i="4"/>
  <c r="E1034" i="4"/>
  <c r="E1035" i="4"/>
  <c r="E1036" i="4"/>
  <c r="E1037" i="4"/>
  <c r="E1038" i="4"/>
  <c r="E1039" i="4"/>
  <c r="E1040" i="4"/>
  <c r="E1041" i="4"/>
  <c r="E1042" i="4"/>
  <c r="E1043" i="4"/>
  <c r="E1044" i="4"/>
  <c r="E1045" i="4"/>
  <c r="E1046" i="4"/>
  <c r="E1047" i="4"/>
  <c r="E1048" i="4"/>
  <c r="E1049" i="4"/>
  <c r="E1050" i="4"/>
  <c r="E1051" i="4"/>
  <c r="E1052" i="4"/>
  <c r="E1053" i="4"/>
  <c r="E1054" i="4"/>
  <c r="E1055" i="4"/>
  <c r="E1056" i="4"/>
  <c r="E1057" i="4"/>
  <c r="E1058" i="4"/>
  <c r="E1059" i="4"/>
  <c r="E1060" i="4"/>
  <c r="E1061" i="4"/>
  <c r="E1062" i="4"/>
  <c r="E1063" i="4"/>
  <c r="E1064" i="4"/>
  <c r="E1065" i="4"/>
  <c r="E1066" i="4"/>
  <c r="E1067" i="4"/>
  <c r="E1068" i="4"/>
  <c r="E1069" i="4"/>
  <c r="E1070" i="4"/>
  <c r="E1071" i="4"/>
  <c r="E1072" i="4"/>
  <c r="E1073" i="4"/>
  <c r="E1074" i="4"/>
  <c r="E1075" i="4"/>
  <c r="E1076" i="4"/>
  <c r="E1077" i="4"/>
  <c r="E1078" i="4"/>
  <c r="E1079" i="4"/>
  <c r="E1080" i="4"/>
  <c r="E1081" i="4"/>
  <c r="E1082" i="4"/>
  <c r="E1083" i="4"/>
  <c r="E1084" i="4"/>
  <c r="E1085" i="4"/>
  <c r="E1086" i="4"/>
  <c r="E1087" i="4"/>
  <c r="E1088" i="4"/>
  <c r="E1089" i="4"/>
  <c r="E1090" i="4"/>
  <c r="E1091" i="4"/>
  <c r="E1092" i="4"/>
  <c r="E1093" i="4"/>
  <c r="E1094" i="4"/>
  <c r="E1095" i="4"/>
  <c r="E1096" i="4"/>
  <c r="E1097" i="4"/>
  <c r="E1098" i="4"/>
  <c r="E1099" i="4"/>
  <c r="E1100" i="4"/>
  <c r="E1101" i="4"/>
  <c r="E1102" i="4"/>
  <c r="E1103" i="4"/>
  <c r="E1104" i="4"/>
  <c r="E1105" i="4"/>
  <c r="E1106" i="4"/>
  <c r="E1107" i="4"/>
  <c r="E1108" i="4"/>
  <c r="E1109" i="4"/>
  <c r="E1110" i="4"/>
  <c r="E1111" i="4"/>
  <c r="E1112" i="4"/>
  <c r="E1113" i="4"/>
  <c r="E1114" i="4"/>
  <c r="E1115" i="4"/>
  <c r="E1116" i="4"/>
  <c r="E1117" i="4"/>
  <c r="E1118" i="4"/>
  <c r="E1119" i="4"/>
  <c r="E1120" i="4"/>
  <c r="E1121" i="4"/>
  <c r="E1122" i="4"/>
  <c r="E1123" i="4"/>
  <c r="E1124" i="4"/>
  <c r="E1125" i="4"/>
  <c r="E1126" i="4"/>
  <c r="E1127" i="4"/>
  <c r="E1128" i="4"/>
  <c r="E1129" i="4"/>
  <c r="E1130" i="4"/>
  <c r="E1131" i="4"/>
  <c r="E1132" i="4"/>
  <c r="E1133" i="4"/>
  <c r="E1134" i="4"/>
  <c r="E1135" i="4"/>
  <c r="E1136" i="4"/>
  <c r="E1137" i="4"/>
  <c r="E1138" i="4"/>
  <c r="E1139" i="4"/>
  <c r="E1140" i="4"/>
  <c r="E1141" i="4"/>
  <c r="E1142" i="4"/>
  <c r="E1143" i="4"/>
  <c r="E1144" i="4"/>
  <c r="E1145" i="4"/>
  <c r="E1146" i="4"/>
  <c r="E1147" i="4"/>
  <c r="E1148" i="4"/>
  <c r="E1149" i="4"/>
  <c r="E1150" i="4"/>
  <c r="E1151" i="4"/>
  <c r="E1152" i="4"/>
  <c r="E1153" i="4"/>
  <c r="E1154" i="4"/>
  <c r="E1155" i="4"/>
  <c r="E1156" i="4"/>
  <c r="E1157" i="4"/>
  <c r="E1158" i="4"/>
  <c r="E1159" i="4"/>
  <c r="E1160" i="4"/>
  <c r="E1161" i="4"/>
  <c r="E1162" i="4"/>
  <c r="E1163" i="4"/>
  <c r="E1164" i="4"/>
  <c r="E1165" i="4"/>
  <c r="E1166" i="4"/>
  <c r="E1167" i="4"/>
  <c r="E1168" i="4"/>
  <c r="E1169" i="4"/>
  <c r="E1170" i="4"/>
  <c r="E1171" i="4"/>
  <c r="E1172" i="4"/>
  <c r="E1173" i="4"/>
  <c r="E1174" i="4"/>
  <c r="E1175" i="4"/>
  <c r="E1176" i="4"/>
  <c r="E1177" i="4"/>
  <c r="E1178" i="4"/>
  <c r="E1179" i="4"/>
  <c r="E1180" i="4"/>
  <c r="E1181" i="4"/>
  <c r="E1182" i="4"/>
  <c r="E1183" i="4"/>
  <c r="E1184" i="4"/>
  <c r="E1185" i="4"/>
  <c r="E1186" i="4"/>
  <c r="E1187" i="4"/>
  <c r="E1188" i="4"/>
  <c r="E1189" i="4"/>
  <c r="E1190" i="4"/>
  <c r="E1191" i="4"/>
  <c r="E1192" i="4"/>
  <c r="E1193" i="4"/>
  <c r="E1194" i="4"/>
  <c r="E1195" i="4"/>
  <c r="E1196" i="4"/>
  <c r="E1197" i="4"/>
  <c r="E1198" i="4"/>
  <c r="E1199" i="4"/>
  <c r="E1200" i="4"/>
  <c r="E1201" i="4"/>
  <c r="E1202" i="4"/>
  <c r="E1203" i="4"/>
  <c r="E1204" i="4"/>
  <c r="E1205" i="4"/>
  <c r="E1206" i="4"/>
  <c r="E1207" i="4"/>
  <c r="E1208" i="4"/>
  <c r="E1209" i="4"/>
  <c r="E1210" i="4"/>
  <c r="E1211" i="4"/>
  <c r="E1212" i="4"/>
  <c r="E1213" i="4"/>
  <c r="E1214" i="4"/>
  <c r="E1215" i="4"/>
  <c r="E1216" i="4"/>
  <c r="E1217" i="4"/>
  <c r="E1218" i="4"/>
  <c r="E1219" i="4"/>
  <c r="E1220" i="4"/>
  <c r="E1221" i="4"/>
  <c r="E1222" i="4"/>
  <c r="E1223" i="4"/>
  <c r="E1224" i="4"/>
  <c r="E1225" i="4"/>
  <c r="E1226" i="4"/>
  <c r="E1227" i="4"/>
  <c r="E1228" i="4"/>
  <c r="E1229" i="4"/>
  <c r="E1230" i="4"/>
  <c r="E1231" i="4"/>
  <c r="E1232" i="4"/>
  <c r="E1233" i="4"/>
  <c r="E1234" i="4"/>
  <c r="E1235" i="4"/>
  <c r="E1236" i="4"/>
  <c r="E1237" i="4"/>
  <c r="E1238" i="4"/>
  <c r="E1239" i="4"/>
  <c r="E1240" i="4"/>
  <c r="E1241" i="4"/>
  <c r="E1242" i="4"/>
  <c r="E1243" i="4"/>
  <c r="E1244" i="4"/>
  <c r="E1245" i="4"/>
  <c r="E1246" i="4"/>
  <c r="E1247" i="4"/>
  <c r="E1248" i="4"/>
  <c r="E1249" i="4"/>
  <c r="E1250" i="4"/>
  <c r="E1251" i="4"/>
  <c r="E1252" i="4"/>
  <c r="E1253" i="4"/>
  <c r="E1254" i="4"/>
  <c r="E1255" i="4"/>
  <c r="E1256" i="4"/>
  <c r="E1257" i="4"/>
  <c r="E1258" i="4"/>
  <c r="E1259" i="4"/>
  <c r="E1260" i="4"/>
  <c r="E1261" i="4"/>
  <c r="E1262" i="4"/>
  <c r="E1263" i="4"/>
  <c r="E1264" i="4"/>
  <c r="E1265" i="4"/>
  <c r="E1266" i="4"/>
  <c r="E1267" i="4"/>
  <c r="E1268" i="4"/>
  <c r="E1269" i="4"/>
  <c r="E1270" i="4"/>
  <c r="E1271" i="4"/>
  <c r="E1272" i="4"/>
  <c r="E1273" i="4"/>
  <c r="E1274" i="4"/>
  <c r="E1275" i="4"/>
  <c r="E1276" i="4"/>
  <c r="E1277" i="4"/>
  <c r="E1278" i="4"/>
  <c r="E1279" i="4"/>
  <c r="E1280" i="4"/>
  <c r="E1281" i="4"/>
  <c r="E1282" i="4"/>
  <c r="E1283" i="4"/>
  <c r="E1284" i="4"/>
  <c r="E1285" i="4"/>
  <c r="E1286" i="4"/>
  <c r="E1287" i="4"/>
  <c r="E1288" i="4"/>
  <c r="E1289" i="4"/>
  <c r="E1290" i="4"/>
  <c r="E1291" i="4"/>
  <c r="E1292" i="4"/>
  <c r="E1293" i="4"/>
  <c r="E1294" i="4"/>
  <c r="E1295" i="4"/>
  <c r="E1296" i="4"/>
  <c r="E1297" i="4"/>
  <c r="E1298" i="4"/>
  <c r="E1299" i="4"/>
  <c r="E1300" i="4"/>
  <c r="E1301" i="4"/>
  <c r="E1302" i="4"/>
  <c r="E1303" i="4"/>
  <c r="E1304" i="4"/>
  <c r="E1305" i="4"/>
  <c r="E1306" i="4"/>
  <c r="E1307" i="4"/>
  <c r="E1308" i="4"/>
  <c r="E1309" i="4"/>
  <c r="E1310" i="4"/>
  <c r="E1311" i="4"/>
  <c r="E1312" i="4"/>
  <c r="E1313" i="4"/>
  <c r="E1314" i="4"/>
  <c r="E1315" i="4"/>
  <c r="E1316" i="4"/>
  <c r="E1317" i="4"/>
  <c r="E1318" i="4"/>
  <c r="E1319" i="4"/>
  <c r="E1320" i="4"/>
  <c r="E1321" i="4"/>
  <c r="E1322" i="4"/>
  <c r="E1323" i="4"/>
  <c r="E1324" i="4"/>
  <c r="E1325" i="4"/>
  <c r="E1326" i="4"/>
  <c r="E1327" i="4"/>
  <c r="E1328" i="4"/>
  <c r="E1329" i="4"/>
  <c r="E1330" i="4"/>
  <c r="E1331" i="4"/>
  <c r="E1332" i="4"/>
  <c r="E1333" i="4"/>
  <c r="E1334" i="4"/>
  <c r="E1335" i="4"/>
  <c r="E1336" i="4"/>
  <c r="E1337" i="4"/>
  <c r="E1338" i="4"/>
  <c r="E1339" i="4"/>
  <c r="E1340" i="4"/>
  <c r="E1341" i="4"/>
  <c r="E1342" i="4"/>
  <c r="E1343" i="4"/>
  <c r="E1344" i="4"/>
  <c r="E1345" i="4"/>
  <c r="E1346" i="4"/>
  <c r="E1347" i="4"/>
  <c r="E1348" i="4"/>
  <c r="E1349" i="4"/>
  <c r="E1350" i="4"/>
  <c r="E1351" i="4"/>
  <c r="E1352" i="4"/>
  <c r="E1353" i="4"/>
  <c r="E1354" i="4"/>
  <c r="E1355" i="4"/>
  <c r="E1356" i="4"/>
  <c r="E1357" i="4"/>
  <c r="E1358" i="4"/>
  <c r="E1359" i="4"/>
  <c r="E1360" i="4"/>
  <c r="E1361" i="4"/>
  <c r="E1362" i="4"/>
  <c r="E1363" i="4"/>
  <c r="E1364" i="4"/>
  <c r="E1365" i="4"/>
  <c r="E1366" i="4"/>
  <c r="E1367" i="4"/>
  <c r="E1368" i="4"/>
  <c r="E1369" i="4"/>
  <c r="E1370" i="4"/>
  <c r="E1371" i="4"/>
  <c r="E1372" i="4"/>
  <c r="E1373" i="4"/>
  <c r="E1374" i="4"/>
  <c r="E1375" i="4"/>
  <c r="E1376" i="4"/>
  <c r="E1377" i="4"/>
  <c r="E1378" i="4"/>
  <c r="E1379" i="4"/>
  <c r="E1380" i="4"/>
  <c r="E1381" i="4"/>
  <c r="E1382" i="4"/>
  <c r="E1383" i="4"/>
  <c r="E1384" i="4"/>
  <c r="E1385" i="4"/>
  <c r="E1386" i="4"/>
  <c r="E1387" i="4"/>
  <c r="E1388" i="4"/>
  <c r="E1389" i="4"/>
  <c r="E1390" i="4"/>
  <c r="E1391" i="4"/>
  <c r="E1392" i="4"/>
  <c r="E1393" i="4"/>
  <c r="E1394" i="4"/>
  <c r="E1395" i="4"/>
  <c r="E1396" i="4"/>
  <c r="E1397" i="4"/>
  <c r="E1398" i="4"/>
  <c r="E1399" i="4"/>
  <c r="E1400" i="4"/>
  <c r="E1401" i="4"/>
  <c r="E1402" i="4"/>
  <c r="E1403" i="4"/>
  <c r="E1404" i="4"/>
  <c r="E1405" i="4"/>
  <c r="E1406" i="4"/>
  <c r="E1407" i="4"/>
  <c r="E1408" i="4"/>
  <c r="E1409" i="4"/>
  <c r="E1410" i="4"/>
  <c r="E1411" i="4"/>
  <c r="E1412" i="4"/>
  <c r="E1413" i="4"/>
  <c r="E1414" i="4"/>
  <c r="E1415" i="4"/>
  <c r="E1416" i="4"/>
  <c r="E1417" i="4"/>
  <c r="E1418" i="4"/>
  <c r="E1419" i="4"/>
  <c r="E1420" i="4"/>
  <c r="E1421" i="4"/>
  <c r="E1422" i="4"/>
  <c r="E1423" i="4"/>
  <c r="E1424" i="4"/>
  <c r="E1425" i="4"/>
  <c r="E1426" i="4"/>
  <c r="E1427" i="4"/>
  <c r="E1428" i="4"/>
  <c r="E1429" i="4"/>
  <c r="E1430" i="4"/>
  <c r="E1431" i="4"/>
  <c r="E1432" i="4"/>
  <c r="E1433" i="4"/>
  <c r="E1434" i="4"/>
  <c r="E1435" i="4"/>
  <c r="E1436" i="4"/>
  <c r="E1437" i="4"/>
  <c r="E1438" i="4"/>
  <c r="E1439" i="4"/>
  <c r="E1440" i="4"/>
  <c r="E1441" i="4"/>
  <c r="E1442" i="4"/>
  <c r="E1443" i="4"/>
  <c r="E1444" i="4"/>
  <c r="E1445" i="4"/>
  <c r="E1446" i="4"/>
  <c r="E1447" i="4"/>
  <c r="E1448" i="4"/>
  <c r="E1449" i="4"/>
  <c r="E1450" i="4"/>
  <c r="E1451" i="4"/>
  <c r="E1452" i="4"/>
  <c r="E1453" i="4"/>
  <c r="E1454" i="4"/>
  <c r="E1455" i="4"/>
  <c r="E1456" i="4"/>
  <c r="E1457" i="4"/>
  <c r="E1458" i="4"/>
  <c r="E1459" i="4"/>
  <c r="E1460" i="4"/>
  <c r="E1461" i="4"/>
  <c r="E1462" i="4"/>
  <c r="E1463" i="4"/>
  <c r="E1464" i="4"/>
  <c r="E1465" i="4"/>
  <c r="E1466" i="4"/>
  <c r="E1467" i="4"/>
  <c r="E1468" i="4"/>
  <c r="E1469" i="4"/>
  <c r="E1470" i="4"/>
  <c r="E1471" i="4"/>
  <c r="E1472" i="4"/>
  <c r="E1473" i="4"/>
  <c r="E1474" i="4"/>
  <c r="E1475" i="4"/>
  <c r="E1476" i="4"/>
  <c r="E1477" i="4"/>
  <c r="E1478" i="4"/>
  <c r="E1479" i="4"/>
  <c r="E1480" i="4"/>
  <c r="E1481" i="4"/>
  <c r="E1482" i="4"/>
  <c r="E1483" i="4"/>
  <c r="E1484" i="4"/>
  <c r="E1485" i="4"/>
  <c r="E1486" i="4"/>
  <c r="E1487" i="4"/>
  <c r="E1488" i="4"/>
  <c r="E1489" i="4"/>
  <c r="E1490" i="4"/>
  <c r="E1491" i="4"/>
  <c r="E1492" i="4"/>
  <c r="E1493" i="4"/>
  <c r="E1494" i="4"/>
  <c r="E1495" i="4"/>
  <c r="E1496" i="4"/>
  <c r="E1497" i="4"/>
  <c r="E1498" i="4"/>
  <c r="E1499" i="4"/>
  <c r="E1500" i="4"/>
  <c r="E1501" i="4"/>
  <c r="E1502" i="4"/>
  <c r="E1503" i="4"/>
  <c r="E1504" i="4"/>
  <c r="E1505" i="4"/>
  <c r="E1506" i="4"/>
  <c r="E1507" i="4"/>
  <c r="E1508" i="4"/>
  <c r="E1509" i="4"/>
  <c r="E1510" i="4"/>
  <c r="E1511" i="4"/>
  <c r="E1512" i="4"/>
  <c r="E1513" i="4"/>
  <c r="E1514" i="4"/>
  <c r="E1515" i="4"/>
  <c r="E1516" i="4"/>
  <c r="E1517" i="4"/>
  <c r="E1518" i="4"/>
  <c r="E1519" i="4"/>
  <c r="E1520" i="4"/>
  <c r="E1521" i="4"/>
  <c r="E1522" i="4"/>
  <c r="E1523" i="4"/>
  <c r="E1524" i="4"/>
  <c r="E1525" i="4"/>
  <c r="E1526" i="4"/>
  <c r="E1527" i="4"/>
  <c r="E1528" i="4"/>
  <c r="E1529" i="4"/>
  <c r="E1530" i="4"/>
  <c r="E1531" i="4"/>
  <c r="E1532" i="4"/>
  <c r="E1533" i="4"/>
  <c r="E1534" i="4"/>
  <c r="E1535" i="4"/>
  <c r="E1536" i="4"/>
  <c r="E1537" i="4"/>
  <c r="E1538" i="4"/>
  <c r="E1539" i="4"/>
  <c r="E1540" i="4"/>
  <c r="E1541" i="4"/>
  <c r="E1542" i="4"/>
  <c r="E1543" i="4"/>
  <c r="E1544" i="4"/>
  <c r="E1545" i="4"/>
  <c r="E1546" i="4"/>
  <c r="E1547" i="4"/>
  <c r="E1548" i="4"/>
  <c r="E1549" i="4"/>
  <c r="E1550" i="4"/>
  <c r="E1551" i="4"/>
  <c r="E1552" i="4"/>
  <c r="E1553" i="4"/>
  <c r="E1554" i="4"/>
  <c r="E1555" i="4"/>
  <c r="E1556" i="4"/>
  <c r="E1557" i="4"/>
  <c r="E1558" i="4"/>
  <c r="E1559" i="4"/>
  <c r="E1560" i="4"/>
  <c r="E1561" i="4"/>
  <c r="E1562" i="4"/>
  <c r="E1563" i="4"/>
  <c r="E1564" i="4"/>
  <c r="E1565" i="4"/>
  <c r="E1566" i="4"/>
  <c r="E1567" i="4"/>
  <c r="E1568" i="4"/>
  <c r="E1569" i="4"/>
  <c r="E1570" i="4"/>
  <c r="E1571" i="4"/>
  <c r="E1572" i="4"/>
  <c r="E1573" i="4"/>
  <c r="E1574" i="4"/>
  <c r="E1575" i="4"/>
  <c r="E1576" i="4"/>
  <c r="E1577" i="4"/>
  <c r="E1578" i="4"/>
  <c r="E1579" i="4"/>
  <c r="E1580" i="4"/>
  <c r="E1581" i="4"/>
  <c r="E1582" i="4"/>
  <c r="E1583" i="4"/>
  <c r="E1584" i="4"/>
  <c r="E1585" i="4"/>
  <c r="E1586" i="4"/>
  <c r="E1587" i="4"/>
  <c r="E1588" i="4"/>
  <c r="E1589" i="4"/>
  <c r="E1590" i="4"/>
  <c r="E1591" i="4"/>
  <c r="E1592" i="4"/>
  <c r="E1593" i="4"/>
  <c r="E1594" i="4"/>
  <c r="E1595" i="4"/>
  <c r="E1596" i="4"/>
  <c r="E1597" i="4"/>
  <c r="E1598" i="4"/>
  <c r="E1599" i="4"/>
  <c r="E1600" i="4"/>
  <c r="E1601" i="4"/>
  <c r="E1602" i="4"/>
  <c r="E1603" i="4"/>
  <c r="E1604" i="4"/>
  <c r="E1605" i="4"/>
  <c r="E1606" i="4"/>
  <c r="E1607" i="4"/>
  <c r="E1608" i="4"/>
  <c r="E1609" i="4"/>
  <c r="E1610" i="4"/>
  <c r="E1611" i="4"/>
  <c r="E1612" i="4"/>
  <c r="E1613" i="4"/>
  <c r="E1614" i="4"/>
  <c r="E1615" i="4"/>
  <c r="E1616" i="4"/>
  <c r="E1617" i="4"/>
  <c r="E1618" i="4"/>
  <c r="E1619" i="4"/>
  <c r="E1620" i="4"/>
  <c r="E1621" i="4"/>
  <c r="E1622" i="4"/>
  <c r="E1623" i="4"/>
  <c r="E1624" i="4"/>
  <c r="E1625" i="4"/>
  <c r="E1626" i="4"/>
  <c r="E1627" i="4"/>
  <c r="E1628" i="4"/>
  <c r="E1629" i="4"/>
  <c r="E1630" i="4"/>
  <c r="E1631" i="4"/>
  <c r="E1632" i="4"/>
  <c r="E1633" i="4"/>
  <c r="E1634" i="4"/>
  <c r="E1635" i="4"/>
  <c r="E1636" i="4"/>
  <c r="E1637" i="4"/>
  <c r="E1638" i="4"/>
  <c r="E1639" i="4"/>
  <c r="E1640" i="4"/>
  <c r="E1641" i="4"/>
  <c r="E1642" i="4"/>
  <c r="E1643" i="4"/>
  <c r="E1644" i="4"/>
  <c r="E1645" i="4"/>
  <c r="E1646" i="4"/>
  <c r="E1647" i="4"/>
  <c r="E1648" i="4"/>
  <c r="E1649" i="4"/>
  <c r="E1650" i="4"/>
  <c r="E1651" i="4"/>
  <c r="E1652" i="4"/>
  <c r="E1653" i="4"/>
  <c r="E1654" i="4"/>
  <c r="E1655" i="4"/>
  <c r="E1656" i="4"/>
  <c r="E1657" i="4"/>
  <c r="E1658" i="4"/>
  <c r="E1659" i="4"/>
  <c r="E1660" i="4"/>
  <c r="E1661" i="4"/>
  <c r="E1662" i="4"/>
  <c r="E1663" i="4"/>
  <c r="E1664" i="4"/>
  <c r="E1665" i="4"/>
  <c r="E1666" i="4"/>
  <c r="E1667" i="4"/>
  <c r="E1668" i="4"/>
  <c r="E1669" i="4"/>
  <c r="E1670" i="4"/>
  <c r="E1671" i="4"/>
  <c r="E1672" i="4"/>
  <c r="E1673" i="4"/>
  <c r="E1674" i="4"/>
  <c r="E1675" i="4"/>
  <c r="E1676" i="4"/>
  <c r="E1677" i="4"/>
  <c r="E1678" i="4"/>
  <c r="E1679" i="4"/>
  <c r="E1680" i="4"/>
  <c r="E1681" i="4"/>
  <c r="E1682" i="4"/>
  <c r="E1683" i="4"/>
  <c r="E1684" i="4"/>
  <c r="E1685" i="4"/>
  <c r="E1686" i="4"/>
  <c r="E1687" i="4"/>
  <c r="E1688" i="4"/>
  <c r="E1689" i="4"/>
  <c r="E1690" i="4"/>
  <c r="E1691" i="4"/>
  <c r="E1692" i="4"/>
  <c r="E1693" i="4"/>
  <c r="E1694" i="4"/>
  <c r="E1695" i="4"/>
  <c r="E1696" i="4"/>
  <c r="E1697" i="4"/>
  <c r="E1698" i="4"/>
  <c r="E1699" i="4"/>
  <c r="E1700" i="4"/>
  <c r="E1701" i="4"/>
  <c r="E1702" i="4"/>
  <c r="E1703" i="4"/>
  <c r="E1704" i="4"/>
  <c r="E1705" i="4"/>
  <c r="E1706" i="4"/>
  <c r="E1707" i="4"/>
  <c r="E1708" i="4"/>
  <c r="E1709" i="4"/>
  <c r="E1710" i="4"/>
  <c r="E1711" i="4"/>
  <c r="E1712" i="4"/>
  <c r="E1713" i="4"/>
  <c r="E1714" i="4"/>
  <c r="E1715" i="4"/>
  <c r="E1716" i="4"/>
  <c r="E1717" i="4"/>
  <c r="E1718" i="4"/>
  <c r="E1719" i="4"/>
  <c r="E1720" i="4"/>
  <c r="E1721" i="4"/>
  <c r="E1722" i="4"/>
  <c r="E1723" i="4"/>
  <c r="E1724" i="4"/>
  <c r="E1725" i="4"/>
  <c r="E1726" i="4"/>
  <c r="E1727" i="4"/>
  <c r="E1728" i="4"/>
  <c r="E1729" i="4"/>
  <c r="E1730" i="4"/>
  <c r="E1731" i="4"/>
  <c r="E1732" i="4"/>
  <c r="E1733" i="4"/>
  <c r="E1734" i="4"/>
  <c r="E1735" i="4"/>
  <c r="E1736" i="4"/>
  <c r="E1737" i="4"/>
  <c r="E1738" i="4"/>
  <c r="E1739" i="4"/>
  <c r="E1740" i="4"/>
  <c r="E1741" i="4"/>
  <c r="E1742" i="4"/>
  <c r="E1743" i="4"/>
  <c r="E1744" i="4"/>
  <c r="E1745" i="4"/>
  <c r="E1746" i="4"/>
  <c r="E1747" i="4"/>
  <c r="E1748" i="4"/>
  <c r="E1749" i="4"/>
  <c r="E1750" i="4"/>
  <c r="E1751" i="4"/>
  <c r="E1752" i="4"/>
  <c r="E1753" i="4"/>
  <c r="E1754" i="4"/>
  <c r="E1755" i="4"/>
  <c r="E1756" i="4"/>
  <c r="E1757" i="4"/>
  <c r="E1758" i="4"/>
  <c r="E1759" i="4"/>
  <c r="E1760" i="4"/>
  <c r="E1761" i="4"/>
  <c r="E1762" i="4"/>
  <c r="E1763" i="4"/>
  <c r="E1764" i="4"/>
  <c r="E1765" i="4"/>
  <c r="E1766" i="4"/>
  <c r="E1767" i="4"/>
  <c r="E1768" i="4"/>
  <c r="E1769" i="4"/>
  <c r="E1770" i="4"/>
  <c r="E1771" i="4"/>
  <c r="E1772" i="4"/>
  <c r="E1773" i="4"/>
  <c r="E1774" i="4"/>
  <c r="E1775" i="4"/>
  <c r="E1776" i="4"/>
  <c r="E1777" i="4"/>
  <c r="E1778" i="4"/>
  <c r="E1779" i="4"/>
  <c r="E1780" i="4"/>
  <c r="E1781" i="4"/>
  <c r="E1782" i="4"/>
  <c r="E1783" i="4"/>
  <c r="E1784" i="4"/>
  <c r="E1785" i="4"/>
  <c r="E1786" i="4"/>
  <c r="E1787" i="4"/>
  <c r="E1788" i="4"/>
  <c r="E1789" i="4"/>
  <c r="E1790" i="4"/>
  <c r="E1791" i="4"/>
  <c r="E1792" i="4"/>
  <c r="E1793" i="4"/>
  <c r="E1794" i="4"/>
  <c r="E1795" i="4"/>
  <c r="E1796" i="4"/>
  <c r="E1797" i="4"/>
  <c r="E1798" i="4"/>
  <c r="E1799" i="4"/>
  <c r="E1800" i="4"/>
  <c r="E1801" i="4"/>
  <c r="E1802" i="4"/>
  <c r="E1803" i="4"/>
  <c r="E1804" i="4"/>
  <c r="E1805" i="4"/>
  <c r="E1806" i="4"/>
  <c r="E1807" i="4"/>
  <c r="E1808" i="4"/>
  <c r="E1809" i="4"/>
  <c r="E1810" i="4"/>
  <c r="E1811" i="4"/>
  <c r="E1812" i="4"/>
  <c r="E1813" i="4"/>
  <c r="E1814" i="4"/>
  <c r="E1815" i="4"/>
  <c r="E1816" i="4"/>
  <c r="E1817" i="4"/>
  <c r="E1818" i="4"/>
  <c r="E1819" i="4"/>
  <c r="E1820" i="4"/>
  <c r="E1821" i="4"/>
  <c r="E1822" i="4"/>
  <c r="E1823" i="4"/>
  <c r="E1824" i="4"/>
  <c r="E1825" i="4"/>
  <c r="E1826" i="4"/>
  <c r="E1827" i="4"/>
  <c r="E1828" i="4"/>
  <c r="E1829" i="4"/>
  <c r="E1830" i="4"/>
  <c r="E1831" i="4"/>
  <c r="E1832" i="4"/>
  <c r="E1833" i="4"/>
  <c r="E1834" i="4"/>
  <c r="E1835" i="4"/>
  <c r="E1836" i="4"/>
  <c r="E1837" i="4"/>
  <c r="E1838" i="4"/>
  <c r="E1839" i="4"/>
  <c r="E1840" i="4"/>
  <c r="E1841" i="4"/>
  <c r="E1842" i="4"/>
  <c r="E1843" i="4"/>
  <c r="E1844" i="4"/>
  <c r="E1845" i="4"/>
  <c r="E1846" i="4"/>
  <c r="E1847" i="4"/>
  <c r="E1848" i="4"/>
  <c r="E1849" i="4"/>
  <c r="E1850" i="4"/>
  <c r="E1851" i="4"/>
  <c r="E1852" i="4"/>
  <c r="E1853" i="4"/>
  <c r="E1854" i="4"/>
  <c r="E1855" i="4"/>
  <c r="E1856" i="4"/>
  <c r="E1857" i="4"/>
  <c r="E1858" i="4"/>
  <c r="E1859" i="4"/>
  <c r="E1860" i="4"/>
  <c r="E1861" i="4"/>
  <c r="E1862" i="4"/>
  <c r="E1863" i="4"/>
  <c r="E1864" i="4"/>
  <c r="E1865" i="4"/>
  <c r="E1866" i="4"/>
  <c r="E1867" i="4"/>
  <c r="E1868" i="4"/>
  <c r="E1869" i="4"/>
  <c r="E1870" i="4"/>
  <c r="E1871" i="4"/>
  <c r="E1872" i="4"/>
  <c r="E1873" i="4"/>
  <c r="E1874" i="4"/>
  <c r="E1875" i="4"/>
  <c r="E1876" i="4"/>
  <c r="E1877" i="4"/>
  <c r="E1878" i="4"/>
  <c r="E1879" i="4"/>
  <c r="E1880" i="4"/>
  <c r="E1881" i="4"/>
  <c r="E1882" i="4"/>
  <c r="E1883" i="4"/>
  <c r="E1884" i="4"/>
  <c r="E1885" i="4"/>
  <c r="E1886" i="4"/>
  <c r="E1887" i="4"/>
  <c r="E1888" i="4"/>
  <c r="E1889" i="4"/>
  <c r="E1890" i="4"/>
  <c r="E1891" i="4"/>
  <c r="E1892" i="4"/>
  <c r="E1893" i="4"/>
  <c r="E1894" i="4"/>
  <c r="E1895" i="4"/>
  <c r="E1896" i="4"/>
  <c r="E1897" i="4"/>
  <c r="E1898" i="4"/>
  <c r="E1899" i="4"/>
  <c r="E1900" i="4"/>
  <c r="E1901" i="4"/>
  <c r="E1902" i="4"/>
  <c r="E1903" i="4"/>
  <c r="E1904" i="4"/>
  <c r="E1905" i="4"/>
  <c r="E1906" i="4"/>
  <c r="E1907" i="4"/>
  <c r="E1908" i="4"/>
  <c r="E1909" i="4"/>
  <c r="E1910" i="4"/>
  <c r="E1911" i="4"/>
  <c r="E1912" i="4"/>
  <c r="E1913" i="4"/>
  <c r="E1914" i="4"/>
  <c r="E1915" i="4"/>
  <c r="E1916" i="4"/>
  <c r="E1917" i="4"/>
  <c r="E1918" i="4"/>
  <c r="E1919" i="4"/>
  <c r="E1920" i="4"/>
  <c r="E1921" i="4"/>
  <c r="E1922" i="4"/>
  <c r="E1923" i="4"/>
  <c r="E1924" i="4"/>
  <c r="E1925" i="4"/>
  <c r="E1926" i="4"/>
  <c r="E1927" i="4"/>
  <c r="E1928" i="4"/>
  <c r="E1929" i="4"/>
  <c r="E1930" i="4"/>
  <c r="E1931" i="4"/>
  <c r="E1932" i="4"/>
  <c r="E1933" i="4"/>
  <c r="E1934" i="4"/>
  <c r="E1935" i="4"/>
  <c r="E1936" i="4"/>
  <c r="E1937" i="4"/>
  <c r="E1938" i="4"/>
  <c r="E1939" i="4"/>
  <c r="E1940" i="4"/>
  <c r="E1941" i="4"/>
  <c r="E1942" i="4"/>
  <c r="E1943" i="4"/>
  <c r="E1944" i="4"/>
  <c r="E1945" i="4"/>
  <c r="E1946" i="4"/>
  <c r="E1947" i="4"/>
  <c r="E1948" i="4"/>
  <c r="E1949" i="4"/>
  <c r="E1950" i="4"/>
  <c r="E1951" i="4"/>
  <c r="E1952" i="4"/>
  <c r="E1953" i="4"/>
  <c r="E1954" i="4"/>
  <c r="E1955" i="4"/>
  <c r="E1956" i="4"/>
  <c r="E1957" i="4"/>
  <c r="E1958" i="4"/>
  <c r="E1959" i="4"/>
  <c r="E1960" i="4"/>
  <c r="E1961" i="4"/>
  <c r="E1962" i="4"/>
  <c r="E1963" i="4"/>
  <c r="E1964" i="4"/>
  <c r="E1965" i="4"/>
  <c r="E1966" i="4"/>
  <c r="E1967" i="4"/>
  <c r="E1968" i="4"/>
  <c r="E1969" i="4"/>
  <c r="E1970" i="4"/>
  <c r="E1971" i="4"/>
  <c r="E1972" i="4"/>
  <c r="E1973" i="4"/>
  <c r="E1974" i="4"/>
  <c r="E1975" i="4"/>
  <c r="E1976" i="4"/>
  <c r="E1977" i="4"/>
  <c r="E1978" i="4"/>
  <c r="E1979" i="4"/>
  <c r="E1980" i="4"/>
  <c r="E1981" i="4"/>
  <c r="E1982" i="4"/>
  <c r="E1983" i="4"/>
  <c r="E1984" i="4"/>
  <c r="E1985" i="4"/>
  <c r="E1986" i="4"/>
  <c r="E1987" i="4"/>
  <c r="E1988" i="4"/>
  <c r="E1989" i="4"/>
  <c r="E1990" i="4"/>
  <c r="E1991" i="4"/>
  <c r="E1992" i="4"/>
  <c r="E1993" i="4"/>
  <c r="E1994" i="4"/>
  <c r="E1995" i="4"/>
  <c r="E1996" i="4"/>
  <c r="E1997" i="4"/>
  <c r="E1998" i="4"/>
  <c r="E1999" i="4"/>
  <c r="E2000" i="4"/>
  <c r="E2001" i="4"/>
  <c r="E2002" i="4"/>
  <c r="E2003" i="4"/>
  <c r="E2004" i="4"/>
  <c r="E2005" i="4"/>
  <c r="E2006" i="4"/>
  <c r="E2007" i="4"/>
  <c r="E2008" i="4"/>
  <c r="E2009" i="4"/>
  <c r="E2010" i="4"/>
  <c r="E2011" i="4"/>
  <c r="E2012" i="4"/>
  <c r="E2013" i="4"/>
  <c r="E2014" i="4"/>
  <c r="E2015" i="4"/>
  <c r="E2016" i="4"/>
  <c r="E2017" i="4"/>
  <c r="E2018" i="4"/>
  <c r="E2019" i="4"/>
  <c r="E2020" i="4"/>
  <c r="E2021" i="4"/>
  <c r="E2022" i="4"/>
  <c r="E2023" i="4"/>
  <c r="E2024" i="4"/>
  <c r="E2025" i="4"/>
  <c r="E2026" i="4"/>
  <c r="E2027" i="4"/>
  <c r="E2028" i="4"/>
  <c r="E2029" i="4"/>
  <c r="E2030" i="4"/>
  <c r="E2031" i="4"/>
  <c r="E2032" i="4"/>
  <c r="E2033" i="4"/>
  <c r="E2034" i="4"/>
  <c r="E2035" i="4"/>
  <c r="E2036" i="4"/>
  <c r="E2037" i="4"/>
  <c r="E2038" i="4"/>
  <c r="E2039" i="4"/>
  <c r="E2040" i="4"/>
  <c r="E2041" i="4"/>
  <c r="E2042" i="4"/>
  <c r="E2043" i="4"/>
  <c r="E2044" i="4"/>
  <c r="E2045" i="4"/>
  <c r="E2046" i="4"/>
  <c r="E2047" i="4"/>
  <c r="E2048" i="4"/>
  <c r="E2049" i="4"/>
  <c r="E2050" i="4"/>
  <c r="E2051" i="4"/>
  <c r="E2052" i="4"/>
  <c r="E2053" i="4"/>
  <c r="E2054" i="4"/>
  <c r="E2055" i="4"/>
  <c r="E2056" i="4"/>
  <c r="E2057" i="4"/>
  <c r="E2058" i="4"/>
  <c r="E2059" i="4"/>
  <c r="E2060" i="4"/>
  <c r="E2061" i="4"/>
  <c r="E2062" i="4"/>
  <c r="E2063" i="4"/>
  <c r="E2064" i="4"/>
  <c r="E2065" i="4"/>
  <c r="E2066" i="4"/>
  <c r="F88" i="5" s="1"/>
  <c r="E2067" i="4"/>
  <c r="E2068" i="4"/>
  <c r="E2069" i="4"/>
  <c r="E2070" i="4"/>
  <c r="E2071" i="4"/>
  <c r="E2072" i="4"/>
  <c r="E2073" i="4"/>
  <c r="E2074" i="4"/>
  <c r="E2075" i="4"/>
  <c r="E2076" i="4"/>
  <c r="E2077" i="4"/>
  <c r="E2078" i="4"/>
  <c r="E2079" i="4"/>
  <c r="E2080" i="4"/>
  <c r="E2081" i="4"/>
  <c r="E2082" i="4"/>
  <c r="E2083" i="4"/>
  <c r="E2084" i="4"/>
  <c r="E2085" i="4"/>
  <c r="E2086" i="4"/>
  <c r="E2087" i="4"/>
  <c r="E2088" i="4"/>
  <c r="E2089" i="4"/>
  <c r="E2090" i="4"/>
  <c r="F89" i="5" s="1"/>
  <c r="E2091" i="4"/>
  <c r="E2092" i="4"/>
  <c r="E2093" i="4"/>
  <c r="E2094" i="4"/>
  <c r="E2095" i="4"/>
  <c r="E2096" i="4"/>
  <c r="E2097" i="4"/>
  <c r="E2098" i="4"/>
  <c r="E2099" i="4"/>
  <c r="E2100" i="4"/>
  <c r="E2101" i="4"/>
  <c r="E2102" i="4"/>
  <c r="E2103" i="4"/>
  <c r="E2104" i="4"/>
  <c r="E2105" i="4"/>
  <c r="E2106" i="4"/>
  <c r="E2107" i="4"/>
  <c r="E2108" i="4"/>
  <c r="E2109" i="4"/>
  <c r="E2110" i="4"/>
  <c r="E2111" i="4"/>
  <c r="E2112" i="4"/>
  <c r="E2113" i="4"/>
  <c r="E2114" i="4"/>
  <c r="E2115" i="4"/>
  <c r="E2116" i="4"/>
  <c r="E2117" i="4"/>
  <c r="E2118" i="4"/>
  <c r="E2119" i="4"/>
  <c r="E2120" i="4"/>
  <c r="E2121" i="4"/>
  <c r="E2122" i="4"/>
  <c r="E2123" i="4"/>
  <c r="E2124" i="4"/>
  <c r="E2125" i="4"/>
  <c r="E2126" i="4"/>
  <c r="E2127" i="4"/>
  <c r="E2128" i="4"/>
  <c r="E2129" i="4"/>
  <c r="E2130" i="4"/>
  <c r="E2131" i="4"/>
  <c r="E2132" i="4"/>
  <c r="E2133" i="4"/>
  <c r="E2134" i="4"/>
  <c r="E2135" i="4"/>
  <c r="E2136" i="4"/>
  <c r="E2137" i="4"/>
  <c r="E2138" i="4"/>
  <c r="F91" i="5" s="1"/>
  <c r="E2139" i="4"/>
  <c r="E2140" i="4"/>
  <c r="E2141" i="4"/>
  <c r="E2142" i="4"/>
  <c r="E2143" i="4"/>
  <c r="E2144" i="4"/>
  <c r="E2145" i="4"/>
  <c r="E2146" i="4"/>
  <c r="E2147" i="4"/>
  <c r="E2148" i="4"/>
  <c r="E2149" i="4"/>
  <c r="E2150" i="4"/>
  <c r="E2151" i="4"/>
  <c r="E2152" i="4"/>
  <c r="E2153" i="4"/>
  <c r="E2154" i="4"/>
  <c r="E2155" i="4"/>
  <c r="E2156" i="4"/>
  <c r="E2157" i="4"/>
  <c r="E2158" i="4"/>
  <c r="E2159" i="4"/>
  <c r="E2160" i="4"/>
  <c r="E2161" i="4"/>
  <c r="E2162" i="4"/>
  <c r="F92" i="5" s="1"/>
  <c r="E2163" i="4"/>
  <c r="E2164" i="4"/>
  <c r="E2165" i="4"/>
  <c r="E2166" i="4"/>
  <c r="E2167" i="4"/>
  <c r="E2168" i="4"/>
  <c r="E2169" i="4"/>
  <c r="E2170" i="4"/>
  <c r="E2171" i="4"/>
  <c r="E2172" i="4"/>
  <c r="E2173" i="4"/>
  <c r="E2174" i="4"/>
  <c r="E2175" i="4"/>
  <c r="E2176" i="4"/>
  <c r="E2177" i="4"/>
  <c r="E2178" i="4"/>
  <c r="E2179" i="4"/>
  <c r="E2180" i="4"/>
  <c r="E2181" i="4"/>
  <c r="E2182" i="4"/>
  <c r="E2183" i="4"/>
  <c r="E2184" i="4"/>
  <c r="E2185" i="4"/>
  <c r="E2186" i="4"/>
  <c r="F93" i="5" s="1"/>
  <c r="E2187" i="4"/>
  <c r="E2188" i="4"/>
  <c r="E2189" i="4"/>
  <c r="E2190" i="4"/>
  <c r="E2191" i="4"/>
  <c r="E2192" i="4"/>
  <c r="E2193" i="4"/>
  <c r="E2194" i="4"/>
  <c r="E2195" i="4"/>
  <c r="E2196" i="4"/>
  <c r="E2197" i="4"/>
  <c r="E2198" i="4"/>
  <c r="E2199" i="4"/>
  <c r="E2200" i="4"/>
  <c r="E2201" i="4"/>
  <c r="E2202" i="4"/>
  <c r="E2203" i="4"/>
  <c r="E2204" i="4"/>
  <c r="E2205" i="4"/>
  <c r="E2206" i="4"/>
  <c r="E2207" i="4"/>
  <c r="E2208" i="4"/>
  <c r="E2209" i="4"/>
  <c r="E2" i="4"/>
  <c r="F2" i="5" s="1"/>
  <c r="D3" i="4"/>
  <c r="D4" i="4"/>
  <c r="D5" i="4"/>
  <c r="D6" i="4"/>
  <c r="D7" i="4"/>
  <c r="D8" i="4"/>
  <c r="D9" i="4"/>
  <c r="D10" i="4"/>
  <c r="D11" i="4"/>
  <c r="D12" i="4"/>
  <c r="D13" i="4"/>
  <c r="D14" i="4"/>
  <c r="D15" i="4"/>
  <c r="D16" i="4"/>
  <c r="D17" i="4"/>
  <c r="D18" i="4"/>
  <c r="D19" i="4"/>
  <c r="D20" i="4"/>
  <c r="D21" i="4"/>
  <c r="D22" i="4"/>
  <c r="D23" i="4"/>
  <c r="D24" i="4"/>
  <c r="D25" i="4"/>
  <c r="D26" i="4"/>
  <c r="D27" i="4"/>
  <c r="D28" i="4"/>
  <c r="D29" i="4"/>
  <c r="D30" i="4"/>
  <c r="D31" i="4"/>
  <c r="D32" i="4"/>
  <c r="D33" i="4"/>
  <c r="D34" i="4"/>
  <c r="D35" i="4"/>
  <c r="D36" i="4"/>
  <c r="D37" i="4"/>
  <c r="D38" i="4"/>
  <c r="D39" i="4"/>
  <c r="D40" i="4"/>
  <c r="D41" i="4"/>
  <c r="D42" i="4"/>
  <c r="D43" i="4"/>
  <c r="D44" i="4"/>
  <c r="D45" i="4"/>
  <c r="D46" i="4"/>
  <c r="D47" i="4"/>
  <c r="D48" i="4"/>
  <c r="D49" i="4"/>
  <c r="D50" i="4"/>
  <c r="D51" i="4"/>
  <c r="D52" i="4"/>
  <c r="D53" i="4"/>
  <c r="D54" i="4"/>
  <c r="D55" i="4"/>
  <c r="D56" i="4"/>
  <c r="D57" i="4"/>
  <c r="D58" i="4"/>
  <c r="D59" i="4"/>
  <c r="D60" i="4"/>
  <c r="D61" i="4"/>
  <c r="D62" i="4"/>
  <c r="D63" i="4"/>
  <c r="D64" i="4"/>
  <c r="D65" i="4"/>
  <c r="D66" i="4"/>
  <c r="D67" i="4"/>
  <c r="D68" i="4"/>
  <c r="D69" i="4"/>
  <c r="D70" i="4"/>
  <c r="D71" i="4"/>
  <c r="D72" i="4"/>
  <c r="D73" i="4"/>
  <c r="D74" i="4"/>
  <c r="D75" i="4"/>
  <c r="D76" i="4"/>
  <c r="D77" i="4"/>
  <c r="D78" i="4"/>
  <c r="D79" i="4"/>
  <c r="D80" i="4"/>
  <c r="D81" i="4"/>
  <c r="D82" i="4"/>
  <c r="D83" i="4"/>
  <c r="D84" i="4"/>
  <c r="D85" i="4"/>
  <c r="D86" i="4"/>
  <c r="D87" i="4"/>
  <c r="D88" i="4"/>
  <c r="D89" i="4"/>
  <c r="D90" i="4"/>
  <c r="D91" i="4"/>
  <c r="D92" i="4"/>
  <c r="D93" i="4"/>
  <c r="D94" i="4"/>
  <c r="D95" i="4"/>
  <c r="D96" i="4"/>
  <c r="D97" i="4"/>
  <c r="D98" i="4"/>
  <c r="D99" i="4"/>
  <c r="D100" i="4"/>
  <c r="D101" i="4"/>
  <c r="D102" i="4"/>
  <c r="D103" i="4"/>
  <c r="D104" i="4"/>
  <c r="D105" i="4"/>
  <c r="D106" i="4"/>
  <c r="D107" i="4"/>
  <c r="D108" i="4"/>
  <c r="D109" i="4"/>
  <c r="D110" i="4"/>
  <c r="D111" i="4"/>
  <c r="D112" i="4"/>
  <c r="D113" i="4"/>
  <c r="D114" i="4"/>
  <c r="D115" i="4"/>
  <c r="D116" i="4"/>
  <c r="D117" i="4"/>
  <c r="D118" i="4"/>
  <c r="D119" i="4"/>
  <c r="D120" i="4"/>
  <c r="D121" i="4"/>
  <c r="D122" i="4"/>
  <c r="D123" i="4"/>
  <c r="D124" i="4"/>
  <c r="D125" i="4"/>
  <c r="D126" i="4"/>
  <c r="D127" i="4"/>
  <c r="D128" i="4"/>
  <c r="D129" i="4"/>
  <c r="D130" i="4"/>
  <c r="D131" i="4"/>
  <c r="D132" i="4"/>
  <c r="D133" i="4"/>
  <c r="D134" i="4"/>
  <c r="D135" i="4"/>
  <c r="D136" i="4"/>
  <c r="D137" i="4"/>
  <c r="D138" i="4"/>
  <c r="D139" i="4"/>
  <c r="D140" i="4"/>
  <c r="D141" i="4"/>
  <c r="D142" i="4"/>
  <c r="D143" i="4"/>
  <c r="D144" i="4"/>
  <c r="D145" i="4"/>
  <c r="D146" i="4"/>
  <c r="D147" i="4"/>
  <c r="D148" i="4"/>
  <c r="D149" i="4"/>
  <c r="D150" i="4"/>
  <c r="D151" i="4"/>
  <c r="D152" i="4"/>
  <c r="D153" i="4"/>
  <c r="D154" i="4"/>
  <c r="D155" i="4"/>
  <c r="D156" i="4"/>
  <c r="D157" i="4"/>
  <c r="D158" i="4"/>
  <c r="D159" i="4"/>
  <c r="D160" i="4"/>
  <c r="D161" i="4"/>
  <c r="D162" i="4"/>
  <c r="D163" i="4"/>
  <c r="D164" i="4"/>
  <c r="D165" i="4"/>
  <c r="D166" i="4"/>
  <c r="D167" i="4"/>
  <c r="D168" i="4"/>
  <c r="D169" i="4"/>
  <c r="D170" i="4"/>
  <c r="D171" i="4"/>
  <c r="D172" i="4"/>
  <c r="D173" i="4"/>
  <c r="D174" i="4"/>
  <c r="D175" i="4"/>
  <c r="D176" i="4"/>
  <c r="D177" i="4"/>
  <c r="D178" i="4"/>
  <c r="D179" i="4"/>
  <c r="D180" i="4"/>
  <c r="D181" i="4"/>
  <c r="D182" i="4"/>
  <c r="D183" i="4"/>
  <c r="D184" i="4"/>
  <c r="D185" i="4"/>
  <c r="D186" i="4"/>
  <c r="D187" i="4"/>
  <c r="D188" i="4"/>
  <c r="D189" i="4"/>
  <c r="D190" i="4"/>
  <c r="D191" i="4"/>
  <c r="D192" i="4"/>
  <c r="D193" i="4"/>
  <c r="D194" i="4"/>
  <c r="D195" i="4"/>
  <c r="D196" i="4"/>
  <c r="D197" i="4"/>
  <c r="D198" i="4"/>
  <c r="D199" i="4"/>
  <c r="D200" i="4"/>
  <c r="D201" i="4"/>
  <c r="D202" i="4"/>
  <c r="D203" i="4"/>
  <c r="D204" i="4"/>
  <c r="D205" i="4"/>
  <c r="D206" i="4"/>
  <c r="D207" i="4"/>
  <c r="D208" i="4"/>
  <c r="D209" i="4"/>
  <c r="D210" i="4"/>
  <c r="D211" i="4"/>
  <c r="D212" i="4"/>
  <c r="D213" i="4"/>
  <c r="D214" i="4"/>
  <c r="D215" i="4"/>
  <c r="D216" i="4"/>
  <c r="D217" i="4"/>
  <c r="D218" i="4"/>
  <c r="D219" i="4"/>
  <c r="D220" i="4"/>
  <c r="D221" i="4"/>
  <c r="D222" i="4"/>
  <c r="D223" i="4"/>
  <c r="D224" i="4"/>
  <c r="D225" i="4"/>
  <c r="D226" i="4"/>
  <c r="D227" i="4"/>
  <c r="D228" i="4"/>
  <c r="D229" i="4"/>
  <c r="D230" i="4"/>
  <c r="D231" i="4"/>
  <c r="D232" i="4"/>
  <c r="D233" i="4"/>
  <c r="D234" i="4"/>
  <c r="D235" i="4"/>
  <c r="D236" i="4"/>
  <c r="D237" i="4"/>
  <c r="D238" i="4"/>
  <c r="D239" i="4"/>
  <c r="D240" i="4"/>
  <c r="D241" i="4"/>
  <c r="D242" i="4"/>
  <c r="D243" i="4"/>
  <c r="D244" i="4"/>
  <c r="D245" i="4"/>
  <c r="D246" i="4"/>
  <c r="D247" i="4"/>
  <c r="D248" i="4"/>
  <c r="D249" i="4"/>
  <c r="D250" i="4"/>
  <c r="D251" i="4"/>
  <c r="D252" i="4"/>
  <c r="D253" i="4"/>
  <c r="D254" i="4"/>
  <c r="D255" i="4"/>
  <c r="D256" i="4"/>
  <c r="D257" i="4"/>
  <c r="D258" i="4"/>
  <c r="D259" i="4"/>
  <c r="D260" i="4"/>
  <c r="D261" i="4"/>
  <c r="D262" i="4"/>
  <c r="D263" i="4"/>
  <c r="D264" i="4"/>
  <c r="D265" i="4"/>
  <c r="D266" i="4"/>
  <c r="D267" i="4"/>
  <c r="D268" i="4"/>
  <c r="D269" i="4"/>
  <c r="D270" i="4"/>
  <c r="D271" i="4"/>
  <c r="D272" i="4"/>
  <c r="D273" i="4"/>
  <c r="D274" i="4"/>
  <c r="D275" i="4"/>
  <c r="D276" i="4"/>
  <c r="D277" i="4"/>
  <c r="D278" i="4"/>
  <c r="D279" i="4"/>
  <c r="D280" i="4"/>
  <c r="D281" i="4"/>
  <c r="D282" i="4"/>
  <c r="D283" i="4"/>
  <c r="D284" i="4"/>
  <c r="D285" i="4"/>
  <c r="D286" i="4"/>
  <c r="D287" i="4"/>
  <c r="D288" i="4"/>
  <c r="D289" i="4"/>
  <c r="D290" i="4"/>
  <c r="D291" i="4"/>
  <c r="D292" i="4"/>
  <c r="D293" i="4"/>
  <c r="D294" i="4"/>
  <c r="D295" i="4"/>
  <c r="D296" i="4"/>
  <c r="D297" i="4"/>
  <c r="D298" i="4"/>
  <c r="D299" i="4"/>
  <c r="D300" i="4"/>
  <c r="D301" i="4"/>
  <c r="D302" i="4"/>
  <c r="D303" i="4"/>
  <c r="D304" i="4"/>
  <c r="D305" i="4"/>
  <c r="D306" i="4"/>
  <c r="D307" i="4"/>
  <c r="D308" i="4"/>
  <c r="D309" i="4"/>
  <c r="D310" i="4"/>
  <c r="D311" i="4"/>
  <c r="D312" i="4"/>
  <c r="D313" i="4"/>
  <c r="D314" i="4"/>
  <c r="D315" i="4"/>
  <c r="D316" i="4"/>
  <c r="D317" i="4"/>
  <c r="D318" i="4"/>
  <c r="D319" i="4"/>
  <c r="D320" i="4"/>
  <c r="D321" i="4"/>
  <c r="D322" i="4"/>
  <c r="D323" i="4"/>
  <c r="D324" i="4"/>
  <c r="D325" i="4"/>
  <c r="D326" i="4"/>
  <c r="D327" i="4"/>
  <c r="D328" i="4"/>
  <c r="D329" i="4"/>
  <c r="D330" i="4"/>
  <c r="D331" i="4"/>
  <c r="D332" i="4"/>
  <c r="D333" i="4"/>
  <c r="D334" i="4"/>
  <c r="D335" i="4"/>
  <c r="D336" i="4"/>
  <c r="D337" i="4"/>
  <c r="D338" i="4"/>
  <c r="D339" i="4"/>
  <c r="D340" i="4"/>
  <c r="D341" i="4"/>
  <c r="D342" i="4"/>
  <c r="D343" i="4"/>
  <c r="D344" i="4"/>
  <c r="D345" i="4"/>
  <c r="D346" i="4"/>
  <c r="D347" i="4"/>
  <c r="D348" i="4"/>
  <c r="D349" i="4"/>
  <c r="D350" i="4"/>
  <c r="D351" i="4"/>
  <c r="D352" i="4"/>
  <c r="D353" i="4"/>
  <c r="D354" i="4"/>
  <c r="D355" i="4"/>
  <c r="D356" i="4"/>
  <c r="D357" i="4"/>
  <c r="D358" i="4"/>
  <c r="D359" i="4"/>
  <c r="D360" i="4"/>
  <c r="D361" i="4"/>
  <c r="D362" i="4"/>
  <c r="D363" i="4"/>
  <c r="D364" i="4"/>
  <c r="D365" i="4"/>
  <c r="D366" i="4"/>
  <c r="D367" i="4"/>
  <c r="D368" i="4"/>
  <c r="D369" i="4"/>
  <c r="D370" i="4"/>
  <c r="D371" i="4"/>
  <c r="D372" i="4"/>
  <c r="D373" i="4"/>
  <c r="D374" i="4"/>
  <c r="D375" i="4"/>
  <c r="D376" i="4"/>
  <c r="D377" i="4"/>
  <c r="D378" i="4"/>
  <c r="D379" i="4"/>
  <c r="D380" i="4"/>
  <c r="D381" i="4"/>
  <c r="D382" i="4"/>
  <c r="D383" i="4"/>
  <c r="D384" i="4"/>
  <c r="D385" i="4"/>
  <c r="D386" i="4"/>
  <c r="D387" i="4"/>
  <c r="D388" i="4"/>
  <c r="D389" i="4"/>
  <c r="D390" i="4"/>
  <c r="D391" i="4"/>
  <c r="D392" i="4"/>
  <c r="D393" i="4"/>
  <c r="D394" i="4"/>
  <c r="D395" i="4"/>
  <c r="D396" i="4"/>
  <c r="D397" i="4"/>
  <c r="D398" i="4"/>
  <c r="D399" i="4"/>
  <c r="D400" i="4"/>
  <c r="D401" i="4"/>
  <c r="D402" i="4"/>
  <c r="D403" i="4"/>
  <c r="D404" i="4"/>
  <c r="D405" i="4"/>
  <c r="D406" i="4"/>
  <c r="D407" i="4"/>
  <c r="D408" i="4"/>
  <c r="D409" i="4"/>
  <c r="D410" i="4"/>
  <c r="D411" i="4"/>
  <c r="D412" i="4"/>
  <c r="D413" i="4"/>
  <c r="D414" i="4"/>
  <c r="D415" i="4"/>
  <c r="D416" i="4"/>
  <c r="D417" i="4"/>
  <c r="D418" i="4"/>
  <c r="D419" i="4"/>
  <c r="D420" i="4"/>
  <c r="D421" i="4"/>
  <c r="D422" i="4"/>
  <c r="D423" i="4"/>
  <c r="D424" i="4"/>
  <c r="D425" i="4"/>
  <c r="D426" i="4"/>
  <c r="D427" i="4"/>
  <c r="D428" i="4"/>
  <c r="D429" i="4"/>
  <c r="D430" i="4"/>
  <c r="D431" i="4"/>
  <c r="D432" i="4"/>
  <c r="D433" i="4"/>
  <c r="D434" i="4"/>
  <c r="D435" i="4"/>
  <c r="D436" i="4"/>
  <c r="D437" i="4"/>
  <c r="D438" i="4"/>
  <c r="D439" i="4"/>
  <c r="D440" i="4"/>
  <c r="D441" i="4"/>
  <c r="D442" i="4"/>
  <c r="D443" i="4"/>
  <c r="D444" i="4"/>
  <c r="D445" i="4"/>
  <c r="D446" i="4"/>
  <c r="D447" i="4"/>
  <c r="D448" i="4"/>
  <c r="D449" i="4"/>
  <c r="D450" i="4"/>
  <c r="D451" i="4"/>
  <c r="D452" i="4"/>
  <c r="D453" i="4"/>
  <c r="D454" i="4"/>
  <c r="D455" i="4"/>
  <c r="D456" i="4"/>
  <c r="D457" i="4"/>
  <c r="D458" i="4"/>
  <c r="D459" i="4"/>
  <c r="D460" i="4"/>
  <c r="D461" i="4"/>
  <c r="D462" i="4"/>
  <c r="D463" i="4"/>
  <c r="D464" i="4"/>
  <c r="D465" i="4"/>
  <c r="D466" i="4"/>
  <c r="D467" i="4"/>
  <c r="D468" i="4"/>
  <c r="D469" i="4"/>
  <c r="D470" i="4"/>
  <c r="D471" i="4"/>
  <c r="D472" i="4"/>
  <c r="D473" i="4"/>
  <c r="D474" i="4"/>
  <c r="D475" i="4"/>
  <c r="D476" i="4"/>
  <c r="D477" i="4"/>
  <c r="D478" i="4"/>
  <c r="D479" i="4"/>
  <c r="D480" i="4"/>
  <c r="D481" i="4"/>
  <c r="D482" i="4"/>
  <c r="D483" i="4"/>
  <c r="D484" i="4"/>
  <c r="D485" i="4"/>
  <c r="D486" i="4"/>
  <c r="D487" i="4"/>
  <c r="D488" i="4"/>
  <c r="D489" i="4"/>
  <c r="D490" i="4"/>
  <c r="D491" i="4"/>
  <c r="D492" i="4"/>
  <c r="D493" i="4"/>
  <c r="D494" i="4"/>
  <c r="D495" i="4"/>
  <c r="D496" i="4"/>
  <c r="D497" i="4"/>
  <c r="D498" i="4"/>
  <c r="D499" i="4"/>
  <c r="D500" i="4"/>
  <c r="D501" i="4"/>
  <c r="D502" i="4"/>
  <c r="D503" i="4"/>
  <c r="D504" i="4"/>
  <c r="D505" i="4"/>
  <c r="D506" i="4"/>
  <c r="D507" i="4"/>
  <c r="D508" i="4"/>
  <c r="D509" i="4"/>
  <c r="D510" i="4"/>
  <c r="D511" i="4"/>
  <c r="D512" i="4"/>
  <c r="D513" i="4"/>
  <c r="D514" i="4"/>
  <c r="D515" i="4"/>
  <c r="D516" i="4"/>
  <c r="D517" i="4"/>
  <c r="D518" i="4"/>
  <c r="D519" i="4"/>
  <c r="D520" i="4"/>
  <c r="D521" i="4"/>
  <c r="D522" i="4"/>
  <c r="D523" i="4"/>
  <c r="D524" i="4"/>
  <c r="D525" i="4"/>
  <c r="D526" i="4"/>
  <c r="D527" i="4"/>
  <c r="D528" i="4"/>
  <c r="D529" i="4"/>
  <c r="D530" i="4"/>
  <c r="D531" i="4"/>
  <c r="D532" i="4"/>
  <c r="D533" i="4"/>
  <c r="D534" i="4"/>
  <c r="D535" i="4"/>
  <c r="D536" i="4"/>
  <c r="D537" i="4"/>
  <c r="D538" i="4"/>
  <c r="D539" i="4"/>
  <c r="D540" i="4"/>
  <c r="D541" i="4"/>
  <c r="D542" i="4"/>
  <c r="D543" i="4"/>
  <c r="D544" i="4"/>
  <c r="D545" i="4"/>
  <c r="D546" i="4"/>
  <c r="D547" i="4"/>
  <c r="D548" i="4"/>
  <c r="D549" i="4"/>
  <c r="D550" i="4"/>
  <c r="D551" i="4"/>
  <c r="D552" i="4"/>
  <c r="D553" i="4"/>
  <c r="D554" i="4"/>
  <c r="D555" i="4"/>
  <c r="D556" i="4"/>
  <c r="D557" i="4"/>
  <c r="D558" i="4"/>
  <c r="D559" i="4"/>
  <c r="D560" i="4"/>
  <c r="D561" i="4"/>
  <c r="D562" i="4"/>
  <c r="D563" i="4"/>
  <c r="D564" i="4"/>
  <c r="D565" i="4"/>
  <c r="D566" i="4"/>
  <c r="D567" i="4"/>
  <c r="D568" i="4"/>
  <c r="D569" i="4"/>
  <c r="D570" i="4"/>
  <c r="D571" i="4"/>
  <c r="D572" i="4"/>
  <c r="D573" i="4"/>
  <c r="D574" i="4"/>
  <c r="D575" i="4"/>
  <c r="D576" i="4"/>
  <c r="D577" i="4"/>
  <c r="D578" i="4"/>
  <c r="D579" i="4"/>
  <c r="D580" i="4"/>
  <c r="D581" i="4"/>
  <c r="D582" i="4"/>
  <c r="D583" i="4"/>
  <c r="D584" i="4"/>
  <c r="D585" i="4"/>
  <c r="D586" i="4"/>
  <c r="D587" i="4"/>
  <c r="D588" i="4"/>
  <c r="D589" i="4"/>
  <c r="D590" i="4"/>
  <c r="D591" i="4"/>
  <c r="D592" i="4"/>
  <c r="D593" i="4"/>
  <c r="D594" i="4"/>
  <c r="D595" i="4"/>
  <c r="D596" i="4"/>
  <c r="D597" i="4"/>
  <c r="D598" i="4"/>
  <c r="D599" i="4"/>
  <c r="D600" i="4"/>
  <c r="D601" i="4"/>
  <c r="D602" i="4"/>
  <c r="D603" i="4"/>
  <c r="D604" i="4"/>
  <c r="D605" i="4"/>
  <c r="D606" i="4"/>
  <c r="D607" i="4"/>
  <c r="D608" i="4"/>
  <c r="D609" i="4"/>
  <c r="D610" i="4"/>
  <c r="D611" i="4"/>
  <c r="D612" i="4"/>
  <c r="D613" i="4"/>
  <c r="D614" i="4"/>
  <c r="D615" i="4"/>
  <c r="D616" i="4"/>
  <c r="D617" i="4"/>
  <c r="D618" i="4"/>
  <c r="D619" i="4"/>
  <c r="D620" i="4"/>
  <c r="D621" i="4"/>
  <c r="D622" i="4"/>
  <c r="D623" i="4"/>
  <c r="D624" i="4"/>
  <c r="D625" i="4"/>
  <c r="D626" i="4"/>
  <c r="D627" i="4"/>
  <c r="D628" i="4"/>
  <c r="D629" i="4"/>
  <c r="D630" i="4"/>
  <c r="D631" i="4"/>
  <c r="D632" i="4"/>
  <c r="D633" i="4"/>
  <c r="D634" i="4"/>
  <c r="D635" i="4"/>
  <c r="D636" i="4"/>
  <c r="D637" i="4"/>
  <c r="D638" i="4"/>
  <c r="D639" i="4"/>
  <c r="D640" i="4"/>
  <c r="D641" i="4"/>
  <c r="D642" i="4"/>
  <c r="D643" i="4"/>
  <c r="D644" i="4"/>
  <c r="D645" i="4"/>
  <c r="D646" i="4"/>
  <c r="D647" i="4"/>
  <c r="D648" i="4"/>
  <c r="D649" i="4"/>
  <c r="D650" i="4"/>
  <c r="D651" i="4"/>
  <c r="D652" i="4"/>
  <c r="D653" i="4"/>
  <c r="D654" i="4"/>
  <c r="D655" i="4"/>
  <c r="D656" i="4"/>
  <c r="D657" i="4"/>
  <c r="D658" i="4"/>
  <c r="D659" i="4"/>
  <c r="D660" i="4"/>
  <c r="D661" i="4"/>
  <c r="D662" i="4"/>
  <c r="D663" i="4"/>
  <c r="D664" i="4"/>
  <c r="D665" i="4"/>
  <c r="D666" i="4"/>
  <c r="D667" i="4"/>
  <c r="D668" i="4"/>
  <c r="D669" i="4"/>
  <c r="D670" i="4"/>
  <c r="D671" i="4"/>
  <c r="D672" i="4"/>
  <c r="D673" i="4"/>
  <c r="D674" i="4"/>
  <c r="D675" i="4"/>
  <c r="D676" i="4"/>
  <c r="D677" i="4"/>
  <c r="D678" i="4"/>
  <c r="D679" i="4"/>
  <c r="D680" i="4"/>
  <c r="D681" i="4"/>
  <c r="D682" i="4"/>
  <c r="D683" i="4"/>
  <c r="D684" i="4"/>
  <c r="D685" i="4"/>
  <c r="D686" i="4"/>
  <c r="D687" i="4"/>
  <c r="D688" i="4"/>
  <c r="D689" i="4"/>
  <c r="D690" i="4"/>
  <c r="D691" i="4"/>
  <c r="D692" i="4"/>
  <c r="D693" i="4"/>
  <c r="D694" i="4"/>
  <c r="D695" i="4"/>
  <c r="D696" i="4"/>
  <c r="D697" i="4"/>
  <c r="D698" i="4"/>
  <c r="D699" i="4"/>
  <c r="D700" i="4"/>
  <c r="D701" i="4"/>
  <c r="D702" i="4"/>
  <c r="D703" i="4"/>
  <c r="D704" i="4"/>
  <c r="D705" i="4"/>
  <c r="D706" i="4"/>
  <c r="D707" i="4"/>
  <c r="D708" i="4"/>
  <c r="D709" i="4"/>
  <c r="D710" i="4"/>
  <c r="D711" i="4"/>
  <c r="D712" i="4"/>
  <c r="D713" i="4"/>
  <c r="D714" i="4"/>
  <c r="D715" i="4"/>
  <c r="D716" i="4"/>
  <c r="D717" i="4"/>
  <c r="D718" i="4"/>
  <c r="D719" i="4"/>
  <c r="D720" i="4"/>
  <c r="D721" i="4"/>
  <c r="D722" i="4"/>
  <c r="D723" i="4"/>
  <c r="D724" i="4"/>
  <c r="D725" i="4"/>
  <c r="D726" i="4"/>
  <c r="D727" i="4"/>
  <c r="D728" i="4"/>
  <c r="D729" i="4"/>
  <c r="D730" i="4"/>
  <c r="D731" i="4"/>
  <c r="D732" i="4"/>
  <c r="D733" i="4"/>
  <c r="D734" i="4"/>
  <c r="D735" i="4"/>
  <c r="D736" i="4"/>
  <c r="D737" i="4"/>
  <c r="D738" i="4"/>
  <c r="D739" i="4"/>
  <c r="D740" i="4"/>
  <c r="D741" i="4"/>
  <c r="D742" i="4"/>
  <c r="D743" i="4"/>
  <c r="D744" i="4"/>
  <c r="D745" i="4"/>
  <c r="D746" i="4"/>
  <c r="D747" i="4"/>
  <c r="D748" i="4"/>
  <c r="D749" i="4"/>
  <c r="D750" i="4"/>
  <c r="D751" i="4"/>
  <c r="D752" i="4"/>
  <c r="D753" i="4"/>
  <c r="D754" i="4"/>
  <c r="D755" i="4"/>
  <c r="D756" i="4"/>
  <c r="D757" i="4"/>
  <c r="D758" i="4"/>
  <c r="D759" i="4"/>
  <c r="D760" i="4"/>
  <c r="D761" i="4"/>
  <c r="D762" i="4"/>
  <c r="D763" i="4"/>
  <c r="D764" i="4"/>
  <c r="D765" i="4"/>
  <c r="D766" i="4"/>
  <c r="D767" i="4"/>
  <c r="D768" i="4"/>
  <c r="D769" i="4"/>
  <c r="D770" i="4"/>
  <c r="D771" i="4"/>
  <c r="D772" i="4"/>
  <c r="D773" i="4"/>
  <c r="D774" i="4"/>
  <c r="D775" i="4"/>
  <c r="D776" i="4"/>
  <c r="D777" i="4"/>
  <c r="D778" i="4"/>
  <c r="D779" i="4"/>
  <c r="D780" i="4"/>
  <c r="D781" i="4"/>
  <c r="D782" i="4"/>
  <c r="D783" i="4"/>
  <c r="D784" i="4"/>
  <c r="D785" i="4"/>
  <c r="D786" i="4"/>
  <c r="D787" i="4"/>
  <c r="D788" i="4"/>
  <c r="D789" i="4"/>
  <c r="D790" i="4"/>
  <c r="D791" i="4"/>
  <c r="D792" i="4"/>
  <c r="D793" i="4"/>
  <c r="D794" i="4"/>
  <c r="D795" i="4"/>
  <c r="D796" i="4"/>
  <c r="D797" i="4"/>
  <c r="D798" i="4"/>
  <c r="D799" i="4"/>
  <c r="D800" i="4"/>
  <c r="D801" i="4"/>
  <c r="D802" i="4"/>
  <c r="D803" i="4"/>
  <c r="D804" i="4"/>
  <c r="D805" i="4"/>
  <c r="D806" i="4"/>
  <c r="D807" i="4"/>
  <c r="D808" i="4"/>
  <c r="D809" i="4"/>
  <c r="D810" i="4"/>
  <c r="D811" i="4"/>
  <c r="D812" i="4"/>
  <c r="D813" i="4"/>
  <c r="D814" i="4"/>
  <c r="D815" i="4"/>
  <c r="D816" i="4"/>
  <c r="D817" i="4"/>
  <c r="D818" i="4"/>
  <c r="D819" i="4"/>
  <c r="D820" i="4"/>
  <c r="D821" i="4"/>
  <c r="D822" i="4"/>
  <c r="D823" i="4"/>
  <c r="D824" i="4"/>
  <c r="D825" i="4"/>
  <c r="D826" i="4"/>
  <c r="D827" i="4"/>
  <c r="D828" i="4"/>
  <c r="D829" i="4"/>
  <c r="D830" i="4"/>
  <c r="D831" i="4"/>
  <c r="D832" i="4"/>
  <c r="D833" i="4"/>
  <c r="D834" i="4"/>
  <c r="D835" i="4"/>
  <c r="D836" i="4"/>
  <c r="D837" i="4"/>
  <c r="D838" i="4"/>
  <c r="D839" i="4"/>
  <c r="D840" i="4"/>
  <c r="D841" i="4"/>
  <c r="D842" i="4"/>
  <c r="D843" i="4"/>
  <c r="D844" i="4"/>
  <c r="D845" i="4"/>
  <c r="D846" i="4"/>
  <c r="D847" i="4"/>
  <c r="D848" i="4"/>
  <c r="D849" i="4"/>
  <c r="D850" i="4"/>
  <c r="D851" i="4"/>
  <c r="D852" i="4"/>
  <c r="D853" i="4"/>
  <c r="D854" i="4"/>
  <c r="D855" i="4"/>
  <c r="D856" i="4"/>
  <c r="D857" i="4"/>
  <c r="D858" i="4"/>
  <c r="D859" i="4"/>
  <c r="D860" i="4"/>
  <c r="D861" i="4"/>
  <c r="D862" i="4"/>
  <c r="D863" i="4"/>
  <c r="D864" i="4"/>
  <c r="D865" i="4"/>
  <c r="D866" i="4"/>
  <c r="D867" i="4"/>
  <c r="D868" i="4"/>
  <c r="D869" i="4"/>
  <c r="D870" i="4"/>
  <c r="D871" i="4"/>
  <c r="D872" i="4"/>
  <c r="D873" i="4"/>
  <c r="D874" i="4"/>
  <c r="D875" i="4"/>
  <c r="D876" i="4"/>
  <c r="D877" i="4"/>
  <c r="D878" i="4"/>
  <c r="D879" i="4"/>
  <c r="D880" i="4"/>
  <c r="D881" i="4"/>
  <c r="D882" i="4"/>
  <c r="D883" i="4"/>
  <c r="D884" i="4"/>
  <c r="D885" i="4"/>
  <c r="D886" i="4"/>
  <c r="D887" i="4"/>
  <c r="D888" i="4"/>
  <c r="D889" i="4"/>
  <c r="D890" i="4"/>
  <c r="D891" i="4"/>
  <c r="D892" i="4"/>
  <c r="D893" i="4"/>
  <c r="D894" i="4"/>
  <c r="D895" i="4"/>
  <c r="D896" i="4"/>
  <c r="D897" i="4"/>
  <c r="D898" i="4"/>
  <c r="D899" i="4"/>
  <c r="D900" i="4"/>
  <c r="D901" i="4"/>
  <c r="D902" i="4"/>
  <c r="D903" i="4"/>
  <c r="D904" i="4"/>
  <c r="D905" i="4"/>
  <c r="D906" i="4"/>
  <c r="D907" i="4"/>
  <c r="D908" i="4"/>
  <c r="D909" i="4"/>
  <c r="D910" i="4"/>
  <c r="D911" i="4"/>
  <c r="D912" i="4"/>
  <c r="D913" i="4"/>
  <c r="D914" i="4"/>
  <c r="D915" i="4"/>
  <c r="D916" i="4"/>
  <c r="D917" i="4"/>
  <c r="D918" i="4"/>
  <c r="D919" i="4"/>
  <c r="D920" i="4"/>
  <c r="D921" i="4"/>
  <c r="D922" i="4"/>
  <c r="D923" i="4"/>
  <c r="D924" i="4"/>
  <c r="D925" i="4"/>
  <c r="D926" i="4"/>
  <c r="D927" i="4"/>
  <c r="D928" i="4"/>
  <c r="D929" i="4"/>
  <c r="D930" i="4"/>
  <c r="D931" i="4"/>
  <c r="D932" i="4"/>
  <c r="D933" i="4"/>
  <c r="D934" i="4"/>
  <c r="D935" i="4"/>
  <c r="D936" i="4"/>
  <c r="D937" i="4"/>
  <c r="D938" i="4"/>
  <c r="D939" i="4"/>
  <c r="D940" i="4"/>
  <c r="D941" i="4"/>
  <c r="D942" i="4"/>
  <c r="D943" i="4"/>
  <c r="D944" i="4"/>
  <c r="D945" i="4"/>
  <c r="D946" i="4"/>
  <c r="D947" i="4"/>
  <c r="D948" i="4"/>
  <c r="D949" i="4"/>
  <c r="D950" i="4"/>
  <c r="D951" i="4"/>
  <c r="D952" i="4"/>
  <c r="D953" i="4"/>
  <c r="D954" i="4"/>
  <c r="D955" i="4"/>
  <c r="D956" i="4"/>
  <c r="D957" i="4"/>
  <c r="D958" i="4"/>
  <c r="D959" i="4"/>
  <c r="D960" i="4"/>
  <c r="D961" i="4"/>
  <c r="D962" i="4"/>
  <c r="D963" i="4"/>
  <c r="D964" i="4"/>
  <c r="D965" i="4"/>
  <c r="D966" i="4"/>
  <c r="D967" i="4"/>
  <c r="D968" i="4"/>
  <c r="D969" i="4"/>
  <c r="D970" i="4"/>
  <c r="D971" i="4"/>
  <c r="D972" i="4"/>
  <c r="D973" i="4"/>
  <c r="D974" i="4"/>
  <c r="D975" i="4"/>
  <c r="D976" i="4"/>
  <c r="D977" i="4"/>
  <c r="D978" i="4"/>
  <c r="D979" i="4"/>
  <c r="D980" i="4"/>
  <c r="D981" i="4"/>
  <c r="D982" i="4"/>
  <c r="D983" i="4"/>
  <c r="D984" i="4"/>
  <c r="D985" i="4"/>
  <c r="D986" i="4"/>
  <c r="D987" i="4"/>
  <c r="D988" i="4"/>
  <c r="D989" i="4"/>
  <c r="D990" i="4"/>
  <c r="D991" i="4"/>
  <c r="D992" i="4"/>
  <c r="D993" i="4"/>
  <c r="D994" i="4"/>
  <c r="D995" i="4"/>
  <c r="D996" i="4"/>
  <c r="D997" i="4"/>
  <c r="D998" i="4"/>
  <c r="D999" i="4"/>
  <c r="D1000" i="4"/>
  <c r="D1001" i="4"/>
  <c r="D1002" i="4"/>
  <c r="D1003" i="4"/>
  <c r="D1004" i="4"/>
  <c r="D1005" i="4"/>
  <c r="D1006" i="4"/>
  <c r="D1007" i="4"/>
  <c r="D1008" i="4"/>
  <c r="D1009" i="4"/>
  <c r="D1010" i="4"/>
  <c r="D1011" i="4"/>
  <c r="D1012" i="4"/>
  <c r="D1013" i="4"/>
  <c r="D1014" i="4"/>
  <c r="D1015" i="4"/>
  <c r="D1016" i="4"/>
  <c r="D1017" i="4"/>
  <c r="D1018" i="4"/>
  <c r="D1019" i="4"/>
  <c r="D1020" i="4"/>
  <c r="D1021" i="4"/>
  <c r="D1022" i="4"/>
  <c r="D1023" i="4"/>
  <c r="D1024" i="4"/>
  <c r="D1025" i="4"/>
  <c r="D1026" i="4"/>
  <c r="D1027" i="4"/>
  <c r="D1028" i="4"/>
  <c r="D1029" i="4"/>
  <c r="D1030" i="4"/>
  <c r="D1031" i="4"/>
  <c r="D1032" i="4"/>
  <c r="D1033" i="4"/>
  <c r="D1034" i="4"/>
  <c r="D1035" i="4"/>
  <c r="D1036" i="4"/>
  <c r="D1037" i="4"/>
  <c r="D1038" i="4"/>
  <c r="D1039" i="4"/>
  <c r="D1040" i="4"/>
  <c r="D1041" i="4"/>
  <c r="D1042" i="4"/>
  <c r="D1043" i="4"/>
  <c r="D1044" i="4"/>
  <c r="D1045" i="4"/>
  <c r="D1046" i="4"/>
  <c r="D1047" i="4"/>
  <c r="D1048" i="4"/>
  <c r="D1049" i="4"/>
  <c r="D1050" i="4"/>
  <c r="D1051" i="4"/>
  <c r="D1052" i="4"/>
  <c r="D1053" i="4"/>
  <c r="D1054" i="4"/>
  <c r="D1055" i="4"/>
  <c r="D1056" i="4"/>
  <c r="D1057" i="4"/>
  <c r="D1058" i="4"/>
  <c r="D1059" i="4"/>
  <c r="D1060" i="4"/>
  <c r="D1061" i="4"/>
  <c r="D1062" i="4"/>
  <c r="D1063" i="4"/>
  <c r="D1064" i="4"/>
  <c r="D1065" i="4"/>
  <c r="D1066" i="4"/>
  <c r="D1067" i="4"/>
  <c r="D1068" i="4"/>
  <c r="D1069" i="4"/>
  <c r="D1070" i="4"/>
  <c r="D1071" i="4"/>
  <c r="D1072" i="4"/>
  <c r="D1073" i="4"/>
  <c r="D1074" i="4"/>
  <c r="D1075" i="4"/>
  <c r="D1076" i="4"/>
  <c r="D1077" i="4"/>
  <c r="D1078" i="4"/>
  <c r="D1079" i="4"/>
  <c r="D1080" i="4"/>
  <c r="D1081" i="4"/>
  <c r="D1082" i="4"/>
  <c r="D1083" i="4"/>
  <c r="D1084" i="4"/>
  <c r="D1085" i="4"/>
  <c r="D1086" i="4"/>
  <c r="D1087" i="4"/>
  <c r="D1088" i="4"/>
  <c r="D1089" i="4"/>
  <c r="D1090" i="4"/>
  <c r="D1091" i="4"/>
  <c r="D1092" i="4"/>
  <c r="D1093" i="4"/>
  <c r="D1094" i="4"/>
  <c r="D1095" i="4"/>
  <c r="D1096" i="4"/>
  <c r="D1097" i="4"/>
  <c r="D1098" i="4"/>
  <c r="D1099" i="4"/>
  <c r="D1100" i="4"/>
  <c r="D1101" i="4"/>
  <c r="D1102" i="4"/>
  <c r="D1103" i="4"/>
  <c r="D1104" i="4"/>
  <c r="D1105" i="4"/>
  <c r="D1106" i="4"/>
  <c r="D1107" i="4"/>
  <c r="D1108" i="4"/>
  <c r="D1109" i="4"/>
  <c r="D1110" i="4"/>
  <c r="D1111" i="4"/>
  <c r="D1112" i="4"/>
  <c r="D1113" i="4"/>
  <c r="D1114" i="4"/>
  <c r="D1115" i="4"/>
  <c r="D1116" i="4"/>
  <c r="D1117" i="4"/>
  <c r="D1118" i="4"/>
  <c r="D1119" i="4"/>
  <c r="D1120" i="4"/>
  <c r="D1121" i="4"/>
  <c r="D1122" i="4"/>
  <c r="D1123" i="4"/>
  <c r="D1124" i="4"/>
  <c r="D1125" i="4"/>
  <c r="D1126" i="4"/>
  <c r="D1127" i="4"/>
  <c r="D1128" i="4"/>
  <c r="D1129" i="4"/>
  <c r="D1130" i="4"/>
  <c r="D1131" i="4"/>
  <c r="D1132" i="4"/>
  <c r="D1133" i="4"/>
  <c r="D1134" i="4"/>
  <c r="D1135" i="4"/>
  <c r="D1136" i="4"/>
  <c r="D1137" i="4"/>
  <c r="D1138" i="4"/>
  <c r="D1139" i="4"/>
  <c r="D1140" i="4"/>
  <c r="D1141" i="4"/>
  <c r="D1142" i="4"/>
  <c r="D1143" i="4"/>
  <c r="D1144" i="4"/>
  <c r="D1145" i="4"/>
  <c r="D1146" i="4"/>
  <c r="D1147" i="4"/>
  <c r="D1148" i="4"/>
  <c r="D1149" i="4"/>
  <c r="D1150" i="4"/>
  <c r="D1151" i="4"/>
  <c r="D1152" i="4"/>
  <c r="D1153" i="4"/>
  <c r="D1154" i="4"/>
  <c r="D1155" i="4"/>
  <c r="D1156" i="4"/>
  <c r="D1157" i="4"/>
  <c r="D1158" i="4"/>
  <c r="D1159" i="4"/>
  <c r="D1160" i="4"/>
  <c r="D1161" i="4"/>
  <c r="D1162" i="4"/>
  <c r="D1163" i="4"/>
  <c r="D1164" i="4"/>
  <c r="D1165" i="4"/>
  <c r="D1166" i="4"/>
  <c r="D1167" i="4"/>
  <c r="D1168" i="4"/>
  <c r="D1169" i="4"/>
  <c r="D1170" i="4"/>
  <c r="D1171" i="4"/>
  <c r="D1172" i="4"/>
  <c r="D1173" i="4"/>
  <c r="D1174" i="4"/>
  <c r="D1175" i="4"/>
  <c r="D1176" i="4"/>
  <c r="D1177" i="4"/>
  <c r="D1178" i="4"/>
  <c r="D1179" i="4"/>
  <c r="D1180" i="4"/>
  <c r="D1181" i="4"/>
  <c r="D1182" i="4"/>
  <c r="D1183" i="4"/>
  <c r="D1184" i="4"/>
  <c r="D1185" i="4"/>
  <c r="D1186" i="4"/>
  <c r="D1187" i="4"/>
  <c r="D1188" i="4"/>
  <c r="D1189" i="4"/>
  <c r="D1190" i="4"/>
  <c r="D1191" i="4"/>
  <c r="D1192" i="4"/>
  <c r="D1193" i="4"/>
  <c r="D1194" i="4"/>
  <c r="D1195" i="4"/>
  <c r="D1196" i="4"/>
  <c r="D1197" i="4"/>
  <c r="D1198" i="4"/>
  <c r="D1199" i="4"/>
  <c r="D1200" i="4"/>
  <c r="D1201" i="4"/>
  <c r="D1202" i="4"/>
  <c r="D1203" i="4"/>
  <c r="D1204" i="4"/>
  <c r="D1205" i="4"/>
  <c r="D1206" i="4"/>
  <c r="D1207" i="4"/>
  <c r="D1208" i="4"/>
  <c r="D1209" i="4"/>
  <c r="D1210" i="4"/>
  <c r="D1211" i="4"/>
  <c r="D1212" i="4"/>
  <c r="D1213" i="4"/>
  <c r="D1214" i="4"/>
  <c r="D1215" i="4"/>
  <c r="D1216" i="4"/>
  <c r="D1217" i="4"/>
  <c r="D1218" i="4"/>
  <c r="D1219" i="4"/>
  <c r="D1220" i="4"/>
  <c r="D1221" i="4"/>
  <c r="D1222" i="4"/>
  <c r="D1223" i="4"/>
  <c r="D1224" i="4"/>
  <c r="D1225" i="4"/>
  <c r="D1226" i="4"/>
  <c r="D1227" i="4"/>
  <c r="D1228" i="4"/>
  <c r="D1229" i="4"/>
  <c r="D1230" i="4"/>
  <c r="D1231" i="4"/>
  <c r="D1232" i="4"/>
  <c r="D1233" i="4"/>
  <c r="D1234" i="4"/>
  <c r="D1235" i="4"/>
  <c r="D1236" i="4"/>
  <c r="D1237" i="4"/>
  <c r="D1238" i="4"/>
  <c r="D1239" i="4"/>
  <c r="D1240" i="4"/>
  <c r="D1241" i="4"/>
  <c r="D1242" i="4"/>
  <c r="D1243" i="4"/>
  <c r="D1244" i="4"/>
  <c r="D1245" i="4"/>
  <c r="D1246" i="4"/>
  <c r="D1247" i="4"/>
  <c r="D1248" i="4"/>
  <c r="D1249" i="4"/>
  <c r="D1250" i="4"/>
  <c r="D1251" i="4"/>
  <c r="D1252" i="4"/>
  <c r="D1253" i="4"/>
  <c r="D1254" i="4"/>
  <c r="D1255" i="4"/>
  <c r="D1256" i="4"/>
  <c r="D1257" i="4"/>
  <c r="D1258" i="4"/>
  <c r="D1259" i="4"/>
  <c r="D1260" i="4"/>
  <c r="D1261" i="4"/>
  <c r="D1262" i="4"/>
  <c r="D1263" i="4"/>
  <c r="D1264" i="4"/>
  <c r="D1265" i="4"/>
  <c r="D1266" i="4"/>
  <c r="D1267" i="4"/>
  <c r="D1268" i="4"/>
  <c r="D1269" i="4"/>
  <c r="D1270" i="4"/>
  <c r="D1271" i="4"/>
  <c r="D1272" i="4"/>
  <c r="D1273" i="4"/>
  <c r="D1274" i="4"/>
  <c r="D1275" i="4"/>
  <c r="D1276" i="4"/>
  <c r="D1277" i="4"/>
  <c r="D1278" i="4"/>
  <c r="D1279" i="4"/>
  <c r="D1280" i="4"/>
  <c r="D1281" i="4"/>
  <c r="D1282" i="4"/>
  <c r="D1283" i="4"/>
  <c r="D1284" i="4"/>
  <c r="D1285" i="4"/>
  <c r="D1286" i="4"/>
  <c r="D1287" i="4"/>
  <c r="D1288" i="4"/>
  <c r="D1289" i="4"/>
  <c r="D1290" i="4"/>
  <c r="D1291" i="4"/>
  <c r="D1292" i="4"/>
  <c r="D1293" i="4"/>
  <c r="D1294" i="4"/>
  <c r="D1295" i="4"/>
  <c r="D1296" i="4"/>
  <c r="D1297" i="4"/>
  <c r="D1298" i="4"/>
  <c r="D1299" i="4"/>
  <c r="D1300" i="4"/>
  <c r="D1301" i="4"/>
  <c r="D1302" i="4"/>
  <c r="D1303" i="4"/>
  <c r="D1304" i="4"/>
  <c r="D1305" i="4"/>
  <c r="D1306" i="4"/>
  <c r="D1307" i="4"/>
  <c r="D1308" i="4"/>
  <c r="D1309" i="4"/>
  <c r="D1310" i="4"/>
  <c r="D1311" i="4"/>
  <c r="D1312" i="4"/>
  <c r="D1313" i="4"/>
  <c r="D1314" i="4"/>
  <c r="D1315" i="4"/>
  <c r="D1316" i="4"/>
  <c r="D1317" i="4"/>
  <c r="D1318" i="4"/>
  <c r="D1319" i="4"/>
  <c r="D1320" i="4"/>
  <c r="D1321" i="4"/>
  <c r="D1322" i="4"/>
  <c r="D1323" i="4"/>
  <c r="D1324" i="4"/>
  <c r="D1325" i="4"/>
  <c r="D1326" i="4"/>
  <c r="D1327" i="4"/>
  <c r="D1328" i="4"/>
  <c r="D1329" i="4"/>
  <c r="D1330" i="4"/>
  <c r="D1331" i="4"/>
  <c r="D1332" i="4"/>
  <c r="D1333" i="4"/>
  <c r="D1334" i="4"/>
  <c r="D1335" i="4"/>
  <c r="D1336" i="4"/>
  <c r="D1337" i="4"/>
  <c r="D1338" i="4"/>
  <c r="D1339" i="4"/>
  <c r="D1340" i="4"/>
  <c r="D1341" i="4"/>
  <c r="D1342" i="4"/>
  <c r="D1343" i="4"/>
  <c r="D1344" i="4"/>
  <c r="D1345" i="4"/>
  <c r="D1346" i="4"/>
  <c r="D1347" i="4"/>
  <c r="D1348" i="4"/>
  <c r="D1349" i="4"/>
  <c r="D1350" i="4"/>
  <c r="D1351" i="4"/>
  <c r="D1352" i="4"/>
  <c r="D1353" i="4"/>
  <c r="D1354" i="4"/>
  <c r="D1355" i="4"/>
  <c r="D1356" i="4"/>
  <c r="D1357" i="4"/>
  <c r="D1358" i="4"/>
  <c r="D1359" i="4"/>
  <c r="D1360" i="4"/>
  <c r="D1361" i="4"/>
  <c r="D1362" i="4"/>
  <c r="D1363" i="4"/>
  <c r="D1364" i="4"/>
  <c r="D1365" i="4"/>
  <c r="D1366" i="4"/>
  <c r="D1367" i="4"/>
  <c r="D1368" i="4"/>
  <c r="D1369" i="4"/>
  <c r="D1370" i="4"/>
  <c r="D1371" i="4"/>
  <c r="D1372" i="4"/>
  <c r="D1373" i="4"/>
  <c r="D1374" i="4"/>
  <c r="D1375" i="4"/>
  <c r="D1376" i="4"/>
  <c r="D1377" i="4"/>
  <c r="D1378" i="4"/>
  <c r="D1379" i="4"/>
  <c r="D1380" i="4"/>
  <c r="D1381" i="4"/>
  <c r="D1382" i="4"/>
  <c r="D1383" i="4"/>
  <c r="D1384" i="4"/>
  <c r="D1385" i="4"/>
  <c r="D1386" i="4"/>
  <c r="D1387" i="4"/>
  <c r="D1388" i="4"/>
  <c r="D1389" i="4"/>
  <c r="D1390" i="4"/>
  <c r="D1391" i="4"/>
  <c r="D1392" i="4"/>
  <c r="D1393" i="4"/>
  <c r="D1394" i="4"/>
  <c r="D1395" i="4"/>
  <c r="D1396" i="4"/>
  <c r="D1397" i="4"/>
  <c r="D1398" i="4"/>
  <c r="D1399" i="4"/>
  <c r="D1400" i="4"/>
  <c r="D1401" i="4"/>
  <c r="D1402" i="4"/>
  <c r="D1403" i="4"/>
  <c r="D1404" i="4"/>
  <c r="D1405" i="4"/>
  <c r="D1406" i="4"/>
  <c r="D1407" i="4"/>
  <c r="D1408" i="4"/>
  <c r="D1409" i="4"/>
  <c r="D1410" i="4"/>
  <c r="D1411" i="4"/>
  <c r="D1412" i="4"/>
  <c r="D1413" i="4"/>
  <c r="D1414" i="4"/>
  <c r="D1415" i="4"/>
  <c r="D1416" i="4"/>
  <c r="D1417" i="4"/>
  <c r="D1418" i="4"/>
  <c r="D1419" i="4"/>
  <c r="D1420" i="4"/>
  <c r="D1421" i="4"/>
  <c r="D1422" i="4"/>
  <c r="D1423" i="4"/>
  <c r="D1424" i="4"/>
  <c r="D1425" i="4"/>
  <c r="D1426" i="4"/>
  <c r="D1427" i="4"/>
  <c r="D1428" i="4"/>
  <c r="D1429" i="4"/>
  <c r="D1430" i="4"/>
  <c r="D1431" i="4"/>
  <c r="D1432" i="4"/>
  <c r="D1433" i="4"/>
  <c r="D1434" i="4"/>
  <c r="D1435" i="4"/>
  <c r="D1436" i="4"/>
  <c r="D1437" i="4"/>
  <c r="D1438" i="4"/>
  <c r="D1439" i="4"/>
  <c r="D1440" i="4"/>
  <c r="D1441" i="4"/>
  <c r="D1442" i="4"/>
  <c r="D1443" i="4"/>
  <c r="D1444" i="4"/>
  <c r="D1445" i="4"/>
  <c r="D1446" i="4"/>
  <c r="D1447" i="4"/>
  <c r="D1448" i="4"/>
  <c r="D1449" i="4"/>
  <c r="D1450" i="4"/>
  <c r="D1451" i="4"/>
  <c r="D1452" i="4"/>
  <c r="D1453" i="4"/>
  <c r="D1454" i="4"/>
  <c r="D1455" i="4"/>
  <c r="D1456" i="4"/>
  <c r="D1457" i="4"/>
  <c r="D1458" i="4"/>
  <c r="D1459" i="4"/>
  <c r="D1460" i="4"/>
  <c r="D1461" i="4"/>
  <c r="D1462" i="4"/>
  <c r="D1463" i="4"/>
  <c r="D1464" i="4"/>
  <c r="D1465" i="4"/>
  <c r="D1466" i="4"/>
  <c r="D1467" i="4"/>
  <c r="D1468" i="4"/>
  <c r="D1469" i="4"/>
  <c r="D1470" i="4"/>
  <c r="D1471" i="4"/>
  <c r="D1472" i="4"/>
  <c r="D1473" i="4"/>
  <c r="D1474" i="4"/>
  <c r="D1475" i="4"/>
  <c r="D1476" i="4"/>
  <c r="D1477" i="4"/>
  <c r="D1478" i="4"/>
  <c r="D1479" i="4"/>
  <c r="D1480" i="4"/>
  <c r="D1481" i="4"/>
  <c r="D1482" i="4"/>
  <c r="D1483" i="4"/>
  <c r="D1484" i="4"/>
  <c r="D1485" i="4"/>
  <c r="D1486" i="4"/>
  <c r="D1487" i="4"/>
  <c r="D1488" i="4"/>
  <c r="D1489" i="4"/>
  <c r="D1490" i="4"/>
  <c r="D1491" i="4"/>
  <c r="D1492" i="4"/>
  <c r="D1493" i="4"/>
  <c r="D1494" i="4"/>
  <c r="D1495" i="4"/>
  <c r="D1496" i="4"/>
  <c r="D1497" i="4"/>
  <c r="D1498" i="4"/>
  <c r="D1499" i="4"/>
  <c r="D1500" i="4"/>
  <c r="D1501" i="4"/>
  <c r="D1502" i="4"/>
  <c r="D1503" i="4"/>
  <c r="D1504" i="4"/>
  <c r="D1505" i="4"/>
  <c r="D1506" i="4"/>
  <c r="D1507" i="4"/>
  <c r="D1508" i="4"/>
  <c r="D1509" i="4"/>
  <c r="D1510" i="4"/>
  <c r="D1511" i="4"/>
  <c r="D1512" i="4"/>
  <c r="D1513" i="4"/>
  <c r="D1514" i="4"/>
  <c r="D1515" i="4"/>
  <c r="D1516" i="4"/>
  <c r="D1517" i="4"/>
  <c r="D1518" i="4"/>
  <c r="D1519" i="4"/>
  <c r="D1520" i="4"/>
  <c r="D1521" i="4"/>
  <c r="D1522" i="4"/>
  <c r="D1523" i="4"/>
  <c r="D1524" i="4"/>
  <c r="D1525" i="4"/>
  <c r="D1526" i="4"/>
  <c r="D1527" i="4"/>
  <c r="D1528" i="4"/>
  <c r="D1529" i="4"/>
  <c r="D1530" i="4"/>
  <c r="D1531" i="4"/>
  <c r="D1532" i="4"/>
  <c r="D1533" i="4"/>
  <c r="D1534" i="4"/>
  <c r="D1535" i="4"/>
  <c r="D1536" i="4"/>
  <c r="D1537" i="4"/>
  <c r="D1538" i="4"/>
  <c r="D1539" i="4"/>
  <c r="D1540" i="4"/>
  <c r="D1541" i="4"/>
  <c r="D1542" i="4"/>
  <c r="D1543" i="4"/>
  <c r="D1544" i="4"/>
  <c r="D1545" i="4"/>
  <c r="D1546" i="4"/>
  <c r="D1547" i="4"/>
  <c r="D1548" i="4"/>
  <c r="D1549" i="4"/>
  <c r="D1550" i="4"/>
  <c r="D1551" i="4"/>
  <c r="D1552" i="4"/>
  <c r="D1553" i="4"/>
  <c r="D1554" i="4"/>
  <c r="D1555" i="4"/>
  <c r="D1556" i="4"/>
  <c r="D1557" i="4"/>
  <c r="D1558" i="4"/>
  <c r="D1559" i="4"/>
  <c r="D1560" i="4"/>
  <c r="D1561" i="4"/>
  <c r="D1562" i="4"/>
  <c r="D1563" i="4"/>
  <c r="D1564" i="4"/>
  <c r="D1565" i="4"/>
  <c r="D1566" i="4"/>
  <c r="D1567" i="4"/>
  <c r="D1568" i="4"/>
  <c r="D1569" i="4"/>
  <c r="D1570" i="4"/>
  <c r="D1571" i="4"/>
  <c r="D1572" i="4"/>
  <c r="D1573" i="4"/>
  <c r="D1574" i="4"/>
  <c r="D1575" i="4"/>
  <c r="D1576" i="4"/>
  <c r="D1577" i="4"/>
  <c r="D1578" i="4"/>
  <c r="D1579" i="4"/>
  <c r="D1580" i="4"/>
  <c r="D1581" i="4"/>
  <c r="D1582" i="4"/>
  <c r="D1583" i="4"/>
  <c r="D1584" i="4"/>
  <c r="D1585" i="4"/>
  <c r="D1586" i="4"/>
  <c r="D1587" i="4"/>
  <c r="D1588" i="4"/>
  <c r="D1589" i="4"/>
  <c r="D1590" i="4"/>
  <c r="D1591" i="4"/>
  <c r="D1592" i="4"/>
  <c r="D1593" i="4"/>
  <c r="D1594" i="4"/>
  <c r="D1595" i="4"/>
  <c r="D1596" i="4"/>
  <c r="D1597" i="4"/>
  <c r="D1598" i="4"/>
  <c r="D1599" i="4"/>
  <c r="D1600" i="4"/>
  <c r="D1601" i="4"/>
  <c r="D1602" i="4"/>
  <c r="D1603" i="4"/>
  <c r="D1604" i="4"/>
  <c r="D1605" i="4"/>
  <c r="D1606" i="4"/>
  <c r="D1607" i="4"/>
  <c r="D1608" i="4"/>
  <c r="D1609" i="4"/>
  <c r="D1610" i="4"/>
  <c r="D1611" i="4"/>
  <c r="D1612" i="4"/>
  <c r="D1613" i="4"/>
  <c r="D1614" i="4"/>
  <c r="D1615" i="4"/>
  <c r="D1616" i="4"/>
  <c r="D1617" i="4"/>
  <c r="D1618" i="4"/>
  <c r="D1619" i="4"/>
  <c r="D1620" i="4"/>
  <c r="D1621" i="4"/>
  <c r="D1622" i="4"/>
  <c r="D1623" i="4"/>
  <c r="D1624" i="4"/>
  <c r="D1625" i="4"/>
  <c r="D1626" i="4"/>
  <c r="D1627" i="4"/>
  <c r="D1628" i="4"/>
  <c r="D1629" i="4"/>
  <c r="D1630" i="4"/>
  <c r="D1631" i="4"/>
  <c r="D1632" i="4"/>
  <c r="D1633" i="4"/>
  <c r="D1634" i="4"/>
  <c r="D1635" i="4"/>
  <c r="D1636" i="4"/>
  <c r="D1637" i="4"/>
  <c r="D1638" i="4"/>
  <c r="D1639" i="4"/>
  <c r="D1640" i="4"/>
  <c r="D1641" i="4"/>
  <c r="D1642" i="4"/>
  <c r="D1643" i="4"/>
  <c r="D1644" i="4"/>
  <c r="D1645" i="4"/>
  <c r="D1646" i="4"/>
  <c r="D1647" i="4"/>
  <c r="D1648" i="4"/>
  <c r="D1649" i="4"/>
  <c r="D1650" i="4"/>
  <c r="D1651" i="4"/>
  <c r="D1652" i="4"/>
  <c r="D1653" i="4"/>
  <c r="D1654" i="4"/>
  <c r="D1655" i="4"/>
  <c r="D1656" i="4"/>
  <c r="D1657" i="4"/>
  <c r="D1658" i="4"/>
  <c r="D1659" i="4"/>
  <c r="D1660" i="4"/>
  <c r="D1661" i="4"/>
  <c r="D1662" i="4"/>
  <c r="D1663" i="4"/>
  <c r="D1664" i="4"/>
  <c r="D1665" i="4"/>
  <c r="D1666" i="4"/>
  <c r="D1667" i="4"/>
  <c r="D1668" i="4"/>
  <c r="D1669" i="4"/>
  <c r="D1670" i="4"/>
  <c r="D1671" i="4"/>
  <c r="D1672" i="4"/>
  <c r="D1673" i="4"/>
  <c r="D1674" i="4"/>
  <c r="D1675" i="4"/>
  <c r="D1676" i="4"/>
  <c r="D1677" i="4"/>
  <c r="D1678" i="4"/>
  <c r="D1679" i="4"/>
  <c r="D1680" i="4"/>
  <c r="D1681" i="4"/>
  <c r="D1682" i="4"/>
  <c r="D1683" i="4"/>
  <c r="D1684" i="4"/>
  <c r="D1685" i="4"/>
  <c r="D1686" i="4"/>
  <c r="D1687" i="4"/>
  <c r="D1688" i="4"/>
  <c r="D1689" i="4"/>
  <c r="D1690" i="4"/>
  <c r="D1691" i="4"/>
  <c r="D1692" i="4"/>
  <c r="D1693" i="4"/>
  <c r="D1694" i="4"/>
  <c r="D1695" i="4"/>
  <c r="D1696" i="4"/>
  <c r="D1697" i="4"/>
  <c r="D1698" i="4"/>
  <c r="D1699" i="4"/>
  <c r="D1700" i="4"/>
  <c r="D1701" i="4"/>
  <c r="D1702" i="4"/>
  <c r="D1703" i="4"/>
  <c r="D1704" i="4"/>
  <c r="D1705" i="4"/>
  <c r="D1706" i="4"/>
  <c r="D1707" i="4"/>
  <c r="D1708" i="4"/>
  <c r="D1709" i="4"/>
  <c r="D1710" i="4"/>
  <c r="D1711" i="4"/>
  <c r="D1712" i="4"/>
  <c r="D1713" i="4"/>
  <c r="D1714" i="4"/>
  <c r="D1715" i="4"/>
  <c r="D1716" i="4"/>
  <c r="D1717" i="4"/>
  <c r="D1718" i="4"/>
  <c r="D1719" i="4"/>
  <c r="D1720" i="4"/>
  <c r="D1721" i="4"/>
  <c r="D1722" i="4"/>
  <c r="D1723" i="4"/>
  <c r="D1724" i="4"/>
  <c r="D1725" i="4"/>
  <c r="D1726" i="4"/>
  <c r="D1727" i="4"/>
  <c r="D1728" i="4"/>
  <c r="D1729" i="4"/>
  <c r="D1730" i="4"/>
  <c r="D1731" i="4"/>
  <c r="D1732" i="4"/>
  <c r="D1733" i="4"/>
  <c r="D1734" i="4"/>
  <c r="D1735" i="4"/>
  <c r="D1736" i="4"/>
  <c r="D1737" i="4"/>
  <c r="D1738" i="4"/>
  <c r="D1739" i="4"/>
  <c r="D1740" i="4"/>
  <c r="D1741" i="4"/>
  <c r="D1742" i="4"/>
  <c r="D1743" i="4"/>
  <c r="D1744" i="4"/>
  <c r="D1745" i="4"/>
  <c r="D1746" i="4"/>
  <c r="D1747" i="4"/>
  <c r="D1748" i="4"/>
  <c r="D1749" i="4"/>
  <c r="D1750" i="4"/>
  <c r="D1751" i="4"/>
  <c r="D1752" i="4"/>
  <c r="D1753" i="4"/>
  <c r="D1754" i="4"/>
  <c r="D1755" i="4"/>
  <c r="D1756" i="4"/>
  <c r="D1757" i="4"/>
  <c r="D1758" i="4"/>
  <c r="D1759" i="4"/>
  <c r="D1760" i="4"/>
  <c r="D1761" i="4"/>
  <c r="D1762" i="4"/>
  <c r="D1763" i="4"/>
  <c r="D1764" i="4"/>
  <c r="D1765" i="4"/>
  <c r="D1766" i="4"/>
  <c r="D1767" i="4"/>
  <c r="D1768" i="4"/>
  <c r="D1769" i="4"/>
  <c r="D1770" i="4"/>
  <c r="D1771" i="4"/>
  <c r="D1772" i="4"/>
  <c r="D1773" i="4"/>
  <c r="D1774" i="4"/>
  <c r="D1775" i="4"/>
  <c r="D1776" i="4"/>
  <c r="D1777" i="4"/>
  <c r="D1778" i="4"/>
  <c r="D1779" i="4"/>
  <c r="D1780" i="4"/>
  <c r="D1781" i="4"/>
  <c r="D1782" i="4"/>
  <c r="D1783" i="4"/>
  <c r="D1784" i="4"/>
  <c r="D1785" i="4"/>
  <c r="D1786" i="4"/>
  <c r="D1787" i="4"/>
  <c r="D1788" i="4"/>
  <c r="D1789" i="4"/>
  <c r="D1790" i="4"/>
  <c r="D1791" i="4"/>
  <c r="D1792" i="4"/>
  <c r="D1793" i="4"/>
  <c r="D1794" i="4"/>
  <c r="D1795" i="4"/>
  <c r="D1796" i="4"/>
  <c r="D1797" i="4"/>
  <c r="D1798" i="4"/>
  <c r="D1799" i="4"/>
  <c r="D1800" i="4"/>
  <c r="D1801" i="4"/>
  <c r="D1802" i="4"/>
  <c r="D1803" i="4"/>
  <c r="D1804" i="4"/>
  <c r="D1805" i="4"/>
  <c r="D1806" i="4"/>
  <c r="D1807" i="4"/>
  <c r="D1808" i="4"/>
  <c r="D1809" i="4"/>
  <c r="D1810" i="4"/>
  <c r="D1811" i="4"/>
  <c r="D1812" i="4"/>
  <c r="D1813" i="4"/>
  <c r="D1814" i="4"/>
  <c r="D1815" i="4"/>
  <c r="D1816" i="4"/>
  <c r="D1817" i="4"/>
  <c r="D1818" i="4"/>
  <c r="D1819" i="4"/>
  <c r="D1820" i="4"/>
  <c r="D1821" i="4"/>
  <c r="D1822" i="4"/>
  <c r="D1823" i="4"/>
  <c r="D1824" i="4"/>
  <c r="D1825" i="4"/>
  <c r="D1826" i="4"/>
  <c r="D1827" i="4"/>
  <c r="D1828" i="4"/>
  <c r="D1829" i="4"/>
  <c r="D1830" i="4"/>
  <c r="D1831" i="4"/>
  <c r="D1832" i="4"/>
  <c r="D1833" i="4"/>
  <c r="D1834" i="4"/>
  <c r="D1835" i="4"/>
  <c r="D1836" i="4"/>
  <c r="D1837" i="4"/>
  <c r="D1838" i="4"/>
  <c r="D1839" i="4"/>
  <c r="D1840" i="4"/>
  <c r="D1841" i="4"/>
  <c r="D1842" i="4"/>
  <c r="D1843" i="4"/>
  <c r="D1844" i="4"/>
  <c r="D1845" i="4"/>
  <c r="D1846" i="4"/>
  <c r="D1847" i="4"/>
  <c r="D1848" i="4"/>
  <c r="D1849" i="4"/>
  <c r="D1850" i="4"/>
  <c r="D1851" i="4"/>
  <c r="D1852" i="4"/>
  <c r="D1853" i="4"/>
  <c r="D1854" i="4"/>
  <c r="D1855" i="4"/>
  <c r="D1856" i="4"/>
  <c r="D1857" i="4"/>
  <c r="D1858" i="4"/>
  <c r="D1859" i="4"/>
  <c r="D1860" i="4"/>
  <c r="D1861" i="4"/>
  <c r="D1862" i="4"/>
  <c r="D1863" i="4"/>
  <c r="D1864" i="4"/>
  <c r="D1865" i="4"/>
  <c r="D1866" i="4"/>
  <c r="D1867" i="4"/>
  <c r="D1868" i="4"/>
  <c r="D1869" i="4"/>
  <c r="D1870" i="4"/>
  <c r="D1871" i="4"/>
  <c r="D1872" i="4"/>
  <c r="D1873" i="4"/>
  <c r="D1874" i="4"/>
  <c r="D1875" i="4"/>
  <c r="D1876" i="4"/>
  <c r="D1877" i="4"/>
  <c r="D1878" i="4"/>
  <c r="D1879" i="4"/>
  <c r="D1880" i="4"/>
  <c r="D1881" i="4"/>
  <c r="D1882" i="4"/>
  <c r="D1883" i="4"/>
  <c r="D1884" i="4"/>
  <c r="D1885" i="4"/>
  <c r="D1886" i="4"/>
  <c r="D1887" i="4"/>
  <c r="D1888" i="4"/>
  <c r="D1889" i="4"/>
  <c r="D1890" i="4"/>
  <c r="D1891" i="4"/>
  <c r="D1892" i="4"/>
  <c r="D1893" i="4"/>
  <c r="D1894" i="4"/>
  <c r="D1895" i="4"/>
  <c r="D1896" i="4"/>
  <c r="D1897" i="4"/>
  <c r="D1898" i="4"/>
  <c r="D1899" i="4"/>
  <c r="D1900" i="4"/>
  <c r="D1901" i="4"/>
  <c r="D1902" i="4"/>
  <c r="D1903" i="4"/>
  <c r="D1904" i="4"/>
  <c r="D1905" i="4"/>
  <c r="D1906" i="4"/>
  <c r="D1907" i="4"/>
  <c r="D1908" i="4"/>
  <c r="D1909" i="4"/>
  <c r="D1910" i="4"/>
  <c r="D1911" i="4"/>
  <c r="D1912" i="4"/>
  <c r="D1913" i="4"/>
  <c r="D1914" i="4"/>
  <c r="D1915" i="4"/>
  <c r="D1916" i="4"/>
  <c r="D1917" i="4"/>
  <c r="D1918" i="4"/>
  <c r="D1919" i="4"/>
  <c r="D1920" i="4"/>
  <c r="D1921" i="4"/>
  <c r="D1922" i="4"/>
  <c r="D1923" i="4"/>
  <c r="D1924" i="4"/>
  <c r="D1925" i="4"/>
  <c r="D1926" i="4"/>
  <c r="D1927" i="4"/>
  <c r="D1928" i="4"/>
  <c r="D1929" i="4"/>
  <c r="D1930" i="4"/>
  <c r="D1931" i="4"/>
  <c r="D1932" i="4"/>
  <c r="D1933" i="4"/>
  <c r="D1934" i="4"/>
  <c r="D1935" i="4"/>
  <c r="D1936" i="4"/>
  <c r="D1937" i="4"/>
  <c r="D1938" i="4"/>
  <c r="D1939" i="4"/>
  <c r="D1940" i="4"/>
  <c r="D1941" i="4"/>
  <c r="D1942" i="4"/>
  <c r="D1943" i="4"/>
  <c r="D1944" i="4"/>
  <c r="D1945" i="4"/>
  <c r="D1946" i="4"/>
  <c r="D1947" i="4"/>
  <c r="D1948" i="4"/>
  <c r="D1949" i="4"/>
  <c r="D1950" i="4"/>
  <c r="D1951" i="4"/>
  <c r="D1952" i="4"/>
  <c r="D1953" i="4"/>
  <c r="D1954" i="4"/>
  <c r="D1955" i="4"/>
  <c r="D1956" i="4"/>
  <c r="D1957" i="4"/>
  <c r="D1958" i="4"/>
  <c r="D1959" i="4"/>
  <c r="D1960" i="4"/>
  <c r="D1961" i="4"/>
  <c r="D1962" i="4"/>
  <c r="D1963" i="4"/>
  <c r="D1964" i="4"/>
  <c r="D1965" i="4"/>
  <c r="D1966" i="4"/>
  <c r="D1967" i="4"/>
  <c r="D1968" i="4"/>
  <c r="D1969" i="4"/>
  <c r="D1970" i="4"/>
  <c r="D1971" i="4"/>
  <c r="D1972" i="4"/>
  <c r="D1973" i="4"/>
  <c r="D1974" i="4"/>
  <c r="D1975" i="4"/>
  <c r="D1976" i="4"/>
  <c r="D1977" i="4"/>
  <c r="D1978" i="4"/>
  <c r="D1979" i="4"/>
  <c r="D1980" i="4"/>
  <c r="D1981" i="4"/>
  <c r="D1982" i="4"/>
  <c r="D1983" i="4"/>
  <c r="D1984" i="4"/>
  <c r="D1985" i="4"/>
  <c r="D1986" i="4"/>
  <c r="D1987" i="4"/>
  <c r="D1988" i="4"/>
  <c r="D1989" i="4"/>
  <c r="D1990" i="4"/>
  <c r="D1991" i="4"/>
  <c r="D1992" i="4"/>
  <c r="D1993" i="4"/>
  <c r="D1994" i="4"/>
  <c r="D1995" i="4"/>
  <c r="D1996" i="4"/>
  <c r="D1997" i="4"/>
  <c r="D1998" i="4"/>
  <c r="D1999" i="4"/>
  <c r="D2000" i="4"/>
  <c r="D2001" i="4"/>
  <c r="D2002" i="4"/>
  <c r="D2003" i="4"/>
  <c r="D2004" i="4"/>
  <c r="D2005" i="4"/>
  <c r="D2006" i="4"/>
  <c r="D2007" i="4"/>
  <c r="D2008" i="4"/>
  <c r="D2009" i="4"/>
  <c r="D2010" i="4"/>
  <c r="D2011" i="4"/>
  <c r="D2012" i="4"/>
  <c r="D2013" i="4"/>
  <c r="D2014" i="4"/>
  <c r="D2015" i="4"/>
  <c r="D2016" i="4"/>
  <c r="D2017" i="4"/>
  <c r="D2018" i="4"/>
  <c r="D2019" i="4"/>
  <c r="D2020" i="4"/>
  <c r="D2021" i="4"/>
  <c r="D2022" i="4"/>
  <c r="D2023" i="4"/>
  <c r="D2024" i="4"/>
  <c r="D2025" i="4"/>
  <c r="D2026" i="4"/>
  <c r="D2027" i="4"/>
  <c r="D2028" i="4"/>
  <c r="D2029" i="4"/>
  <c r="D2030" i="4"/>
  <c r="D2031" i="4"/>
  <c r="D2032" i="4"/>
  <c r="D2033" i="4"/>
  <c r="D2034" i="4"/>
  <c r="D2035" i="4"/>
  <c r="D2036" i="4"/>
  <c r="D2037" i="4"/>
  <c r="D2038" i="4"/>
  <c r="D2039" i="4"/>
  <c r="D2040" i="4"/>
  <c r="D2041" i="4"/>
  <c r="D2042" i="4"/>
  <c r="D2043" i="4"/>
  <c r="D2044" i="4"/>
  <c r="D2045" i="4"/>
  <c r="D2046" i="4"/>
  <c r="D2047" i="4"/>
  <c r="D2048" i="4"/>
  <c r="D2049" i="4"/>
  <c r="D2050" i="4"/>
  <c r="D2051" i="4"/>
  <c r="D2052" i="4"/>
  <c r="D2053" i="4"/>
  <c r="D2054" i="4"/>
  <c r="D2055" i="4"/>
  <c r="D2056" i="4"/>
  <c r="D2057" i="4"/>
  <c r="D2058" i="4"/>
  <c r="D2059" i="4"/>
  <c r="D2060" i="4"/>
  <c r="D2061" i="4"/>
  <c r="D2062" i="4"/>
  <c r="D2063" i="4"/>
  <c r="D2064" i="4"/>
  <c r="D2065" i="4"/>
  <c r="D2066" i="4"/>
  <c r="D2067" i="4"/>
  <c r="D2068" i="4"/>
  <c r="D2069" i="4"/>
  <c r="D2070" i="4"/>
  <c r="D2071" i="4"/>
  <c r="D2072" i="4"/>
  <c r="D2073" i="4"/>
  <c r="D2074" i="4"/>
  <c r="D2075" i="4"/>
  <c r="D2076" i="4"/>
  <c r="D2077" i="4"/>
  <c r="D2078" i="4"/>
  <c r="D2079" i="4"/>
  <c r="D2080" i="4"/>
  <c r="D2081" i="4"/>
  <c r="D2082" i="4"/>
  <c r="D2083" i="4"/>
  <c r="D2084" i="4"/>
  <c r="D2085" i="4"/>
  <c r="D2086" i="4"/>
  <c r="D2087" i="4"/>
  <c r="D2088" i="4"/>
  <c r="D2089" i="4"/>
  <c r="D2090" i="4"/>
  <c r="D2091" i="4"/>
  <c r="D2092" i="4"/>
  <c r="D2093" i="4"/>
  <c r="D2094" i="4"/>
  <c r="D2095" i="4"/>
  <c r="D2096" i="4"/>
  <c r="D2097" i="4"/>
  <c r="D2098" i="4"/>
  <c r="D2099" i="4"/>
  <c r="D2100" i="4"/>
  <c r="D2101" i="4"/>
  <c r="D2102" i="4"/>
  <c r="D2103" i="4"/>
  <c r="D2104" i="4"/>
  <c r="D2105" i="4"/>
  <c r="D2106" i="4"/>
  <c r="D2107" i="4"/>
  <c r="D2108" i="4"/>
  <c r="D2109" i="4"/>
  <c r="D2110" i="4"/>
  <c r="D2111" i="4"/>
  <c r="D2112" i="4"/>
  <c r="D2113" i="4"/>
  <c r="D2114" i="4"/>
  <c r="D2115" i="4"/>
  <c r="D2116" i="4"/>
  <c r="D2117" i="4"/>
  <c r="D2118" i="4"/>
  <c r="D2119" i="4"/>
  <c r="D2120" i="4"/>
  <c r="D2121" i="4"/>
  <c r="D2122" i="4"/>
  <c r="D2123" i="4"/>
  <c r="D2124" i="4"/>
  <c r="D2125" i="4"/>
  <c r="D2126" i="4"/>
  <c r="D2127" i="4"/>
  <c r="D2128" i="4"/>
  <c r="D2129" i="4"/>
  <c r="D2130" i="4"/>
  <c r="D2131" i="4"/>
  <c r="D2132" i="4"/>
  <c r="D2133" i="4"/>
  <c r="D2134" i="4"/>
  <c r="D2135" i="4"/>
  <c r="D2136" i="4"/>
  <c r="D2137" i="4"/>
  <c r="D2138" i="4"/>
  <c r="D2139" i="4"/>
  <c r="D2140" i="4"/>
  <c r="D2141" i="4"/>
  <c r="D2142" i="4"/>
  <c r="D2143" i="4"/>
  <c r="D2144" i="4"/>
  <c r="D2145" i="4"/>
  <c r="D2146" i="4"/>
  <c r="D2147" i="4"/>
  <c r="D2148" i="4"/>
  <c r="D2149" i="4"/>
  <c r="D2150" i="4"/>
  <c r="D2151" i="4"/>
  <c r="D2152" i="4"/>
  <c r="D2153" i="4"/>
  <c r="D2154" i="4"/>
  <c r="D2155" i="4"/>
  <c r="D2156" i="4"/>
  <c r="D2157" i="4"/>
  <c r="D2158" i="4"/>
  <c r="D2159" i="4"/>
  <c r="D2160" i="4"/>
  <c r="D2161" i="4"/>
  <c r="D2162" i="4"/>
  <c r="D2163" i="4"/>
  <c r="D2164" i="4"/>
  <c r="D2165" i="4"/>
  <c r="D2166" i="4"/>
  <c r="D2167" i="4"/>
  <c r="D2168" i="4"/>
  <c r="D2169" i="4"/>
  <c r="D2170" i="4"/>
  <c r="D2171" i="4"/>
  <c r="D2172" i="4"/>
  <c r="D2173" i="4"/>
  <c r="D2174" i="4"/>
  <c r="D2175" i="4"/>
  <c r="D2176" i="4"/>
  <c r="D2177" i="4"/>
  <c r="D2178" i="4"/>
  <c r="D2179" i="4"/>
  <c r="D2180" i="4"/>
  <c r="D2181" i="4"/>
  <c r="D2182" i="4"/>
  <c r="D2183" i="4"/>
  <c r="D2184" i="4"/>
  <c r="D2185" i="4"/>
  <c r="D2186" i="4"/>
  <c r="D2187" i="4"/>
  <c r="D2188" i="4"/>
  <c r="D2189" i="4"/>
  <c r="D2190" i="4"/>
  <c r="D2191" i="4"/>
  <c r="D2192" i="4"/>
  <c r="D2193" i="4"/>
  <c r="D2194" i="4"/>
  <c r="D2195" i="4"/>
  <c r="D2196" i="4"/>
  <c r="D2197" i="4"/>
  <c r="D2198" i="4"/>
  <c r="D2199" i="4"/>
  <c r="D2200" i="4"/>
  <c r="D2201" i="4"/>
  <c r="D2202" i="4"/>
  <c r="D2203" i="4"/>
  <c r="D2204" i="4"/>
  <c r="D2205" i="4"/>
  <c r="D2206" i="4"/>
  <c r="D2207" i="4"/>
  <c r="D2208" i="4"/>
  <c r="D2209" i="4"/>
  <c r="D2" i="4"/>
  <c r="H6" i="3"/>
  <c r="Q6" i="3" s="1"/>
  <c r="H7" i="3"/>
  <c r="Q7" i="3" s="1"/>
  <c r="H8" i="3"/>
  <c r="Q8" i="3" s="1"/>
  <c r="H9" i="3"/>
  <c r="Q9" i="3" s="1"/>
  <c r="H10" i="3"/>
  <c r="Q10" i="3" s="1"/>
  <c r="H11" i="3"/>
  <c r="Q11" i="3" s="1"/>
  <c r="H12" i="3"/>
  <c r="Q12" i="3" s="1"/>
  <c r="H13" i="3"/>
  <c r="Q13" i="3" s="1"/>
  <c r="H14" i="3"/>
  <c r="H15" i="3"/>
  <c r="Q15" i="3" s="1"/>
  <c r="H16" i="3"/>
  <c r="Q16" i="3" s="1"/>
  <c r="H17" i="3"/>
  <c r="Q17" i="3" s="1"/>
  <c r="H18" i="3"/>
  <c r="Q18" i="3" s="1"/>
  <c r="H19" i="3"/>
  <c r="Q19" i="3" s="1"/>
  <c r="H20" i="3"/>
  <c r="Q20" i="3" s="1"/>
  <c r="H21" i="3"/>
  <c r="Q21" i="3" s="1"/>
  <c r="H22" i="3"/>
  <c r="Q22" i="3" s="1"/>
  <c r="H23" i="3"/>
  <c r="Q23" i="3" s="1"/>
  <c r="H24" i="3"/>
  <c r="Q24" i="3" s="1"/>
  <c r="H25" i="3"/>
  <c r="Q25" i="3" s="1"/>
  <c r="H26" i="3"/>
  <c r="Q26" i="3" s="1"/>
  <c r="H27" i="3"/>
  <c r="Q27" i="3" s="1"/>
  <c r="H28" i="3"/>
  <c r="Q28" i="3" s="1"/>
  <c r="H5" i="3"/>
  <c r="H4" i="3"/>
  <c r="G6" i="3"/>
  <c r="P6" i="3" s="1"/>
  <c r="G7" i="3"/>
  <c r="P7" i="3" s="1"/>
  <c r="S7" i="3" s="1"/>
  <c r="G8" i="3"/>
  <c r="P8" i="3" s="1"/>
  <c r="G9" i="3"/>
  <c r="G10" i="3"/>
  <c r="P10" i="3" s="1"/>
  <c r="G11" i="3"/>
  <c r="P11" i="3" s="1"/>
  <c r="G12" i="3"/>
  <c r="P12" i="3" s="1"/>
  <c r="S12" i="3" s="1"/>
  <c r="G13" i="3"/>
  <c r="P13" i="3" s="1"/>
  <c r="G14" i="3"/>
  <c r="P14" i="3" s="1"/>
  <c r="G15" i="3"/>
  <c r="P15" i="3" s="1"/>
  <c r="S15" i="3" s="1"/>
  <c r="G16" i="3"/>
  <c r="P16" i="3" s="1"/>
  <c r="G17" i="3"/>
  <c r="G18" i="3"/>
  <c r="P18" i="3" s="1"/>
  <c r="G19" i="3"/>
  <c r="P19" i="3" s="1"/>
  <c r="G20" i="3"/>
  <c r="P20" i="3" s="1"/>
  <c r="S20" i="3" s="1"/>
  <c r="G21" i="3"/>
  <c r="P21" i="3" s="1"/>
  <c r="G22" i="3"/>
  <c r="P22" i="3" s="1"/>
  <c r="G23" i="3"/>
  <c r="P23" i="3" s="1"/>
  <c r="S23" i="3" s="1"/>
  <c r="G24" i="3"/>
  <c r="P24" i="3" s="1"/>
  <c r="G25" i="3"/>
  <c r="P25" i="3" s="1"/>
  <c r="G26" i="3"/>
  <c r="G27" i="3"/>
  <c r="P27" i="3" s="1"/>
  <c r="G28" i="3"/>
  <c r="P28" i="3" s="1"/>
  <c r="S28" i="3" s="1"/>
  <c r="G5" i="3"/>
  <c r="G4" i="3"/>
  <c r="F4" i="3"/>
  <c r="F6" i="3"/>
  <c r="F7" i="3"/>
  <c r="O7" i="3" s="1"/>
  <c r="F8" i="3"/>
  <c r="O8" i="3" s="1"/>
  <c r="F9" i="3"/>
  <c r="O9" i="3" s="1"/>
  <c r="F10" i="3"/>
  <c r="O10" i="3" s="1"/>
  <c r="F11" i="3"/>
  <c r="O11" i="3" s="1"/>
  <c r="F12" i="3"/>
  <c r="O12" i="3" s="1"/>
  <c r="F13" i="3"/>
  <c r="O13" i="3" s="1"/>
  <c r="F14" i="3"/>
  <c r="O14" i="3" s="1"/>
  <c r="F15" i="3"/>
  <c r="O15" i="3" s="1"/>
  <c r="F16" i="3"/>
  <c r="O16" i="3" s="1"/>
  <c r="F17" i="3"/>
  <c r="O17" i="3" s="1"/>
  <c r="F18" i="3"/>
  <c r="O18" i="3" s="1"/>
  <c r="F19" i="3"/>
  <c r="O19" i="3" s="1"/>
  <c r="F20" i="3"/>
  <c r="O20" i="3" s="1"/>
  <c r="F21" i="3"/>
  <c r="O21" i="3" s="1"/>
  <c r="R21" i="3" s="1"/>
  <c r="F22" i="3"/>
  <c r="O22" i="3" s="1"/>
  <c r="F23" i="3"/>
  <c r="O23" i="3" s="1"/>
  <c r="F24" i="3"/>
  <c r="F25" i="3"/>
  <c r="O25" i="3" s="1"/>
  <c r="F26" i="3"/>
  <c r="O26" i="3" s="1"/>
  <c r="F27" i="3"/>
  <c r="O27" i="3" s="1"/>
  <c r="F28" i="3"/>
  <c r="O28" i="3" s="1"/>
  <c r="F5" i="3"/>
  <c r="F87" i="5" l="1"/>
  <c r="O24" i="3"/>
  <c r="L24" i="3"/>
  <c r="F86" i="5"/>
  <c r="F85" i="5"/>
  <c r="F82" i="5"/>
  <c r="F81" i="5"/>
  <c r="F78" i="5"/>
  <c r="F76" i="5"/>
  <c r="F75" i="5"/>
  <c r="F83" i="5"/>
  <c r="F74" i="5"/>
  <c r="F73" i="5"/>
  <c r="F71" i="5"/>
  <c r="P26" i="3"/>
  <c r="S26" i="3" s="1"/>
  <c r="M26" i="3"/>
  <c r="F77" i="5"/>
  <c r="F72" i="5"/>
  <c r="F69" i="5"/>
  <c r="F68" i="5"/>
  <c r="F67" i="5"/>
  <c r="F66" i="5"/>
  <c r="F59" i="5"/>
  <c r="F56" i="5"/>
  <c r="F70" i="5"/>
  <c r="F54" i="5"/>
  <c r="F53" i="5"/>
  <c r="F52" i="5"/>
  <c r="F51" i="5"/>
  <c r="F64" i="5"/>
  <c r="F80" i="5"/>
  <c r="F63" i="5"/>
  <c r="L28" i="3"/>
  <c r="F62" i="5"/>
  <c r="F61" i="5"/>
  <c r="T13" i="3"/>
  <c r="F60" i="5"/>
  <c r="T21" i="3"/>
  <c r="T28" i="3"/>
  <c r="S27" i="3"/>
  <c r="T20" i="3"/>
  <c r="M21" i="3"/>
  <c r="S19" i="3"/>
  <c r="S11" i="3"/>
  <c r="T12" i="3"/>
  <c r="T8" i="3"/>
  <c r="T24" i="3"/>
  <c r="T16" i="3"/>
  <c r="T15" i="3"/>
  <c r="M16" i="3"/>
  <c r="N23" i="3"/>
  <c r="N15" i="3"/>
  <c r="T7" i="3"/>
  <c r="F65" i="5"/>
  <c r="F57" i="5"/>
  <c r="F55" i="5"/>
  <c r="F49" i="5"/>
  <c r="F46" i="5"/>
  <c r="F45" i="5"/>
  <c r="F44" i="5"/>
  <c r="F41" i="5"/>
  <c r="F40" i="5"/>
  <c r="F24" i="5"/>
  <c r="F23" i="5"/>
  <c r="F22" i="5"/>
  <c r="F21" i="5"/>
  <c r="F15" i="5"/>
  <c r="F58" i="5"/>
  <c r="F37" i="5"/>
  <c r="F25" i="5"/>
  <c r="F47" i="5"/>
  <c r="S18" i="3"/>
  <c r="S10" i="3"/>
  <c r="T27" i="3"/>
  <c r="T19" i="3"/>
  <c r="T11" i="3"/>
  <c r="S25" i="3"/>
  <c r="M25" i="3"/>
  <c r="M17" i="3"/>
  <c r="M9" i="3"/>
  <c r="T26" i="3"/>
  <c r="S16" i="3"/>
  <c r="M8" i="3"/>
  <c r="T22" i="3"/>
  <c r="R13" i="3"/>
  <c r="R27" i="3"/>
  <c r="S21" i="3"/>
  <c r="S13" i="3"/>
  <c r="N22" i="3"/>
  <c r="N14" i="3"/>
  <c r="T6" i="3"/>
  <c r="S8" i="3"/>
  <c r="F2154" i="4"/>
  <c r="F2130" i="4"/>
  <c r="F2106" i="4"/>
  <c r="F2082" i="4"/>
  <c r="F50" i="5"/>
  <c r="F2193" i="4"/>
  <c r="F2161" i="4"/>
  <c r="F2129" i="4"/>
  <c r="F2097" i="4"/>
  <c r="F2194" i="4"/>
  <c r="F2170" i="4"/>
  <c r="F2098" i="4"/>
  <c r="F2209" i="4"/>
  <c r="F2177" i="4"/>
  <c r="F2145" i="4"/>
  <c r="F2113" i="4"/>
  <c r="F2073" i="4"/>
  <c r="F2192" i="4"/>
  <c r="F2160" i="4"/>
  <c r="F2136" i="4"/>
  <c r="F2112" i="4"/>
  <c r="F2080" i="4"/>
  <c r="M13" i="3"/>
  <c r="F2201" i="4"/>
  <c r="F2169" i="4"/>
  <c r="F2137" i="4"/>
  <c r="F2105" i="4"/>
  <c r="F2081" i="4"/>
  <c r="O6" i="3"/>
  <c r="R6" i="3" s="1"/>
  <c r="L6" i="3"/>
  <c r="F2208" i="4"/>
  <c r="F2184" i="4"/>
  <c r="F2168" i="4"/>
  <c r="F2144" i="4"/>
  <c r="F2120" i="4"/>
  <c r="F2096" i="4"/>
  <c r="F2207" i="4"/>
  <c r="F2199" i="4"/>
  <c r="F2183" i="4"/>
  <c r="F2175" i="4"/>
  <c r="F2167" i="4"/>
  <c r="F2159" i="4"/>
  <c r="F2151" i="4"/>
  <c r="F2143" i="4"/>
  <c r="F2135" i="4"/>
  <c r="F2127" i="4"/>
  <c r="F2119" i="4"/>
  <c r="F2111" i="4"/>
  <c r="F2103" i="4"/>
  <c r="F2095" i="4"/>
  <c r="F2087" i="4"/>
  <c r="F2079" i="4"/>
  <c r="F2185" i="4"/>
  <c r="F2153" i="4"/>
  <c r="F2121" i="4"/>
  <c r="F2089" i="4"/>
  <c r="F2200" i="4"/>
  <c r="F2176" i="4"/>
  <c r="F2152" i="4"/>
  <c r="F2128" i="4"/>
  <c r="F2104" i="4"/>
  <c r="F2088" i="4"/>
  <c r="L5" i="3"/>
  <c r="O5" i="3"/>
  <c r="R5" i="3" s="1"/>
  <c r="F2191" i="4"/>
  <c r="F2206" i="4"/>
  <c r="F2198" i="4"/>
  <c r="F2190" i="4"/>
  <c r="F2182" i="4"/>
  <c r="F2174" i="4"/>
  <c r="F2166" i="4"/>
  <c r="F2158" i="4"/>
  <c r="F2150" i="4"/>
  <c r="F2142" i="4"/>
  <c r="F2134" i="4"/>
  <c r="F2126" i="4"/>
  <c r="F2118" i="4"/>
  <c r="F2110" i="4"/>
  <c r="F2102" i="4"/>
  <c r="F2094" i="4"/>
  <c r="F2086" i="4"/>
  <c r="F2078" i="4"/>
  <c r="F2202" i="4"/>
  <c r="F2178" i="4"/>
  <c r="F2146" i="4"/>
  <c r="F2122" i="4"/>
  <c r="F2074" i="4"/>
  <c r="F2197" i="4"/>
  <c r="F2189" i="4"/>
  <c r="F2181" i="4"/>
  <c r="F2165" i="4"/>
  <c r="F2157" i="4"/>
  <c r="F2149" i="4"/>
  <c r="F2141" i="4"/>
  <c r="F2125" i="4"/>
  <c r="F2117" i="4"/>
  <c r="F2109" i="4"/>
  <c r="F2093" i="4"/>
  <c r="F2085" i="4"/>
  <c r="F2077" i="4"/>
  <c r="P5" i="3"/>
  <c r="S5" i="3" s="1"/>
  <c r="M5" i="3"/>
  <c r="F2205" i="4"/>
  <c r="F2173" i="4"/>
  <c r="F2133" i="4"/>
  <c r="F2101" i="4"/>
  <c r="Q5" i="3"/>
  <c r="T5" i="3" s="1"/>
  <c r="N5" i="3"/>
  <c r="M24" i="3"/>
  <c r="P9" i="3"/>
  <c r="S9" i="3" s="1"/>
  <c r="F2204" i="4"/>
  <c r="F2196" i="4"/>
  <c r="F2188" i="4"/>
  <c r="F2180" i="4"/>
  <c r="F2172" i="4"/>
  <c r="F2164" i="4"/>
  <c r="F2156" i="4"/>
  <c r="F2148" i="4"/>
  <c r="F2140" i="4"/>
  <c r="F2132" i="4"/>
  <c r="F2124" i="4"/>
  <c r="F2116" i="4"/>
  <c r="F2108" i="4"/>
  <c r="F2100" i="4"/>
  <c r="F2092" i="4"/>
  <c r="F2084" i="4"/>
  <c r="F2076" i="4"/>
  <c r="F39" i="5"/>
  <c r="F38" i="5"/>
  <c r="F2203" i="4"/>
  <c r="F2195" i="4"/>
  <c r="F2187" i="4"/>
  <c r="F2179" i="4"/>
  <c r="F2171" i="4"/>
  <c r="F2163" i="4"/>
  <c r="F2155" i="4"/>
  <c r="F2147" i="4"/>
  <c r="F2139" i="4"/>
  <c r="F2131" i="4"/>
  <c r="F2123" i="4"/>
  <c r="F2115" i="4"/>
  <c r="F2107" i="4"/>
  <c r="F2099" i="4"/>
  <c r="F2091" i="4"/>
  <c r="F2083" i="4"/>
  <c r="F2075" i="4"/>
  <c r="F2034" i="4"/>
  <c r="F1978" i="4"/>
  <c r="F1818" i="4"/>
  <c r="F1770" i="4"/>
  <c r="F1650" i="4"/>
  <c r="F1530" i="4"/>
  <c r="F1474" i="4"/>
  <c r="F1026" i="4"/>
  <c r="F922" i="4"/>
  <c r="F874" i="4"/>
  <c r="F826" i="4"/>
  <c r="F730" i="4"/>
  <c r="F690" i="4"/>
  <c r="F490" i="4"/>
  <c r="F450" i="4"/>
  <c r="F426" i="4"/>
  <c r="F402" i="4"/>
  <c r="F378" i="4"/>
  <c r="F354" i="4"/>
  <c r="F330" i="4"/>
  <c r="F298" i="4"/>
  <c r="F250" i="4"/>
  <c r="F226" i="4"/>
  <c r="F154" i="4"/>
  <c r="F130" i="4"/>
  <c r="F114" i="4"/>
  <c r="F90" i="4"/>
  <c r="F82" i="4"/>
  <c r="F58" i="4"/>
  <c r="F42" i="4"/>
  <c r="F18" i="4"/>
  <c r="F10" i="4"/>
  <c r="F2026" i="4"/>
  <c r="F1930" i="4"/>
  <c r="F1890" i="4"/>
  <c r="F1858" i="4"/>
  <c r="F1810" i="4"/>
  <c r="F1722" i="4"/>
  <c r="F1674" i="4"/>
  <c r="F1570" i="4"/>
  <c r="F1458" i="4"/>
  <c r="F1338" i="4"/>
  <c r="F1306" i="4"/>
  <c r="F1210" i="4"/>
  <c r="F1186" i="4"/>
  <c r="F1146" i="4"/>
  <c r="F1114" i="4"/>
  <c r="F1074" i="4"/>
  <c r="F1042" i="4"/>
  <c r="F1002" i="4"/>
  <c r="F850" i="4"/>
  <c r="F762" i="4"/>
  <c r="F714" i="4"/>
  <c r="F666" i="4"/>
  <c r="F618" i="4"/>
  <c r="F466" i="4"/>
  <c r="F2010" i="4"/>
  <c r="F1962" i="4"/>
  <c r="F1882" i="4"/>
  <c r="F1786" i="4"/>
  <c r="F1690" i="4"/>
  <c r="F1594" i="4"/>
  <c r="F1450" i="4"/>
  <c r="F1410" i="4"/>
  <c r="F1362" i="4"/>
  <c r="F1330" i="4"/>
  <c r="F1290" i="4"/>
  <c r="F1258" i="4"/>
  <c r="F1162" i="4"/>
  <c r="F1122" i="4"/>
  <c r="F1018" i="4"/>
  <c r="F970" i="4"/>
  <c r="F898" i="4"/>
  <c r="F802" i="4"/>
  <c r="F754" i="4"/>
  <c r="F706" i="4"/>
  <c r="F658" i="4"/>
  <c r="F562" i="4"/>
  <c r="F538" i="4"/>
  <c r="F498" i="4"/>
  <c r="F418" i="4"/>
  <c r="F346" i="4"/>
  <c r="F282" i="4"/>
  <c r="F258" i="4"/>
  <c r="F202" i="4"/>
  <c r="F178" i="4"/>
  <c r="F106" i="4"/>
  <c r="F34" i="4"/>
  <c r="F43" i="5"/>
  <c r="F2049" i="4"/>
  <c r="F2001" i="4"/>
  <c r="F1953" i="4"/>
  <c r="F1905" i="4"/>
  <c r="F1857" i="4"/>
  <c r="F1809" i="4"/>
  <c r="F1777" i="4"/>
  <c r="F1737" i="4"/>
  <c r="F1681" i="4"/>
  <c r="F1641" i="4"/>
  <c r="F1593" i="4"/>
  <c r="F1529" i="4"/>
  <c r="F1489" i="4"/>
  <c r="F1449" i="4"/>
  <c r="F1417" i="4"/>
  <c r="F1377" i="4"/>
  <c r="F1329" i="4"/>
  <c r="F1273" i="4"/>
  <c r="F1225" i="4"/>
  <c r="F1177" i="4"/>
  <c r="F1137" i="4"/>
  <c r="F1097" i="4"/>
  <c r="F1049" i="4"/>
  <c r="F1001" i="4"/>
  <c r="F961" i="4"/>
  <c r="F913" i="4"/>
  <c r="F865" i="4"/>
  <c r="F809" i="4"/>
  <c r="F753" i="4"/>
  <c r="F705" i="4"/>
  <c r="F649" i="4"/>
  <c r="F601" i="4"/>
  <c r="F537" i="4"/>
  <c r="F489" i="4"/>
  <c r="F441" i="4"/>
  <c r="F393" i="4"/>
  <c r="F329" i="4"/>
  <c r="F273" i="4"/>
  <c r="F225" i="4"/>
  <c r="F169" i="4"/>
  <c r="F113" i="4"/>
  <c r="F65" i="4"/>
  <c r="F9" i="4"/>
  <c r="F2072" i="4"/>
  <c r="F2064" i="4"/>
  <c r="F2056" i="4"/>
  <c r="F2048" i="4"/>
  <c r="F2040" i="4"/>
  <c r="F2032" i="4"/>
  <c r="F2024" i="4"/>
  <c r="F2016" i="4"/>
  <c r="F2008" i="4"/>
  <c r="F2000" i="4"/>
  <c r="F1992" i="4"/>
  <c r="F1984" i="4"/>
  <c r="F1976" i="4"/>
  <c r="F1968" i="4"/>
  <c r="F1960" i="4"/>
  <c r="F1952" i="4"/>
  <c r="F1944" i="4"/>
  <c r="F1936" i="4"/>
  <c r="F1928" i="4"/>
  <c r="F1920" i="4"/>
  <c r="F1912" i="4"/>
  <c r="F1904" i="4"/>
  <c r="F1896" i="4"/>
  <c r="F1888" i="4"/>
  <c r="F1880" i="4"/>
  <c r="F1872" i="4"/>
  <c r="F1864" i="4"/>
  <c r="F1856" i="4"/>
  <c r="F1848" i="4"/>
  <c r="F1840" i="4"/>
  <c r="F1832" i="4"/>
  <c r="F1824" i="4"/>
  <c r="F1816" i="4"/>
  <c r="F1808" i="4"/>
  <c r="F1800" i="4"/>
  <c r="F1792" i="4"/>
  <c r="F1784" i="4"/>
  <c r="F1776" i="4"/>
  <c r="F1768" i="4"/>
  <c r="F1760" i="4"/>
  <c r="F1752" i="4"/>
  <c r="F1744" i="4"/>
  <c r="F1736" i="4"/>
  <c r="F1728" i="4"/>
  <c r="F1720" i="4"/>
  <c r="F1712" i="4"/>
  <c r="F1704" i="4"/>
  <c r="F1696" i="4"/>
  <c r="F1688" i="4"/>
  <c r="F1680" i="4"/>
  <c r="F1672" i="4"/>
  <c r="F1664" i="4"/>
  <c r="F1656" i="4"/>
  <c r="F1648" i="4"/>
  <c r="F1640" i="4"/>
  <c r="F1632" i="4"/>
  <c r="F1624" i="4"/>
  <c r="F1616" i="4"/>
  <c r="F1608" i="4"/>
  <c r="F1600" i="4"/>
  <c r="F1592" i="4"/>
  <c r="F1584" i="4"/>
  <c r="F1576" i="4"/>
  <c r="F1568" i="4"/>
  <c r="F1560" i="4"/>
  <c r="F1552" i="4"/>
  <c r="F1544" i="4"/>
  <c r="F1536" i="4"/>
  <c r="F1528" i="4"/>
  <c r="F1520" i="4"/>
  <c r="F1512" i="4"/>
  <c r="F1504" i="4"/>
  <c r="F1496" i="4"/>
  <c r="F1488" i="4"/>
  <c r="F1480" i="4"/>
  <c r="F1472" i="4"/>
  <c r="F1464" i="4"/>
  <c r="F1456" i="4"/>
  <c r="F1448" i="4"/>
  <c r="F1440" i="4"/>
  <c r="F1432" i="4"/>
  <c r="F1424" i="4"/>
  <c r="F1416" i="4"/>
  <c r="F1408" i="4"/>
  <c r="F1400" i="4"/>
  <c r="F1392" i="4"/>
  <c r="F1384" i="4"/>
  <c r="F1376" i="4"/>
  <c r="F1368" i="4"/>
  <c r="F1360" i="4"/>
  <c r="F1352" i="4"/>
  <c r="F1344" i="4"/>
  <c r="F1336" i="4"/>
  <c r="F1328" i="4"/>
  <c r="F1320" i="4"/>
  <c r="F1312" i="4"/>
  <c r="F1304" i="4"/>
  <c r="F1296" i="4"/>
  <c r="F1288" i="4"/>
  <c r="F1280" i="4"/>
  <c r="F1272" i="4"/>
  <c r="F1264" i="4"/>
  <c r="F1256" i="4"/>
  <c r="F1248" i="4"/>
  <c r="F1240" i="4"/>
  <c r="F1232" i="4"/>
  <c r="F1224" i="4"/>
  <c r="F1216" i="4"/>
  <c r="F1208" i="4"/>
  <c r="F1200" i="4"/>
  <c r="F1192" i="4"/>
  <c r="F1184" i="4"/>
  <c r="F1176" i="4"/>
  <c r="F1168" i="4"/>
  <c r="F1160" i="4"/>
  <c r="F1152" i="4"/>
  <c r="F1144" i="4"/>
  <c r="F1136" i="4"/>
  <c r="F1128" i="4"/>
  <c r="F1120" i="4"/>
  <c r="F1112" i="4"/>
  <c r="F1104" i="4"/>
  <c r="F1096" i="4"/>
  <c r="F1088" i="4"/>
  <c r="F1080" i="4"/>
  <c r="F1072" i="4"/>
  <c r="F1064" i="4"/>
  <c r="F1056" i="4"/>
  <c r="F1048" i="4"/>
  <c r="F1040" i="4"/>
  <c r="F1032" i="4"/>
  <c r="F1024" i="4"/>
  <c r="F1016" i="4"/>
  <c r="F1008" i="4"/>
  <c r="F1000" i="4"/>
  <c r="F992" i="4"/>
  <c r="F984" i="4"/>
  <c r="F976" i="4"/>
  <c r="F968" i="4"/>
  <c r="F960" i="4"/>
  <c r="F952" i="4"/>
  <c r="F944" i="4"/>
  <c r="F936" i="4"/>
  <c r="F928" i="4"/>
  <c r="F920" i="4"/>
  <c r="F912" i="4"/>
  <c r="F904" i="4"/>
  <c r="F896" i="4"/>
  <c r="F888" i="4"/>
  <c r="F880" i="4"/>
  <c r="F872" i="4"/>
  <c r="F864" i="4"/>
  <c r="F856" i="4"/>
  <c r="F848" i="4"/>
  <c r="F840" i="4"/>
  <c r="F832" i="4"/>
  <c r="F824" i="4"/>
  <c r="F816" i="4"/>
  <c r="F808" i="4"/>
  <c r="F800" i="4"/>
  <c r="F792" i="4"/>
  <c r="F784" i="4"/>
  <c r="F776" i="4"/>
  <c r="F768" i="4"/>
  <c r="F760" i="4"/>
  <c r="F752" i="4"/>
  <c r="F744" i="4"/>
  <c r="F736" i="4"/>
  <c r="F728" i="4"/>
  <c r="F720" i="4"/>
  <c r="F712" i="4"/>
  <c r="F704" i="4"/>
  <c r="F696" i="4"/>
  <c r="F688" i="4"/>
  <c r="F680" i="4"/>
  <c r="F672" i="4"/>
  <c r="F664" i="4"/>
  <c r="F656" i="4"/>
  <c r="F648" i="4"/>
  <c r="F640" i="4"/>
  <c r="F632" i="4"/>
  <c r="F624" i="4"/>
  <c r="F616" i="4"/>
  <c r="F608" i="4"/>
  <c r="F600" i="4"/>
  <c r="F592" i="4"/>
  <c r="F584" i="4"/>
  <c r="F576" i="4"/>
  <c r="F568" i="4"/>
  <c r="F560" i="4"/>
  <c r="F552" i="4"/>
  <c r="F544" i="4"/>
  <c r="F536" i="4"/>
  <c r="F528" i="4"/>
  <c r="F520" i="4"/>
  <c r="F512" i="4"/>
  <c r="F504" i="4"/>
  <c r="F496" i="4"/>
  <c r="F488" i="4"/>
  <c r="F480" i="4"/>
  <c r="F472" i="4"/>
  <c r="F464" i="4"/>
  <c r="F456" i="4"/>
  <c r="F448" i="4"/>
  <c r="F440" i="4"/>
  <c r="F432" i="4"/>
  <c r="F424" i="4"/>
  <c r="F416" i="4"/>
  <c r="F408" i="4"/>
  <c r="F400" i="4"/>
  <c r="F392" i="4"/>
  <c r="F384" i="4"/>
  <c r="F376" i="4"/>
  <c r="F368" i="4"/>
  <c r="F360" i="4"/>
  <c r="F352" i="4"/>
  <c r="F344" i="4"/>
  <c r="F336" i="4"/>
  <c r="F328" i="4"/>
  <c r="F320" i="4"/>
  <c r="F312" i="4"/>
  <c r="F304" i="4"/>
  <c r="F296" i="4"/>
  <c r="F288" i="4"/>
  <c r="F280" i="4"/>
  <c r="F272" i="4"/>
  <c r="F264" i="4"/>
  <c r="F256" i="4"/>
  <c r="F248" i="4"/>
  <c r="F240" i="4"/>
  <c r="F232" i="4"/>
  <c r="F224" i="4"/>
  <c r="F216" i="4"/>
  <c r="F208" i="4"/>
  <c r="F200" i="4"/>
  <c r="F192" i="4"/>
  <c r="F184" i="4"/>
  <c r="F176" i="4"/>
  <c r="F168" i="4"/>
  <c r="F160" i="4"/>
  <c r="F152" i="4"/>
  <c r="F144" i="4"/>
  <c r="F136" i="4"/>
  <c r="F128" i="4"/>
  <c r="F120" i="4"/>
  <c r="F112" i="4"/>
  <c r="F104" i="4"/>
  <c r="F96" i="4"/>
  <c r="F88" i="4"/>
  <c r="F80" i="4"/>
  <c r="F72" i="4"/>
  <c r="F64" i="4"/>
  <c r="F56" i="4"/>
  <c r="F48" i="4"/>
  <c r="F40" i="4"/>
  <c r="F32" i="4"/>
  <c r="F24" i="4"/>
  <c r="F16" i="4"/>
  <c r="F8" i="4"/>
  <c r="F1986" i="4"/>
  <c r="F1954" i="4"/>
  <c r="F1914" i="4"/>
  <c r="F1762" i="4"/>
  <c r="F1714" i="4"/>
  <c r="F1618" i="4"/>
  <c r="F1578" i="4"/>
  <c r="F1546" i="4"/>
  <c r="F1506" i="4"/>
  <c r="F1482" i="4"/>
  <c r="F1434" i="4"/>
  <c r="F1378" i="4"/>
  <c r="F1282" i="4"/>
  <c r="F1242" i="4"/>
  <c r="F1194" i="4"/>
  <c r="F1098" i="4"/>
  <c r="F1066" i="4"/>
  <c r="F978" i="4"/>
  <c r="F954" i="4"/>
  <c r="F930" i="4"/>
  <c r="F778" i="4"/>
  <c r="F682" i="4"/>
  <c r="F642" i="4"/>
  <c r="F594" i="4"/>
  <c r="F514" i="4"/>
  <c r="F474" i="4"/>
  <c r="F2033" i="4"/>
  <c r="F1985" i="4"/>
  <c r="F1921" i="4"/>
  <c r="F1873" i="4"/>
  <c r="F1825" i="4"/>
  <c r="F1769" i="4"/>
  <c r="F1713" i="4"/>
  <c r="F1665" i="4"/>
  <c r="F1625" i="4"/>
  <c r="F1569" i="4"/>
  <c r="F1521" i="4"/>
  <c r="F1465" i="4"/>
  <c r="F1401" i="4"/>
  <c r="F1345" i="4"/>
  <c r="F1297" i="4"/>
  <c r="F1249" i="4"/>
  <c r="F1209" i="4"/>
  <c r="F1153" i="4"/>
  <c r="F1105" i="4"/>
  <c r="F1065" i="4"/>
  <c r="F1025" i="4"/>
  <c r="F977" i="4"/>
  <c r="F929" i="4"/>
  <c r="F881" i="4"/>
  <c r="F833" i="4"/>
  <c r="F785" i="4"/>
  <c r="F737" i="4"/>
  <c r="F681" i="4"/>
  <c r="F633" i="4"/>
  <c r="F577" i="4"/>
  <c r="F545" i="4"/>
  <c r="F505" i="4"/>
  <c r="F457" i="4"/>
  <c r="F401" i="4"/>
  <c r="F321" i="4"/>
  <c r="F281" i="4"/>
  <c r="F241" i="4"/>
  <c r="F185" i="4"/>
  <c r="F137" i="4"/>
  <c r="F73" i="4"/>
  <c r="F33" i="4"/>
  <c r="F2063" i="4"/>
  <c r="F2031" i="4"/>
  <c r="F1999" i="4"/>
  <c r="F1967" i="4"/>
  <c r="F1935" i="4"/>
  <c r="F1903" i="4"/>
  <c r="F1855" i="4"/>
  <c r="F1823" i="4"/>
  <c r="F1791" i="4"/>
  <c r="F1751" i="4"/>
  <c r="F1719" i="4"/>
  <c r="F1671" i="4"/>
  <c r="F1631" i="4"/>
  <c r="F1583" i="4"/>
  <c r="F1551" i="4"/>
  <c r="F1495" i="4"/>
  <c r="F1463" i="4"/>
  <c r="F1431" i="4"/>
  <c r="F1375" i="4"/>
  <c r="F1343" i="4"/>
  <c r="F1303" i="4"/>
  <c r="F1247" i="4"/>
  <c r="F1215" i="4"/>
  <c r="F1175" i="4"/>
  <c r="F1127" i="4"/>
  <c r="F1095" i="4"/>
  <c r="F1055" i="4"/>
  <c r="F1007" i="4"/>
  <c r="F967" i="4"/>
  <c r="F919" i="4"/>
  <c r="F879" i="4"/>
  <c r="F847" i="4"/>
  <c r="F815" i="4"/>
  <c r="F783" i="4"/>
  <c r="F751" i="4"/>
  <c r="F711" i="4"/>
  <c r="F679" i="4"/>
  <c r="F639" i="4"/>
  <c r="F599" i="4"/>
  <c r="F559" i="4"/>
  <c r="F527" i="4"/>
  <c r="F495" i="4"/>
  <c r="F463" i="4"/>
  <c r="F423" i="4"/>
  <c r="F383" i="4"/>
  <c r="F351" i="4"/>
  <c r="F311" i="4"/>
  <c r="F271" i="4"/>
  <c r="F231" i="4"/>
  <c r="F191" i="4"/>
  <c r="F151" i="4"/>
  <c r="F119" i="4"/>
  <c r="F79" i="4"/>
  <c r="F31" i="4"/>
  <c r="F2070" i="4"/>
  <c r="F2062" i="4"/>
  <c r="F2054" i="4"/>
  <c r="F2046" i="4"/>
  <c r="F2038" i="4"/>
  <c r="F2030" i="4"/>
  <c r="F2022" i="4"/>
  <c r="F2014" i="4"/>
  <c r="F2006" i="4"/>
  <c r="F1998" i="4"/>
  <c r="F1990" i="4"/>
  <c r="F1982" i="4"/>
  <c r="F1974" i="4"/>
  <c r="F1966" i="4"/>
  <c r="F1958" i="4"/>
  <c r="F1950" i="4"/>
  <c r="F1942" i="4"/>
  <c r="F1934" i="4"/>
  <c r="F1926" i="4"/>
  <c r="F1918" i="4"/>
  <c r="F1910" i="4"/>
  <c r="F1902" i="4"/>
  <c r="F1894" i="4"/>
  <c r="F1886" i="4"/>
  <c r="F1878" i="4"/>
  <c r="F1870" i="4"/>
  <c r="F1862" i="4"/>
  <c r="F1854" i="4"/>
  <c r="F1846" i="4"/>
  <c r="F1838" i="4"/>
  <c r="F1830" i="4"/>
  <c r="F1822" i="4"/>
  <c r="F1814" i="4"/>
  <c r="F1806" i="4"/>
  <c r="F1798" i="4"/>
  <c r="F1790" i="4"/>
  <c r="F1782" i="4"/>
  <c r="F1774" i="4"/>
  <c r="F1766" i="4"/>
  <c r="F1758" i="4"/>
  <c r="F1750" i="4"/>
  <c r="F1742" i="4"/>
  <c r="F1734" i="4"/>
  <c r="F1726" i="4"/>
  <c r="F1718" i="4"/>
  <c r="F1710" i="4"/>
  <c r="F1702" i="4"/>
  <c r="F1694" i="4"/>
  <c r="F1686" i="4"/>
  <c r="F1678" i="4"/>
  <c r="F1670" i="4"/>
  <c r="F1662" i="4"/>
  <c r="F1654" i="4"/>
  <c r="F1646" i="4"/>
  <c r="F1638" i="4"/>
  <c r="F1630" i="4"/>
  <c r="F1622" i="4"/>
  <c r="F1614" i="4"/>
  <c r="F1606" i="4"/>
  <c r="F1598" i="4"/>
  <c r="F1590" i="4"/>
  <c r="F1582" i="4"/>
  <c r="F1574" i="4"/>
  <c r="F1566" i="4"/>
  <c r="F1558" i="4"/>
  <c r="F1550" i="4"/>
  <c r="F1542" i="4"/>
  <c r="F1534" i="4"/>
  <c r="F1526" i="4"/>
  <c r="F1518" i="4"/>
  <c r="F1510" i="4"/>
  <c r="F1502" i="4"/>
  <c r="F1494" i="4"/>
  <c r="F1486" i="4"/>
  <c r="F1478" i="4"/>
  <c r="F1470" i="4"/>
  <c r="F1462" i="4"/>
  <c r="F1454" i="4"/>
  <c r="F1446" i="4"/>
  <c r="F1438" i="4"/>
  <c r="F1430" i="4"/>
  <c r="F1422" i="4"/>
  <c r="F1414" i="4"/>
  <c r="F1406" i="4"/>
  <c r="F1398" i="4"/>
  <c r="F1390" i="4"/>
  <c r="F1382" i="4"/>
  <c r="F1374" i="4"/>
  <c r="F1366" i="4"/>
  <c r="F1358" i="4"/>
  <c r="F1350" i="4"/>
  <c r="F1342" i="4"/>
  <c r="F1334" i="4"/>
  <c r="F1326" i="4"/>
  <c r="F1318" i="4"/>
  <c r="F1310" i="4"/>
  <c r="F1302" i="4"/>
  <c r="F1294" i="4"/>
  <c r="F1286" i="4"/>
  <c r="F1278" i="4"/>
  <c r="F1270" i="4"/>
  <c r="F1262" i="4"/>
  <c r="F1254" i="4"/>
  <c r="F1246" i="4"/>
  <c r="F1238" i="4"/>
  <c r="F1230" i="4"/>
  <c r="F1222" i="4"/>
  <c r="F1214" i="4"/>
  <c r="F1206" i="4"/>
  <c r="F1198" i="4"/>
  <c r="F1190" i="4"/>
  <c r="F1182" i="4"/>
  <c r="F1174" i="4"/>
  <c r="F1166" i="4"/>
  <c r="F1158" i="4"/>
  <c r="F1150" i="4"/>
  <c r="F1142" i="4"/>
  <c r="F1134" i="4"/>
  <c r="F1126" i="4"/>
  <c r="F1118" i="4"/>
  <c r="F1110" i="4"/>
  <c r="F1102" i="4"/>
  <c r="F1094" i="4"/>
  <c r="F1086" i="4"/>
  <c r="F1078" i="4"/>
  <c r="F1070" i="4"/>
  <c r="F1062" i="4"/>
  <c r="F1054" i="4"/>
  <c r="F1046" i="4"/>
  <c r="F1038" i="4"/>
  <c r="F1030" i="4"/>
  <c r="F1022" i="4"/>
  <c r="F1014" i="4"/>
  <c r="F1006" i="4"/>
  <c r="F998" i="4"/>
  <c r="F990" i="4"/>
  <c r="F982" i="4"/>
  <c r="F974" i="4"/>
  <c r="F966" i="4"/>
  <c r="F958" i="4"/>
  <c r="F950" i="4"/>
  <c r="F942" i="4"/>
  <c r="F934" i="4"/>
  <c r="F926" i="4"/>
  <c r="F918" i="4"/>
  <c r="F910" i="4"/>
  <c r="F902" i="4"/>
  <c r="F894" i="4"/>
  <c r="F886" i="4"/>
  <c r="F878" i="4"/>
  <c r="F870" i="4"/>
  <c r="F862" i="4"/>
  <c r="F854" i="4"/>
  <c r="F846" i="4"/>
  <c r="F838" i="4"/>
  <c r="F830" i="4"/>
  <c r="F822" i="4"/>
  <c r="F814" i="4"/>
  <c r="F806" i="4"/>
  <c r="F798" i="4"/>
  <c r="F790" i="4"/>
  <c r="F782" i="4"/>
  <c r="F774" i="4"/>
  <c r="F766" i="4"/>
  <c r="F758" i="4"/>
  <c r="F750" i="4"/>
  <c r="F742" i="4"/>
  <c r="F734" i="4"/>
  <c r="F726" i="4"/>
  <c r="F718" i="4"/>
  <c r="F710" i="4"/>
  <c r="F702" i="4"/>
  <c r="F694" i="4"/>
  <c r="F686" i="4"/>
  <c r="F678" i="4"/>
  <c r="F670" i="4"/>
  <c r="F662" i="4"/>
  <c r="F654" i="4"/>
  <c r="F646" i="4"/>
  <c r="F638" i="4"/>
  <c r="F630" i="4"/>
  <c r="F622" i="4"/>
  <c r="F614" i="4"/>
  <c r="F606" i="4"/>
  <c r="F598" i="4"/>
  <c r="F590" i="4"/>
  <c r="F582" i="4"/>
  <c r="F574" i="4"/>
  <c r="F566" i="4"/>
  <c r="F558" i="4"/>
  <c r="F550" i="4"/>
  <c r="F542" i="4"/>
  <c r="F534" i="4"/>
  <c r="F526" i="4"/>
  <c r="F518" i="4"/>
  <c r="F510" i="4"/>
  <c r="F502" i="4"/>
  <c r="F494" i="4"/>
  <c r="F486" i="4"/>
  <c r="F478" i="4"/>
  <c r="F470" i="4"/>
  <c r="F462" i="4"/>
  <c r="F454" i="4"/>
  <c r="F446" i="4"/>
  <c r="F438" i="4"/>
  <c r="F430" i="4"/>
  <c r="F422" i="4"/>
  <c r="F414" i="4"/>
  <c r="F406" i="4"/>
  <c r="F398" i="4"/>
  <c r="F390" i="4"/>
  <c r="F382" i="4"/>
  <c r="F374" i="4"/>
  <c r="F366" i="4"/>
  <c r="F358" i="4"/>
  <c r="F350" i="4"/>
  <c r="F342" i="4"/>
  <c r="F334" i="4"/>
  <c r="F326" i="4"/>
  <c r="F318" i="4"/>
  <c r="F310" i="4"/>
  <c r="F302" i="4"/>
  <c r="F294" i="4"/>
  <c r="F286" i="4"/>
  <c r="F278" i="4"/>
  <c r="F270" i="4"/>
  <c r="F262" i="4"/>
  <c r="F254" i="4"/>
  <c r="F246" i="4"/>
  <c r="F238" i="4"/>
  <c r="F230" i="4"/>
  <c r="F222" i="4"/>
  <c r="F214" i="4"/>
  <c r="F206" i="4"/>
  <c r="F198" i="4"/>
  <c r="F190" i="4"/>
  <c r="F182" i="4"/>
  <c r="F174" i="4"/>
  <c r="F166" i="4"/>
  <c r="F158" i="4"/>
  <c r="F150" i="4"/>
  <c r="F142" i="4"/>
  <c r="F134" i="4"/>
  <c r="F126" i="4"/>
  <c r="F118" i="4"/>
  <c r="F110" i="4"/>
  <c r="F102" i="4"/>
  <c r="F94" i="4"/>
  <c r="F86" i="4"/>
  <c r="F78" i="4"/>
  <c r="F70" i="4"/>
  <c r="F62" i="4"/>
  <c r="F54" i="4"/>
  <c r="F46" i="4"/>
  <c r="F38" i="4"/>
  <c r="F30" i="4"/>
  <c r="F22" i="4"/>
  <c r="F14" i="4"/>
  <c r="F6" i="4"/>
  <c r="F2050" i="4"/>
  <c r="F1906" i="4"/>
  <c r="F1866" i="4"/>
  <c r="F1842" i="4"/>
  <c r="F1794" i="4"/>
  <c r="F1746" i="4"/>
  <c r="F1698" i="4"/>
  <c r="F1666" i="4"/>
  <c r="F1626" i="4"/>
  <c r="F1522" i="4"/>
  <c r="F1426" i="4"/>
  <c r="F1386" i="4"/>
  <c r="F1314" i="4"/>
  <c r="F1266" i="4"/>
  <c r="F1234" i="4"/>
  <c r="F1138" i="4"/>
  <c r="F1090" i="4"/>
  <c r="F994" i="4"/>
  <c r="F882" i="4"/>
  <c r="F834" i="4"/>
  <c r="F786" i="4"/>
  <c r="F610" i="4"/>
  <c r="F570" i="4"/>
  <c r="F546" i="4"/>
  <c r="F522" i="4"/>
  <c r="F394" i="4"/>
  <c r="F370" i="4"/>
  <c r="F306" i="4"/>
  <c r="F274" i="4"/>
  <c r="F234" i="4"/>
  <c r="F210" i="4"/>
  <c r="F186" i="4"/>
  <c r="F162" i="4"/>
  <c r="F138" i="4"/>
  <c r="F66" i="4"/>
  <c r="F2041" i="4"/>
  <c r="F2009" i="4"/>
  <c r="F1977" i="4"/>
  <c r="F1945" i="4"/>
  <c r="F1913" i="4"/>
  <c r="F1881" i="4"/>
  <c r="F1841" i="4"/>
  <c r="F1801" i="4"/>
  <c r="F1761" i="4"/>
  <c r="F1729" i="4"/>
  <c r="F1689" i="4"/>
  <c r="F1649" i="4"/>
  <c r="F1609" i="4"/>
  <c r="F1577" i="4"/>
  <c r="F1545" i="4"/>
  <c r="F1497" i="4"/>
  <c r="F1457" i="4"/>
  <c r="F1433" i="4"/>
  <c r="F1393" i="4"/>
  <c r="F1361" i="4"/>
  <c r="F1313" i="4"/>
  <c r="F1281" i="4"/>
  <c r="F1241" i="4"/>
  <c r="F1185" i="4"/>
  <c r="F1145" i="4"/>
  <c r="F1113" i="4"/>
  <c r="F1073" i="4"/>
  <c r="F1033" i="4"/>
  <c r="F993" i="4"/>
  <c r="F945" i="4"/>
  <c r="F905" i="4"/>
  <c r="F857" i="4"/>
  <c r="F817" i="4"/>
  <c r="F777" i="4"/>
  <c r="F745" i="4"/>
  <c r="F713" i="4"/>
  <c r="F665" i="4"/>
  <c r="F617" i="4"/>
  <c r="F585" i="4"/>
  <c r="F553" i="4"/>
  <c r="F521" i="4"/>
  <c r="F481" i="4"/>
  <c r="F449" i="4"/>
  <c r="F417" i="4"/>
  <c r="F385" i="4"/>
  <c r="F369" i="4"/>
  <c r="F345" i="4"/>
  <c r="F305" i="4"/>
  <c r="F265" i="4"/>
  <c r="F233" i="4"/>
  <c r="F201" i="4"/>
  <c r="F161" i="4"/>
  <c r="F129" i="4"/>
  <c r="F97" i="4"/>
  <c r="F57" i="4"/>
  <c r="F25" i="4"/>
  <c r="F2071" i="4"/>
  <c r="F2039" i="4"/>
  <c r="F2007" i="4"/>
  <c r="F1975" i="4"/>
  <c r="F1943" i="4"/>
  <c r="F1911" i="4"/>
  <c r="F1879" i="4"/>
  <c r="F1847" i="4"/>
  <c r="F1815" i="4"/>
  <c r="F1783" i="4"/>
  <c r="F1759" i="4"/>
  <c r="F1727" i="4"/>
  <c r="F1695" i="4"/>
  <c r="F1663" i="4"/>
  <c r="F1639" i="4"/>
  <c r="F1607" i="4"/>
  <c r="F1575" i="4"/>
  <c r="F1543" i="4"/>
  <c r="F1503" i="4"/>
  <c r="F1471" i="4"/>
  <c r="F1439" i="4"/>
  <c r="F1407" i="4"/>
  <c r="F1399" i="4"/>
  <c r="F1367" i="4"/>
  <c r="F1335" i="4"/>
  <c r="F1311" i="4"/>
  <c r="F1279" i="4"/>
  <c r="F1255" i="4"/>
  <c r="F1231" i="4"/>
  <c r="F1207" i="4"/>
  <c r="F1183" i="4"/>
  <c r="F1151" i="4"/>
  <c r="F1119" i="4"/>
  <c r="F1087" i="4"/>
  <c r="F1063" i="4"/>
  <c r="F1031" i="4"/>
  <c r="F999" i="4"/>
  <c r="F975" i="4"/>
  <c r="F943" i="4"/>
  <c r="F911" i="4"/>
  <c r="F887" i="4"/>
  <c r="F863" i="4"/>
  <c r="F831" i="4"/>
  <c r="F799" i="4"/>
  <c r="F775" i="4"/>
  <c r="F743" i="4"/>
  <c r="F719" i="4"/>
  <c r="F703" i="4"/>
  <c r="F671" i="4"/>
  <c r="F647" i="4"/>
  <c r="F615" i="4"/>
  <c r="F567" i="4"/>
  <c r="F535" i="4"/>
  <c r="F503" i="4"/>
  <c r="F471" i="4"/>
  <c r="F439" i="4"/>
  <c r="F407" i="4"/>
  <c r="F375" i="4"/>
  <c r="F343" i="4"/>
  <c r="F319" i="4"/>
  <c r="F287" i="4"/>
  <c r="F255" i="4"/>
  <c r="F223" i="4"/>
  <c r="F199" i="4"/>
  <c r="F167" i="4"/>
  <c r="F127" i="4"/>
  <c r="F95" i="4"/>
  <c r="F63" i="4"/>
  <c r="F23" i="4"/>
  <c r="F2069" i="4"/>
  <c r="F2061" i="4"/>
  <c r="F2053" i="4"/>
  <c r="F2045" i="4"/>
  <c r="F2037" i="4"/>
  <c r="F2029" i="4"/>
  <c r="F2021" i="4"/>
  <c r="F2013" i="4"/>
  <c r="F2005" i="4"/>
  <c r="F1997" i="4"/>
  <c r="F1989" i="4"/>
  <c r="F1981" i="4"/>
  <c r="F1973" i="4"/>
  <c r="F1965" i="4"/>
  <c r="F1957" i="4"/>
  <c r="F1949" i="4"/>
  <c r="F1941" i="4"/>
  <c r="F1933" i="4"/>
  <c r="F1925" i="4"/>
  <c r="F1917" i="4"/>
  <c r="F1909" i="4"/>
  <c r="F1901" i="4"/>
  <c r="F1893" i="4"/>
  <c r="F1885" i="4"/>
  <c r="F1877" i="4"/>
  <c r="F1869" i="4"/>
  <c r="F1861" i="4"/>
  <c r="F1853" i="4"/>
  <c r="F1845" i="4"/>
  <c r="F1837" i="4"/>
  <c r="F1829" i="4"/>
  <c r="F1821" i="4"/>
  <c r="F1813" i="4"/>
  <c r="F1805" i="4"/>
  <c r="F1797" i="4"/>
  <c r="F1789" i="4"/>
  <c r="F1781" i="4"/>
  <c r="F1773" i="4"/>
  <c r="F1765" i="4"/>
  <c r="F1757" i="4"/>
  <c r="F1749" i="4"/>
  <c r="F1741" i="4"/>
  <c r="F1733" i="4"/>
  <c r="F1725" i="4"/>
  <c r="F1717" i="4"/>
  <c r="F1709" i="4"/>
  <c r="F1701" i="4"/>
  <c r="F1693" i="4"/>
  <c r="F1685" i="4"/>
  <c r="F1677" i="4"/>
  <c r="F1669" i="4"/>
  <c r="F1661" i="4"/>
  <c r="F1653" i="4"/>
  <c r="F1645" i="4"/>
  <c r="F1637" i="4"/>
  <c r="F1629" i="4"/>
  <c r="F1621" i="4"/>
  <c r="F1613" i="4"/>
  <c r="F1605" i="4"/>
  <c r="F1597" i="4"/>
  <c r="F1589" i="4"/>
  <c r="F1581" i="4"/>
  <c r="F1573" i="4"/>
  <c r="F1565" i="4"/>
  <c r="F1557" i="4"/>
  <c r="F1549" i="4"/>
  <c r="F1541" i="4"/>
  <c r="F1533" i="4"/>
  <c r="F1525" i="4"/>
  <c r="F1517" i="4"/>
  <c r="F1509" i="4"/>
  <c r="F1501" i="4"/>
  <c r="F1493" i="4"/>
  <c r="F1485" i="4"/>
  <c r="F1477" i="4"/>
  <c r="F1469" i="4"/>
  <c r="F1461" i="4"/>
  <c r="F1453" i="4"/>
  <c r="F1445" i="4"/>
  <c r="F1437" i="4"/>
  <c r="F1429" i="4"/>
  <c r="F1421" i="4"/>
  <c r="F1413" i="4"/>
  <c r="F1405" i="4"/>
  <c r="F1397" i="4"/>
  <c r="F1389" i="4"/>
  <c r="F1381" i="4"/>
  <c r="F1373" i="4"/>
  <c r="F1365" i="4"/>
  <c r="F1357" i="4"/>
  <c r="F1349" i="4"/>
  <c r="F1341" i="4"/>
  <c r="F1333" i="4"/>
  <c r="F1325" i="4"/>
  <c r="F1317" i="4"/>
  <c r="F1309" i="4"/>
  <c r="F1301" i="4"/>
  <c r="F1293" i="4"/>
  <c r="F1285" i="4"/>
  <c r="F1277" i="4"/>
  <c r="F1269" i="4"/>
  <c r="F1261" i="4"/>
  <c r="F1253" i="4"/>
  <c r="F1245" i="4"/>
  <c r="F1237" i="4"/>
  <c r="F1229" i="4"/>
  <c r="F1221" i="4"/>
  <c r="F1213" i="4"/>
  <c r="F1205" i="4"/>
  <c r="F1197" i="4"/>
  <c r="F1189" i="4"/>
  <c r="F1181" i="4"/>
  <c r="F1173" i="4"/>
  <c r="F1165" i="4"/>
  <c r="F1157" i="4"/>
  <c r="F1149" i="4"/>
  <c r="F1141" i="4"/>
  <c r="F1133" i="4"/>
  <c r="F1125" i="4"/>
  <c r="F1117" i="4"/>
  <c r="F1109" i="4"/>
  <c r="F1101" i="4"/>
  <c r="F1093" i="4"/>
  <c r="F1085" i="4"/>
  <c r="F1077" i="4"/>
  <c r="F1069" i="4"/>
  <c r="F1061" i="4"/>
  <c r="F1053" i="4"/>
  <c r="F1045" i="4"/>
  <c r="F1037" i="4"/>
  <c r="F1029" i="4"/>
  <c r="F1021" i="4"/>
  <c r="F1013" i="4"/>
  <c r="F1005" i="4"/>
  <c r="F997" i="4"/>
  <c r="F989" i="4"/>
  <c r="F981" i="4"/>
  <c r="F973" i="4"/>
  <c r="F965" i="4"/>
  <c r="F957" i="4"/>
  <c r="F949" i="4"/>
  <c r="F941" i="4"/>
  <c r="F933" i="4"/>
  <c r="F925" i="4"/>
  <c r="F917" i="4"/>
  <c r="F909" i="4"/>
  <c r="F901" i="4"/>
  <c r="F893" i="4"/>
  <c r="F885" i="4"/>
  <c r="F877" i="4"/>
  <c r="F869" i="4"/>
  <c r="F861" i="4"/>
  <c r="F853" i="4"/>
  <c r="F845" i="4"/>
  <c r="F837" i="4"/>
  <c r="F829" i="4"/>
  <c r="F821" i="4"/>
  <c r="F813" i="4"/>
  <c r="F805" i="4"/>
  <c r="F797" i="4"/>
  <c r="F789" i="4"/>
  <c r="F781" i="4"/>
  <c r="F773" i="4"/>
  <c r="F765" i="4"/>
  <c r="F757" i="4"/>
  <c r="F749" i="4"/>
  <c r="F741" i="4"/>
  <c r="F733" i="4"/>
  <c r="F725" i="4"/>
  <c r="F717" i="4"/>
  <c r="F709" i="4"/>
  <c r="F701" i="4"/>
  <c r="F693" i="4"/>
  <c r="F685" i="4"/>
  <c r="F677" i="4"/>
  <c r="F669" i="4"/>
  <c r="F661" i="4"/>
  <c r="F653" i="4"/>
  <c r="F645" i="4"/>
  <c r="F637" i="4"/>
  <c r="F629" i="4"/>
  <c r="F621" i="4"/>
  <c r="F613" i="4"/>
  <c r="F605" i="4"/>
  <c r="F597" i="4"/>
  <c r="F589" i="4"/>
  <c r="F581" i="4"/>
  <c r="F573" i="4"/>
  <c r="F565" i="4"/>
  <c r="F557" i="4"/>
  <c r="F549" i="4"/>
  <c r="F541" i="4"/>
  <c r="F533" i="4"/>
  <c r="F525" i="4"/>
  <c r="F517" i="4"/>
  <c r="F509" i="4"/>
  <c r="F501" i="4"/>
  <c r="F493" i="4"/>
  <c r="F485" i="4"/>
  <c r="F477" i="4"/>
  <c r="F469" i="4"/>
  <c r="F461" i="4"/>
  <c r="F453" i="4"/>
  <c r="F445" i="4"/>
  <c r="F437" i="4"/>
  <c r="F429" i="4"/>
  <c r="F421" i="4"/>
  <c r="F413" i="4"/>
  <c r="F405" i="4"/>
  <c r="F397" i="4"/>
  <c r="F389" i="4"/>
  <c r="F381" i="4"/>
  <c r="F373" i="4"/>
  <c r="F365" i="4"/>
  <c r="F357" i="4"/>
  <c r="F349" i="4"/>
  <c r="F341" i="4"/>
  <c r="F333" i="4"/>
  <c r="F325" i="4"/>
  <c r="F317" i="4"/>
  <c r="F309" i="4"/>
  <c r="F301" i="4"/>
  <c r="F293" i="4"/>
  <c r="F285" i="4"/>
  <c r="F277" i="4"/>
  <c r="F269" i="4"/>
  <c r="F261" i="4"/>
  <c r="F253" i="4"/>
  <c r="F245" i="4"/>
  <c r="F237" i="4"/>
  <c r="F229" i="4"/>
  <c r="F221" i="4"/>
  <c r="F213" i="4"/>
  <c r="F205" i="4"/>
  <c r="F197" i="4"/>
  <c r="F189" i="4"/>
  <c r="F181" i="4"/>
  <c r="F173" i="4"/>
  <c r="F165" i="4"/>
  <c r="F157" i="4"/>
  <c r="F149" i="4"/>
  <c r="F141" i="4"/>
  <c r="F133" i="4"/>
  <c r="F125" i="4"/>
  <c r="F117" i="4"/>
  <c r="F109" i="4"/>
  <c r="F101" i="4"/>
  <c r="F93" i="4"/>
  <c r="F85" i="4"/>
  <c r="F77" i="4"/>
  <c r="F69" i="4"/>
  <c r="F61" i="4"/>
  <c r="F53" i="4"/>
  <c r="F45" i="4"/>
  <c r="F37" i="4"/>
  <c r="F29" i="4"/>
  <c r="F21" i="4"/>
  <c r="F13" i="4"/>
  <c r="F5" i="4"/>
  <c r="F2065" i="4"/>
  <c r="F2025" i="4"/>
  <c r="F1993" i="4"/>
  <c r="F1961" i="4"/>
  <c r="F1937" i="4"/>
  <c r="F1897" i="4"/>
  <c r="F1865" i="4"/>
  <c r="F1833" i="4"/>
  <c r="F1793" i="4"/>
  <c r="F1753" i="4"/>
  <c r="F1721" i="4"/>
  <c r="F1697" i="4"/>
  <c r="F1657" i="4"/>
  <c r="F1617" i="4"/>
  <c r="F1585" i="4"/>
  <c r="F1553" i="4"/>
  <c r="F1513" i="4"/>
  <c r="F1481" i="4"/>
  <c r="F1409" i="4"/>
  <c r="F1369" i="4"/>
  <c r="F1337" i="4"/>
  <c r="F1305" i="4"/>
  <c r="F1265" i="4"/>
  <c r="F1233" i="4"/>
  <c r="F1193" i="4"/>
  <c r="F1161" i="4"/>
  <c r="F1129" i="4"/>
  <c r="F1089" i="4"/>
  <c r="F1057" i="4"/>
  <c r="F1017" i="4"/>
  <c r="F985" i="4"/>
  <c r="F953" i="4"/>
  <c r="F921" i="4"/>
  <c r="F889" i="4"/>
  <c r="F849" i="4"/>
  <c r="F825" i="4"/>
  <c r="F801" i="4"/>
  <c r="F769" i="4"/>
  <c r="F729" i="4"/>
  <c r="F697" i="4"/>
  <c r="F673" i="4"/>
  <c r="F641" i="4"/>
  <c r="F609" i="4"/>
  <c r="F569" i="4"/>
  <c r="F513" i="4"/>
  <c r="F473" i="4"/>
  <c r="F425" i="4"/>
  <c r="F377" i="4"/>
  <c r="F353" i="4"/>
  <c r="F313" i="4"/>
  <c r="F297" i="4"/>
  <c r="F257" i="4"/>
  <c r="F209" i="4"/>
  <c r="F177" i="4"/>
  <c r="F145" i="4"/>
  <c r="F105" i="4"/>
  <c r="F81" i="4"/>
  <c r="F49" i="4"/>
  <c r="F17" i="4"/>
  <c r="F2047" i="4"/>
  <c r="F2015" i="4"/>
  <c r="F1991" i="4"/>
  <c r="F1959" i="4"/>
  <c r="F1927" i="4"/>
  <c r="F1895" i="4"/>
  <c r="F1863" i="4"/>
  <c r="F1831" i="4"/>
  <c r="F1799" i="4"/>
  <c r="F1767" i="4"/>
  <c r="F1735" i="4"/>
  <c r="F1711" i="4"/>
  <c r="F1687" i="4"/>
  <c r="F1655" i="4"/>
  <c r="F1623" i="4"/>
  <c r="F1591" i="4"/>
  <c r="F1559" i="4"/>
  <c r="F1535" i="4"/>
  <c r="F1519" i="4"/>
  <c r="F1479" i="4"/>
  <c r="F1447" i="4"/>
  <c r="F1415" i="4"/>
  <c r="F1383" i="4"/>
  <c r="F1351" i="4"/>
  <c r="F1319" i="4"/>
  <c r="F1295" i="4"/>
  <c r="F1271" i="4"/>
  <c r="F1239" i="4"/>
  <c r="F1199" i="4"/>
  <c r="F1159" i="4"/>
  <c r="F1135" i="4"/>
  <c r="F1103" i="4"/>
  <c r="F1079" i="4"/>
  <c r="F1047" i="4"/>
  <c r="F1023" i="4"/>
  <c r="F983" i="4"/>
  <c r="F959" i="4"/>
  <c r="F935" i="4"/>
  <c r="F903" i="4"/>
  <c r="F855" i="4"/>
  <c r="F823" i="4"/>
  <c r="F791" i="4"/>
  <c r="F767" i="4"/>
  <c r="F735" i="4"/>
  <c r="F695" i="4"/>
  <c r="F663" i="4"/>
  <c r="F631" i="4"/>
  <c r="F607" i="4"/>
  <c r="F583" i="4"/>
  <c r="F543" i="4"/>
  <c r="F511" i="4"/>
  <c r="F479" i="4"/>
  <c r="F447" i="4"/>
  <c r="F415" i="4"/>
  <c r="F399" i="4"/>
  <c r="F367" i="4"/>
  <c r="F335" i="4"/>
  <c r="F303" i="4"/>
  <c r="F279" i="4"/>
  <c r="F247" i="4"/>
  <c r="F215" i="4"/>
  <c r="F183" i="4"/>
  <c r="F159" i="4"/>
  <c r="F135" i="4"/>
  <c r="F111" i="4"/>
  <c r="F87" i="4"/>
  <c r="F55" i="4"/>
  <c r="F39" i="4"/>
  <c r="F7" i="4"/>
  <c r="F2068" i="4"/>
  <c r="F2060" i="4"/>
  <c r="F2052" i="4"/>
  <c r="F2044" i="4"/>
  <c r="F2036" i="4"/>
  <c r="F2028" i="4"/>
  <c r="F2020" i="4"/>
  <c r="F2012" i="4"/>
  <c r="F2004" i="4"/>
  <c r="F1996" i="4"/>
  <c r="F1988" i="4"/>
  <c r="F1980" i="4"/>
  <c r="F1972" i="4"/>
  <c r="F1964" i="4"/>
  <c r="F1956" i="4"/>
  <c r="F1948" i="4"/>
  <c r="F1940" i="4"/>
  <c r="F1932" i="4"/>
  <c r="F1924" i="4"/>
  <c r="F1916" i="4"/>
  <c r="F1908" i="4"/>
  <c r="F1900" i="4"/>
  <c r="F1892" i="4"/>
  <c r="F1884" i="4"/>
  <c r="F1876" i="4"/>
  <c r="F1868" i="4"/>
  <c r="F1860" i="4"/>
  <c r="F1852" i="4"/>
  <c r="F1844" i="4"/>
  <c r="F1836" i="4"/>
  <c r="F1828" i="4"/>
  <c r="F1820" i="4"/>
  <c r="F1812" i="4"/>
  <c r="F1804" i="4"/>
  <c r="F1796" i="4"/>
  <c r="F1788" i="4"/>
  <c r="F1780" i="4"/>
  <c r="F1772" i="4"/>
  <c r="F1764" i="4"/>
  <c r="F1756" i="4"/>
  <c r="F1748" i="4"/>
  <c r="F1740" i="4"/>
  <c r="F1732" i="4"/>
  <c r="F1724" i="4"/>
  <c r="F1716" i="4"/>
  <c r="F1708" i="4"/>
  <c r="F1700" i="4"/>
  <c r="F1692" i="4"/>
  <c r="F1684" i="4"/>
  <c r="F1676" i="4"/>
  <c r="F1668" i="4"/>
  <c r="F1660" i="4"/>
  <c r="F1652" i="4"/>
  <c r="F1644" i="4"/>
  <c r="F1636" i="4"/>
  <c r="F1628" i="4"/>
  <c r="F1620" i="4"/>
  <c r="F1612" i="4"/>
  <c r="F1604" i="4"/>
  <c r="F1596" i="4"/>
  <c r="F1588" i="4"/>
  <c r="F1580" i="4"/>
  <c r="F1572" i="4"/>
  <c r="F1564" i="4"/>
  <c r="F1556" i="4"/>
  <c r="F1548" i="4"/>
  <c r="F1540" i="4"/>
  <c r="F1532" i="4"/>
  <c r="F1524" i="4"/>
  <c r="F1516" i="4"/>
  <c r="F1508" i="4"/>
  <c r="F1500" i="4"/>
  <c r="F1492" i="4"/>
  <c r="F1484" i="4"/>
  <c r="F1476" i="4"/>
  <c r="F1468" i="4"/>
  <c r="F1460" i="4"/>
  <c r="F1452" i="4"/>
  <c r="F1444" i="4"/>
  <c r="F1436" i="4"/>
  <c r="F1428" i="4"/>
  <c r="F1420" i="4"/>
  <c r="F1412" i="4"/>
  <c r="F1404" i="4"/>
  <c r="F1396" i="4"/>
  <c r="F1388" i="4"/>
  <c r="F1380" i="4"/>
  <c r="F1372" i="4"/>
  <c r="F1364" i="4"/>
  <c r="F1356" i="4"/>
  <c r="F1348" i="4"/>
  <c r="F1340" i="4"/>
  <c r="F1332" i="4"/>
  <c r="F1324" i="4"/>
  <c r="F1316" i="4"/>
  <c r="F1308" i="4"/>
  <c r="F1300" i="4"/>
  <c r="F1292" i="4"/>
  <c r="F1284" i="4"/>
  <c r="F1276" i="4"/>
  <c r="F1268" i="4"/>
  <c r="F1260" i="4"/>
  <c r="F1252" i="4"/>
  <c r="F1244" i="4"/>
  <c r="F1236" i="4"/>
  <c r="F1228" i="4"/>
  <c r="F1220" i="4"/>
  <c r="F1212" i="4"/>
  <c r="F1204" i="4"/>
  <c r="F1196" i="4"/>
  <c r="F1188" i="4"/>
  <c r="F1180" i="4"/>
  <c r="F1172" i="4"/>
  <c r="F1164" i="4"/>
  <c r="F1156" i="4"/>
  <c r="F1148" i="4"/>
  <c r="F1140" i="4"/>
  <c r="F1132" i="4"/>
  <c r="F1124" i="4"/>
  <c r="F1116" i="4"/>
  <c r="F1108" i="4"/>
  <c r="F1100" i="4"/>
  <c r="F1092" i="4"/>
  <c r="F1084" i="4"/>
  <c r="F1076" i="4"/>
  <c r="F1068" i="4"/>
  <c r="F1060" i="4"/>
  <c r="F1052" i="4"/>
  <c r="F1044" i="4"/>
  <c r="F1036" i="4"/>
  <c r="F1028" i="4"/>
  <c r="F1020" i="4"/>
  <c r="F1012" i="4"/>
  <c r="F1004" i="4"/>
  <c r="F996" i="4"/>
  <c r="F988" i="4"/>
  <c r="F980" i="4"/>
  <c r="F972" i="4"/>
  <c r="F964" i="4"/>
  <c r="F956" i="4"/>
  <c r="F948" i="4"/>
  <c r="F940" i="4"/>
  <c r="F932" i="4"/>
  <c r="F924" i="4"/>
  <c r="F916" i="4"/>
  <c r="F908" i="4"/>
  <c r="F900" i="4"/>
  <c r="F892" i="4"/>
  <c r="F884" i="4"/>
  <c r="F876" i="4"/>
  <c r="F868" i="4"/>
  <c r="F860" i="4"/>
  <c r="F852" i="4"/>
  <c r="F844" i="4"/>
  <c r="F836" i="4"/>
  <c r="F828" i="4"/>
  <c r="F820" i="4"/>
  <c r="F812" i="4"/>
  <c r="F804" i="4"/>
  <c r="F796" i="4"/>
  <c r="F788" i="4"/>
  <c r="F780" i="4"/>
  <c r="F772" i="4"/>
  <c r="F764" i="4"/>
  <c r="F756" i="4"/>
  <c r="F748" i="4"/>
  <c r="F740" i="4"/>
  <c r="F732" i="4"/>
  <c r="F724" i="4"/>
  <c r="F716" i="4"/>
  <c r="F708" i="4"/>
  <c r="F700" i="4"/>
  <c r="F692" i="4"/>
  <c r="F684" i="4"/>
  <c r="F676" i="4"/>
  <c r="F668" i="4"/>
  <c r="F660" i="4"/>
  <c r="F652" i="4"/>
  <c r="F644" i="4"/>
  <c r="F636" i="4"/>
  <c r="F628" i="4"/>
  <c r="F620" i="4"/>
  <c r="F612" i="4"/>
  <c r="F604" i="4"/>
  <c r="F596" i="4"/>
  <c r="F588" i="4"/>
  <c r="F580" i="4"/>
  <c r="F572" i="4"/>
  <c r="F564" i="4"/>
  <c r="F556" i="4"/>
  <c r="F548" i="4"/>
  <c r="F540" i="4"/>
  <c r="F532" i="4"/>
  <c r="F524" i="4"/>
  <c r="F516" i="4"/>
  <c r="F508" i="4"/>
  <c r="F500" i="4"/>
  <c r="F492" i="4"/>
  <c r="F484" i="4"/>
  <c r="F476" i="4"/>
  <c r="F468" i="4"/>
  <c r="F460" i="4"/>
  <c r="F452" i="4"/>
  <c r="F444" i="4"/>
  <c r="F436" i="4"/>
  <c r="F428" i="4"/>
  <c r="F420" i="4"/>
  <c r="F412" i="4"/>
  <c r="F404" i="4"/>
  <c r="F396" i="4"/>
  <c r="F388" i="4"/>
  <c r="F380" i="4"/>
  <c r="F372" i="4"/>
  <c r="F364" i="4"/>
  <c r="F356" i="4"/>
  <c r="F348" i="4"/>
  <c r="F340" i="4"/>
  <c r="F332" i="4"/>
  <c r="F324" i="4"/>
  <c r="F316" i="4"/>
  <c r="F308" i="4"/>
  <c r="F300" i="4"/>
  <c r="F292" i="4"/>
  <c r="F284" i="4"/>
  <c r="F276" i="4"/>
  <c r="F268" i="4"/>
  <c r="F260" i="4"/>
  <c r="F252" i="4"/>
  <c r="F244" i="4"/>
  <c r="F236" i="4"/>
  <c r="F228" i="4"/>
  <c r="F220" i="4"/>
  <c r="F212" i="4"/>
  <c r="F204" i="4"/>
  <c r="F196" i="4"/>
  <c r="F188" i="4"/>
  <c r="F180" i="4"/>
  <c r="F172" i="4"/>
  <c r="F164" i="4"/>
  <c r="F156" i="4"/>
  <c r="F148" i="4"/>
  <c r="F140" i="4"/>
  <c r="F132" i="4"/>
  <c r="F124" i="4"/>
  <c r="F116" i="4"/>
  <c r="F108" i="4"/>
  <c r="F100" i="4"/>
  <c r="F92" i="4"/>
  <c r="F84" i="4"/>
  <c r="F76" i="4"/>
  <c r="F68" i="4"/>
  <c r="F60" i="4"/>
  <c r="F52" i="4"/>
  <c r="F44" i="4"/>
  <c r="F36" i="4"/>
  <c r="F28" i="4"/>
  <c r="F20" i="4"/>
  <c r="F12" i="4"/>
  <c r="F4" i="4"/>
  <c r="F2058" i="4"/>
  <c r="F2002" i="4"/>
  <c r="F1938" i="4"/>
  <c r="F1834" i="4"/>
  <c r="F1738" i="4"/>
  <c r="F1642" i="4"/>
  <c r="F1602" i="4"/>
  <c r="F1554" i="4"/>
  <c r="F1498" i="4"/>
  <c r="F1402" i="4"/>
  <c r="F1354" i="4"/>
  <c r="F1218" i="4"/>
  <c r="F1170" i="4"/>
  <c r="F1050" i="4"/>
  <c r="F946" i="4"/>
  <c r="F906" i="4"/>
  <c r="F858" i="4"/>
  <c r="F810" i="4"/>
  <c r="F738" i="4"/>
  <c r="F634" i="4"/>
  <c r="F586" i="4"/>
  <c r="F442" i="4"/>
  <c r="F322" i="4"/>
  <c r="F84" i="5"/>
  <c r="F2057" i="4"/>
  <c r="F2017" i="4"/>
  <c r="F1969" i="4"/>
  <c r="F1929" i="4"/>
  <c r="F1889" i="4"/>
  <c r="F1849" i="4"/>
  <c r="F1817" i="4"/>
  <c r="F1785" i="4"/>
  <c r="F1745" i="4"/>
  <c r="F1705" i="4"/>
  <c r="F1673" i="4"/>
  <c r="F1633" i="4"/>
  <c r="F1601" i="4"/>
  <c r="F1561" i="4"/>
  <c r="F1537" i="4"/>
  <c r="F1505" i="4"/>
  <c r="F1473" i="4"/>
  <c r="F1441" i="4"/>
  <c r="F1425" i="4"/>
  <c r="F1385" i="4"/>
  <c r="F1353" i="4"/>
  <c r="F1321" i="4"/>
  <c r="F1289" i="4"/>
  <c r="F1257" i="4"/>
  <c r="F1217" i="4"/>
  <c r="F1201" i="4"/>
  <c r="F1169" i="4"/>
  <c r="F1121" i="4"/>
  <c r="F1081" i="4"/>
  <c r="F1041" i="4"/>
  <c r="F1009" i="4"/>
  <c r="F969" i="4"/>
  <c r="F937" i="4"/>
  <c r="F897" i="4"/>
  <c r="F873" i="4"/>
  <c r="F841" i="4"/>
  <c r="F793" i="4"/>
  <c r="F761" i="4"/>
  <c r="F721" i="4"/>
  <c r="F689" i="4"/>
  <c r="F657" i="4"/>
  <c r="F625" i="4"/>
  <c r="F593" i="4"/>
  <c r="F561" i="4"/>
  <c r="F529" i="4"/>
  <c r="F497" i="4"/>
  <c r="F465" i="4"/>
  <c r="F433" i="4"/>
  <c r="F409" i="4"/>
  <c r="F361" i="4"/>
  <c r="F337" i="4"/>
  <c r="F289" i="4"/>
  <c r="F249" i="4"/>
  <c r="F217" i="4"/>
  <c r="F193" i="4"/>
  <c r="F153" i="4"/>
  <c r="F121" i="4"/>
  <c r="F89" i="4"/>
  <c r="F41" i="4"/>
  <c r="F2055" i="4"/>
  <c r="F2023" i="4"/>
  <c r="F1983" i="4"/>
  <c r="F1951" i="4"/>
  <c r="F1919" i="4"/>
  <c r="F1887" i="4"/>
  <c r="F1871" i="4"/>
  <c r="F1839" i="4"/>
  <c r="F1807" i="4"/>
  <c r="F1775" i="4"/>
  <c r="F1743" i="4"/>
  <c r="F1703" i="4"/>
  <c r="F1679" i="4"/>
  <c r="F1647" i="4"/>
  <c r="F1615" i="4"/>
  <c r="F1599" i="4"/>
  <c r="F1567" i="4"/>
  <c r="F1527" i="4"/>
  <c r="F1511" i="4"/>
  <c r="F1487" i="4"/>
  <c r="F1455" i="4"/>
  <c r="F1423" i="4"/>
  <c r="F1391" i="4"/>
  <c r="F1359" i="4"/>
  <c r="F1327" i="4"/>
  <c r="F1287" i="4"/>
  <c r="F1263" i="4"/>
  <c r="F1223" i="4"/>
  <c r="F1191" i="4"/>
  <c r="F1167" i="4"/>
  <c r="F1143" i="4"/>
  <c r="F1111" i="4"/>
  <c r="F1071" i="4"/>
  <c r="F1039" i="4"/>
  <c r="F1015" i="4"/>
  <c r="F991" i="4"/>
  <c r="F951" i="4"/>
  <c r="F927" i="4"/>
  <c r="F895" i="4"/>
  <c r="F871" i="4"/>
  <c r="F839" i="4"/>
  <c r="F807" i="4"/>
  <c r="F759" i="4"/>
  <c r="F727" i="4"/>
  <c r="F687" i="4"/>
  <c r="F655" i="4"/>
  <c r="F623" i="4"/>
  <c r="F591" i="4"/>
  <c r="F575" i="4"/>
  <c r="F551" i="4"/>
  <c r="F519" i="4"/>
  <c r="F487" i="4"/>
  <c r="F455" i="4"/>
  <c r="F431" i="4"/>
  <c r="F391" i="4"/>
  <c r="F359" i="4"/>
  <c r="F327" i="4"/>
  <c r="F295" i="4"/>
  <c r="F263" i="4"/>
  <c r="F239" i="4"/>
  <c r="F207" i="4"/>
  <c r="F175" i="4"/>
  <c r="F143" i="4"/>
  <c r="F103" i="4"/>
  <c r="F71" i="4"/>
  <c r="F47" i="4"/>
  <c r="F15" i="4"/>
  <c r="F2067" i="4"/>
  <c r="F2059" i="4"/>
  <c r="F2051" i="4"/>
  <c r="F2043" i="4"/>
  <c r="F2035" i="4"/>
  <c r="F2027" i="4"/>
  <c r="F2019" i="4"/>
  <c r="F2011" i="4"/>
  <c r="F2003" i="4"/>
  <c r="F1995" i="4"/>
  <c r="F1987" i="4"/>
  <c r="F1979" i="4"/>
  <c r="F1971" i="4"/>
  <c r="F1963" i="4"/>
  <c r="F1955" i="4"/>
  <c r="F1947" i="4"/>
  <c r="F1939" i="4"/>
  <c r="F1931" i="4"/>
  <c r="F1923" i="4"/>
  <c r="F1915" i="4"/>
  <c r="F1907" i="4"/>
  <c r="F1899" i="4"/>
  <c r="F1891" i="4"/>
  <c r="F1883" i="4"/>
  <c r="F1875" i="4"/>
  <c r="F1867" i="4"/>
  <c r="F1859" i="4"/>
  <c r="F1851" i="4"/>
  <c r="F1843" i="4"/>
  <c r="F1835" i="4"/>
  <c r="F1827" i="4"/>
  <c r="F1819" i="4"/>
  <c r="F1811" i="4"/>
  <c r="F1803" i="4"/>
  <c r="F1795" i="4"/>
  <c r="F1787" i="4"/>
  <c r="F1779" i="4"/>
  <c r="F1771" i="4"/>
  <c r="F1763" i="4"/>
  <c r="F1755" i="4"/>
  <c r="F1747" i="4"/>
  <c r="F1739" i="4"/>
  <c r="F1731" i="4"/>
  <c r="F1723" i="4"/>
  <c r="F1715" i="4"/>
  <c r="F1707" i="4"/>
  <c r="F1699" i="4"/>
  <c r="F1691" i="4"/>
  <c r="F1683" i="4"/>
  <c r="F1675" i="4"/>
  <c r="F1667" i="4"/>
  <c r="F1659" i="4"/>
  <c r="F1651" i="4"/>
  <c r="F1643" i="4"/>
  <c r="F1635" i="4"/>
  <c r="F1627" i="4"/>
  <c r="F1619" i="4"/>
  <c r="F1611" i="4"/>
  <c r="F1603" i="4"/>
  <c r="F1595" i="4"/>
  <c r="F1587" i="4"/>
  <c r="F1579" i="4"/>
  <c r="F1571" i="4"/>
  <c r="F1563" i="4"/>
  <c r="F1555" i="4"/>
  <c r="F1547" i="4"/>
  <c r="F1539" i="4"/>
  <c r="F1531" i="4"/>
  <c r="F1523" i="4"/>
  <c r="F1515" i="4"/>
  <c r="F1507" i="4"/>
  <c r="F1499" i="4"/>
  <c r="F1491" i="4"/>
  <c r="F1483" i="4"/>
  <c r="F1475" i="4"/>
  <c r="F1467" i="4"/>
  <c r="F1459" i="4"/>
  <c r="F1451" i="4"/>
  <c r="F1443" i="4"/>
  <c r="F1435" i="4"/>
  <c r="F1427" i="4"/>
  <c r="F1419" i="4"/>
  <c r="F1411" i="4"/>
  <c r="F1403" i="4"/>
  <c r="F1395" i="4"/>
  <c r="F1387" i="4"/>
  <c r="F1379" i="4"/>
  <c r="F1371" i="4"/>
  <c r="F1363" i="4"/>
  <c r="F1355" i="4"/>
  <c r="F1347" i="4"/>
  <c r="F1339" i="4"/>
  <c r="F1331" i="4"/>
  <c r="F1323" i="4"/>
  <c r="F1315" i="4"/>
  <c r="F1307" i="4"/>
  <c r="F1299" i="4"/>
  <c r="F1291" i="4"/>
  <c r="F1283" i="4"/>
  <c r="F1275" i="4"/>
  <c r="F1267" i="4"/>
  <c r="F1259" i="4"/>
  <c r="F1251" i="4"/>
  <c r="F1243" i="4"/>
  <c r="F1235" i="4"/>
  <c r="F1227" i="4"/>
  <c r="F1219" i="4"/>
  <c r="F1211" i="4"/>
  <c r="F1203" i="4"/>
  <c r="F1195" i="4"/>
  <c r="F1187" i="4"/>
  <c r="F1179" i="4"/>
  <c r="F1171" i="4"/>
  <c r="F1163" i="4"/>
  <c r="F1155" i="4"/>
  <c r="F1147" i="4"/>
  <c r="F1139" i="4"/>
  <c r="F1131" i="4"/>
  <c r="F1123" i="4"/>
  <c r="F1115" i="4"/>
  <c r="F1107" i="4"/>
  <c r="F1099" i="4"/>
  <c r="F1091" i="4"/>
  <c r="F1083" i="4"/>
  <c r="F1075" i="4"/>
  <c r="F1067" i="4"/>
  <c r="F1059" i="4"/>
  <c r="F1051" i="4"/>
  <c r="F1043" i="4"/>
  <c r="F1035" i="4"/>
  <c r="F1027" i="4"/>
  <c r="F1019" i="4"/>
  <c r="F1011" i="4"/>
  <c r="F1003" i="4"/>
  <c r="F995" i="4"/>
  <c r="F987" i="4"/>
  <c r="F979" i="4"/>
  <c r="F971" i="4"/>
  <c r="F963" i="4"/>
  <c r="F955" i="4"/>
  <c r="F947" i="4"/>
  <c r="F939" i="4"/>
  <c r="F931" i="4"/>
  <c r="F923" i="4"/>
  <c r="F915" i="4"/>
  <c r="F907" i="4"/>
  <c r="F899" i="4"/>
  <c r="F891" i="4"/>
  <c r="F883" i="4"/>
  <c r="F875" i="4"/>
  <c r="F867" i="4"/>
  <c r="F859" i="4"/>
  <c r="F851" i="4"/>
  <c r="F843" i="4"/>
  <c r="F835" i="4"/>
  <c r="F827" i="4"/>
  <c r="F819" i="4"/>
  <c r="F811" i="4"/>
  <c r="F803" i="4"/>
  <c r="F795" i="4"/>
  <c r="F787" i="4"/>
  <c r="F779" i="4"/>
  <c r="F771" i="4"/>
  <c r="F763" i="4"/>
  <c r="F755" i="4"/>
  <c r="F747" i="4"/>
  <c r="F739" i="4"/>
  <c r="F731" i="4"/>
  <c r="F723" i="4"/>
  <c r="F715" i="4"/>
  <c r="F707" i="4"/>
  <c r="F699" i="4"/>
  <c r="F691" i="4"/>
  <c r="F683" i="4"/>
  <c r="F675" i="4"/>
  <c r="F667" i="4"/>
  <c r="F659" i="4"/>
  <c r="F651" i="4"/>
  <c r="F643" i="4"/>
  <c r="F635" i="4"/>
  <c r="F627" i="4"/>
  <c r="F619" i="4"/>
  <c r="F611" i="4"/>
  <c r="F603" i="4"/>
  <c r="F595" i="4"/>
  <c r="F587" i="4"/>
  <c r="F579" i="4"/>
  <c r="F571" i="4"/>
  <c r="F563" i="4"/>
  <c r="F555" i="4"/>
  <c r="F547" i="4"/>
  <c r="F539" i="4"/>
  <c r="F531" i="4"/>
  <c r="F523" i="4"/>
  <c r="F515" i="4"/>
  <c r="F507" i="4"/>
  <c r="F499" i="4"/>
  <c r="F491" i="4"/>
  <c r="F483" i="4"/>
  <c r="F475" i="4"/>
  <c r="F467" i="4"/>
  <c r="F459" i="4"/>
  <c r="F451" i="4"/>
  <c r="F443" i="4"/>
  <c r="F435" i="4"/>
  <c r="F427" i="4"/>
  <c r="F419" i="4"/>
  <c r="F411" i="4"/>
  <c r="F403" i="4"/>
  <c r="F395" i="4"/>
  <c r="F387" i="4"/>
  <c r="F379" i="4"/>
  <c r="F371" i="4"/>
  <c r="F363" i="4"/>
  <c r="F355" i="4"/>
  <c r="F347" i="4"/>
  <c r="F339" i="4"/>
  <c r="F331" i="4"/>
  <c r="F323" i="4"/>
  <c r="F315" i="4"/>
  <c r="F307" i="4"/>
  <c r="F299" i="4"/>
  <c r="F291" i="4"/>
  <c r="F283" i="4"/>
  <c r="F275" i="4"/>
  <c r="F267" i="4"/>
  <c r="F259" i="4"/>
  <c r="F251" i="4"/>
  <c r="F243" i="4"/>
  <c r="F235" i="4"/>
  <c r="F227" i="4"/>
  <c r="F219" i="4"/>
  <c r="F211" i="4"/>
  <c r="F203" i="4"/>
  <c r="F195" i="4"/>
  <c r="F187" i="4"/>
  <c r="F179" i="4"/>
  <c r="F171" i="4"/>
  <c r="F163" i="4"/>
  <c r="F155" i="4"/>
  <c r="F147" i="4"/>
  <c r="F139" i="4"/>
  <c r="F131" i="4"/>
  <c r="F123" i="4"/>
  <c r="F115" i="4"/>
  <c r="F107" i="4"/>
  <c r="F99" i="4"/>
  <c r="F91" i="4"/>
  <c r="F83" i="4"/>
  <c r="F75" i="4"/>
  <c r="F67" i="4"/>
  <c r="F59" i="4"/>
  <c r="F51" i="4"/>
  <c r="F43" i="4"/>
  <c r="F35" i="4"/>
  <c r="F27" i="4"/>
  <c r="F19" i="4"/>
  <c r="F11" i="4"/>
  <c r="F3" i="4"/>
  <c r="F36" i="5"/>
  <c r="F29" i="5"/>
  <c r="S22" i="3"/>
  <c r="S14" i="3"/>
  <c r="S6" i="3"/>
  <c r="N7" i="3"/>
  <c r="S24" i="3"/>
  <c r="Q14" i="3"/>
  <c r="T14" i="3" s="1"/>
  <c r="F48" i="5"/>
  <c r="N6" i="3"/>
  <c r="T23" i="3"/>
  <c r="R11" i="3"/>
  <c r="F42" i="5"/>
  <c r="R10" i="3"/>
  <c r="R25" i="3"/>
  <c r="L13" i="3"/>
  <c r="F90" i="5"/>
  <c r="R26" i="3"/>
  <c r="R17" i="3"/>
  <c r="R24" i="3"/>
  <c r="R8" i="3"/>
  <c r="L27" i="3"/>
  <c r="R19" i="3"/>
  <c r="P17" i="3"/>
  <c r="S17" i="3" s="1"/>
  <c r="R18" i="3"/>
  <c r="R9" i="3"/>
  <c r="L21" i="3"/>
  <c r="R16" i="3"/>
  <c r="L19" i="3"/>
  <c r="L11" i="3"/>
  <c r="R23" i="3"/>
  <c r="R15" i="3"/>
  <c r="R7" i="3"/>
  <c r="T18" i="3"/>
  <c r="T10" i="3"/>
  <c r="N26" i="3"/>
  <c r="N18" i="3"/>
  <c r="N10" i="3"/>
  <c r="R22" i="3"/>
  <c r="R14" i="3"/>
  <c r="T25" i="3"/>
  <c r="T17" i="3"/>
  <c r="T9" i="3"/>
  <c r="N21" i="3"/>
  <c r="D83" i="5"/>
  <c r="I83" i="5" s="1"/>
  <c r="E83" i="5"/>
  <c r="F1946" i="4"/>
  <c r="E81" i="5"/>
  <c r="D81" i="5"/>
  <c r="I81" i="5" s="1"/>
  <c r="F1898" i="4"/>
  <c r="E73" i="5"/>
  <c r="D73" i="5"/>
  <c r="I73" i="5" s="1"/>
  <c r="F1706" i="4"/>
  <c r="E65" i="5"/>
  <c r="D65" i="5"/>
  <c r="I65" i="5" s="1"/>
  <c r="F1514" i="4"/>
  <c r="D63" i="5"/>
  <c r="I63" i="5" s="1"/>
  <c r="E63" i="5"/>
  <c r="F1466" i="4"/>
  <c r="D61" i="5"/>
  <c r="I61" i="5" s="1"/>
  <c r="E61" i="5"/>
  <c r="F1418" i="4"/>
  <c r="E57" i="5"/>
  <c r="D57" i="5"/>
  <c r="I57" i="5" s="1"/>
  <c r="F1322" i="4"/>
  <c r="D53" i="5"/>
  <c r="I53" i="5" s="1"/>
  <c r="E53" i="5"/>
  <c r="F1226" i="4"/>
  <c r="D48" i="5"/>
  <c r="I48" i="5" s="1"/>
  <c r="E48" i="5"/>
  <c r="F1106" i="4"/>
  <c r="D44" i="5"/>
  <c r="I44" i="5" s="1"/>
  <c r="E44" i="5"/>
  <c r="F1010" i="4"/>
  <c r="D42" i="5"/>
  <c r="I42" i="5" s="1"/>
  <c r="E42" i="5"/>
  <c r="F962" i="4"/>
  <c r="D36" i="5"/>
  <c r="I36" i="5" s="1"/>
  <c r="E36" i="5"/>
  <c r="F818" i="4"/>
  <c r="L20" i="3"/>
  <c r="L12" i="3"/>
  <c r="E89" i="5"/>
  <c r="G89" i="5" s="1"/>
  <c r="D89" i="5"/>
  <c r="I89" i="5" s="1"/>
  <c r="F2090" i="4"/>
  <c r="D85" i="5"/>
  <c r="I85" i="5" s="1"/>
  <c r="E85" i="5"/>
  <c r="G85" i="5" s="1"/>
  <c r="F1994" i="4"/>
  <c r="D77" i="5"/>
  <c r="I77" i="5" s="1"/>
  <c r="E77" i="5"/>
  <c r="F1802" i="4"/>
  <c r="D71" i="5"/>
  <c r="I71" i="5" s="1"/>
  <c r="E71" i="5"/>
  <c r="F1658" i="4"/>
  <c r="D69" i="5"/>
  <c r="I69" i="5" s="1"/>
  <c r="E69" i="5"/>
  <c r="F1610" i="4"/>
  <c r="D55" i="5"/>
  <c r="E55" i="5"/>
  <c r="F1274" i="4"/>
  <c r="E49" i="5"/>
  <c r="D49" i="5"/>
  <c r="I49" i="5" s="1"/>
  <c r="F1130" i="4"/>
  <c r="E38" i="5"/>
  <c r="F866" i="4"/>
  <c r="D38" i="5"/>
  <c r="I38" i="5" s="1"/>
  <c r="D34" i="5"/>
  <c r="I34" i="5" s="1"/>
  <c r="E34" i="5"/>
  <c r="F770" i="4"/>
  <c r="R12" i="3"/>
  <c r="N27" i="3"/>
  <c r="L25" i="3"/>
  <c r="M22" i="3"/>
  <c r="N19" i="3"/>
  <c r="L17" i="3"/>
  <c r="M14" i="3"/>
  <c r="N11" i="3"/>
  <c r="L9" i="3"/>
  <c r="M6" i="3"/>
  <c r="R28" i="3"/>
  <c r="R20" i="3"/>
  <c r="M27" i="3"/>
  <c r="N24" i="3"/>
  <c r="L22" i="3"/>
  <c r="M19" i="3"/>
  <c r="N16" i="3"/>
  <c r="L14" i="3"/>
  <c r="M11" i="3"/>
  <c r="N8" i="3"/>
  <c r="D2" i="5"/>
  <c r="I2" i="5" s="1"/>
  <c r="E2" i="5"/>
  <c r="G2" i="5" s="1"/>
  <c r="F2" i="4"/>
  <c r="D92" i="5"/>
  <c r="I92" i="5" s="1"/>
  <c r="E92" i="5"/>
  <c r="G92" i="5" s="1"/>
  <c r="F2162" i="4"/>
  <c r="D88" i="5"/>
  <c r="I88" i="5" s="1"/>
  <c r="E88" i="5"/>
  <c r="G88" i="5" s="1"/>
  <c r="F2066" i="4"/>
  <c r="D86" i="5"/>
  <c r="I86" i="5" s="1"/>
  <c r="F2018" i="4"/>
  <c r="E86" i="5"/>
  <c r="D78" i="5"/>
  <c r="I78" i="5" s="1"/>
  <c r="E78" i="5"/>
  <c r="F1826" i="4"/>
  <c r="D76" i="5"/>
  <c r="I76" i="5" s="1"/>
  <c r="E76" i="5"/>
  <c r="F1778" i="4"/>
  <c r="D72" i="5"/>
  <c r="I72" i="5" s="1"/>
  <c r="E72" i="5"/>
  <c r="F1682" i="4"/>
  <c r="D66" i="5"/>
  <c r="I66" i="5" s="1"/>
  <c r="E66" i="5"/>
  <c r="F1538" i="4"/>
  <c r="D64" i="5"/>
  <c r="I64" i="5" s="1"/>
  <c r="E64" i="5"/>
  <c r="F1490" i="4"/>
  <c r="D51" i="5"/>
  <c r="I51" i="5" s="1"/>
  <c r="E51" i="5"/>
  <c r="F1178" i="4"/>
  <c r="D32" i="5"/>
  <c r="I32" i="5" s="1"/>
  <c r="E32" i="5"/>
  <c r="F722" i="4"/>
  <c r="F79" i="5"/>
  <c r="F14" i="5"/>
  <c r="F13" i="5"/>
  <c r="F12" i="5"/>
  <c r="F11" i="5"/>
  <c r="F10" i="5"/>
  <c r="F9" i="5"/>
  <c r="F8" i="5"/>
  <c r="F7" i="5"/>
  <c r="F6" i="5"/>
  <c r="F5" i="5"/>
  <c r="F4" i="5"/>
  <c r="F3" i="5"/>
  <c r="F20" i="5"/>
  <c r="F19" i="5"/>
  <c r="F18" i="5"/>
  <c r="F17" i="5"/>
  <c r="F16" i="5"/>
  <c r="L16" i="3"/>
  <c r="L8" i="3"/>
  <c r="N13" i="3"/>
  <c r="D84" i="5"/>
  <c r="I84" i="5" s="1"/>
  <c r="E84" i="5"/>
  <c r="F1970" i="4"/>
  <c r="D82" i="5"/>
  <c r="I82" i="5" s="1"/>
  <c r="E82" i="5"/>
  <c r="F1922" i="4"/>
  <c r="D74" i="5"/>
  <c r="I74" i="5" s="1"/>
  <c r="E74" i="5"/>
  <c r="F1730" i="4"/>
  <c r="D70" i="5"/>
  <c r="I70" i="5" s="1"/>
  <c r="E70" i="5"/>
  <c r="F1634" i="4"/>
  <c r="D60" i="5"/>
  <c r="I60" i="5" s="1"/>
  <c r="E60" i="5"/>
  <c r="F1394" i="4"/>
  <c r="D52" i="5"/>
  <c r="I52" i="5" s="1"/>
  <c r="E52" i="5"/>
  <c r="F1202" i="4"/>
  <c r="D50" i="5"/>
  <c r="I50" i="5" s="1"/>
  <c r="E50" i="5"/>
  <c r="F1154" i="4"/>
  <c r="D45" i="5"/>
  <c r="I45" i="5" s="1"/>
  <c r="E45" i="5"/>
  <c r="F1034" i="4"/>
  <c r="D43" i="5"/>
  <c r="I43" i="5" s="1"/>
  <c r="F986" i="4"/>
  <c r="E43" i="5"/>
  <c r="D39" i="5"/>
  <c r="I39" i="5" s="1"/>
  <c r="E39" i="5"/>
  <c r="F890" i="4"/>
  <c r="D35" i="5"/>
  <c r="I35" i="5" s="1"/>
  <c r="E35" i="5"/>
  <c r="F794" i="4"/>
  <c r="D28" i="5"/>
  <c r="I28" i="5" s="1"/>
  <c r="E28" i="5"/>
  <c r="F626" i="4"/>
  <c r="D27" i="5"/>
  <c r="I27" i="5" s="1"/>
  <c r="E27" i="5"/>
  <c r="F602" i="4"/>
  <c r="D26" i="5"/>
  <c r="I26" i="5" s="1"/>
  <c r="E26" i="5"/>
  <c r="F578" i="4"/>
  <c r="D21" i="5"/>
  <c r="I21" i="5" s="1"/>
  <c r="E21" i="5"/>
  <c r="F458" i="4"/>
  <c r="D19" i="5"/>
  <c r="I19" i="5" s="1"/>
  <c r="E19" i="5"/>
  <c r="F410" i="4"/>
  <c r="D18" i="5"/>
  <c r="I18" i="5" s="1"/>
  <c r="E18" i="5"/>
  <c r="F386" i="4"/>
  <c r="E17" i="5"/>
  <c r="D17" i="5"/>
  <c r="I17" i="5" s="1"/>
  <c r="F362" i="4"/>
  <c r="D15" i="5"/>
  <c r="I15" i="5" s="1"/>
  <c r="E15" i="5"/>
  <c r="F314" i="4"/>
  <c r="D8" i="5"/>
  <c r="I8" i="5" s="1"/>
  <c r="E8" i="5"/>
  <c r="F146" i="4"/>
  <c r="E6" i="5"/>
  <c r="D6" i="5"/>
  <c r="I6" i="5" s="1"/>
  <c r="F98" i="4"/>
  <c r="F35" i="5"/>
  <c r="F34" i="5"/>
  <c r="F33" i="5"/>
  <c r="F32" i="5"/>
  <c r="F31" i="5"/>
  <c r="F30" i="5"/>
  <c r="D91" i="5"/>
  <c r="I91" i="5" s="1"/>
  <c r="E91" i="5"/>
  <c r="G91" i="5" s="1"/>
  <c r="F2138" i="4"/>
  <c r="D87" i="5"/>
  <c r="I87" i="5" s="1"/>
  <c r="E87" i="5"/>
  <c r="G87" i="5" s="1"/>
  <c r="F2042" i="4"/>
  <c r="D79" i="5"/>
  <c r="I79" i="5" s="1"/>
  <c r="E79" i="5"/>
  <c r="F1850" i="4"/>
  <c r="E75" i="5"/>
  <c r="D75" i="5"/>
  <c r="I75" i="5" s="1"/>
  <c r="F1754" i="4"/>
  <c r="E67" i="5"/>
  <c r="D67" i="5"/>
  <c r="I67" i="5" s="1"/>
  <c r="F1562" i="4"/>
  <c r="E59" i="5"/>
  <c r="D59" i="5"/>
  <c r="I59" i="5" s="1"/>
  <c r="F1370" i="4"/>
  <c r="D58" i="5"/>
  <c r="I58" i="5" s="1"/>
  <c r="E58" i="5"/>
  <c r="F1346" i="4"/>
  <c r="D56" i="5"/>
  <c r="I56" i="5" s="1"/>
  <c r="E56" i="5"/>
  <c r="F1298" i="4"/>
  <c r="E41" i="5"/>
  <c r="D41" i="5"/>
  <c r="I41" i="5" s="1"/>
  <c r="F938" i="4"/>
  <c r="D40" i="5"/>
  <c r="I40" i="5" s="1"/>
  <c r="E40" i="5"/>
  <c r="F914" i="4"/>
  <c r="D37" i="5"/>
  <c r="I37" i="5" s="1"/>
  <c r="E37" i="5"/>
  <c r="F842" i="4"/>
  <c r="D31" i="5"/>
  <c r="I31" i="5" s="1"/>
  <c r="E31" i="5"/>
  <c r="F698" i="4"/>
  <c r="E30" i="5"/>
  <c r="D30" i="5"/>
  <c r="I30" i="5" s="1"/>
  <c r="F674" i="4"/>
  <c r="E22" i="5"/>
  <c r="D22" i="5"/>
  <c r="I22" i="5" s="1"/>
  <c r="F482" i="4"/>
  <c r="D13" i="5"/>
  <c r="I13" i="5" s="1"/>
  <c r="E13" i="5"/>
  <c r="F266" i="4"/>
  <c r="D12" i="5"/>
  <c r="I12" i="5" s="1"/>
  <c r="E12" i="5"/>
  <c r="F242" i="4"/>
  <c r="D4" i="5"/>
  <c r="I4" i="5" s="1"/>
  <c r="E4" i="5"/>
  <c r="F50" i="4"/>
  <c r="F28" i="5"/>
  <c r="F27" i="5"/>
  <c r="F26" i="5"/>
  <c r="M10" i="3"/>
  <c r="N28" i="3"/>
  <c r="L26" i="3"/>
  <c r="M23" i="3"/>
  <c r="N20" i="3"/>
  <c r="L18" i="3"/>
  <c r="M15" i="3"/>
  <c r="N12" i="3"/>
  <c r="L10" i="3"/>
  <c r="M7" i="3"/>
  <c r="E93" i="5"/>
  <c r="G93" i="5" s="1"/>
  <c r="D93" i="5"/>
  <c r="I93" i="5" s="1"/>
  <c r="F2186" i="4"/>
  <c r="D90" i="5"/>
  <c r="I90" i="5" s="1"/>
  <c r="E90" i="5"/>
  <c r="F2114" i="4"/>
  <c r="D80" i="5"/>
  <c r="I80" i="5" s="1"/>
  <c r="E80" i="5"/>
  <c r="F1874" i="4"/>
  <c r="D68" i="5"/>
  <c r="I68" i="5" s="1"/>
  <c r="E68" i="5"/>
  <c r="F1586" i="4"/>
  <c r="D62" i="5"/>
  <c r="I62" i="5" s="1"/>
  <c r="E62" i="5"/>
  <c r="F1442" i="4"/>
  <c r="D54" i="5"/>
  <c r="I54" i="5" s="1"/>
  <c r="E54" i="5"/>
  <c r="F1250" i="4"/>
  <c r="D47" i="5"/>
  <c r="I47" i="5" s="1"/>
  <c r="E47" i="5"/>
  <c r="F1082" i="4"/>
  <c r="E46" i="5"/>
  <c r="D46" i="5"/>
  <c r="I46" i="5" s="1"/>
  <c r="F1058" i="4"/>
  <c r="E33" i="5"/>
  <c r="D33" i="5"/>
  <c r="I33" i="5" s="1"/>
  <c r="F746" i="4"/>
  <c r="D29" i="5"/>
  <c r="I29" i="5" s="1"/>
  <c r="E29" i="5"/>
  <c r="F650" i="4"/>
  <c r="E25" i="5"/>
  <c r="D25" i="5"/>
  <c r="I25" i="5" s="1"/>
  <c r="F554" i="4"/>
  <c r="D24" i="5"/>
  <c r="I24" i="5" s="1"/>
  <c r="F530" i="4"/>
  <c r="E24" i="5"/>
  <c r="D23" i="5"/>
  <c r="I23" i="5" s="1"/>
  <c r="E23" i="5"/>
  <c r="F506" i="4"/>
  <c r="D20" i="5"/>
  <c r="I20" i="5" s="1"/>
  <c r="E20" i="5"/>
  <c r="F434" i="4"/>
  <c r="D16" i="5"/>
  <c r="I16" i="5" s="1"/>
  <c r="E16" i="5"/>
  <c r="F338" i="4"/>
  <c r="E14" i="5"/>
  <c r="D14" i="5"/>
  <c r="I14" i="5" s="1"/>
  <c r="F290" i="4"/>
  <c r="E11" i="5"/>
  <c r="D11" i="5"/>
  <c r="I11" i="5" s="1"/>
  <c r="F218" i="4"/>
  <c r="D10" i="5"/>
  <c r="I10" i="5" s="1"/>
  <c r="E10" i="5"/>
  <c r="F194" i="4"/>
  <c r="E9" i="5"/>
  <c r="D9" i="5"/>
  <c r="I9" i="5" s="1"/>
  <c r="F170" i="4"/>
  <c r="D7" i="5"/>
  <c r="I7" i="5" s="1"/>
  <c r="E7" i="5"/>
  <c r="F122" i="4"/>
  <c r="D5" i="5"/>
  <c r="I5" i="5" s="1"/>
  <c r="E5" i="5"/>
  <c r="F74" i="4"/>
  <c r="D3" i="5"/>
  <c r="I3" i="5" s="1"/>
  <c r="E3" i="5"/>
  <c r="F26" i="4"/>
  <c r="M18" i="3"/>
  <c r="M28" i="3"/>
  <c r="N25" i="3"/>
  <c r="L23" i="3"/>
  <c r="M20" i="3"/>
  <c r="N17" i="3"/>
  <c r="L15" i="3"/>
  <c r="M12" i="3"/>
  <c r="N9" i="3"/>
  <c r="L7" i="3"/>
  <c r="I55" i="5"/>
  <c r="G81" i="5" l="1"/>
  <c r="G18" i="5"/>
  <c r="G86" i="5"/>
  <c r="G78" i="5"/>
  <c r="G82" i="5"/>
  <c r="G76" i="5"/>
  <c r="G77" i="5"/>
  <c r="G75" i="5"/>
  <c r="G83" i="5"/>
  <c r="G68" i="5"/>
  <c r="G74" i="5"/>
  <c r="G71" i="5"/>
  <c r="G73" i="5"/>
  <c r="G67" i="5"/>
  <c r="G66" i="5"/>
  <c r="G69" i="5"/>
  <c r="G72" i="5"/>
  <c r="G61" i="5"/>
  <c r="G80" i="5"/>
  <c r="G59" i="5"/>
  <c r="G56" i="5"/>
  <c r="G54" i="5"/>
  <c r="G62" i="5"/>
  <c r="G70" i="5"/>
  <c r="G64" i="5"/>
  <c r="G53" i="5"/>
  <c r="G38" i="5"/>
  <c r="G65" i="5"/>
  <c r="G39" i="5"/>
  <c r="G14" i="5"/>
  <c r="G52" i="5"/>
  <c r="G60" i="5"/>
  <c r="G51" i="5"/>
  <c r="G63" i="5"/>
  <c r="G23" i="5"/>
  <c r="G43" i="5"/>
  <c r="G55" i="5"/>
  <c r="G57" i="5"/>
  <c r="G5" i="5"/>
  <c r="G13" i="5"/>
  <c r="G22" i="5"/>
  <c r="G49" i="5"/>
  <c r="G45" i="5"/>
  <c r="G9" i="5"/>
  <c r="H32" i="5"/>
  <c r="H73" i="5"/>
  <c r="G37" i="5"/>
  <c r="G44" i="5"/>
  <c r="G58" i="5"/>
  <c r="G12" i="5"/>
  <c r="H81" i="5"/>
  <c r="J81" i="5" s="1"/>
  <c r="K81" i="5" s="1"/>
  <c r="G46" i="5"/>
  <c r="G21" i="5"/>
  <c r="G30" i="5"/>
  <c r="G4" i="5"/>
  <c r="G41" i="5"/>
  <c r="H66" i="5"/>
  <c r="G25" i="5"/>
  <c r="G36" i="5"/>
  <c r="G20" i="5"/>
  <c r="G50" i="5"/>
  <c r="G48" i="5"/>
  <c r="G29" i="5"/>
  <c r="G90" i="5"/>
  <c r="G40" i="5"/>
  <c r="G24" i="5"/>
  <c r="G47" i="5"/>
  <c r="G16" i="5"/>
  <c r="G15" i="5"/>
  <c r="H50" i="5"/>
  <c r="G6" i="5"/>
  <c r="H84" i="5"/>
  <c r="H28" i="5"/>
  <c r="G7" i="5"/>
  <c r="G33" i="5"/>
  <c r="H34" i="5"/>
  <c r="G79" i="5"/>
  <c r="G42" i="5"/>
  <c r="G17" i="5"/>
  <c r="H56" i="5"/>
  <c r="H25" i="5"/>
  <c r="H26" i="5"/>
  <c r="G19" i="5"/>
  <c r="H22" i="5"/>
  <c r="G27" i="5"/>
  <c r="H29" i="5"/>
  <c r="H78" i="5"/>
  <c r="H42" i="5"/>
  <c r="G8" i="5"/>
  <c r="H38" i="5"/>
  <c r="G84" i="5"/>
  <c r="H10" i="5"/>
  <c r="H65" i="5"/>
  <c r="H3" i="5"/>
  <c r="H11" i="5"/>
  <c r="H63" i="5"/>
  <c r="H89" i="5"/>
  <c r="J89" i="5" s="1"/>
  <c r="K89" i="5" s="1"/>
  <c r="H72" i="5"/>
  <c r="G31" i="5"/>
  <c r="H35" i="5"/>
  <c r="H52" i="5"/>
  <c r="H86" i="5"/>
  <c r="H61" i="5"/>
  <c r="H92" i="5"/>
  <c r="J92" i="5" s="1"/>
  <c r="K92" i="5" s="1"/>
  <c r="H71" i="5"/>
  <c r="H91" i="5"/>
  <c r="J91" i="5" s="1"/>
  <c r="K91" i="5" s="1"/>
  <c r="H21" i="5"/>
  <c r="H82" i="5"/>
  <c r="H46" i="5"/>
  <c r="G34" i="5"/>
  <c r="H24" i="5"/>
  <c r="H64" i="5"/>
  <c r="G10" i="5"/>
  <c r="H27" i="5"/>
  <c r="H4" i="5"/>
  <c r="H12" i="5"/>
  <c r="G32" i="5"/>
  <c r="H57" i="5"/>
  <c r="J57" i="5" s="1"/>
  <c r="H39" i="5"/>
  <c r="H69" i="5"/>
  <c r="J69" i="5" s="1"/>
  <c r="K69" i="5" s="1"/>
  <c r="H23" i="5"/>
  <c r="H67" i="5"/>
  <c r="H58" i="5"/>
  <c r="G28" i="5"/>
  <c r="H16" i="5"/>
  <c r="H5" i="5"/>
  <c r="H13" i="5"/>
  <c r="H62" i="5"/>
  <c r="H40" i="5"/>
  <c r="H37" i="5"/>
  <c r="H90" i="5"/>
  <c r="H30" i="5"/>
  <c r="H68" i="5"/>
  <c r="H17" i="5"/>
  <c r="H6" i="5"/>
  <c r="H14" i="5"/>
  <c r="H76" i="5"/>
  <c r="H47" i="5"/>
  <c r="H75" i="5"/>
  <c r="H43" i="5"/>
  <c r="J43" i="5" s="1"/>
  <c r="H77" i="5"/>
  <c r="H60" i="5"/>
  <c r="H31" i="5"/>
  <c r="G26" i="5"/>
  <c r="H18" i="5"/>
  <c r="J18" i="5" s="1"/>
  <c r="H7" i="5"/>
  <c r="H41" i="5"/>
  <c r="H44" i="5"/>
  <c r="H53" i="5"/>
  <c r="H83" i="5"/>
  <c r="H45" i="5"/>
  <c r="H80" i="5"/>
  <c r="G35" i="5"/>
  <c r="H19" i="5"/>
  <c r="H8" i="5"/>
  <c r="H74" i="5"/>
  <c r="H2" i="5"/>
  <c r="J2" i="5" s="1"/>
  <c r="H49" i="5"/>
  <c r="H55" i="5"/>
  <c r="H87" i="5"/>
  <c r="J87" i="5" s="1"/>
  <c r="H48" i="5"/>
  <c r="H85" i="5"/>
  <c r="J85" i="5" s="1"/>
  <c r="K85" i="5" s="1"/>
  <c r="G3" i="5"/>
  <c r="G11" i="5"/>
  <c r="H70" i="5"/>
  <c r="H33" i="5"/>
  <c r="H20" i="5"/>
  <c r="H9" i="5"/>
  <c r="H79" i="5"/>
  <c r="H36" i="5"/>
  <c r="H54" i="5"/>
  <c r="H15" i="5"/>
  <c r="H59" i="5"/>
  <c r="H88" i="5"/>
  <c r="J88" i="5" s="1"/>
  <c r="H51" i="5"/>
  <c r="H93" i="5"/>
  <c r="J93" i="5" s="1"/>
  <c r="J76" i="5" l="1"/>
  <c r="J78" i="5"/>
  <c r="K78" i="5" s="1"/>
  <c r="J86" i="5"/>
  <c r="K86" i="5" s="1"/>
  <c r="J59" i="5"/>
  <c r="K59" i="5" s="1"/>
  <c r="J82" i="5"/>
  <c r="K82" i="5" s="1"/>
  <c r="M82" i="5" s="1"/>
  <c r="L82" i="5" s="1"/>
  <c r="J77" i="5"/>
  <c r="K77" i="5" s="1"/>
  <c r="J83" i="5"/>
  <c r="K83" i="5" s="1"/>
  <c r="J68" i="5"/>
  <c r="K68" i="5" s="1"/>
  <c r="J74" i="5"/>
  <c r="K74" i="5" s="1"/>
  <c r="J75" i="5"/>
  <c r="K75" i="5" s="1"/>
  <c r="M75" i="5" s="1"/>
  <c r="J67" i="5"/>
  <c r="K67" i="5" s="1"/>
  <c r="M67" i="5" s="1"/>
  <c r="L67" i="5" s="1"/>
  <c r="J66" i="5"/>
  <c r="K66" i="5" s="1"/>
  <c r="J72" i="5"/>
  <c r="K72" i="5" s="1"/>
  <c r="J71" i="5"/>
  <c r="K71" i="5" s="1"/>
  <c r="M71" i="5" s="1"/>
  <c r="J61" i="5"/>
  <c r="K61" i="5" s="1"/>
  <c r="M61" i="5" s="1"/>
  <c r="L61" i="5" s="1"/>
  <c r="J80" i="5"/>
  <c r="K80" i="5" s="1"/>
  <c r="M80" i="5" s="1"/>
  <c r="J73" i="5"/>
  <c r="K73" i="5" s="1"/>
  <c r="J65" i="5"/>
  <c r="K65" i="5" s="1"/>
  <c r="J14" i="5"/>
  <c r="K14" i="5" s="1"/>
  <c r="M14" i="5" s="1"/>
  <c r="J62" i="5"/>
  <c r="K62" i="5" s="1"/>
  <c r="J70" i="5"/>
  <c r="K70" i="5" s="1"/>
  <c r="J53" i="5"/>
  <c r="K53" i="5" s="1"/>
  <c r="J54" i="5"/>
  <c r="K54" i="5" s="1"/>
  <c r="M54" i="5" s="1"/>
  <c r="J64" i="5"/>
  <c r="K64" i="5" s="1"/>
  <c r="J56" i="5"/>
  <c r="K56" i="5" s="1"/>
  <c r="J51" i="5"/>
  <c r="K51" i="5" s="1"/>
  <c r="J55" i="5"/>
  <c r="K55" i="5" s="1"/>
  <c r="J39" i="5"/>
  <c r="K39" i="5" s="1"/>
  <c r="J52" i="5"/>
  <c r="K52" i="5" s="1"/>
  <c r="J60" i="5"/>
  <c r="K60" i="5" s="1"/>
  <c r="J38" i="5"/>
  <c r="K38" i="5" s="1"/>
  <c r="M38" i="5" s="1"/>
  <c r="J63" i="5"/>
  <c r="K63" i="5" s="1"/>
  <c r="J13" i="5"/>
  <c r="K13" i="5" s="1"/>
  <c r="J23" i="5"/>
  <c r="K23" i="5" s="1"/>
  <c r="J5" i="5"/>
  <c r="K5" i="5" s="1"/>
  <c r="M5" i="5" s="1"/>
  <c r="L5" i="5" s="1"/>
  <c r="J22" i="5"/>
  <c r="K22" i="5" s="1"/>
  <c r="J45" i="5"/>
  <c r="K45" i="5" s="1"/>
  <c r="M45" i="5" s="1"/>
  <c r="L45" i="5" s="1"/>
  <c r="J25" i="5"/>
  <c r="K25" i="5" s="1"/>
  <c r="J9" i="5"/>
  <c r="K9" i="5" s="1"/>
  <c r="M9" i="5" s="1"/>
  <c r="L9" i="5" s="1"/>
  <c r="J24" i="5"/>
  <c r="K24" i="5" s="1"/>
  <c r="J49" i="5"/>
  <c r="K49" i="5" s="1"/>
  <c r="M49" i="5" s="1"/>
  <c r="L49" i="5" s="1"/>
  <c r="J32" i="5"/>
  <c r="K32" i="5" s="1"/>
  <c r="J58" i="5"/>
  <c r="K58" i="5" s="1"/>
  <c r="M58" i="5" s="1"/>
  <c r="L58" i="5" s="1"/>
  <c r="J37" i="5"/>
  <c r="K37" i="5" s="1"/>
  <c r="J20" i="5"/>
  <c r="K20" i="5" s="1"/>
  <c r="M20" i="5" s="1"/>
  <c r="L20" i="5" s="1"/>
  <c r="J15" i="5"/>
  <c r="K15" i="5" s="1"/>
  <c r="M15" i="5" s="1"/>
  <c r="J21" i="5"/>
  <c r="K21" i="5" s="1"/>
  <c r="J36" i="5"/>
  <c r="K36" i="5" s="1"/>
  <c r="M36" i="5" s="1"/>
  <c r="L36" i="5" s="1"/>
  <c r="J47" i="5"/>
  <c r="K47" i="5" s="1"/>
  <c r="J44" i="5"/>
  <c r="K44" i="5" s="1"/>
  <c r="J30" i="5"/>
  <c r="K30" i="5" s="1"/>
  <c r="M30" i="5" s="1"/>
  <c r="L30" i="5" s="1"/>
  <c r="J12" i="5"/>
  <c r="K12" i="5" s="1"/>
  <c r="J46" i="5"/>
  <c r="K46" i="5" s="1"/>
  <c r="M46" i="5" s="1"/>
  <c r="L46" i="5" s="1"/>
  <c r="J4" i="5"/>
  <c r="K4" i="5" s="1"/>
  <c r="M4" i="5" s="1"/>
  <c r="L4" i="5" s="1"/>
  <c r="J79" i="5"/>
  <c r="K79" i="5" s="1"/>
  <c r="J48" i="5"/>
  <c r="K48" i="5" s="1"/>
  <c r="M48" i="5" s="1"/>
  <c r="L48" i="5" s="1"/>
  <c r="J40" i="5"/>
  <c r="K40" i="5" s="1"/>
  <c r="M40" i="5" s="1"/>
  <c r="L40" i="5" s="1"/>
  <c r="J11" i="5"/>
  <c r="K11" i="5" s="1"/>
  <c r="J41" i="5"/>
  <c r="K41" i="5" s="1"/>
  <c r="J50" i="5"/>
  <c r="K50" i="5" s="1"/>
  <c r="J90" i="5"/>
  <c r="K90" i="5" s="1"/>
  <c r="M90" i="5" s="1"/>
  <c r="L90" i="5" s="1"/>
  <c r="J29" i="5"/>
  <c r="K29" i="5" s="1"/>
  <c r="M29" i="5" s="1"/>
  <c r="J3" i="5"/>
  <c r="K3" i="5" s="1"/>
  <c r="M3" i="5" s="1"/>
  <c r="L3" i="5" s="1"/>
  <c r="J6" i="5"/>
  <c r="K6" i="5" s="1"/>
  <c r="M6" i="5" s="1"/>
  <c r="L6" i="5" s="1"/>
  <c r="J16" i="5"/>
  <c r="K16" i="5" s="1"/>
  <c r="M16" i="5" s="1"/>
  <c r="L16" i="5" s="1"/>
  <c r="J19" i="5"/>
  <c r="K19" i="5" s="1"/>
  <c r="M19" i="5" s="1"/>
  <c r="L19" i="5" s="1"/>
  <c r="J28" i="5"/>
  <c r="K28" i="5" s="1"/>
  <c r="M28" i="5" s="1"/>
  <c r="L28" i="5" s="1"/>
  <c r="J33" i="5"/>
  <c r="K33" i="5" s="1"/>
  <c r="M33" i="5" s="1"/>
  <c r="L33" i="5" s="1"/>
  <c r="J26" i="5"/>
  <c r="K26" i="5" s="1"/>
  <c r="J8" i="5"/>
  <c r="K8" i="5" s="1"/>
  <c r="J7" i="5"/>
  <c r="K7" i="5" s="1"/>
  <c r="M7" i="5" s="1"/>
  <c r="L7" i="5" s="1"/>
  <c r="J84" i="5"/>
  <c r="K84" i="5" s="1"/>
  <c r="J34" i="5"/>
  <c r="K34" i="5" s="1"/>
  <c r="P11" i="5"/>
  <c r="J42" i="5"/>
  <c r="K42" i="5" s="1"/>
  <c r="J35" i="5"/>
  <c r="K35" i="5" s="1"/>
  <c r="M35" i="5" s="1"/>
  <c r="L35" i="5" s="1"/>
  <c r="J17" i="5"/>
  <c r="K17" i="5" s="1"/>
  <c r="M17" i="5" s="1"/>
  <c r="J31" i="5"/>
  <c r="K31" i="5" s="1"/>
  <c r="J27" i="5"/>
  <c r="K27" i="5" s="1"/>
  <c r="J10" i="5"/>
  <c r="M91" i="5"/>
  <c r="L91" i="5" s="1"/>
  <c r="M86" i="5"/>
  <c r="L86" i="5" s="1"/>
  <c r="M66" i="5"/>
  <c r="L66" i="5" s="1"/>
  <c r="M81" i="5"/>
  <c r="L81" i="5" s="1"/>
  <c r="M92" i="5"/>
  <c r="L92" i="5" s="1"/>
  <c r="M77" i="5"/>
  <c r="L77" i="5" s="1"/>
  <c r="K2" i="5"/>
  <c r="K93" i="5"/>
  <c r="M93" i="5" s="1"/>
  <c r="K18" i="5"/>
  <c r="M18" i="5" s="1"/>
  <c r="L18" i="5" s="1"/>
  <c r="K88" i="5"/>
  <c r="M88" i="5" s="1"/>
  <c r="L88" i="5" s="1"/>
  <c r="K43" i="5"/>
  <c r="M43" i="5" s="1"/>
  <c r="L43" i="5" s="1"/>
  <c r="K57" i="5"/>
  <c r="M57" i="5" s="1"/>
  <c r="L57" i="5" s="1"/>
  <c r="K76" i="5"/>
  <c r="M76" i="5" s="1"/>
  <c r="K87" i="5"/>
  <c r="M87" i="5" s="1"/>
  <c r="P12" i="5"/>
  <c r="M89" i="5"/>
  <c r="L89" i="5" s="1"/>
  <c r="M59" i="5"/>
  <c r="L59" i="5" s="1"/>
  <c r="M85" i="5"/>
  <c r="L85" i="5" s="1"/>
  <c r="M69" i="5"/>
  <c r="L69" i="5" s="1"/>
  <c r="M68" i="5" l="1"/>
  <c r="L68" i="5" s="1"/>
  <c r="M83" i="5"/>
  <c r="L83" i="5" s="1"/>
  <c r="M74" i="5"/>
  <c r="L74" i="5" s="1"/>
  <c r="M78" i="5"/>
  <c r="L78" i="5" s="1"/>
  <c r="M72" i="5"/>
  <c r="L72" i="5" s="1"/>
  <c r="M65" i="5"/>
  <c r="L65" i="5" s="1"/>
  <c r="M73" i="5"/>
  <c r="L73" i="5" s="1"/>
  <c r="M62" i="5"/>
  <c r="L62" i="5" s="1"/>
  <c r="M64" i="5"/>
  <c r="L64" i="5" s="1"/>
  <c r="M60" i="5"/>
  <c r="L60" i="5" s="1"/>
  <c r="M53" i="5"/>
  <c r="L53" i="5" s="1"/>
  <c r="M56" i="5"/>
  <c r="L56" i="5" s="1"/>
  <c r="M55" i="5"/>
  <c r="L55" i="5" s="1"/>
  <c r="M39" i="5"/>
  <c r="L39" i="5" s="1"/>
  <c r="M32" i="5"/>
  <c r="L32" i="5" s="1"/>
  <c r="M22" i="5"/>
  <c r="L22" i="5" s="1"/>
  <c r="M25" i="5"/>
  <c r="L25" i="5" s="1"/>
  <c r="M13" i="5"/>
  <c r="L13" i="5" s="1"/>
  <c r="M24" i="5"/>
  <c r="L24" i="5" s="1"/>
  <c r="M37" i="5"/>
  <c r="L37" i="5" s="1"/>
  <c r="M44" i="5"/>
  <c r="L44" i="5" s="1"/>
  <c r="M12" i="5"/>
  <c r="L12" i="5" s="1"/>
  <c r="M21" i="5"/>
  <c r="L21" i="5" s="1"/>
  <c r="M8" i="5"/>
  <c r="L8" i="5" s="1"/>
  <c r="M79" i="5"/>
  <c r="L79" i="5" s="1"/>
  <c r="L29" i="5"/>
  <c r="M11" i="5"/>
  <c r="L11" i="5" s="1"/>
  <c r="M50" i="5"/>
  <c r="L50" i="5" s="1"/>
  <c r="M41" i="5"/>
  <c r="L41" i="5" s="1"/>
  <c r="M42" i="5"/>
  <c r="L42" i="5" s="1"/>
  <c r="M26" i="5"/>
  <c r="L26" i="5" s="1"/>
  <c r="M34" i="5"/>
  <c r="L34" i="5" s="1"/>
  <c r="M84" i="5"/>
  <c r="L84" i="5" s="1"/>
  <c r="M31" i="5"/>
  <c r="L31" i="5" s="1"/>
  <c r="Q3" i="5"/>
  <c r="K10" i="5"/>
  <c r="M10" i="5" s="1"/>
  <c r="L38" i="5"/>
  <c r="M52" i="5"/>
  <c r="L52" i="5" s="1"/>
  <c r="M63" i="5"/>
  <c r="L63" i="5" s="1"/>
  <c r="L71" i="5"/>
  <c r="M2" i="5"/>
  <c r="L2" i="5" s="1"/>
  <c r="M27" i="5"/>
  <c r="L27" i="5" s="1"/>
  <c r="L87" i="5"/>
  <c r="L80" i="5"/>
  <c r="L15" i="5"/>
  <c r="L17" i="5"/>
  <c r="L14" i="5"/>
  <c r="L75" i="5"/>
  <c r="L93" i="5"/>
  <c r="L76" i="5"/>
  <c r="L54" i="5"/>
  <c r="M47" i="5"/>
  <c r="L47" i="5" s="1"/>
  <c r="M23" i="5"/>
  <c r="M70" i="5"/>
  <c r="L70" i="5" s="1"/>
  <c r="M51" i="5"/>
  <c r="L51" i="5" s="1"/>
  <c r="L10" i="5" l="1"/>
  <c r="Q4" i="5"/>
  <c r="Q6" i="5"/>
  <c r="L23" i="5"/>
  <c r="Q5" i="5" l="1"/>
  <c r="Q7" i="5" s="1"/>
</calcChain>
</file>

<file path=xl/sharedStrings.xml><?xml version="1.0" encoding="utf-8"?>
<sst xmlns="http://schemas.openxmlformats.org/spreadsheetml/2006/main" count="4515" uniqueCount="151">
  <si>
    <t>Sheet</t>
  </si>
  <si>
    <t>Descrip</t>
  </si>
  <si>
    <t>parking_demand_data_ver2</t>
  </si>
  <si>
    <t>Baseline expanded demand estimates using LOCUS expansion factors, by county &amp; by hour</t>
  </si>
  <si>
    <t>calibration</t>
  </si>
  <si>
    <t>calibration steps</t>
  </si>
  <si>
    <t>parking_demand_data_calibr_ver2</t>
  </si>
  <si>
    <t>hourly demand expanded totals after calibration</t>
  </si>
  <si>
    <t>diagnosis</t>
  </si>
  <si>
    <t>diagnosis at county level</t>
  </si>
  <si>
    <t>county_fips</t>
  </si>
  <si>
    <t>county_name</t>
  </si>
  <si>
    <t>hour</t>
  </si>
  <si>
    <t>designated_expanded_daily_parking_demand</t>
  </si>
  <si>
    <t>undesignated_expanded_daily_parking_demand</t>
  </si>
  <si>
    <t>truck_parking_lots: total</t>
  </si>
  <si>
    <t>truck_parking_lots : private - large</t>
  </si>
  <si>
    <t>truck_parking_lots : private - medium</t>
  </si>
  <si>
    <t>truck_parking_lots : private - small</t>
  </si>
  <si>
    <t>truck_parking_lots : public - large</t>
  </si>
  <si>
    <t>truck_parking_lots : public - medium</t>
  </si>
  <si>
    <t>truck_parking_lots : public - small</t>
  </si>
  <si>
    <t>truck_parking_spaces: total</t>
  </si>
  <si>
    <t>truck_parking_spaces : private - large</t>
  </si>
  <si>
    <t>truck_parking_spaces : private - medium</t>
  </si>
  <si>
    <t>truck_parking_spaces : private - small</t>
  </si>
  <si>
    <t>truck_parking_spaces : public - large</t>
  </si>
  <si>
    <t>truck_parking_spaces : public - medium</t>
  </si>
  <si>
    <t>truck_parking_spaces : public - small</t>
  </si>
  <si>
    <t>Adams County</t>
  </si>
  <si>
    <t>Allen County</t>
  </si>
  <si>
    <t>Bartholomew County</t>
  </si>
  <si>
    <t>Benton County</t>
  </si>
  <si>
    <t>Blackford County</t>
  </si>
  <si>
    <t>Boone County</t>
  </si>
  <si>
    <t>Brown County</t>
  </si>
  <si>
    <t>Carroll County</t>
  </si>
  <si>
    <t>Cass County</t>
  </si>
  <si>
    <t>Clark County</t>
  </si>
  <si>
    <t>Clay County</t>
  </si>
  <si>
    <t>Clinton County</t>
  </si>
  <si>
    <t>Crawford County</t>
  </si>
  <si>
    <t>Daviess County</t>
  </si>
  <si>
    <t>Dearborn County</t>
  </si>
  <si>
    <t>Decatur County</t>
  </si>
  <si>
    <t>DeKalb County</t>
  </si>
  <si>
    <t>Delaware County</t>
  </si>
  <si>
    <t>Dubois County</t>
  </si>
  <si>
    <t>Elkhart County</t>
  </si>
  <si>
    <t>Fayette County</t>
  </si>
  <si>
    <t>Floyd County</t>
  </si>
  <si>
    <t>Fountain County</t>
  </si>
  <si>
    <t>Franklin County</t>
  </si>
  <si>
    <t>Fulton County</t>
  </si>
  <si>
    <t>Gibson County</t>
  </si>
  <si>
    <t>Grant County</t>
  </si>
  <si>
    <t>Greene County</t>
  </si>
  <si>
    <t>Hamilton County</t>
  </si>
  <si>
    <t>Hancock County</t>
  </si>
  <si>
    <t>Harrison County</t>
  </si>
  <si>
    <t>Hendricks County</t>
  </si>
  <si>
    <t>Henry County</t>
  </si>
  <si>
    <t>Howard County</t>
  </si>
  <si>
    <t>Huntington County</t>
  </si>
  <si>
    <t>Jackson County</t>
  </si>
  <si>
    <t>Jasper County</t>
  </si>
  <si>
    <t>Jay County</t>
  </si>
  <si>
    <t>Jefferson County</t>
  </si>
  <si>
    <t>Jennings County</t>
  </si>
  <si>
    <t>Johnson County</t>
  </si>
  <si>
    <t>Knox County</t>
  </si>
  <si>
    <t>Kosciusko County</t>
  </si>
  <si>
    <t>LaGrange County</t>
  </si>
  <si>
    <t>Lake County</t>
  </si>
  <si>
    <t>LaPorte County</t>
  </si>
  <si>
    <t>Lawrence County</t>
  </si>
  <si>
    <t>Madison County</t>
  </si>
  <si>
    <t>Marion County</t>
  </si>
  <si>
    <t>Marshall County</t>
  </si>
  <si>
    <t>Martin County</t>
  </si>
  <si>
    <t>Miami County</t>
  </si>
  <si>
    <t>Monroe County</t>
  </si>
  <si>
    <t>Montgomery County</t>
  </si>
  <si>
    <t>Morgan County</t>
  </si>
  <si>
    <t>Newton County</t>
  </si>
  <si>
    <t>Noble County</t>
  </si>
  <si>
    <t>Ohio County</t>
  </si>
  <si>
    <t>Orange County</t>
  </si>
  <si>
    <t>Owen County</t>
  </si>
  <si>
    <t>Parke County</t>
  </si>
  <si>
    <t>Perry County</t>
  </si>
  <si>
    <t>Pike County</t>
  </si>
  <si>
    <t>Porter County</t>
  </si>
  <si>
    <t>Posey County</t>
  </si>
  <si>
    <t>Pulaski County</t>
  </si>
  <si>
    <t>Putnam County</t>
  </si>
  <si>
    <t>Randolph County</t>
  </si>
  <si>
    <t>Ripley County</t>
  </si>
  <si>
    <t>Rush County</t>
  </si>
  <si>
    <t>St. Joseph County</t>
  </si>
  <si>
    <t>Scott County</t>
  </si>
  <si>
    <t>Shelby County</t>
  </si>
  <si>
    <t>Spencer County</t>
  </si>
  <si>
    <t>Starke County</t>
  </si>
  <si>
    <t>Steuben County</t>
  </si>
  <si>
    <t>Sullivan County</t>
  </si>
  <si>
    <t>Switzerland County</t>
  </si>
  <si>
    <t>Tippecanoe County</t>
  </si>
  <si>
    <t>Tipton County</t>
  </si>
  <si>
    <t>Union County</t>
  </si>
  <si>
    <t>Vanderburgh County</t>
  </si>
  <si>
    <t>Vermillion County</t>
  </si>
  <si>
    <t>Vigo County</t>
  </si>
  <si>
    <t>Wabash County</t>
  </si>
  <si>
    <t>Warren County</t>
  </si>
  <si>
    <t>Warrick County</t>
  </si>
  <si>
    <t>Washington County</t>
  </si>
  <si>
    <t>Wayne County</t>
  </si>
  <si>
    <t>Wells County</t>
  </si>
  <si>
    <t>White County</t>
  </si>
  <si>
    <t>Whitley County</t>
  </si>
  <si>
    <t>demand expanded</t>
  </si>
  <si>
    <t>demand expanded (from demand sheet)</t>
  </si>
  <si>
    <t>Validation Vol/Cap</t>
  </si>
  <si>
    <t>dem/sup</t>
  </si>
  <si>
    <t>calib demand</t>
  </si>
  <si>
    <t>calib dem/sup</t>
  </si>
  <si>
    <t>Boone</t>
  </si>
  <si>
    <t>Jasper</t>
  </si>
  <si>
    <t>Tippecanoe</t>
  </si>
  <si>
    <t>supply</t>
  </si>
  <si>
    <t>calib demand factor</t>
  </si>
  <si>
    <t>total_expanded_daily_parking_demand</t>
  </si>
  <si>
    <t>county name</t>
  </si>
  <si>
    <t>parking spaces</t>
  </si>
  <si>
    <t>max designated demand</t>
  </si>
  <si>
    <t>sum designated demand hours</t>
  </si>
  <si>
    <t>sum undesignated demand hours</t>
  </si>
  <si>
    <t>sum total demand hours</t>
  </si>
  <si>
    <t>undesignated hour%</t>
  </si>
  <si>
    <t>max dem/supply</t>
  </si>
  <si>
    <t>diagnosis1</t>
  </si>
  <si>
    <t>diagnosis2</t>
  </si>
  <si>
    <t>diagnosis3</t>
  </si>
  <si>
    <t>diagnosis4</t>
  </si>
  <si>
    <t>tot dem hour &gt; 1000 &amp; (max dem/sup&gt;0.9 OR undesignated% &gt; 0.5)</t>
  </si>
  <si>
    <t>not 1 &amp; tot dem hour &gt; 300 &amp; (max dem/sup&gt;0.7 OR undesignated% &gt; 0.2)</t>
  </si>
  <si>
    <t>all others</t>
  </si>
  <si>
    <t>not 1 &amp; not 2 &amp; 0 parking spaces</t>
  </si>
  <si>
    <t>sum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</si>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</sst>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0.0"/>
  </numFmts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8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4">
    <xf numFmtId="0" fontId="0" fillId="0" borderId="0"/>
    <xf numFmtId="9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43" fontId="1" fillId="0" borderId="0" applyFont="0" applyFill="0" applyBorder="0" applyAlignment="0" applyProtection="0"/>
  </cellStyleXfs>
  <cellXfs count="7">
    <xf numFmtId="0" fontId="0" fillId="0" borderId="0" xfId="0"/>
    <xf numFmtId="1" fontId="0" fillId="0" borderId="0" xfId="0" applyNumberFormat="1"/>
    <xf numFmtId="2" fontId="0" fillId="0" borderId="0" xfId="0" applyNumberFormat="1"/>
    <xf numFmtId="164" fontId="0" fillId="0" borderId="0" xfId="0" applyNumberFormat="1"/>
    <xf numFmtId="0" fontId="0" fillId="33" borderId="0" xfId="0" applyFill="1"/>
    <xf numFmtId="9" fontId="0" fillId="0" borderId="0" xfId="1" applyFont="1"/>
    <xf numFmtId="43" fontId="0" fillId="0" borderId="0" xfId="43" applyFont="1"/>
  </cellXfs>
  <cellStyles count="44">
    <cellStyle name="20% - Accent1" xfId="20" builtinId="30" customBuiltin="1"/>
    <cellStyle name="20% - Accent2" xfId="24" builtinId="34" customBuiltin="1"/>
    <cellStyle name="20% - Accent3" xfId="28" builtinId="38" customBuiltin="1"/>
    <cellStyle name="20% - Accent4" xfId="32" builtinId="42" customBuiltin="1"/>
    <cellStyle name="20% - Accent5" xfId="36" builtinId="46" customBuiltin="1"/>
    <cellStyle name="20% - Accent6" xfId="40" builtinId="50" customBuiltin="1"/>
    <cellStyle name="40% - Accent1" xfId="21" builtinId="31" customBuiltin="1"/>
    <cellStyle name="40% - Accent2" xfId="25" builtinId="35" customBuiltin="1"/>
    <cellStyle name="40% - Accent3" xfId="29" builtinId="39" customBuiltin="1"/>
    <cellStyle name="40% - Accent4" xfId="33" builtinId="43" customBuiltin="1"/>
    <cellStyle name="40% - Accent5" xfId="37" builtinId="47" customBuiltin="1"/>
    <cellStyle name="40% - Accent6" xfId="41" builtinId="51" customBuiltin="1"/>
    <cellStyle name="60% - Accent1" xfId="22" builtinId="32" customBuiltin="1"/>
    <cellStyle name="60% - Accent2" xfId="26" builtinId="36" customBuiltin="1"/>
    <cellStyle name="60% - Accent3" xfId="30" builtinId="40" customBuiltin="1"/>
    <cellStyle name="60% - Accent4" xfId="34" builtinId="44" customBuiltin="1"/>
    <cellStyle name="60% - Accent5" xfId="38" builtinId="48" customBuiltin="1"/>
    <cellStyle name="60% - Accent6" xfId="42" builtinId="52" customBuiltin="1"/>
    <cellStyle name="Accent1" xfId="19" builtinId="29" customBuiltin="1"/>
    <cellStyle name="Accent2" xfId="23" builtinId="33" customBuiltin="1"/>
    <cellStyle name="Accent3" xfId="27" builtinId="37" customBuiltin="1"/>
    <cellStyle name="Accent4" xfId="31" builtinId="41" customBuiltin="1"/>
    <cellStyle name="Accent5" xfId="35" builtinId="45" customBuiltin="1"/>
    <cellStyle name="Accent6" xfId="39" builtinId="49" customBuiltin="1"/>
    <cellStyle name="Bad" xfId="8" builtinId="27" customBuiltin="1"/>
    <cellStyle name="Calculation" xfId="12" builtinId="22" customBuiltin="1"/>
    <cellStyle name="Check Cell" xfId="14" builtinId="23" customBuiltin="1"/>
    <cellStyle name="Comma" xfId="43" builtinId="3"/>
    <cellStyle name="Explanatory Text" xfId="17" builtinId="53" customBuiltin="1"/>
    <cellStyle name="Good" xfId="7" builtinId="26" customBuiltin="1"/>
    <cellStyle name="Heading 1" xfId="3" builtinId="16" customBuiltin="1"/>
    <cellStyle name="Heading 2" xfId="4" builtinId="17" customBuiltin="1"/>
    <cellStyle name="Heading 3" xfId="5" builtinId="18" customBuiltin="1"/>
    <cellStyle name="Heading 4" xfId="6" builtinId="19" customBuiltin="1"/>
    <cellStyle name="Input" xfId="10" builtinId="20" customBuiltin="1"/>
    <cellStyle name="Linked Cell" xfId="13" builtinId="24" customBuiltin="1"/>
    <cellStyle name="Neutral" xfId="9" builtinId="28" customBuiltin="1"/>
    <cellStyle name="Normal" xfId="0" builtinId="0"/>
    <cellStyle name="Note" xfId="16" builtinId="10" customBuiltin="1"/>
    <cellStyle name="Output" xfId="11" builtinId="21" customBuiltin="1"/>
    <cellStyle name="Percent" xfId="1" builtinId="5"/>
    <cellStyle name="Title" xfId="2" builtinId="15" customBuiltin="1"/>
    <cellStyle name="Total" xfId="18" builtinId="25" customBuiltin="1"/>
    <cellStyle name="Warning Text" xfId="15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FD693F-B98B-42CD-98F8-D2FD8761550D}">
  <dimension ref="A2:B6"/>
  <sheetViews>
    <sheetView workbookViewId="0">
      <selection activeCell="B15" sqref="B15"/>
    </sheetView>
  </sheetViews>
  <sheetFormatPr defaultRowHeight="15" x14ac:dyDescent="0.25"/>
  <cols>
    <col min="1" max="1" width="31.85546875" bestFit="1" customWidth="1"/>
    <col min="2" max="2" width="82.28515625" bestFit="1" customWidth="1"/>
  </cols>
  <sheetData>
    <row r="2" spans="1:2" x14ac:dyDescent="0.25">
      <c r="A2" t="s">
        <v>0</v>
      </c>
      <c r="B2" t="s">
        <v>1</v>
      </c>
    </row>
    <row r="3" spans="1:2" x14ac:dyDescent="0.25">
      <c r="A3" t="s">
        <v>2</v>
      </c>
      <c r="B3" t="s">
        <v>3</v>
      </c>
    </row>
    <row r="4" spans="1:2" x14ac:dyDescent="0.25">
      <c r="A4" t="s">
        <v>4</v>
      </c>
      <c r="B4" t="s">
        <v>5</v>
      </c>
    </row>
    <row r="5" spans="1:2" x14ac:dyDescent="0.25">
      <c r="A5" t="s">
        <v>6</v>
      </c>
      <c r="B5" t="s">
        <v>7</v>
      </c>
    </row>
    <row r="6" spans="1:2" x14ac:dyDescent="0.25">
      <c r="A6" t="s">
        <v>8</v>
      </c>
      <c r="B6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8FDA59-CD46-42C4-BB52-53D36F4EEEB7}">
  <dimension ref="A1:S2209"/>
  <sheetViews>
    <sheetView topLeftCell="A118" workbookViewId="0">
      <selection activeCell="E142" sqref="E142"/>
    </sheetView>
  </sheetViews>
  <sheetFormatPr defaultRowHeight="15" x14ac:dyDescent="0.25"/>
  <cols>
    <col min="4" max="4" width="39.5703125" bestFit="1" customWidth="1"/>
    <col min="5" max="5" width="41.85546875" bestFit="1" customWidth="1"/>
    <col min="6" max="6" width="22.5703125" bestFit="1" customWidth="1"/>
    <col min="7" max="7" width="31.28515625" bestFit="1" customWidth="1"/>
    <col min="8" max="8" width="34.28515625" bestFit="1" customWidth="1"/>
    <col min="9" max="9" width="31.85546875" bestFit="1" customWidth="1"/>
    <col min="10" max="10" width="30.85546875" bestFit="1" customWidth="1"/>
    <col min="11" max="11" width="33.85546875" bestFit="1" customWidth="1"/>
    <col min="12" max="12" width="31.42578125" bestFit="1" customWidth="1"/>
    <col min="13" max="13" width="25.7109375" bestFit="1" customWidth="1"/>
    <col min="14" max="14" width="34.42578125" bestFit="1" customWidth="1"/>
    <col min="15" max="15" width="37.28515625" bestFit="1" customWidth="1"/>
    <col min="16" max="16" width="35" bestFit="1" customWidth="1"/>
    <col min="17" max="17" width="34" bestFit="1" customWidth="1"/>
    <col min="18" max="18" width="36.85546875" bestFit="1" customWidth="1"/>
    <col min="19" max="19" width="34.5703125" bestFit="1" customWidth="1"/>
  </cols>
  <sheetData>
    <row r="1" spans="1:19" x14ac:dyDescent="0.25">
      <c r="A1" t="s">
        <v>10</v>
      </c>
      <c r="B1" t="s">
        <v>11</v>
      </c>
      <c r="C1" t="s">
        <v>12</v>
      </c>
      <c r="D1" t="s">
        <v>13</v>
      </c>
      <c r="E1" t="s">
        <v>14</v>
      </c>
      <c r="F1" t="s">
        <v>15</v>
      </c>
      <c r="G1" t="s">
        <v>16</v>
      </c>
      <c r="H1" t="s">
        <v>17</v>
      </c>
      <c r="I1" t="s">
        <v>18</v>
      </c>
      <c r="J1" t="s">
        <v>19</v>
      </c>
      <c r="K1" t="s">
        <v>20</v>
      </c>
      <c r="L1" t="s">
        <v>21</v>
      </c>
      <c r="M1" t="s">
        <v>22</v>
      </c>
      <c r="N1" t="s">
        <v>23</v>
      </c>
      <c r="O1" t="s">
        <v>24</v>
      </c>
      <c r="P1" t="s">
        <v>25</v>
      </c>
      <c r="Q1" t="s">
        <v>26</v>
      </c>
      <c r="R1" t="s">
        <v>27</v>
      </c>
      <c r="S1" t="s">
        <v>28</v>
      </c>
    </row>
    <row r="2" spans="1:19" x14ac:dyDescent="0.25">
      <c r="A2">
        <v>18001</v>
      </c>
      <c r="B2" t="s">
        <v>29</v>
      </c>
      <c r="C2">
        <v>0</v>
      </c>
      <c r="D2">
        <v>17.063529144951499</v>
      </c>
      <c r="E2">
        <v>0</v>
      </c>
      <c r="F2">
        <f>SUM(G2:L2)</f>
        <v>1</v>
      </c>
      <c r="G2">
        <v>0</v>
      </c>
      <c r="H2">
        <v>0</v>
      </c>
      <c r="I2">
        <v>1</v>
      </c>
      <c r="J2">
        <v>0</v>
      </c>
      <c r="K2">
        <v>0</v>
      </c>
      <c r="L2">
        <v>0</v>
      </c>
      <c r="M2">
        <f t="shared" ref="M2:M65" si="0">SUM(N2:S2)</f>
        <v>30</v>
      </c>
      <c r="N2">
        <v>0</v>
      </c>
      <c r="O2">
        <v>0</v>
      </c>
      <c r="P2">
        <v>30</v>
      </c>
      <c r="Q2">
        <v>0</v>
      </c>
      <c r="R2">
        <v>0</v>
      </c>
      <c r="S2">
        <v>0</v>
      </c>
    </row>
    <row r="3" spans="1:19" x14ac:dyDescent="0.25">
      <c r="A3">
        <v>18001</v>
      </c>
      <c r="B3" t="s">
        <v>29</v>
      </c>
      <c r="C3">
        <v>1</v>
      </c>
      <c r="D3">
        <v>17.732687150635901</v>
      </c>
      <c r="E3">
        <v>0</v>
      </c>
      <c r="F3">
        <f t="shared" ref="F3:F66" si="1">SUM(G3:L3)</f>
        <v>1</v>
      </c>
      <c r="G3">
        <v>0</v>
      </c>
      <c r="H3">
        <v>0</v>
      </c>
      <c r="I3">
        <v>1</v>
      </c>
      <c r="J3">
        <v>0</v>
      </c>
      <c r="K3">
        <v>0</v>
      </c>
      <c r="L3">
        <v>0</v>
      </c>
      <c r="M3">
        <f t="shared" si="0"/>
        <v>30</v>
      </c>
      <c r="N3">
        <v>0</v>
      </c>
      <c r="O3">
        <v>0</v>
      </c>
      <c r="P3">
        <v>30</v>
      </c>
      <c r="Q3">
        <v>0</v>
      </c>
      <c r="R3">
        <v>0</v>
      </c>
      <c r="S3">
        <v>0</v>
      </c>
    </row>
    <row r="4" spans="1:19" x14ac:dyDescent="0.25">
      <c r="A4">
        <v>18001</v>
      </c>
      <c r="B4" t="s">
        <v>29</v>
      </c>
      <c r="C4">
        <v>2</v>
      </c>
      <c r="D4">
        <v>17.9334345523412</v>
      </c>
      <c r="E4">
        <v>0</v>
      </c>
      <c r="F4">
        <f t="shared" si="1"/>
        <v>1</v>
      </c>
      <c r="G4">
        <v>0</v>
      </c>
      <c r="H4">
        <v>0</v>
      </c>
      <c r="I4">
        <v>1</v>
      </c>
      <c r="J4">
        <v>0</v>
      </c>
      <c r="K4">
        <v>0</v>
      </c>
      <c r="L4">
        <v>0</v>
      </c>
      <c r="M4">
        <f t="shared" si="0"/>
        <v>30</v>
      </c>
      <c r="N4">
        <v>0</v>
      </c>
      <c r="O4">
        <v>0</v>
      </c>
      <c r="P4">
        <v>30</v>
      </c>
      <c r="Q4">
        <v>0</v>
      </c>
      <c r="R4">
        <v>0</v>
      </c>
      <c r="S4">
        <v>0</v>
      </c>
    </row>
    <row r="5" spans="1:19" x14ac:dyDescent="0.25">
      <c r="A5">
        <v>18001</v>
      </c>
      <c r="B5" t="s">
        <v>29</v>
      </c>
      <c r="C5">
        <v>3</v>
      </c>
      <c r="D5">
        <v>18.201097754614999</v>
      </c>
      <c r="E5">
        <v>0</v>
      </c>
      <c r="F5">
        <f t="shared" si="1"/>
        <v>1</v>
      </c>
      <c r="G5">
        <v>0</v>
      </c>
      <c r="H5">
        <v>0</v>
      </c>
      <c r="I5">
        <v>1</v>
      </c>
      <c r="J5">
        <v>0</v>
      </c>
      <c r="K5">
        <v>0</v>
      </c>
      <c r="L5">
        <v>0</v>
      </c>
      <c r="M5">
        <f t="shared" si="0"/>
        <v>30</v>
      </c>
      <c r="N5">
        <v>0</v>
      </c>
      <c r="O5">
        <v>0</v>
      </c>
      <c r="P5">
        <v>30</v>
      </c>
      <c r="Q5">
        <v>0</v>
      </c>
      <c r="R5">
        <v>0</v>
      </c>
      <c r="S5">
        <v>0</v>
      </c>
    </row>
    <row r="6" spans="1:19" x14ac:dyDescent="0.25">
      <c r="A6">
        <v>18001</v>
      </c>
      <c r="B6" t="s">
        <v>29</v>
      </c>
      <c r="C6">
        <v>4</v>
      </c>
      <c r="D6">
        <v>18.067266153478101</v>
      </c>
      <c r="E6">
        <v>0</v>
      </c>
      <c r="F6">
        <f t="shared" si="1"/>
        <v>1</v>
      </c>
      <c r="G6">
        <v>0</v>
      </c>
      <c r="H6">
        <v>0</v>
      </c>
      <c r="I6">
        <v>1</v>
      </c>
      <c r="J6">
        <v>0</v>
      </c>
      <c r="K6">
        <v>0</v>
      </c>
      <c r="L6">
        <v>0</v>
      </c>
      <c r="M6">
        <f t="shared" si="0"/>
        <v>30</v>
      </c>
      <c r="N6">
        <v>0</v>
      </c>
      <c r="O6">
        <v>0</v>
      </c>
      <c r="P6">
        <v>30</v>
      </c>
      <c r="Q6">
        <v>0</v>
      </c>
      <c r="R6">
        <v>0</v>
      </c>
      <c r="S6">
        <v>0</v>
      </c>
    </row>
    <row r="7" spans="1:19" x14ac:dyDescent="0.25">
      <c r="A7">
        <v>18001</v>
      </c>
      <c r="B7" t="s">
        <v>29</v>
      </c>
      <c r="C7">
        <v>5</v>
      </c>
      <c r="D7">
        <v>17.531939748930601</v>
      </c>
      <c r="E7">
        <v>0.13383160113687501</v>
      </c>
      <c r="F7">
        <f t="shared" si="1"/>
        <v>1</v>
      </c>
      <c r="G7">
        <v>0</v>
      </c>
      <c r="H7">
        <v>0</v>
      </c>
      <c r="I7">
        <v>1</v>
      </c>
      <c r="J7">
        <v>0</v>
      </c>
      <c r="K7">
        <v>0</v>
      </c>
      <c r="L7">
        <v>0</v>
      </c>
      <c r="M7">
        <f t="shared" si="0"/>
        <v>30</v>
      </c>
      <c r="N7">
        <v>0</v>
      </c>
      <c r="O7">
        <v>0</v>
      </c>
      <c r="P7">
        <v>30</v>
      </c>
      <c r="Q7">
        <v>0</v>
      </c>
      <c r="R7">
        <v>0</v>
      </c>
      <c r="S7">
        <v>0</v>
      </c>
    </row>
    <row r="8" spans="1:19" x14ac:dyDescent="0.25">
      <c r="A8">
        <v>18001</v>
      </c>
      <c r="B8" t="s">
        <v>29</v>
      </c>
      <c r="C8">
        <v>6</v>
      </c>
      <c r="D8">
        <v>17.9334345523412</v>
      </c>
      <c r="E8">
        <v>0.40149480341062499</v>
      </c>
      <c r="F8">
        <f t="shared" si="1"/>
        <v>1</v>
      </c>
      <c r="G8">
        <v>0</v>
      </c>
      <c r="H8">
        <v>0</v>
      </c>
      <c r="I8">
        <v>1</v>
      </c>
      <c r="J8">
        <v>0</v>
      </c>
      <c r="K8">
        <v>0</v>
      </c>
      <c r="L8">
        <v>0</v>
      </c>
      <c r="M8">
        <f t="shared" si="0"/>
        <v>30</v>
      </c>
      <c r="N8">
        <v>0</v>
      </c>
      <c r="O8">
        <v>0</v>
      </c>
      <c r="P8">
        <v>30</v>
      </c>
      <c r="Q8">
        <v>0</v>
      </c>
      <c r="R8">
        <v>0</v>
      </c>
      <c r="S8">
        <v>0</v>
      </c>
    </row>
    <row r="9" spans="1:19" x14ac:dyDescent="0.25">
      <c r="A9">
        <v>18001</v>
      </c>
      <c r="B9" t="s">
        <v>29</v>
      </c>
      <c r="C9">
        <v>7</v>
      </c>
      <c r="D9">
        <v>15.9259605352881</v>
      </c>
      <c r="E9">
        <v>1.1375686096634301</v>
      </c>
      <c r="F9">
        <f t="shared" si="1"/>
        <v>1</v>
      </c>
      <c r="G9">
        <v>0</v>
      </c>
      <c r="H9">
        <v>0</v>
      </c>
      <c r="I9">
        <v>1</v>
      </c>
      <c r="J9">
        <v>0</v>
      </c>
      <c r="K9">
        <v>0</v>
      </c>
      <c r="L9">
        <v>0</v>
      </c>
      <c r="M9">
        <f t="shared" si="0"/>
        <v>30</v>
      </c>
      <c r="N9">
        <v>0</v>
      </c>
      <c r="O9">
        <v>0</v>
      </c>
      <c r="P9">
        <v>30</v>
      </c>
      <c r="Q9">
        <v>0</v>
      </c>
      <c r="R9">
        <v>0</v>
      </c>
      <c r="S9">
        <v>0</v>
      </c>
    </row>
    <row r="10" spans="1:19" x14ac:dyDescent="0.25">
      <c r="A10">
        <v>18001</v>
      </c>
      <c r="B10" t="s">
        <v>29</v>
      </c>
      <c r="C10">
        <v>8</v>
      </c>
      <c r="D10">
        <v>11.5764334983396</v>
      </c>
      <c r="E10">
        <v>1.8736424159162499</v>
      </c>
      <c r="F10">
        <f t="shared" si="1"/>
        <v>1</v>
      </c>
      <c r="G10">
        <v>0</v>
      </c>
      <c r="H10">
        <v>0</v>
      </c>
      <c r="I10">
        <v>1</v>
      </c>
      <c r="J10">
        <v>0</v>
      </c>
      <c r="K10">
        <v>0</v>
      </c>
      <c r="L10">
        <v>0</v>
      </c>
      <c r="M10">
        <f t="shared" si="0"/>
        <v>30</v>
      </c>
      <c r="N10">
        <v>0</v>
      </c>
      <c r="O10">
        <v>0</v>
      </c>
      <c r="P10">
        <v>30</v>
      </c>
      <c r="Q10">
        <v>0</v>
      </c>
      <c r="R10">
        <v>0</v>
      </c>
      <c r="S10">
        <v>0</v>
      </c>
    </row>
    <row r="11" spans="1:19" x14ac:dyDescent="0.25">
      <c r="A11">
        <v>18001</v>
      </c>
      <c r="B11" t="s">
        <v>29</v>
      </c>
      <c r="C11">
        <v>9</v>
      </c>
      <c r="D11">
        <v>8.1637276693493792</v>
      </c>
      <c r="E11">
        <v>2.94429522501125</v>
      </c>
      <c r="F11">
        <f t="shared" si="1"/>
        <v>1</v>
      </c>
      <c r="G11">
        <v>0</v>
      </c>
      <c r="H11">
        <v>0</v>
      </c>
      <c r="I11">
        <v>1</v>
      </c>
      <c r="J11">
        <v>0</v>
      </c>
      <c r="K11">
        <v>0</v>
      </c>
      <c r="L11">
        <v>0</v>
      </c>
      <c r="M11">
        <f t="shared" si="0"/>
        <v>30</v>
      </c>
      <c r="N11">
        <v>0</v>
      </c>
      <c r="O11">
        <v>0</v>
      </c>
      <c r="P11">
        <v>30</v>
      </c>
      <c r="Q11">
        <v>0</v>
      </c>
      <c r="R11">
        <v>0</v>
      </c>
      <c r="S11">
        <v>0</v>
      </c>
    </row>
    <row r="12" spans="1:19" x14ac:dyDescent="0.25">
      <c r="A12">
        <v>18001</v>
      </c>
      <c r="B12" t="s">
        <v>29</v>
      </c>
      <c r="C12">
        <v>10</v>
      </c>
      <c r="D12">
        <v>8.6321382733284402</v>
      </c>
      <c r="E12">
        <v>6.5577484557068697</v>
      </c>
      <c r="F12">
        <f t="shared" si="1"/>
        <v>1</v>
      </c>
      <c r="G12">
        <v>0</v>
      </c>
      <c r="H12">
        <v>0</v>
      </c>
      <c r="I12">
        <v>1</v>
      </c>
      <c r="J12">
        <v>0</v>
      </c>
      <c r="K12">
        <v>0</v>
      </c>
      <c r="L12">
        <v>0</v>
      </c>
      <c r="M12">
        <f t="shared" si="0"/>
        <v>30</v>
      </c>
      <c r="N12">
        <v>0</v>
      </c>
      <c r="O12">
        <v>0</v>
      </c>
      <c r="P12">
        <v>30</v>
      </c>
      <c r="Q12">
        <v>0</v>
      </c>
      <c r="R12">
        <v>0</v>
      </c>
      <c r="S12">
        <v>0</v>
      </c>
    </row>
    <row r="13" spans="1:19" x14ac:dyDescent="0.25">
      <c r="A13">
        <v>18001</v>
      </c>
      <c r="B13" t="s">
        <v>29</v>
      </c>
      <c r="C13">
        <v>11</v>
      </c>
      <c r="D13">
        <v>10.371949088107799</v>
      </c>
      <c r="E13">
        <v>6.1562536522962503</v>
      </c>
      <c r="F13">
        <f t="shared" si="1"/>
        <v>1</v>
      </c>
      <c r="G13">
        <v>0</v>
      </c>
      <c r="H13">
        <v>0</v>
      </c>
      <c r="I13">
        <v>1</v>
      </c>
      <c r="J13">
        <v>0</v>
      </c>
      <c r="K13">
        <v>0</v>
      </c>
      <c r="L13">
        <v>0</v>
      </c>
      <c r="M13">
        <f t="shared" si="0"/>
        <v>30</v>
      </c>
      <c r="N13">
        <v>0</v>
      </c>
      <c r="O13">
        <v>0</v>
      </c>
      <c r="P13">
        <v>30</v>
      </c>
      <c r="Q13">
        <v>0</v>
      </c>
      <c r="R13">
        <v>0</v>
      </c>
      <c r="S13">
        <v>0</v>
      </c>
    </row>
    <row r="14" spans="1:19" x14ac:dyDescent="0.25">
      <c r="A14">
        <v>18001</v>
      </c>
      <c r="B14" t="s">
        <v>29</v>
      </c>
      <c r="C14">
        <v>12</v>
      </c>
      <c r="D14">
        <v>9.7697068829918798</v>
      </c>
      <c r="E14">
        <v>6.6915800568437502</v>
      </c>
      <c r="F14">
        <f t="shared" si="1"/>
        <v>1</v>
      </c>
      <c r="G14">
        <v>0</v>
      </c>
      <c r="H14">
        <v>0</v>
      </c>
      <c r="I14">
        <v>1</v>
      </c>
      <c r="J14">
        <v>0</v>
      </c>
      <c r="K14">
        <v>0</v>
      </c>
      <c r="L14">
        <v>0</v>
      </c>
      <c r="M14">
        <f t="shared" si="0"/>
        <v>30</v>
      </c>
      <c r="N14">
        <v>0</v>
      </c>
      <c r="O14">
        <v>0</v>
      </c>
      <c r="P14">
        <v>30</v>
      </c>
      <c r="Q14">
        <v>0</v>
      </c>
      <c r="R14">
        <v>0</v>
      </c>
      <c r="S14">
        <v>0</v>
      </c>
    </row>
    <row r="15" spans="1:19" x14ac:dyDescent="0.25">
      <c r="A15">
        <v>18001</v>
      </c>
      <c r="B15" t="s">
        <v>29</v>
      </c>
      <c r="C15">
        <v>13</v>
      </c>
      <c r="D15">
        <v>8.29755927048625</v>
      </c>
      <c r="E15">
        <v>5.2863482449065602</v>
      </c>
      <c r="F15">
        <f t="shared" si="1"/>
        <v>1</v>
      </c>
      <c r="G15">
        <v>0</v>
      </c>
      <c r="H15">
        <v>0</v>
      </c>
      <c r="I15">
        <v>1</v>
      </c>
      <c r="J15">
        <v>0</v>
      </c>
      <c r="K15">
        <v>0</v>
      </c>
      <c r="L15">
        <v>0</v>
      </c>
      <c r="M15">
        <f t="shared" si="0"/>
        <v>30</v>
      </c>
      <c r="N15">
        <v>0</v>
      </c>
      <c r="O15">
        <v>0</v>
      </c>
      <c r="P15">
        <v>30</v>
      </c>
      <c r="Q15">
        <v>0</v>
      </c>
      <c r="R15">
        <v>0</v>
      </c>
      <c r="S15">
        <v>0</v>
      </c>
    </row>
    <row r="16" spans="1:19" x14ac:dyDescent="0.25">
      <c r="A16">
        <v>18001</v>
      </c>
      <c r="B16" t="s">
        <v>29</v>
      </c>
      <c r="C16">
        <v>14</v>
      </c>
      <c r="D16">
        <v>6.8923274585490599</v>
      </c>
      <c r="E16">
        <v>3.4796216295587499</v>
      </c>
      <c r="F16">
        <f t="shared" si="1"/>
        <v>1</v>
      </c>
      <c r="G16">
        <v>0</v>
      </c>
      <c r="H16">
        <v>0</v>
      </c>
      <c r="I16">
        <v>1</v>
      </c>
      <c r="J16">
        <v>0</v>
      </c>
      <c r="K16">
        <v>0</v>
      </c>
      <c r="L16">
        <v>0</v>
      </c>
      <c r="M16">
        <f t="shared" si="0"/>
        <v>30</v>
      </c>
      <c r="N16">
        <v>0</v>
      </c>
      <c r="O16">
        <v>0</v>
      </c>
      <c r="P16">
        <v>30</v>
      </c>
      <c r="Q16">
        <v>0</v>
      </c>
      <c r="R16">
        <v>0</v>
      </c>
      <c r="S16">
        <v>0</v>
      </c>
    </row>
    <row r="17" spans="1:19" x14ac:dyDescent="0.25">
      <c r="A17">
        <v>18001</v>
      </c>
      <c r="B17" t="s">
        <v>29</v>
      </c>
      <c r="C17">
        <v>15</v>
      </c>
      <c r="D17">
        <v>6.0224220511593698</v>
      </c>
      <c r="E17">
        <v>1.6059792136425</v>
      </c>
      <c r="F17">
        <f t="shared" si="1"/>
        <v>1</v>
      </c>
      <c r="G17">
        <v>0</v>
      </c>
      <c r="H17">
        <v>0</v>
      </c>
      <c r="I17">
        <v>1</v>
      </c>
      <c r="J17">
        <v>0</v>
      </c>
      <c r="K17">
        <v>0</v>
      </c>
      <c r="L17">
        <v>0</v>
      </c>
      <c r="M17">
        <f t="shared" si="0"/>
        <v>30</v>
      </c>
      <c r="N17">
        <v>0</v>
      </c>
      <c r="O17">
        <v>0</v>
      </c>
      <c r="P17">
        <v>30</v>
      </c>
      <c r="Q17">
        <v>0</v>
      </c>
      <c r="R17">
        <v>0</v>
      </c>
      <c r="S17">
        <v>0</v>
      </c>
    </row>
    <row r="18" spans="1:19" x14ac:dyDescent="0.25">
      <c r="A18">
        <v>18001</v>
      </c>
      <c r="B18" t="s">
        <v>29</v>
      </c>
      <c r="C18">
        <v>16</v>
      </c>
      <c r="D18">
        <v>7.1599906608228103</v>
      </c>
      <c r="E18">
        <v>2.6097162221690602</v>
      </c>
      <c r="F18">
        <f t="shared" si="1"/>
        <v>1</v>
      </c>
      <c r="G18">
        <v>0</v>
      </c>
      <c r="H18">
        <v>0</v>
      </c>
      <c r="I18">
        <v>1</v>
      </c>
      <c r="J18">
        <v>0</v>
      </c>
      <c r="K18">
        <v>0</v>
      </c>
      <c r="L18">
        <v>0</v>
      </c>
      <c r="M18">
        <f t="shared" si="0"/>
        <v>30</v>
      </c>
      <c r="N18">
        <v>0</v>
      </c>
      <c r="O18">
        <v>0</v>
      </c>
      <c r="P18">
        <v>30</v>
      </c>
      <c r="Q18">
        <v>0</v>
      </c>
      <c r="R18">
        <v>0</v>
      </c>
      <c r="S18">
        <v>0</v>
      </c>
    </row>
    <row r="19" spans="1:19" x14ac:dyDescent="0.25">
      <c r="A19">
        <v>18001</v>
      </c>
      <c r="B19" t="s">
        <v>29</v>
      </c>
      <c r="C19">
        <v>17</v>
      </c>
      <c r="D19">
        <v>8.7659698744653198</v>
      </c>
      <c r="E19">
        <v>1.94055821648468</v>
      </c>
      <c r="F19">
        <f t="shared" si="1"/>
        <v>1</v>
      </c>
      <c r="G19">
        <v>0</v>
      </c>
      <c r="H19">
        <v>0</v>
      </c>
      <c r="I19">
        <v>1</v>
      </c>
      <c r="J19">
        <v>0</v>
      </c>
      <c r="K19">
        <v>0</v>
      </c>
      <c r="L19">
        <v>0</v>
      </c>
      <c r="M19">
        <f t="shared" si="0"/>
        <v>30</v>
      </c>
      <c r="N19">
        <v>0</v>
      </c>
      <c r="O19">
        <v>0</v>
      </c>
      <c r="P19">
        <v>30</v>
      </c>
      <c r="Q19">
        <v>0</v>
      </c>
      <c r="R19">
        <v>0</v>
      </c>
      <c r="S19">
        <v>0</v>
      </c>
    </row>
    <row r="20" spans="1:19" x14ac:dyDescent="0.25">
      <c r="A20">
        <v>18001</v>
      </c>
      <c r="B20" t="s">
        <v>29</v>
      </c>
      <c r="C20">
        <v>18</v>
      </c>
      <c r="D20">
        <v>10.305033287539301</v>
      </c>
      <c r="E20">
        <v>0</v>
      </c>
      <c r="F20">
        <f t="shared" si="1"/>
        <v>1</v>
      </c>
      <c r="G20">
        <v>0</v>
      </c>
      <c r="H20">
        <v>0</v>
      </c>
      <c r="I20">
        <v>1</v>
      </c>
      <c r="J20">
        <v>0</v>
      </c>
      <c r="K20">
        <v>0</v>
      </c>
      <c r="L20">
        <v>0</v>
      </c>
      <c r="M20">
        <f t="shared" si="0"/>
        <v>30</v>
      </c>
      <c r="N20">
        <v>0</v>
      </c>
      <c r="O20">
        <v>0</v>
      </c>
      <c r="P20">
        <v>30</v>
      </c>
      <c r="Q20">
        <v>0</v>
      </c>
      <c r="R20">
        <v>0</v>
      </c>
      <c r="S20">
        <v>0</v>
      </c>
    </row>
    <row r="21" spans="1:19" x14ac:dyDescent="0.25">
      <c r="A21">
        <v>18001</v>
      </c>
      <c r="B21" t="s">
        <v>29</v>
      </c>
      <c r="C21">
        <v>19</v>
      </c>
      <c r="D21">
        <v>11.7102650994765</v>
      </c>
      <c r="E21">
        <v>0</v>
      </c>
      <c r="F21">
        <f t="shared" si="1"/>
        <v>1</v>
      </c>
      <c r="G21">
        <v>0</v>
      </c>
      <c r="H21">
        <v>0</v>
      </c>
      <c r="I21">
        <v>1</v>
      </c>
      <c r="J21">
        <v>0</v>
      </c>
      <c r="K21">
        <v>0</v>
      </c>
      <c r="L21">
        <v>0</v>
      </c>
      <c r="M21">
        <f t="shared" si="0"/>
        <v>30</v>
      </c>
      <c r="N21">
        <v>0</v>
      </c>
      <c r="O21">
        <v>0</v>
      </c>
      <c r="P21">
        <v>30</v>
      </c>
      <c r="Q21">
        <v>0</v>
      </c>
      <c r="R21">
        <v>0</v>
      </c>
      <c r="S21">
        <v>0</v>
      </c>
    </row>
    <row r="22" spans="1:19" x14ac:dyDescent="0.25">
      <c r="A22">
        <v>18001</v>
      </c>
      <c r="B22" t="s">
        <v>29</v>
      </c>
      <c r="C22">
        <v>20</v>
      </c>
      <c r="D22">
        <v>13.3831601136875</v>
      </c>
      <c r="E22">
        <v>0</v>
      </c>
      <c r="F22">
        <f t="shared" si="1"/>
        <v>1</v>
      </c>
      <c r="G22">
        <v>0</v>
      </c>
      <c r="H22">
        <v>0</v>
      </c>
      <c r="I22">
        <v>1</v>
      </c>
      <c r="J22">
        <v>0</v>
      </c>
      <c r="K22">
        <v>0</v>
      </c>
      <c r="L22">
        <v>0</v>
      </c>
      <c r="M22">
        <f t="shared" si="0"/>
        <v>30</v>
      </c>
      <c r="N22">
        <v>0</v>
      </c>
      <c r="O22">
        <v>0</v>
      </c>
      <c r="P22">
        <v>30</v>
      </c>
      <c r="Q22">
        <v>0</v>
      </c>
      <c r="R22">
        <v>0</v>
      </c>
      <c r="S22">
        <v>0</v>
      </c>
    </row>
    <row r="23" spans="1:19" x14ac:dyDescent="0.25">
      <c r="A23">
        <v>18001</v>
      </c>
      <c r="B23" t="s">
        <v>29</v>
      </c>
      <c r="C23">
        <v>21</v>
      </c>
      <c r="D23">
        <v>15.323718330172101</v>
      </c>
      <c r="E23">
        <v>0</v>
      </c>
      <c r="F23">
        <f t="shared" si="1"/>
        <v>1</v>
      </c>
      <c r="G23">
        <v>0</v>
      </c>
      <c r="H23">
        <v>0</v>
      </c>
      <c r="I23">
        <v>1</v>
      </c>
      <c r="J23">
        <v>0</v>
      </c>
      <c r="K23">
        <v>0</v>
      </c>
      <c r="L23">
        <v>0</v>
      </c>
      <c r="M23">
        <f t="shared" si="0"/>
        <v>30</v>
      </c>
      <c r="N23">
        <v>0</v>
      </c>
      <c r="O23">
        <v>0</v>
      </c>
      <c r="P23">
        <v>30</v>
      </c>
      <c r="Q23">
        <v>0</v>
      </c>
      <c r="R23">
        <v>0</v>
      </c>
      <c r="S23">
        <v>0</v>
      </c>
    </row>
    <row r="24" spans="1:19" x14ac:dyDescent="0.25">
      <c r="A24">
        <v>18001</v>
      </c>
      <c r="B24" t="s">
        <v>29</v>
      </c>
      <c r="C24">
        <v>22</v>
      </c>
      <c r="D24">
        <v>16.126707936993402</v>
      </c>
      <c r="E24">
        <v>0</v>
      </c>
      <c r="F24">
        <f t="shared" si="1"/>
        <v>1</v>
      </c>
      <c r="G24">
        <v>0</v>
      </c>
      <c r="H24">
        <v>0</v>
      </c>
      <c r="I24">
        <v>1</v>
      </c>
      <c r="J24">
        <v>0</v>
      </c>
      <c r="K24">
        <v>0</v>
      </c>
      <c r="L24">
        <v>0</v>
      </c>
      <c r="M24">
        <f t="shared" si="0"/>
        <v>30</v>
      </c>
      <c r="N24">
        <v>0</v>
      </c>
      <c r="O24">
        <v>0</v>
      </c>
      <c r="P24">
        <v>30</v>
      </c>
      <c r="Q24">
        <v>0</v>
      </c>
      <c r="R24">
        <v>0</v>
      </c>
      <c r="S24">
        <v>0</v>
      </c>
    </row>
    <row r="25" spans="1:19" x14ac:dyDescent="0.25">
      <c r="A25">
        <v>18001</v>
      </c>
      <c r="B25" t="s">
        <v>29</v>
      </c>
      <c r="C25">
        <v>23</v>
      </c>
      <c r="D25">
        <v>16.929697543814701</v>
      </c>
      <c r="E25">
        <v>0</v>
      </c>
      <c r="F25">
        <f t="shared" si="1"/>
        <v>1</v>
      </c>
      <c r="G25">
        <v>0</v>
      </c>
      <c r="H25">
        <v>0</v>
      </c>
      <c r="I25">
        <v>1</v>
      </c>
      <c r="J25">
        <v>0</v>
      </c>
      <c r="K25">
        <v>0</v>
      </c>
      <c r="L25">
        <v>0</v>
      </c>
      <c r="M25">
        <f t="shared" si="0"/>
        <v>30</v>
      </c>
      <c r="N25">
        <v>0</v>
      </c>
      <c r="O25">
        <v>0</v>
      </c>
      <c r="P25">
        <v>30</v>
      </c>
      <c r="Q25">
        <v>0</v>
      </c>
      <c r="R25">
        <v>0</v>
      </c>
      <c r="S25">
        <v>0</v>
      </c>
    </row>
    <row r="26" spans="1:19" x14ac:dyDescent="0.25">
      <c r="A26">
        <v>18003</v>
      </c>
      <c r="B26" t="s">
        <v>30</v>
      </c>
      <c r="C26">
        <v>0</v>
      </c>
      <c r="D26">
        <v>393.18128957684098</v>
      </c>
      <c r="E26">
        <v>19.783953161121701</v>
      </c>
      <c r="F26">
        <f t="shared" si="1"/>
        <v>6</v>
      </c>
      <c r="G26">
        <v>1</v>
      </c>
      <c r="H26">
        <v>2</v>
      </c>
      <c r="I26">
        <v>3</v>
      </c>
      <c r="J26">
        <v>0</v>
      </c>
      <c r="K26">
        <v>0</v>
      </c>
      <c r="L26">
        <v>0</v>
      </c>
      <c r="M26">
        <f t="shared" si="0"/>
        <v>343</v>
      </c>
      <c r="N26">
        <v>150</v>
      </c>
      <c r="O26">
        <v>140</v>
      </c>
      <c r="P26">
        <v>53</v>
      </c>
      <c r="Q26">
        <v>0</v>
      </c>
      <c r="R26">
        <v>0</v>
      </c>
      <c r="S26">
        <v>0</v>
      </c>
    </row>
    <row r="27" spans="1:19" x14ac:dyDescent="0.25">
      <c r="A27">
        <v>18003</v>
      </c>
      <c r="B27" t="s">
        <v>30</v>
      </c>
      <c r="C27">
        <v>1</v>
      </c>
      <c r="D27">
        <v>391.753990350788</v>
      </c>
      <c r="E27">
        <v>18.8324203437531</v>
      </c>
      <c r="F27">
        <f t="shared" si="1"/>
        <v>6</v>
      </c>
      <c r="G27">
        <v>1</v>
      </c>
      <c r="H27">
        <v>2</v>
      </c>
      <c r="I27">
        <v>3</v>
      </c>
      <c r="J27">
        <v>0</v>
      </c>
      <c r="K27">
        <v>0</v>
      </c>
      <c r="L27">
        <v>0</v>
      </c>
      <c r="M27">
        <f t="shared" si="0"/>
        <v>343</v>
      </c>
      <c r="N27">
        <v>150</v>
      </c>
      <c r="O27">
        <v>140</v>
      </c>
      <c r="P27">
        <v>53</v>
      </c>
      <c r="Q27">
        <v>0</v>
      </c>
      <c r="R27">
        <v>0</v>
      </c>
      <c r="S27">
        <v>0</v>
      </c>
    </row>
    <row r="28" spans="1:19" x14ac:dyDescent="0.25">
      <c r="A28">
        <v>18003</v>
      </c>
      <c r="B28" t="s">
        <v>30</v>
      </c>
      <c r="C28">
        <v>2</v>
      </c>
      <c r="D28">
        <v>391.47645994572298</v>
      </c>
      <c r="E28">
        <v>19.704658759674299</v>
      </c>
      <c r="F28">
        <f t="shared" si="1"/>
        <v>6</v>
      </c>
      <c r="G28">
        <v>1</v>
      </c>
      <c r="H28">
        <v>2</v>
      </c>
      <c r="I28">
        <v>3</v>
      </c>
      <c r="J28">
        <v>0</v>
      </c>
      <c r="K28">
        <v>0</v>
      </c>
      <c r="L28">
        <v>0</v>
      </c>
      <c r="M28">
        <f t="shared" si="0"/>
        <v>343</v>
      </c>
      <c r="N28">
        <v>150</v>
      </c>
      <c r="O28">
        <v>140</v>
      </c>
      <c r="P28">
        <v>53</v>
      </c>
      <c r="Q28">
        <v>0</v>
      </c>
      <c r="R28">
        <v>0</v>
      </c>
      <c r="S28">
        <v>0</v>
      </c>
    </row>
    <row r="29" spans="1:19" x14ac:dyDescent="0.25">
      <c r="A29">
        <v>18003</v>
      </c>
      <c r="B29" t="s">
        <v>30</v>
      </c>
      <c r="C29">
        <v>3</v>
      </c>
      <c r="D29">
        <v>387.31350386973497</v>
      </c>
      <c r="E29">
        <v>21.131957985727201</v>
      </c>
      <c r="F29">
        <f t="shared" si="1"/>
        <v>6</v>
      </c>
      <c r="G29">
        <v>1</v>
      </c>
      <c r="H29">
        <v>2</v>
      </c>
      <c r="I29">
        <v>3</v>
      </c>
      <c r="J29">
        <v>0</v>
      </c>
      <c r="K29">
        <v>0</v>
      </c>
      <c r="L29">
        <v>0</v>
      </c>
      <c r="M29">
        <f t="shared" si="0"/>
        <v>343</v>
      </c>
      <c r="N29">
        <v>150</v>
      </c>
      <c r="O29">
        <v>140</v>
      </c>
      <c r="P29">
        <v>53</v>
      </c>
      <c r="Q29">
        <v>0</v>
      </c>
      <c r="R29">
        <v>0</v>
      </c>
      <c r="S29">
        <v>0</v>
      </c>
    </row>
    <row r="30" spans="1:19" x14ac:dyDescent="0.25">
      <c r="A30">
        <v>18003</v>
      </c>
      <c r="B30" t="s">
        <v>30</v>
      </c>
      <c r="C30">
        <v>4</v>
      </c>
      <c r="D30">
        <v>368.24320032164002</v>
      </c>
      <c r="E30">
        <v>20.101130766911201</v>
      </c>
      <c r="F30">
        <f t="shared" si="1"/>
        <v>6</v>
      </c>
      <c r="G30">
        <v>1</v>
      </c>
      <c r="H30">
        <v>2</v>
      </c>
      <c r="I30">
        <v>3</v>
      </c>
      <c r="J30">
        <v>0</v>
      </c>
      <c r="K30">
        <v>0</v>
      </c>
      <c r="L30">
        <v>0</v>
      </c>
      <c r="M30">
        <f t="shared" si="0"/>
        <v>343</v>
      </c>
      <c r="N30">
        <v>150</v>
      </c>
      <c r="O30">
        <v>140</v>
      </c>
      <c r="P30">
        <v>53</v>
      </c>
      <c r="Q30">
        <v>0</v>
      </c>
      <c r="R30">
        <v>0</v>
      </c>
      <c r="S30">
        <v>0</v>
      </c>
    </row>
    <row r="31" spans="1:19" x14ac:dyDescent="0.25">
      <c r="A31">
        <v>18003</v>
      </c>
      <c r="B31" t="s">
        <v>30</v>
      </c>
      <c r="C31">
        <v>5</v>
      </c>
      <c r="D31">
        <v>352.78079203940001</v>
      </c>
      <c r="E31">
        <v>22.361021208161599</v>
      </c>
      <c r="F31">
        <f t="shared" si="1"/>
        <v>6</v>
      </c>
      <c r="G31">
        <v>1</v>
      </c>
      <c r="H31">
        <v>2</v>
      </c>
      <c r="I31">
        <v>3</v>
      </c>
      <c r="J31">
        <v>0</v>
      </c>
      <c r="K31">
        <v>0</v>
      </c>
      <c r="L31">
        <v>0</v>
      </c>
      <c r="M31">
        <f t="shared" si="0"/>
        <v>343</v>
      </c>
      <c r="N31">
        <v>150</v>
      </c>
      <c r="O31">
        <v>140</v>
      </c>
      <c r="P31">
        <v>53</v>
      </c>
      <c r="Q31">
        <v>0</v>
      </c>
      <c r="R31">
        <v>0</v>
      </c>
      <c r="S31">
        <v>0</v>
      </c>
    </row>
    <row r="32" spans="1:19" x14ac:dyDescent="0.25">
      <c r="A32">
        <v>18003</v>
      </c>
      <c r="B32" t="s">
        <v>30</v>
      </c>
      <c r="C32">
        <v>6</v>
      </c>
      <c r="D32">
        <v>323.00574429590898</v>
      </c>
      <c r="E32">
        <v>29.378575736254898</v>
      </c>
      <c r="F32">
        <f t="shared" si="1"/>
        <v>6</v>
      </c>
      <c r="G32">
        <v>1</v>
      </c>
      <c r="H32">
        <v>2</v>
      </c>
      <c r="I32">
        <v>3</v>
      </c>
      <c r="J32">
        <v>0</v>
      </c>
      <c r="K32">
        <v>0</v>
      </c>
      <c r="L32">
        <v>0</v>
      </c>
      <c r="M32">
        <f t="shared" si="0"/>
        <v>343</v>
      </c>
      <c r="N32">
        <v>150</v>
      </c>
      <c r="O32">
        <v>140</v>
      </c>
      <c r="P32">
        <v>53</v>
      </c>
      <c r="Q32">
        <v>0</v>
      </c>
      <c r="R32">
        <v>0</v>
      </c>
      <c r="S32">
        <v>0</v>
      </c>
    </row>
    <row r="33" spans="1:19" x14ac:dyDescent="0.25">
      <c r="A33">
        <v>18003</v>
      </c>
      <c r="B33" t="s">
        <v>30</v>
      </c>
      <c r="C33">
        <v>7</v>
      </c>
      <c r="D33">
        <v>276.22204744195301</v>
      </c>
      <c r="E33">
        <v>35.761775052769103</v>
      </c>
      <c r="F33">
        <f t="shared" si="1"/>
        <v>6</v>
      </c>
      <c r="G33">
        <v>1</v>
      </c>
      <c r="H33">
        <v>2</v>
      </c>
      <c r="I33">
        <v>3</v>
      </c>
      <c r="J33">
        <v>0</v>
      </c>
      <c r="K33">
        <v>0</v>
      </c>
      <c r="L33">
        <v>0</v>
      </c>
      <c r="M33">
        <f t="shared" si="0"/>
        <v>343</v>
      </c>
      <c r="N33">
        <v>150</v>
      </c>
      <c r="O33">
        <v>140</v>
      </c>
      <c r="P33">
        <v>53</v>
      </c>
      <c r="Q33">
        <v>0</v>
      </c>
      <c r="R33">
        <v>0</v>
      </c>
      <c r="S33">
        <v>0</v>
      </c>
    </row>
    <row r="34" spans="1:19" x14ac:dyDescent="0.25">
      <c r="A34">
        <v>18003</v>
      </c>
      <c r="B34" t="s">
        <v>30</v>
      </c>
      <c r="C34">
        <v>8</v>
      </c>
      <c r="D34">
        <v>234.39425067846</v>
      </c>
      <c r="E34">
        <v>38.1406070961905</v>
      </c>
      <c r="F34">
        <f t="shared" si="1"/>
        <v>6</v>
      </c>
      <c r="G34">
        <v>1</v>
      </c>
      <c r="H34">
        <v>2</v>
      </c>
      <c r="I34">
        <v>3</v>
      </c>
      <c r="J34">
        <v>0</v>
      </c>
      <c r="K34">
        <v>0</v>
      </c>
      <c r="L34">
        <v>0</v>
      </c>
      <c r="M34">
        <f t="shared" si="0"/>
        <v>343</v>
      </c>
      <c r="N34">
        <v>150</v>
      </c>
      <c r="O34">
        <v>140</v>
      </c>
      <c r="P34">
        <v>53</v>
      </c>
      <c r="Q34">
        <v>0</v>
      </c>
      <c r="R34">
        <v>0</v>
      </c>
      <c r="S34">
        <v>0</v>
      </c>
    </row>
    <row r="35" spans="1:19" x14ac:dyDescent="0.25">
      <c r="A35">
        <v>18003</v>
      </c>
      <c r="B35" t="s">
        <v>30</v>
      </c>
      <c r="C35">
        <v>9</v>
      </c>
      <c r="D35">
        <v>215.32394713036399</v>
      </c>
      <c r="E35">
        <v>39.409317519348598</v>
      </c>
      <c r="F35">
        <f t="shared" si="1"/>
        <v>6</v>
      </c>
      <c r="G35">
        <v>1</v>
      </c>
      <c r="H35">
        <v>2</v>
      </c>
      <c r="I35">
        <v>3</v>
      </c>
      <c r="J35">
        <v>0</v>
      </c>
      <c r="K35">
        <v>0</v>
      </c>
      <c r="L35">
        <v>0</v>
      </c>
      <c r="M35">
        <f t="shared" si="0"/>
        <v>343</v>
      </c>
      <c r="N35">
        <v>150</v>
      </c>
      <c r="O35">
        <v>140</v>
      </c>
      <c r="P35">
        <v>53</v>
      </c>
      <c r="Q35">
        <v>0</v>
      </c>
      <c r="R35">
        <v>0</v>
      </c>
      <c r="S35">
        <v>0</v>
      </c>
    </row>
    <row r="36" spans="1:19" x14ac:dyDescent="0.25">
      <c r="A36">
        <v>18003</v>
      </c>
      <c r="B36" t="s">
        <v>30</v>
      </c>
      <c r="C36">
        <v>10</v>
      </c>
      <c r="D36">
        <v>213.143351090561</v>
      </c>
      <c r="E36">
        <v>37.0304854759272</v>
      </c>
      <c r="F36">
        <f t="shared" si="1"/>
        <v>6</v>
      </c>
      <c r="G36">
        <v>1</v>
      </c>
      <c r="H36">
        <v>2</v>
      </c>
      <c r="I36">
        <v>3</v>
      </c>
      <c r="J36">
        <v>0</v>
      </c>
      <c r="K36">
        <v>0</v>
      </c>
      <c r="L36">
        <v>0</v>
      </c>
      <c r="M36">
        <f t="shared" si="0"/>
        <v>343</v>
      </c>
      <c r="N36">
        <v>150</v>
      </c>
      <c r="O36">
        <v>140</v>
      </c>
      <c r="P36">
        <v>53</v>
      </c>
      <c r="Q36">
        <v>0</v>
      </c>
      <c r="R36">
        <v>0</v>
      </c>
      <c r="S36">
        <v>0</v>
      </c>
    </row>
    <row r="37" spans="1:19" x14ac:dyDescent="0.25">
      <c r="A37">
        <v>18003</v>
      </c>
      <c r="B37" t="s">
        <v>30</v>
      </c>
      <c r="C37">
        <v>11</v>
      </c>
      <c r="D37">
        <v>208.78215901095501</v>
      </c>
      <c r="E37">
        <v>37.0701326766509</v>
      </c>
      <c r="F37">
        <f t="shared" si="1"/>
        <v>6</v>
      </c>
      <c r="G37">
        <v>1</v>
      </c>
      <c r="H37">
        <v>2</v>
      </c>
      <c r="I37">
        <v>3</v>
      </c>
      <c r="J37">
        <v>0</v>
      </c>
      <c r="K37">
        <v>0</v>
      </c>
      <c r="L37">
        <v>0</v>
      </c>
      <c r="M37">
        <f t="shared" si="0"/>
        <v>343</v>
      </c>
      <c r="N37">
        <v>150</v>
      </c>
      <c r="O37">
        <v>140</v>
      </c>
      <c r="P37">
        <v>53</v>
      </c>
      <c r="Q37">
        <v>0</v>
      </c>
      <c r="R37">
        <v>0</v>
      </c>
      <c r="S37">
        <v>0</v>
      </c>
    </row>
    <row r="38" spans="1:19" x14ac:dyDescent="0.25">
      <c r="A38">
        <v>18003</v>
      </c>
      <c r="B38" t="s">
        <v>30</v>
      </c>
      <c r="C38">
        <v>12</v>
      </c>
      <c r="D38">
        <v>216.11689114483801</v>
      </c>
      <c r="E38">
        <v>31.519524575334199</v>
      </c>
      <c r="F38">
        <f t="shared" si="1"/>
        <v>6</v>
      </c>
      <c r="G38">
        <v>1</v>
      </c>
      <c r="H38">
        <v>2</v>
      </c>
      <c r="I38">
        <v>3</v>
      </c>
      <c r="J38">
        <v>0</v>
      </c>
      <c r="K38">
        <v>0</v>
      </c>
      <c r="L38">
        <v>0</v>
      </c>
      <c r="M38">
        <f t="shared" si="0"/>
        <v>343</v>
      </c>
      <c r="N38">
        <v>150</v>
      </c>
      <c r="O38">
        <v>140</v>
      </c>
      <c r="P38">
        <v>53</v>
      </c>
      <c r="Q38">
        <v>0</v>
      </c>
      <c r="R38">
        <v>0</v>
      </c>
      <c r="S38">
        <v>0</v>
      </c>
    </row>
    <row r="39" spans="1:19" x14ac:dyDescent="0.25">
      <c r="A39">
        <v>18003</v>
      </c>
      <c r="B39" t="s">
        <v>30</v>
      </c>
      <c r="C39">
        <v>13</v>
      </c>
      <c r="D39">
        <v>231.38106342345901</v>
      </c>
      <c r="E39">
        <v>27.079038094280801</v>
      </c>
      <c r="F39">
        <f t="shared" si="1"/>
        <v>6</v>
      </c>
      <c r="G39">
        <v>1</v>
      </c>
      <c r="H39">
        <v>2</v>
      </c>
      <c r="I39">
        <v>3</v>
      </c>
      <c r="J39">
        <v>0</v>
      </c>
      <c r="K39">
        <v>0</v>
      </c>
      <c r="L39">
        <v>0</v>
      </c>
      <c r="M39">
        <f t="shared" si="0"/>
        <v>343</v>
      </c>
      <c r="N39">
        <v>150</v>
      </c>
      <c r="O39">
        <v>140</v>
      </c>
      <c r="P39">
        <v>53</v>
      </c>
      <c r="Q39">
        <v>0</v>
      </c>
      <c r="R39">
        <v>0</v>
      </c>
      <c r="S39">
        <v>0</v>
      </c>
    </row>
    <row r="40" spans="1:19" x14ac:dyDescent="0.25">
      <c r="A40">
        <v>18003</v>
      </c>
      <c r="B40" t="s">
        <v>30</v>
      </c>
      <c r="C40">
        <v>14</v>
      </c>
      <c r="D40">
        <v>248.112182128857</v>
      </c>
      <c r="E40">
        <v>19.8632475625691</v>
      </c>
      <c r="F40">
        <f t="shared" si="1"/>
        <v>6</v>
      </c>
      <c r="G40">
        <v>1</v>
      </c>
      <c r="H40">
        <v>2</v>
      </c>
      <c r="I40">
        <v>3</v>
      </c>
      <c r="J40">
        <v>0</v>
      </c>
      <c r="K40">
        <v>0</v>
      </c>
      <c r="L40">
        <v>0</v>
      </c>
      <c r="M40">
        <f t="shared" si="0"/>
        <v>343</v>
      </c>
      <c r="N40">
        <v>150</v>
      </c>
      <c r="O40">
        <v>140</v>
      </c>
      <c r="P40">
        <v>53</v>
      </c>
      <c r="Q40">
        <v>0</v>
      </c>
      <c r="R40">
        <v>0</v>
      </c>
      <c r="S40">
        <v>0</v>
      </c>
    </row>
    <row r="41" spans="1:19" x14ac:dyDescent="0.25">
      <c r="A41">
        <v>18003</v>
      </c>
      <c r="B41" t="s">
        <v>30</v>
      </c>
      <c r="C41">
        <v>15</v>
      </c>
      <c r="D41">
        <v>256.67597748517397</v>
      </c>
      <c r="E41">
        <v>16.413941099608</v>
      </c>
      <c r="F41">
        <f t="shared" si="1"/>
        <v>6</v>
      </c>
      <c r="G41">
        <v>1</v>
      </c>
      <c r="H41">
        <v>2</v>
      </c>
      <c r="I41">
        <v>3</v>
      </c>
      <c r="J41">
        <v>0</v>
      </c>
      <c r="K41">
        <v>0</v>
      </c>
      <c r="L41">
        <v>0</v>
      </c>
      <c r="M41">
        <f t="shared" si="0"/>
        <v>343</v>
      </c>
      <c r="N41">
        <v>150</v>
      </c>
      <c r="O41">
        <v>140</v>
      </c>
      <c r="P41">
        <v>53</v>
      </c>
      <c r="Q41">
        <v>0</v>
      </c>
      <c r="R41">
        <v>0</v>
      </c>
      <c r="S41">
        <v>0</v>
      </c>
    </row>
    <row r="42" spans="1:19" x14ac:dyDescent="0.25">
      <c r="A42">
        <v>18003</v>
      </c>
      <c r="B42" t="s">
        <v>30</v>
      </c>
      <c r="C42">
        <v>16</v>
      </c>
      <c r="D42">
        <v>274.794748215901</v>
      </c>
      <c r="E42">
        <v>10.3875665896069</v>
      </c>
      <c r="F42">
        <f t="shared" si="1"/>
        <v>6</v>
      </c>
      <c r="G42">
        <v>1</v>
      </c>
      <c r="H42">
        <v>2</v>
      </c>
      <c r="I42">
        <v>3</v>
      </c>
      <c r="J42">
        <v>0</v>
      </c>
      <c r="K42">
        <v>0</v>
      </c>
      <c r="L42">
        <v>0</v>
      </c>
      <c r="M42">
        <f t="shared" si="0"/>
        <v>343</v>
      </c>
      <c r="N42">
        <v>150</v>
      </c>
      <c r="O42">
        <v>140</v>
      </c>
      <c r="P42">
        <v>53</v>
      </c>
      <c r="Q42">
        <v>0</v>
      </c>
      <c r="R42">
        <v>0</v>
      </c>
      <c r="S42">
        <v>0</v>
      </c>
    </row>
    <row r="43" spans="1:19" x14ac:dyDescent="0.25">
      <c r="A43">
        <v>18003</v>
      </c>
      <c r="B43" t="s">
        <v>30</v>
      </c>
      <c r="C43">
        <v>17</v>
      </c>
      <c r="D43">
        <v>301.75484470801001</v>
      </c>
      <c r="E43">
        <v>9.2377977686199593</v>
      </c>
      <c r="F43">
        <f t="shared" si="1"/>
        <v>6</v>
      </c>
      <c r="G43">
        <v>1</v>
      </c>
      <c r="H43">
        <v>2</v>
      </c>
      <c r="I43">
        <v>3</v>
      </c>
      <c r="J43">
        <v>0</v>
      </c>
      <c r="K43">
        <v>0</v>
      </c>
      <c r="L43">
        <v>0</v>
      </c>
      <c r="M43">
        <f t="shared" si="0"/>
        <v>343</v>
      </c>
      <c r="N43">
        <v>150</v>
      </c>
      <c r="O43">
        <v>140</v>
      </c>
      <c r="P43">
        <v>53</v>
      </c>
      <c r="Q43">
        <v>0</v>
      </c>
      <c r="R43">
        <v>0</v>
      </c>
      <c r="S43">
        <v>0</v>
      </c>
    </row>
    <row r="44" spans="1:19" x14ac:dyDescent="0.25">
      <c r="A44">
        <v>18003</v>
      </c>
      <c r="B44" t="s">
        <v>30</v>
      </c>
      <c r="C44">
        <v>18</v>
      </c>
      <c r="D44">
        <v>326.81187556538299</v>
      </c>
      <c r="E44">
        <v>8.2862649512513809</v>
      </c>
      <c r="F44">
        <f t="shared" si="1"/>
        <v>6</v>
      </c>
      <c r="G44">
        <v>1</v>
      </c>
      <c r="H44">
        <v>2</v>
      </c>
      <c r="I44">
        <v>3</v>
      </c>
      <c r="J44">
        <v>0</v>
      </c>
      <c r="K44">
        <v>0</v>
      </c>
      <c r="L44">
        <v>0</v>
      </c>
      <c r="M44">
        <f t="shared" si="0"/>
        <v>343</v>
      </c>
      <c r="N44">
        <v>150</v>
      </c>
      <c r="O44">
        <v>140</v>
      </c>
      <c r="P44">
        <v>53</v>
      </c>
      <c r="Q44">
        <v>0</v>
      </c>
      <c r="R44">
        <v>0</v>
      </c>
      <c r="S44">
        <v>0</v>
      </c>
    </row>
    <row r="45" spans="1:19" x14ac:dyDescent="0.25">
      <c r="A45">
        <v>18003</v>
      </c>
      <c r="B45" t="s">
        <v>30</v>
      </c>
      <c r="C45">
        <v>19</v>
      </c>
      <c r="D45">
        <v>351.23455121117598</v>
      </c>
      <c r="E45">
        <v>8.1276761483566098</v>
      </c>
      <c r="F45">
        <f t="shared" si="1"/>
        <v>6</v>
      </c>
      <c r="G45">
        <v>1</v>
      </c>
      <c r="H45">
        <v>2</v>
      </c>
      <c r="I45">
        <v>3</v>
      </c>
      <c r="J45">
        <v>0</v>
      </c>
      <c r="K45">
        <v>0</v>
      </c>
      <c r="L45">
        <v>0</v>
      </c>
      <c r="M45">
        <f t="shared" si="0"/>
        <v>343</v>
      </c>
      <c r="N45">
        <v>150</v>
      </c>
      <c r="O45">
        <v>140</v>
      </c>
      <c r="P45">
        <v>53</v>
      </c>
      <c r="Q45">
        <v>0</v>
      </c>
      <c r="R45">
        <v>0</v>
      </c>
      <c r="S45">
        <v>0</v>
      </c>
    </row>
    <row r="46" spans="1:19" x14ac:dyDescent="0.25">
      <c r="A46">
        <v>18003</v>
      </c>
      <c r="B46" t="s">
        <v>30</v>
      </c>
      <c r="C46">
        <v>20</v>
      </c>
      <c r="D46">
        <v>373.08015880993003</v>
      </c>
      <c r="E46">
        <v>7.7312041411197097</v>
      </c>
      <c r="F46">
        <f t="shared" si="1"/>
        <v>6</v>
      </c>
      <c r="G46">
        <v>1</v>
      </c>
      <c r="H46">
        <v>2</v>
      </c>
      <c r="I46">
        <v>3</v>
      </c>
      <c r="J46">
        <v>0</v>
      </c>
      <c r="K46">
        <v>0</v>
      </c>
      <c r="L46">
        <v>0</v>
      </c>
      <c r="M46">
        <f t="shared" si="0"/>
        <v>343</v>
      </c>
      <c r="N46">
        <v>150</v>
      </c>
      <c r="O46">
        <v>140</v>
      </c>
      <c r="P46">
        <v>53</v>
      </c>
      <c r="Q46">
        <v>0</v>
      </c>
      <c r="R46">
        <v>0</v>
      </c>
      <c r="S46">
        <v>0</v>
      </c>
    </row>
    <row r="47" spans="1:19" x14ac:dyDescent="0.25">
      <c r="A47">
        <v>18003</v>
      </c>
      <c r="B47" t="s">
        <v>30</v>
      </c>
      <c r="C47">
        <v>21</v>
      </c>
      <c r="D47">
        <v>385.01396622776099</v>
      </c>
      <c r="E47">
        <v>9.7135641773042494</v>
      </c>
      <c r="F47">
        <f t="shared" si="1"/>
        <v>6</v>
      </c>
      <c r="G47">
        <v>1</v>
      </c>
      <c r="H47">
        <v>2</v>
      </c>
      <c r="I47">
        <v>3</v>
      </c>
      <c r="J47">
        <v>0</v>
      </c>
      <c r="K47">
        <v>0</v>
      </c>
      <c r="L47">
        <v>0</v>
      </c>
      <c r="M47">
        <f t="shared" si="0"/>
        <v>343</v>
      </c>
      <c r="N47">
        <v>150</v>
      </c>
      <c r="O47">
        <v>140</v>
      </c>
      <c r="P47">
        <v>53</v>
      </c>
      <c r="Q47">
        <v>0</v>
      </c>
      <c r="R47">
        <v>0</v>
      </c>
      <c r="S47">
        <v>0</v>
      </c>
    </row>
    <row r="48" spans="1:19" x14ac:dyDescent="0.25">
      <c r="A48">
        <v>18003</v>
      </c>
      <c r="B48" t="s">
        <v>30</v>
      </c>
      <c r="C48">
        <v>22</v>
      </c>
      <c r="D48">
        <v>391.19892954065699</v>
      </c>
      <c r="E48">
        <v>13.916167454015399</v>
      </c>
      <c r="F48">
        <f t="shared" si="1"/>
        <v>6</v>
      </c>
      <c r="G48">
        <v>1</v>
      </c>
      <c r="H48">
        <v>2</v>
      </c>
      <c r="I48">
        <v>3</v>
      </c>
      <c r="J48">
        <v>0</v>
      </c>
      <c r="K48">
        <v>0</v>
      </c>
      <c r="L48">
        <v>0</v>
      </c>
      <c r="M48">
        <f t="shared" si="0"/>
        <v>343</v>
      </c>
      <c r="N48">
        <v>150</v>
      </c>
      <c r="O48">
        <v>140</v>
      </c>
      <c r="P48">
        <v>53</v>
      </c>
      <c r="Q48">
        <v>0</v>
      </c>
      <c r="R48">
        <v>0</v>
      </c>
      <c r="S48">
        <v>0</v>
      </c>
    </row>
    <row r="49" spans="1:19" x14ac:dyDescent="0.25">
      <c r="A49">
        <v>18003</v>
      </c>
      <c r="B49" t="s">
        <v>30</v>
      </c>
      <c r="C49">
        <v>23</v>
      </c>
      <c r="D49">
        <v>394.45</v>
      </c>
      <c r="E49">
        <v>16.9690019097396</v>
      </c>
      <c r="F49">
        <f t="shared" si="1"/>
        <v>6</v>
      </c>
      <c r="G49">
        <v>1</v>
      </c>
      <c r="H49">
        <v>2</v>
      </c>
      <c r="I49">
        <v>3</v>
      </c>
      <c r="J49">
        <v>0</v>
      </c>
      <c r="K49">
        <v>0</v>
      </c>
      <c r="L49">
        <v>0</v>
      </c>
      <c r="M49">
        <f t="shared" si="0"/>
        <v>343</v>
      </c>
      <c r="N49">
        <v>150</v>
      </c>
      <c r="O49">
        <v>140</v>
      </c>
      <c r="P49">
        <v>53</v>
      </c>
      <c r="Q49">
        <v>0</v>
      </c>
      <c r="R49">
        <v>0</v>
      </c>
      <c r="S49">
        <v>0</v>
      </c>
    </row>
    <row r="50" spans="1:19" x14ac:dyDescent="0.25">
      <c r="A50">
        <v>18005</v>
      </c>
      <c r="B50" t="s">
        <v>31</v>
      </c>
      <c r="C50">
        <v>0</v>
      </c>
      <c r="D50">
        <v>94.306029962546802</v>
      </c>
      <c r="E50">
        <v>21.985674157303301</v>
      </c>
      <c r="F50">
        <f t="shared" si="1"/>
        <v>2</v>
      </c>
      <c r="G50">
        <v>0</v>
      </c>
      <c r="H50">
        <v>0</v>
      </c>
      <c r="I50">
        <v>0</v>
      </c>
      <c r="J50">
        <v>0</v>
      </c>
      <c r="K50">
        <v>0</v>
      </c>
      <c r="L50">
        <v>2</v>
      </c>
      <c r="M50">
        <f t="shared" si="0"/>
        <v>83</v>
      </c>
      <c r="N50">
        <v>0</v>
      </c>
      <c r="O50">
        <v>0</v>
      </c>
      <c r="P50">
        <v>0</v>
      </c>
      <c r="Q50">
        <v>0</v>
      </c>
      <c r="R50">
        <v>0</v>
      </c>
      <c r="S50">
        <v>83</v>
      </c>
    </row>
    <row r="51" spans="1:19" x14ac:dyDescent="0.25">
      <c r="A51">
        <v>18005</v>
      </c>
      <c r="B51" t="s">
        <v>31</v>
      </c>
      <c r="C51">
        <v>1</v>
      </c>
      <c r="D51">
        <v>95.449999999999903</v>
      </c>
      <c r="E51">
        <v>23.3798876404494</v>
      </c>
      <c r="F51">
        <f t="shared" si="1"/>
        <v>2</v>
      </c>
      <c r="G51">
        <v>0</v>
      </c>
      <c r="H51">
        <v>0</v>
      </c>
      <c r="I51">
        <v>0</v>
      </c>
      <c r="J51">
        <v>0</v>
      </c>
      <c r="K51">
        <v>0</v>
      </c>
      <c r="L51">
        <v>2</v>
      </c>
      <c r="M51">
        <f t="shared" si="0"/>
        <v>83</v>
      </c>
      <c r="N51">
        <v>0</v>
      </c>
      <c r="O51">
        <v>0</v>
      </c>
      <c r="P51">
        <v>0</v>
      </c>
      <c r="Q51">
        <v>0</v>
      </c>
      <c r="R51">
        <v>0</v>
      </c>
      <c r="S51">
        <v>83</v>
      </c>
    </row>
    <row r="52" spans="1:19" x14ac:dyDescent="0.25">
      <c r="A52">
        <v>18005</v>
      </c>
      <c r="B52" t="s">
        <v>31</v>
      </c>
      <c r="C52">
        <v>2</v>
      </c>
      <c r="D52">
        <v>94.699269662921296</v>
      </c>
      <c r="E52">
        <v>25.167340823970001</v>
      </c>
      <c r="F52">
        <f t="shared" si="1"/>
        <v>2</v>
      </c>
      <c r="G52">
        <v>0</v>
      </c>
      <c r="H52">
        <v>0</v>
      </c>
      <c r="I52">
        <v>0</v>
      </c>
      <c r="J52">
        <v>0</v>
      </c>
      <c r="K52">
        <v>0</v>
      </c>
      <c r="L52">
        <v>2</v>
      </c>
      <c r="M52">
        <f t="shared" si="0"/>
        <v>83</v>
      </c>
      <c r="N52">
        <v>0</v>
      </c>
      <c r="O52">
        <v>0</v>
      </c>
      <c r="P52">
        <v>0</v>
      </c>
      <c r="Q52">
        <v>0</v>
      </c>
      <c r="R52">
        <v>0</v>
      </c>
      <c r="S52">
        <v>83</v>
      </c>
    </row>
    <row r="53" spans="1:19" x14ac:dyDescent="0.25">
      <c r="A53">
        <v>18005</v>
      </c>
      <c r="B53" t="s">
        <v>31</v>
      </c>
      <c r="C53">
        <v>3</v>
      </c>
      <c r="D53">
        <v>94.020037453183505</v>
      </c>
      <c r="E53">
        <v>26.311310861423198</v>
      </c>
      <c r="F53">
        <f t="shared" si="1"/>
        <v>2</v>
      </c>
      <c r="G53">
        <v>0</v>
      </c>
      <c r="H53">
        <v>0</v>
      </c>
      <c r="I53">
        <v>0</v>
      </c>
      <c r="J53">
        <v>0</v>
      </c>
      <c r="K53">
        <v>0</v>
      </c>
      <c r="L53">
        <v>2</v>
      </c>
      <c r="M53">
        <f t="shared" si="0"/>
        <v>83</v>
      </c>
      <c r="N53">
        <v>0</v>
      </c>
      <c r="O53">
        <v>0</v>
      </c>
      <c r="P53">
        <v>0</v>
      </c>
      <c r="Q53">
        <v>0</v>
      </c>
      <c r="R53">
        <v>0</v>
      </c>
      <c r="S53">
        <v>83</v>
      </c>
    </row>
    <row r="54" spans="1:19" x14ac:dyDescent="0.25">
      <c r="A54">
        <v>18005</v>
      </c>
      <c r="B54" t="s">
        <v>31</v>
      </c>
      <c r="C54">
        <v>4</v>
      </c>
      <c r="D54">
        <v>91.803595505617906</v>
      </c>
      <c r="E54">
        <v>27.455280898876399</v>
      </c>
      <c r="F54">
        <f t="shared" si="1"/>
        <v>2</v>
      </c>
      <c r="G54">
        <v>0</v>
      </c>
      <c r="H54">
        <v>0</v>
      </c>
      <c r="I54">
        <v>0</v>
      </c>
      <c r="J54">
        <v>0</v>
      </c>
      <c r="K54">
        <v>0</v>
      </c>
      <c r="L54">
        <v>2</v>
      </c>
      <c r="M54">
        <f t="shared" si="0"/>
        <v>83</v>
      </c>
      <c r="N54">
        <v>0</v>
      </c>
      <c r="O54">
        <v>0</v>
      </c>
      <c r="P54">
        <v>0</v>
      </c>
      <c r="Q54">
        <v>0</v>
      </c>
      <c r="R54">
        <v>0</v>
      </c>
      <c r="S54">
        <v>83</v>
      </c>
    </row>
    <row r="55" spans="1:19" x14ac:dyDescent="0.25">
      <c r="A55">
        <v>18005</v>
      </c>
      <c r="B55" t="s">
        <v>31</v>
      </c>
      <c r="C55">
        <v>5</v>
      </c>
      <c r="D55">
        <v>90.874119850187199</v>
      </c>
      <c r="E55">
        <v>27.133539325842602</v>
      </c>
      <c r="F55">
        <f t="shared" si="1"/>
        <v>2</v>
      </c>
      <c r="G55">
        <v>0</v>
      </c>
      <c r="H55">
        <v>0</v>
      </c>
      <c r="I55">
        <v>0</v>
      </c>
      <c r="J55">
        <v>0</v>
      </c>
      <c r="K55">
        <v>0</v>
      </c>
      <c r="L55">
        <v>2</v>
      </c>
      <c r="M55">
        <f t="shared" si="0"/>
        <v>83</v>
      </c>
      <c r="N55">
        <v>0</v>
      </c>
      <c r="O55">
        <v>0</v>
      </c>
      <c r="P55">
        <v>0</v>
      </c>
      <c r="Q55">
        <v>0</v>
      </c>
      <c r="R55">
        <v>0</v>
      </c>
      <c r="S55">
        <v>83</v>
      </c>
    </row>
    <row r="56" spans="1:19" x14ac:dyDescent="0.25">
      <c r="A56">
        <v>18005</v>
      </c>
      <c r="B56" t="s">
        <v>31</v>
      </c>
      <c r="C56">
        <v>6</v>
      </c>
      <c r="D56">
        <v>86.119494382022395</v>
      </c>
      <c r="E56">
        <v>24.881348314606701</v>
      </c>
      <c r="F56">
        <f t="shared" si="1"/>
        <v>2</v>
      </c>
      <c r="G56">
        <v>0</v>
      </c>
      <c r="H56">
        <v>0</v>
      </c>
      <c r="I56">
        <v>0</v>
      </c>
      <c r="J56">
        <v>0</v>
      </c>
      <c r="K56">
        <v>0</v>
      </c>
      <c r="L56">
        <v>2</v>
      </c>
      <c r="M56">
        <f t="shared" si="0"/>
        <v>83</v>
      </c>
      <c r="N56">
        <v>0</v>
      </c>
      <c r="O56">
        <v>0</v>
      </c>
      <c r="P56">
        <v>0</v>
      </c>
      <c r="Q56">
        <v>0</v>
      </c>
      <c r="R56">
        <v>0</v>
      </c>
      <c r="S56">
        <v>83</v>
      </c>
    </row>
    <row r="57" spans="1:19" x14ac:dyDescent="0.25">
      <c r="A57">
        <v>18005</v>
      </c>
      <c r="B57" t="s">
        <v>31</v>
      </c>
      <c r="C57">
        <v>7</v>
      </c>
      <c r="D57">
        <v>73.500074906367004</v>
      </c>
      <c r="E57">
        <v>21.985674157303301</v>
      </c>
      <c r="F57">
        <f t="shared" si="1"/>
        <v>2</v>
      </c>
      <c r="G57">
        <v>0</v>
      </c>
      <c r="H57">
        <v>0</v>
      </c>
      <c r="I57">
        <v>0</v>
      </c>
      <c r="J57">
        <v>0</v>
      </c>
      <c r="K57">
        <v>0</v>
      </c>
      <c r="L57">
        <v>2</v>
      </c>
      <c r="M57">
        <f t="shared" si="0"/>
        <v>83</v>
      </c>
      <c r="N57">
        <v>0</v>
      </c>
      <c r="O57">
        <v>0</v>
      </c>
      <c r="P57">
        <v>0</v>
      </c>
      <c r="Q57">
        <v>0</v>
      </c>
      <c r="R57">
        <v>0</v>
      </c>
      <c r="S57">
        <v>83</v>
      </c>
    </row>
    <row r="58" spans="1:19" x14ac:dyDescent="0.25">
      <c r="A58">
        <v>18005</v>
      </c>
      <c r="B58" t="s">
        <v>31</v>
      </c>
      <c r="C58">
        <v>8</v>
      </c>
      <c r="D58">
        <v>57.091254681647897</v>
      </c>
      <c r="E58">
        <v>18.375018726591701</v>
      </c>
      <c r="F58">
        <f t="shared" si="1"/>
        <v>2</v>
      </c>
      <c r="G58">
        <v>0</v>
      </c>
      <c r="H58">
        <v>0</v>
      </c>
      <c r="I58">
        <v>0</v>
      </c>
      <c r="J58">
        <v>0</v>
      </c>
      <c r="K58">
        <v>0</v>
      </c>
      <c r="L58">
        <v>2</v>
      </c>
      <c r="M58">
        <f t="shared" si="0"/>
        <v>83</v>
      </c>
      <c r="N58">
        <v>0</v>
      </c>
      <c r="O58">
        <v>0</v>
      </c>
      <c r="P58">
        <v>0</v>
      </c>
      <c r="Q58">
        <v>0</v>
      </c>
      <c r="R58">
        <v>0</v>
      </c>
      <c r="S58">
        <v>83</v>
      </c>
    </row>
    <row r="59" spans="1:19" x14ac:dyDescent="0.25">
      <c r="A59">
        <v>18005</v>
      </c>
      <c r="B59" t="s">
        <v>31</v>
      </c>
      <c r="C59">
        <v>9</v>
      </c>
      <c r="D59">
        <v>46.080543071161003</v>
      </c>
      <c r="E59">
        <v>13.5846441947565</v>
      </c>
      <c r="F59">
        <f t="shared" si="1"/>
        <v>2</v>
      </c>
      <c r="G59">
        <v>0</v>
      </c>
      <c r="H59">
        <v>0</v>
      </c>
      <c r="I59">
        <v>0</v>
      </c>
      <c r="J59">
        <v>0</v>
      </c>
      <c r="K59">
        <v>0</v>
      </c>
      <c r="L59">
        <v>2</v>
      </c>
      <c r="M59">
        <f t="shared" si="0"/>
        <v>83</v>
      </c>
      <c r="N59">
        <v>0</v>
      </c>
      <c r="O59">
        <v>0</v>
      </c>
      <c r="P59">
        <v>0</v>
      </c>
      <c r="Q59">
        <v>0</v>
      </c>
      <c r="R59">
        <v>0</v>
      </c>
      <c r="S59">
        <v>83</v>
      </c>
    </row>
    <row r="60" spans="1:19" x14ac:dyDescent="0.25">
      <c r="A60">
        <v>18005</v>
      </c>
      <c r="B60" t="s">
        <v>31</v>
      </c>
      <c r="C60">
        <v>10</v>
      </c>
      <c r="D60">
        <v>40.110449438202203</v>
      </c>
      <c r="E60">
        <v>8.4725280898876392</v>
      </c>
      <c r="F60">
        <f t="shared" si="1"/>
        <v>2</v>
      </c>
      <c r="G60">
        <v>0</v>
      </c>
      <c r="H60">
        <v>0</v>
      </c>
      <c r="I60">
        <v>0</v>
      </c>
      <c r="J60">
        <v>0</v>
      </c>
      <c r="K60">
        <v>0</v>
      </c>
      <c r="L60">
        <v>2</v>
      </c>
      <c r="M60">
        <f t="shared" si="0"/>
        <v>83</v>
      </c>
      <c r="N60">
        <v>0</v>
      </c>
      <c r="O60">
        <v>0</v>
      </c>
      <c r="P60">
        <v>0</v>
      </c>
      <c r="Q60">
        <v>0</v>
      </c>
      <c r="R60">
        <v>0</v>
      </c>
      <c r="S60">
        <v>83</v>
      </c>
    </row>
    <row r="61" spans="1:19" x14ac:dyDescent="0.25">
      <c r="A61">
        <v>18005</v>
      </c>
      <c r="B61" t="s">
        <v>31</v>
      </c>
      <c r="C61">
        <v>11</v>
      </c>
      <c r="D61">
        <v>40.753932584269599</v>
      </c>
      <c r="E61">
        <v>5.3266104868913802</v>
      </c>
      <c r="F61">
        <f t="shared" si="1"/>
        <v>2</v>
      </c>
      <c r="G61">
        <v>0</v>
      </c>
      <c r="H61">
        <v>0</v>
      </c>
      <c r="I61">
        <v>0</v>
      </c>
      <c r="J61">
        <v>0</v>
      </c>
      <c r="K61">
        <v>0</v>
      </c>
      <c r="L61">
        <v>2</v>
      </c>
      <c r="M61">
        <f t="shared" si="0"/>
        <v>83</v>
      </c>
      <c r="N61">
        <v>0</v>
      </c>
      <c r="O61">
        <v>0</v>
      </c>
      <c r="P61">
        <v>0</v>
      </c>
      <c r="Q61">
        <v>0</v>
      </c>
      <c r="R61">
        <v>0</v>
      </c>
      <c r="S61">
        <v>83</v>
      </c>
    </row>
    <row r="62" spans="1:19" x14ac:dyDescent="0.25">
      <c r="A62">
        <v>18005</v>
      </c>
      <c r="B62" t="s">
        <v>31</v>
      </c>
      <c r="C62">
        <v>12</v>
      </c>
      <c r="D62">
        <v>45.2583146067415</v>
      </c>
      <c r="E62">
        <v>4.21838951310861</v>
      </c>
      <c r="F62">
        <f t="shared" si="1"/>
        <v>2</v>
      </c>
      <c r="G62">
        <v>0</v>
      </c>
      <c r="H62">
        <v>0</v>
      </c>
      <c r="I62">
        <v>0</v>
      </c>
      <c r="J62">
        <v>0</v>
      </c>
      <c r="K62">
        <v>0</v>
      </c>
      <c r="L62">
        <v>2</v>
      </c>
      <c r="M62">
        <f t="shared" si="0"/>
        <v>83</v>
      </c>
      <c r="N62">
        <v>0</v>
      </c>
      <c r="O62">
        <v>0</v>
      </c>
      <c r="P62">
        <v>0</v>
      </c>
      <c r="Q62">
        <v>0</v>
      </c>
      <c r="R62">
        <v>0</v>
      </c>
      <c r="S62">
        <v>83</v>
      </c>
    </row>
    <row r="63" spans="1:19" x14ac:dyDescent="0.25">
      <c r="A63">
        <v>18005</v>
      </c>
      <c r="B63" t="s">
        <v>31</v>
      </c>
      <c r="C63">
        <v>13</v>
      </c>
      <c r="D63">
        <v>46.688277153557998</v>
      </c>
      <c r="E63">
        <v>2.0019475655430701</v>
      </c>
      <c r="F63">
        <f t="shared" si="1"/>
        <v>2</v>
      </c>
      <c r="G63">
        <v>0</v>
      </c>
      <c r="H63">
        <v>0</v>
      </c>
      <c r="I63">
        <v>0</v>
      </c>
      <c r="J63">
        <v>0</v>
      </c>
      <c r="K63">
        <v>0</v>
      </c>
      <c r="L63">
        <v>2</v>
      </c>
      <c r="M63">
        <f t="shared" si="0"/>
        <v>83</v>
      </c>
      <c r="N63">
        <v>0</v>
      </c>
      <c r="O63">
        <v>0</v>
      </c>
      <c r="P63">
        <v>0</v>
      </c>
      <c r="Q63">
        <v>0</v>
      </c>
      <c r="R63">
        <v>0</v>
      </c>
      <c r="S63">
        <v>83</v>
      </c>
    </row>
    <row r="64" spans="1:19" x14ac:dyDescent="0.25">
      <c r="A64">
        <v>18005</v>
      </c>
      <c r="B64" t="s">
        <v>31</v>
      </c>
      <c r="C64">
        <v>14</v>
      </c>
      <c r="D64">
        <v>47.8679962546816</v>
      </c>
      <c r="E64">
        <v>1.8232022471910101</v>
      </c>
      <c r="F64">
        <f t="shared" si="1"/>
        <v>2</v>
      </c>
      <c r="G64">
        <v>0</v>
      </c>
      <c r="H64">
        <v>0</v>
      </c>
      <c r="I64">
        <v>0</v>
      </c>
      <c r="J64">
        <v>0</v>
      </c>
      <c r="K64">
        <v>0</v>
      </c>
      <c r="L64">
        <v>2</v>
      </c>
      <c r="M64">
        <f t="shared" si="0"/>
        <v>83</v>
      </c>
      <c r="N64">
        <v>0</v>
      </c>
      <c r="O64">
        <v>0</v>
      </c>
      <c r="P64">
        <v>0</v>
      </c>
      <c r="Q64">
        <v>0</v>
      </c>
      <c r="R64">
        <v>0</v>
      </c>
      <c r="S64">
        <v>83</v>
      </c>
    </row>
    <row r="65" spans="1:19" x14ac:dyDescent="0.25">
      <c r="A65">
        <v>18005</v>
      </c>
      <c r="B65" t="s">
        <v>31</v>
      </c>
      <c r="C65">
        <v>15</v>
      </c>
      <c r="D65">
        <v>48.261235955056101</v>
      </c>
      <c r="E65">
        <v>1.7159550561797701</v>
      </c>
      <c r="F65">
        <f t="shared" si="1"/>
        <v>2</v>
      </c>
      <c r="G65">
        <v>0</v>
      </c>
      <c r="H65">
        <v>0</v>
      </c>
      <c r="I65">
        <v>0</v>
      </c>
      <c r="J65">
        <v>0</v>
      </c>
      <c r="K65">
        <v>0</v>
      </c>
      <c r="L65">
        <v>2</v>
      </c>
      <c r="M65">
        <f t="shared" si="0"/>
        <v>83</v>
      </c>
      <c r="N65">
        <v>0</v>
      </c>
      <c r="O65">
        <v>0</v>
      </c>
      <c r="P65">
        <v>0</v>
      </c>
      <c r="Q65">
        <v>0</v>
      </c>
      <c r="R65">
        <v>0</v>
      </c>
      <c r="S65">
        <v>83</v>
      </c>
    </row>
    <row r="66" spans="1:19" x14ac:dyDescent="0.25">
      <c r="A66">
        <v>18005</v>
      </c>
      <c r="B66" t="s">
        <v>31</v>
      </c>
      <c r="C66">
        <v>16</v>
      </c>
      <c r="D66">
        <v>49.869943820224698</v>
      </c>
      <c r="E66">
        <v>2.0019475655430701</v>
      </c>
      <c r="F66">
        <f t="shared" si="1"/>
        <v>2</v>
      </c>
      <c r="G66">
        <v>0</v>
      </c>
      <c r="H66">
        <v>0</v>
      </c>
      <c r="I66">
        <v>0</v>
      </c>
      <c r="J66">
        <v>0</v>
      </c>
      <c r="K66">
        <v>0</v>
      </c>
      <c r="L66">
        <v>2</v>
      </c>
      <c r="M66">
        <f t="shared" ref="M66:M129" si="2">SUM(N66:S66)</f>
        <v>83</v>
      </c>
      <c r="N66">
        <v>0</v>
      </c>
      <c r="O66">
        <v>0</v>
      </c>
      <c r="P66">
        <v>0</v>
      </c>
      <c r="Q66">
        <v>0</v>
      </c>
      <c r="R66">
        <v>0</v>
      </c>
      <c r="S66">
        <v>83</v>
      </c>
    </row>
    <row r="67" spans="1:19" x14ac:dyDescent="0.25">
      <c r="A67">
        <v>18005</v>
      </c>
      <c r="B67" t="s">
        <v>31</v>
      </c>
      <c r="C67">
        <v>17</v>
      </c>
      <c r="D67">
        <v>52.801367041198397</v>
      </c>
      <c r="E67">
        <v>2.0019475655430701</v>
      </c>
      <c r="F67">
        <f t="shared" ref="F67:F130" si="3">SUM(G67:L67)</f>
        <v>2</v>
      </c>
      <c r="G67">
        <v>0</v>
      </c>
      <c r="H67">
        <v>0</v>
      </c>
      <c r="I67">
        <v>0</v>
      </c>
      <c r="J67">
        <v>0</v>
      </c>
      <c r="K67">
        <v>0</v>
      </c>
      <c r="L67">
        <v>2</v>
      </c>
      <c r="M67">
        <f t="shared" si="2"/>
        <v>83</v>
      </c>
      <c r="N67">
        <v>0</v>
      </c>
      <c r="O67">
        <v>0</v>
      </c>
      <c r="P67">
        <v>0</v>
      </c>
      <c r="Q67">
        <v>0</v>
      </c>
      <c r="R67">
        <v>0</v>
      </c>
      <c r="S67">
        <v>83</v>
      </c>
    </row>
    <row r="68" spans="1:19" x14ac:dyDescent="0.25">
      <c r="A68">
        <v>18005</v>
      </c>
      <c r="B68" t="s">
        <v>31</v>
      </c>
      <c r="C68">
        <v>18</v>
      </c>
      <c r="D68">
        <v>61.595636704119798</v>
      </c>
      <c r="E68">
        <v>2.4666853932584201</v>
      </c>
      <c r="F68">
        <f t="shared" si="3"/>
        <v>2</v>
      </c>
      <c r="G68">
        <v>0</v>
      </c>
      <c r="H68">
        <v>0</v>
      </c>
      <c r="I68">
        <v>0</v>
      </c>
      <c r="J68">
        <v>0</v>
      </c>
      <c r="K68">
        <v>0</v>
      </c>
      <c r="L68">
        <v>2</v>
      </c>
      <c r="M68">
        <f t="shared" si="2"/>
        <v>83</v>
      </c>
      <c r="N68">
        <v>0</v>
      </c>
      <c r="O68">
        <v>0</v>
      </c>
      <c r="P68">
        <v>0</v>
      </c>
      <c r="Q68">
        <v>0</v>
      </c>
      <c r="R68">
        <v>0</v>
      </c>
      <c r="S68">
        <v>83</v>
      </c>
    </row>
    <row r="69" spans="1:19" x14ac:dyDescent="0.25">
      <c r="A69">
        <v>18005</v>
      </c>
      <c r="B69" t="s">
        <v>31</v>
      </c>
      <c r="C69">
        <v>19</v>
      </c>
      <c r="D69">
        <v>72.856591760299594</v>
      </c>
      <c r="E69">
        <v>4.1826404494381997</v>
      </c>
      <c r="F69">
        <f t="shared" si="3"/>
        <v>2</v>
      </c>
      <c r="G69">
        <v>0</v>
      </c>
      <c r="H69">
        <v>0</v>
      </c>
      <c r="I69">
        <v>0</v>
      </c>
      <c r="J69">
        <v>0</v>
      </c>
      <c r="K69">
        <v>0</v>
      </c>
      <c r="L69">
        <v>2</v>
      </c>
      <c r="M69">
        <f t="shared" si="2"/>
        <v>83</v>
      </c>
      <c r="N69">
        <v>0</v>
      </c>
      <c r="O69">
        <v>0</v>
      </c>
      <c r="P69">
        <v>0</v>
      </c>
      <c r="Q69">
        <v>0</v>
      </c>
      <c r="R69">
        <v>0</v>
      </c>
      <c r="S69">
        <v>83</v>
      </c>
    </row>
    <row r="70" spans="1:19" x14ac:dyDescent="0.25">
      <c r="A70">
        <v>18005</v>
      </c>
      <c r="B70" t="s">
        <v>31</v>
      </c>
      <c r="C70">
        <v>20</v>
      </c>
      <c r="D70">
        <v>81.293370786516803</v>
      </c>
      <c r="E70">
        <v>7.4000561797752802</v>
      </c>
      <c r="F70">
        <f t="shared" si="3"/>
        <v>2</v>
      </c>
      <c r="G70">
        <v>0</v>
      </c>
      <c r="H70">
        <v>0</v>
      </c>
      <c r="I70">
        <v>0</v>
      </c>
      <c r="J70">
        <v>0</v>
      </c>
      <c r="K70">
        <v>0</v>
      </c>
      <c r="L70">
        <v>2</v>
      </c>
      <c r="M70">
        <f t="shared" si="2"/>
        <v>83</v>
      </c>
      <c r="N70">
        <v>0</v>
      </c>
      <c r="O70">
        <v>0</v>
      </c>
      <c r="P70">
        <v>0</v>
      </c>
      <c r="Q70">
        <v>0</v>
      </c>
      <c r="R70">
        <v>0</v>
      </c>
      <c r="S70">
        <v>83</v>
      </c>
    </row>
    <row r="71" spans="1:19" x14ac:dyDescent="0.25">
      <c r="A71">
        <v>18005</v>
      </c>
      <c r="B71" t="s">
        <v>31</v>
      </c>
      <c r="C71">
        <v>21</v>
      </c>
      <c r="D71">
        <v>86.512734082397003</v>
      </c>
      <c r="E71">
        <v>10.152734082397</v>
      </c>
      <c r="F71">
        <f t="shared" si="3"/>
        <v>2</v>
      </c>
      <c r="G71">
        <v>0</v>
      </c>
      <c r="H71">
        <v>0</v>
      </c>
      <c r="I71">
        <v>0</v>
      </c>
      <c r="J71">
        <v>0</v>
      </c>
      <c r="K71">
        <v>0</v>
      </c>
      <c r="L71">
        <v>2</v>
      </c>
      <c r="M71">
        <f t="shared" si="2"/>
        <v>83</v>
      </c>
      <c r="N71">
        <v>0</v>
      </c>
      <c r="O71">
        <v>0</v>
      </c>
      <c r="P71">
        <v>0</v>
      </c>
      <c r="Q71">
        <v>0</v>
      </c>
      <c r="R71">
        <v>0</v>
      </c>
      <c r="S71">
        <v>83</v>
      </c>
    </row>
    <row r="72" spans="1:19" x14ac:dyDescent="0.25">
      <c r="A72">
        <v>18005</v>
      </c>
      <c r="B72" t="s">
        <v>31</v>
      </c>
      <c r="C72">
        <v>22</v>
      </c>
      <c r="D72">
        <v>90.588127340823903</v>
      </c>
      <c r="E72">
        <v>15.193352059924999</v>
      </c>
      <c r="F72">
        <f t="shared" si="3"/>
        <v>2</v>
      </c>
      <c r="G72">
        <v>0</v>
      </c>
      <c r="H72">
        <v>0</v>
      </c>
      <c r="I72">
        <v>0</v>
      </c>
      <c r="J72">
        <v>0</v>
      </c>
      <c r="K72">
        <v>0</v>
      </c>
      <c r="L72">
        <v>2</v>
      </c>
      <c r="M72">
        <f t="shared" si="2"/>
        <v>83</v>
      </c>
      <c r="N72">
        <v>0</v>
      </c>
      <c r="O72">
        <v>0</v>
      </c>
      <c r="P72">
        <v>0</v>
      </c>
      <c r="Q72">
        <v>0</v>
      </c>
      <c r="R72">
        <v>0</v>
      </c>
      <c r="S72">
        <v>83</v>
      </c>
    </row>
    <row r="73" spans="1:19" x14ac:dyDescent="0.25">
      <c r="A73">
        <v>18005</v>
      </c>
      <c r="B73" t="s">
        <v>31</v>
      </c>
      <c r="C73">
        <v>23</v>
      </c>
      <c r="D73">
        <v>93.734044943820194</v>
      </c>
      <c r="E73">
        <v>19.411741573033702</v>
      </c>
      <c r="F73">
        <f t="shared" si="3"/>
        <v>2</v>
      </c>
      <c r="G73">
        <v>0</v>
      </c>
      <c r="H73">
        <v>0</v>
      </c>
      <c r="I73">
        <v>0</v>
      </c>
      <c r="J73">
        <v>0</v>
      </c>
      <c r="K73">
        <v>0</v>
      </c>
      <c r="L73">
        <v>2</v>
      </c>
      <c r="M73">
        <f t="shared" si="2"/>
        <v>83</v>
      </c>
      <c r="N73">
        <v>0</v>
      </c>
      <c r="O73">
        <v>0</v>
      </c>
      <c r="P73">
        <v>0</v>
      </c>
      <c r="Q73">
        <v>0</v>
      </c>
      <c r="R73">
        <v>0</v>
      </c>
      <c r="S73">
        <v>83</v>
      </c>
    </row>
    <row r="74" spans="1:19" x14ac:dyDescent="0.25">
      <c r="A74">
        <v>18007</v>
      </c>
      <c r="B74" t="s">
        <v>32</v>
      </c>
      <c r="C74">
        <v>0</v>
      </c>
      <c r="D74">
        <v>0</v>
      </c>
      <c r="E74">
        <v>0</v>
      </c>
      <c r="F74">
        <f t="shared" si="3"/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f t="shared" si="2"/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</row>
    <row r="75" spans="1:19" x14ac:dyDescent="0.25">
      <c r="A75">
        <v>18007</v>
      </c>
      <c r="B75" t="s">
        <v>32</v>
      </c>
      <c r="C75">
        <v>1</v>
      </c>
      <c r="D75">
        <v>0</v>
      </c>
      <c r="E75">
        <v>0</v>
      </c>
      <c r="F75">
        <f t="shared" si="3"/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f t="shared" si="2"/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</row>
    <row r="76" spans="1:19" x14ac:dyDescent="0.25">
      <c r="A76">
        <v>18007</v>
      </c>
      <c r="B76" t="s">
        <v>32</v>
      </c>
      <c r="C76">
        <v>2</v>
      </c>
      <c r="D76">
        <v>0</v>
      </c>
      <c r="E76">
        <v>0</v>
      </c>
      <c r="F76">
        <f t="shared" si="3"/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f t="shared" si="2"/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</row>
    <row r="77" spans="1:19" x14ac:dyDescent="0.25">
      <c r="A77">
        <v>18007</v>
      </c>
      <c r="B77" t="s">
        <v>32</v>
      </c>
      <c r="C77">
        <v>3</v>
      </c>
      <c r="D77">
        <v>0</v>
      </c>
      <c r="E77">
        <v>0</v>
      </c>
      <c r="F77">
        <f t="shared" si="3"/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f t="shared" si="2"/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</row>
    <row r="78" spans="1:19" x14ac:dyDescent="0.25">
      <c r="A78">
        <v>18007</v>
      </c>
      <c r="B78" t="s">
        <v>32</v>
      </c>
      <c r="C78">
        <v>4</v>
      </c>
      <c r="D78">
        <v>0</v>
      </c>
      <c r="E78">
        <v>0</v>
      </c>
      <c r="F78">
        <f t="shared" si="3"/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f t="shared" si="2"/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</row>
    <row r="79" spans="1:19" x14ac:dyDescent="0.25">
      <c r="A79">
        <v>18007</v>
      </c>
      <c r="B79" t="s">
        <v>32</v>
      </c>
      <c r="C79">
        <v>5</v>
      </c>
      <c r="D79">
        <v>0</v>
      </c>
      <c r="E79">
        <v>0</v>
      </c>
      <c r="F79">
        <f t="shared" si="3"/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f t="shared" si="2"/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</row>
    <row r="80" spans="1:19" x14ac:dyDescent="0.25">
      <c r="A80">
        <v>18007</v>
      </c>
      <c r="B80" t="s">
        <v>32</v>
      </c>
      <c r="C80">
        <v>6</v>
      </c>
      <c r="D80">
        <v>0</v>
      </c>
      <c r="E80">
        <v>0</v>
      </c>
      <c r="F80">
        <f t="shared" si="3"/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f t="shared" si="2"/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</row>
    <row r="81" spans="1:19" x14ac:dyDescent="0.25">
      <c r="A81">
        <v>18007</v>
      </c>
      <c r="B81" t="s">
        <v>32</v>
      </c>
      <c r="C81">
        <v>7</v>
      </c>
      <c r="D81">
        <v>0</v>
      </c>
      <c r="E81">
        <v>0.53651051594282195</v>
      </c>
      <c r="F81">
        <f t="shared" si="3"/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f t="shared" si="2"/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</row>
    <row r="82" spans="1:19" x14ac:dyDescent="0.25">
      <c r="A82">
        <v>18007</v>
      </c>
      <c r="B82" t="s">
        <v>32</v>
      </c>
      <c r="C82">
        <v>8</v>
      </c>
      <c r="D82">
        <v>0</v>
      </c>
      <c r="E82">
        <v>0.96571892869707998</v>
      </c>
      <c r="F82">
        <f t="shared" si="3"/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f t="shared" si="2"/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</row>
    <row r="83" spans="1:19" x14ac:dyDescent="0.25">
      <c r="A83">
        <v>18007</v>
      </c>
      <c r="B83" t="s">
        <v>32</v>
      </c>
      <c r="C83">
        <v>9</v>
      </c>
      <c r="D83">
        <v>0</v>
      </c>
      <c r="E83">
        <v>1.43069470918085</v>
      </c>
      <c r="F83">
        <f t="shared" si="3"/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f t="shared" si="2"/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</row>
    <row r="84" spans="1:19" x14ac:dyDescent="0.25">
      <c r="A84">
        <v>18007</v>
      </c>
      <c r="B84" t="s">
        <v>32</v>
      </c>
      <c r="C84">
        <v>10</v>
      </c>
      <c r="D84">
        <v>0</v>
      </c>
      <c r="E84">
        <v>2.1102746960417602</v>
      </c>
      <c r="F84">
        <f t="shared" si="3"/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f t="shared" si="2"/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</row>
    <row r="85" spans="1:19" x14ac:dyDescent="0.25">
      <c r="A85">
        <v>18007</v>
      </c>
      <c r="B85" t="s">
        <v>32</v>
      </c>
      <c r="C85">
        <v>11</v>
      </c>
      <c r="D85">
        <v>0</v>
      </c>
      <c r="E85">
        <v>2.0745073283122402</v>
      </c>
      <c r="F85">
        <f t="shared" si="3"/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f t="shared" si="2"/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</row>
    <row r="86" spans="1:19" x14ac:dyDescent="0.25">
      <c r="A86">
        <v>18007</v>
      </c>
      <c r="B86" t="s">
        <v>32</v>
      </c>
      <c r="C86">
        <v>12</v>
      </c>
      <c r="D86">
        <v>0</v>
      </c>
      <c r="E86">
        <v>2.1818094315008101</v>
      </c>
      <c r="F86">
        <f t="shared" si="3"/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f t="shared" si="2"/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</row>
    <row r="87" spans="1:19" x14ac:dyDescent="0.25">
      <c r="A87">
        <v>18007</v>
      </c>
      <c r="B87" t="s">
        <v>32</v>
      </c>
      <c r="C87">
        <v>13</v>
      </c>
      <c r="D87">
        <v>0</v>
      </c>
      <c r="E87">
        <v>1.60953154782846</v>
      </c>
      <c r="F87">
        <f t="shared" si="3"/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f t="shared" si="2"/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</row>
    <row r="88" spans="1:19" x14ac:dyDescent="0.25">
      <c r="A88">
        <v>18007</v>
      </c>
      <c r="B88" t="s">
        <v>32</v>
      </c>
      <c r="C88">
        <v>14</v>
      </c>
      <c r="D88">
        <v>0</v>
      </c>
      <c r="E88">
        <v>1.7168336510170299</v>
      </c>
      <c r="F88">
        <f t="shared" si="3"/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f t="shared" si="2"/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</row>
    <row r="89" spans="1:19" x14ac:dyDescent="0.25">
      <c r="A89">
        <v>18007</v>
      </c>
      <c r="B89" t="s">
        <v>32</v>
      </c>
      <c r="C89">
        <v>15</v>
      </c>
      <c r="D89">
        <v>0</v>
      </c>
      <c r="E89">
        <v>1.43069470918085</v>
      </c>
      <c r="F89">
        <f t="shared" si="3"/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f t="shared" si="2"/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</row>
    <row r="90" spans="1:19" x14ac:dyDescent="0.25">
      <c r="A90">
        <v>18007</v>
      </c>
      <c r="B90" t="s">
        <v>32</v>
      </c>
      <c r="C90">
        <v>16</v>
      </c>
      <c r="D90">
        <v>0</v>
      </c>
      <c r="E90">
        <v>1.0014862964266</v>
      </c>
      <c r="F90">
        <f t="shared" si="3"/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f t="shared" si="2"/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</row>
    <row r="91" spans="1:19" x14ac:dyDescent="0.25">
      <c r="A91">
        <v>18007</v>
      </c>
      <c r="B91" t="s">
        <v>32</v>
      </c>
      <c r="C91">
        <v>17</v>
      </c>
      <c r="D91">
        <v>0</v>
      </c>
      <c r="E91">
        <v>0.25037157410665001</v>
      </c>
      <c r="F91">
        <f t="shared" si="3"/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f t="shared" si="2"/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</row>
    <row r="92" spans="1:19" x14ac:dyDescent="0.25">
      <c r="A92">
        <v>18007</v>
      </c>
      <c r="B92" t="s">
        <v>32</v>
      </c>
      <c r="C92">
        <v>18</v>
      </c>
      <c r="D92">
        <v>0</v>
      </c>
      <c r="E92">
        <v>0</v>
      </c>
      <c r="F92">
        <f t="shared" si="3"/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f t="shared" si="2"/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</row>
    <row r="93" spans="1:19" x14ac:dyDescent="0.25">
      <c r="A93">
        <v>18007</v>
      </c>
      <c r="B93" t="s">
        <v>32</v>
      </c>
      <c r="C93">
        <v>19</v>
      </c>
      <c r="D93">
        <v>0</v>
      </c>
      <c r="E93">
        <v>0</v>
      </c>
      <c r="F93">
        <f t="shared" si="3"/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f t="shared" si="2"/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</row>
    <row r="94" spans="1:19" x14ac:dyDescent="0.25">
      <c r="A94">
        <v>18007</v>
      </c>
      <c r="B94" t="s">
        <v>32</v>
      </c>
      <c r="C94">
        <v>20</v>
      </c>
      <c r="D94">
        <v>0</v>
      </c>
      <c r="E94">
        <v>0</v>
      </c>
      <c r="F94">
        <f t="shared" si="3"/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f t="shared" si="2"/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</row>
    <row r="95" spans="1:19" x14ac:dyDescent="0.25">
      <c r="A95">
        <v>18007</v>
      </c>
      <c r="B95" t="s">
        <v>32</v>
      </c>
      <c r="C95">
        <v>21</v>
      </c>
      <c r="D95">
        <v>0</v>
      </c>
      <c r="E95">
        <v>0</v>
      </c>
      <c r="F95">
        <f t="shared" si="3"/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f t="shared" si="2"/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</row>
    <row r="96" spans="1:19" x14ac:dyDescent="0.25">
      <c r="A96">
        <v>18007</v>
      </c>
      <c r="B96" t="s">
        <v>32</v>
      </c>
      <c r="C96">
        <v>22</v>
      </c>
      <c r="D96">
        <v>0</v>
      </c>
      <c r="E96">
        <v>0</v>
      </c>
      <c r="F96">
        <f t="shared" si="3"/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f t="shared" si="2"/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</row>
    <row r="97" spans="1:19" x14ac:dyDescent="0.25">
      <c r="A97">
        <v>18007</v>
      </c>
      <c r="B97" t="s">
        <v>32</v>
      </c>
      <c r="C97">
        <v>23</v>
      </c>
      <c r="D97">
        <v>0</v>
      </c>
      <c r="E97">
        <v>0</v>
      </c>
      <c r="F97">
        <f t="shared" si="3"/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f t="shared" si="2"/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</row>
    <row r="98" spans="1:19" x14ac:dyDescent="0.25">
      <c r="A98">
        <v>18009</v>
      </c>
      <c r="B98" t="s">
        <v>33</v>
      </c>
      <c r="C98">
        <v>0</v>
      </c>
      <c r="D98">
        <v>0</v>
      </c>
      <c r="E98">
        <v>0</v>
      </c>
      <c r="F98">
        <f t="shared" si="3"/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f t="shared" si="2"/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</row>
    <row r="99" spans="1:19" x14ac:dyDescent="0.25">
      <c r="A99">
        <v>18009</v>
      </c>
      <c r="B99" t="s">
        <v>33</v>
      </c>
      <c r="C99">
        <v>1</v>
      </c>
      <c r="D99">
        <v>0</v>
      </c>
      <c r="E99">
        <v>0</v>
      </c>
      <c r="F99">
        <f t="shared" si="3"/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f t="shared" si="2"/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</row>
    <row r="100" spans="1:19" x14ac:dyDescent="0.25">
      <c r="A100">
        <v>18009</v>
      </c>
      <c r="B100" t="s">
        <v>33</v>
      </c>
      <c r="C100">
        <v>2</v>
      </c>
      <c r="D100">
        <v>0</v>
      </c>
      <c r="E100">
        <v>0</v>
      </c>
      <c r="F100">
        <f t="shared" si="3"/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f t="shared" si="2"/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</row>
    <row r="101" spans="1:19" x14ac:dyDescent="0.25">
      <c r="A101">
        <v>18009</v>
      </c>
      <c r="B101" t="s">
        <v>33</v>
      </c>
      <c r="C101">
        <v>3</v>
      </c>
      <c r="D101">
        <v>0</v>
      </c>
      <c r="E101">
        <v>0</v>
      </c>
      <c r="F101">
        <f t="shared" si="3"/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f t="shared" si="2"/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</row>
    <row r="102" spans="1:19" x14ac:dyDescent="0.25">
      <c r="A102">
        <v>18009</v>
      </c>
      <c r="B102" t="s">
        <v>33</v>
      </c>
      <c r="C102">
        <v>4</v>
      </c>
      <c r="D102">
        <v>0</v>
      </c>
      <c r="E102">
        <v>0</v>
      </c>
      <c r="F102">
        <f t="shared" si="3"/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f t="shared" si="2"/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</row>
    <row r="103" spans="1:19" x14ac:dyDescent="0.25">
      <c r="A103">
        <v>18009</v>
      </c>
      <c r="B103" t="s">
        <v>33</v>
      </c>
      <c r="C103">
        <v>5</v>
      </c>
      <c r="D103">
        <v>0</v>
      </c>
      <c r="E103">
        <v>0</v>
      </c>
      <c r="F103">
        <f t="shared" si="3"/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f t="shared" si="2"/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</row>
    <row r="104" spans="1:19" x14ac:dyDescent="0.25">
      <c r="A104">
        <v>18009</v>
      </c>
      <c r="B104" t="s">
        <v>33</v>
      </c>
      <c r="C104">
        <v>6</v>
      </c>
      <c r="D104">
        <v>0</v>
      </c>
      <c r="E104">
        <v>0</v>
      </c>
      <c r="F104">
        <f t="shared" si="3"/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f t="shared" si="2"/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</row>
    <row r="105" spans="1:19" x14ac:dyDescent="0.25">
      <c r="A105">
        <v>18009</v>
      </c>
      <c r="B105" t="s">
        <v>33</v>
      </c>
      <c r="C105">
        <v>7</v>
      </c>
      <c r="D105">
        <v>0</v>
      </c>
      <c r="E105">
        <v>0</v>
      </c>
      <c r="F105">
        <f t="shared" si="3"/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f t="shared" si="2"/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</row>
    <row r="106" spans="1:19" x14ac:dyDescent="0.25">
      <c r="A106">
        <v>18009</v>
      </c>
      <c r="B106" t="s">
        <v>33</v>
      </c>
      <c r="C106">
        <v>8</v>
      </c>
      <c r="D106">
        <v>0</v>
      </c>
      <c r="E106">
        <v>0</v>
      </c>
      <c r="F106">
        <f t="shared" si="3"/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f t="shared" si="2"/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</row>
    <row r="107" spans="1:19" x14ac:dyDescent="0.25">
      <c r="A107">
        <v>18009</v>
      </c>
      <c r="B107" t="s">
        <v>33</v>
      </c>
      <c r="C107">
        <v>9</v>
      </c>
      <c r="D107">
        <v>0</v>
      </c>
      <c r="E107">
        <v>0</v>
      </c>
      <c r="F107">
        <f t="shared" si="3"/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f t="shared" si="2"/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</row>
    <row r="108" spans="1:19" x14ac:dyDescent="0.25">
      <c r="A108">
        <v>18009</v>
      </c>
      <c r="B108" t="s">
        <v>33</v>
      </c>
      <c r="C108">
        <v>10</v>
      </c>
      <c r="D108">
        <v>0</v>
      </c>
      <c r="E108">
        <v>0</v>
      </c>
      <c r="F108">
        <f t="shared" si="3"/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f t="shared" si="2"/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</row>
    <row r="109" spans="1:19" x14ac:dyDescent="0.25">
      <c r="A109">
        <v>18009</v>
      </c>
      <c r="B109" t="s">
        <v>33</v>
      </c>
      <c r="C109">
        <v>11</v>
      </c>
      <c r="D109">
        <v>0</v>
      </c>
      <c r="E109">
        <v>0</v>
      </c>
      <c r="F109">
        <f t="shared" si="3"/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f t="shared" si="2"/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</row>
    <row r="110" spans="1:19" x14ac:dyDescent="0.25">
      <c r="A110">
        <v>18009</v>
      </c>
      <c r="B110" t="s">
        <v>33</v>
      </c>
      <c r="C110">
        <v>12</v>
      </c>
      <c r="D110">
        <v>0</v>
      </c>
      <c r="E110">
        <v>0</v>
      </c>
      <c r="F110">
        <f t="shared" si="3"/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f t="shared" si="2"/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</row>
    <row r="111" spans="1:19" x14ac:dyDescent="0.25">
      <c r="A111">
        <v>18009</v>
      </c>
      <c r="B111" t="s">
        <v>33</v>
      </c>
      <c r="C111">
        <v>13</v>
      </c>
      <c r="D111">
        <v>0</v>
      </c>
      <c r="E111">
        <v>0</v>
      </c>
      <c r="F111">
        <f t="shared" si="3"/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f t="shared" si="2"/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</row>
    <row r="112" spans="1:19" x14ac:dyDescent="0.25">
      <c r="A112">
        <v>18009</v>
      </c>
      <c r="B112" t="s">
        <v>33</v>
      </c>
      <c r="C112">
        <v>14</v>
      </c>
      <c r="D112">
        <v>0</v>
      </c>
      <c r="E112">
        <v>0</v>
      </c>
      <c r="F112">
        <f t="shared" si="3"/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f t="shared" si="2"/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</row>
    <row r="113" spans="1:19" x14ac:dyDescent="0.25">
      <c r="A113">
        <v>18009</v>
      </c>
      <c r="B113" t="s">
        <v>33</v>
      </c>
      <c r="C113">
        <v>15</v>
      </c>
      <c r="D113">
        <v>0</v>
      </c>
      <c r="E113">
        <v>0</v>
      </c>
      <c r="F113">
        <f t="shared" si="3"/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f t="shared" si="2"/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</row>
    <row r="114" spans="1:19" x14ac:dyDescent="0.25">
      <c r="A114">
        <v>18009</v>
      </c>
      <c r="B114" t="s">
        <v>33</v>
      </c>
      <c r="C114">
        <v>16</v>
      </c>
      <c r="D114">
        <v>0</v>
      </c>
      <c r="E114">
        <v>0</v>
      </c>
      <c r="F114">
        <f t="shared" si="3"/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f t="shared" si="2"/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</row>
    <row r="115" spans="1:19" x14ac:dyDescent="0.25">
      <c r="A115">
        <v>18009</v>
      </c>
      <c r="B115" t="s">
        <v>33</v>
      </c>
      <c r="C115">
        <v>17</v>
      </c>
      <c r="D115">
        <v>0</v>
      </c>
      <c r="E115">
        <v>0</v>
      </c>
      <c r="F115">
        <f t="shared" si="3"/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f t="shared" si="2"/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</row>
    <row r="116" spans="1:19" x14ac:dyDescent="0.25">
      <c r="A116">
        <v>18009</v>
      </c>
      <c r="B116" t="s">
        <v>33</v>
      </c>
      <c r="C116">
        <v>18</v>
      </c>
      <c r="D116">
        <v>0</v>
      </c>
      <c r="E116">
        <v>0</v>
      </c>
      <c r="F116">
        <f t="shared" si="3"/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f t="shared" si="2"/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</row>
    <row r="117" spans="1:19" x14ac:dyDescent="0.25">
      <c r="A117">
        <v>18009</v>
      </c>
      <c r="B117" t="s">
        <v>33</v>
      </c>
      <c r="C117">
        <v>19</v>
      </c>
      <c r="D117">
        <v>0</v>
      </c>
      <c r="E117">
        <v>0</v>
      </c>
      <c r="F117">
        <f t="shared" si="3"/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f t="shared" si="2"/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</row>
    <row r="118" spans="1:19" x14ac:dyDescent="0.25">
      <c r="A118">
        <v>18009</v>
      </c>
      <c r="B118" t="s">
        <v>33</v>
      </c>
      <c r="C118">
        <v>20</v>
      </c>
      <c r="D118">
        <v>0</v>
      </c>
      <c r="E118">
        <v>0</v>
      </c>
      <c r="F118">
        <f t="shared" si="3"/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f t="shared" si="2"/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</row>
    <row r="119" spans="1:19" x14ac:dyDescent="0.25">
      <c r="A119">
        <v>18009</v>
      </c>
      <c r="B119" t="s">
        <v>33</v>
      </c>
      <c r="C119">
        <v>21</v>
      </c>
      <c r="D119">
        <v>0</v>
      </c>
      <c r="E119">
        <v>0</v>
      </c>
      <c r="F119">
        <f t="shared" si="3"/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f t="shared" si="2"/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</row>
    <row r="120" spans="1:19" x14ac:dyDescent="0.25">
      <c r="A120">
        <v>18009</v>
      </c>
      <c r="B120" t="s">
        <v>33</v>
      </c>
      <c r="C120">
        <v>22</v>
      </c>
      <c r="D120">
        <v>0</v>
      </c>
      <c r="E120">
        <v>0</v>
      </c>
      <c r="F120">
        <f t="shared" si="3"/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f t="shared" si="2"/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</row>
    <row r="121" spans="1:19" x14ac:dyDescent="0.25">
      <c r="A121">
        <v>18009</v>
      </c>
      <c r="B121" t="s">
        <v>33</v>
      </c>
      <c r="C121">
        <v>23</v>
      </c>
      <c r="D121">
        <v>0</v>
      </c>
      <c r="E121">
        <v>0</v>
      </c>
      <c r="F121">
        <f t="shared" si="3"/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f t="shared" si="2"/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</row>
    <row r="122" spans="1:19" x14ac:dyDescent="0.25">
      <c r="A122">
        <v>18011</v>
      </c>
      <c r="B122" t="s">
        <v>34</v>
      </c>
      <c r="C122">
        <v>0</v>
      </c>
      <c r="D122">
        <v>466.29350978459797</v>
      </c>
      <c r="E122">
        <v>19.3545825707447</v>
      </c>
      <c r="F122">
        <f t="shared" si="3"/>
        <v>5</v>
      </c>
      <c r="G122">
        <v>2</v>
      </c>
      <c r="H122">
        <v>2</v>
      </c>
      <c r="I122">
        <v>1</v>
      </c>
      <c r="J122">
        <v>0</v>
      </c>
      <c r="K122">
        <v>0</v>
      </c>
      <c r="L122">
        <v>0</v>
      </c>
      <c r="M122">
        <f t="shared" si="2"/>
        <v>408</v>
      </c>
      <c r="N122">
        <v>260</v>
      </c>
      <c r="O122">
        <v>140</v>
      </c>
      <c r="P122">
        <v>8</v>
      </c>
      <c r="Q122">
        <v>0</v>
      </c>
      <c r="R122">
        <v>0</v>
      </c>
      <c r="S122">
        <v>0</v>
      </c>
    </row>
    <row r="123" spans="1:19" x14ac:dyDescent="0.25">
      <c r="A123">
        <v>18011</v>
      </c>
      <c r="B123" t="s">
        <v>34</v>
      </c>
      <c r="C123">
        <v>1</v>
      </c>
      <c r="D123">
        <v>469.2</v>
      </c>
      <c r="E123">
        <v>21.864733211319098</v>
      </c>
      <c r="F123">
        <f t="shared" si="3"/>
        <v>5</v>
      </c>
      <c r="G123">
        <v>2</v>
      </c>
      <c r="H123">
        <v>2</v>
      </c>
      <c r="I123">
        <v>1</v>
      </c>
      <c r="J123">
        <v>0</v>
      </c>
      <c r="K123">
        <v>0</v>
      </c>
      <c r="L123">
        <v>0</v>
      </c>
      <c r="M123">
        <f t="shared" si="2"/>
        <v>408</v>
      </c>
      <c r="N123">
        <v>260</v>
      </c>
      <c r="O123">
        <v>140</v>
      </c>
      <c r="P123">
        <v>8</v>
      </c>
      <c r="Q123">
        <v>0</v>
      </c>
      <c r="R123">
        <v>0</v>
      </c>
      <c r="S123">
        <v>0</v>
      </c>
    </row>
    <row r="124" spans="1:19" x14ac:dyDescent="0.25">
      <c r="A124">
        <v>18011</v>
      </c>
      <c r="B124" t="s">
        <v>34</v>
      </c>
      <c r="C124">
        <v>2</v>
      </c>
      <c r="D124">
        <v>467.05316063635001</v>
      </c>
      <c r="E124">
        <v>24.5730536393073</v>
      </c>
      <c r="F124">
        <f t="shared" si="3"/>
        <v>5</v>
      </c>
      <c r="G124">
        <v>2</v>
      </c>
      <c r="H124">
        <v>2</v>
      </c>
      <c r="I124">
        <v>1</v>
      </c>
      <c r="J124">
        <v>0</v>
      </c>
      <c r="K124">
        <v>0</v>
      </c>
      <c r="L124">
        <v>0</v>
      </c>
      <c r="M124">
        <f t="shared" si="2"/>
        <v>408</v>
      </c>
      <c r="N124">
        <v>260</v>
      </c>
      <c r="O124">
        <v>140</v>
      </c>
      <c r="P124">
        <v>8</v>
      </c>
      <c r="Q124">
        <v>0</v>
      </c>
      <c r="R124">
        <v>0</v>
      </c>
      <c r="S124">
        <v>0</v>
      </c>
    </row>
    <row r="125" spans="1:19" x14ac:dyDescent="0.25">
      <c r="A125">
        <v>18011</v>
      </c>
      <c r="B125" t="s">
        <v>34</v>
      </c>
      <c r="C125">
        <v>3</v>
      </c>
      <c r="D125">
        <v>458.82911445867899</v>
      </c>
      <c r="E125">
        <v>27.0501759819794</v>
      </c>
      <c r="F125">
        <f t="shared" si="3"/>
        <v>5</v>
      </c>
      <c r="G125">
        <v>2</v>
      </c>
      <c r="H125">
        <v>2</v>
      </c>
      <c r="I125">
        <v>1</v>
      </c>
      <c r="J125">
        <v>0</v>
      </c>
      <c r="K125">
        <v>0</v>
      </c>
      <c r="L125">
        <v>0</v>
      </c>
      <c r="M125">
        <f t="shared" si="2"/>
        <v>408</v>
      </c>
      <c r="N125">
        <v>260</v>
      </c>
      <c r="O125">
        <v>140</v>
      </c>
      <c r="P125">
        <v>8</v>
      </c>
      <c r="Q125">
        <v>0</v>
      </c>
      <c r="R125">
        <v>0</v>
      </c>
      <c r="S125">
        <v>0</v>
      </c>
    </row>
    <row r="126" spans="1:19" x14ac:dyDescent="0.25">
      <c r="A126">
        <v>18011</v>
      </c>
      <c r="B126" t="s">
        <v>34</v>
      </c>
      <c r="C126">
        <v>4</v>
      </c>
      <c r="D126">
        <v>439.30939039842298</v>
      </c>
      <c r="E126">
        <v>28.569477685485001</v>
      </c>
      <c r="F126">
        <f t="shared" si="3"/>
        <v>5</v>
      </c>
      <c r="G126">
        <v>2</v>
      </c>
      <c r="H126">
        <v>2</v>
      </c>
      <c r="I126">
        <v>1</v>
      </c>
      <c r="J126">
        <v>0</v>
      </c>
      <c r="K126">
        <v>0</v>
      </c>
      <c r="L126">
        <v>0</v>
      </c>
      <c r="M126">
        <f t="shared" si="2"/>
        <v>408</v>
      </c>
      <c r="N126">
        <v>260</v>
      </c>
      <c r="O126">
        <v>140</v>
      </c>
      <c r="P126">
        <v>8</v>
      </c>
      <c r="Q126">
        <v>0</v>
      </c>
      <c r="R126">
        <v>0</v>
      </c>
      <c r="S126">
        <v>0</v>
      </c>
    </row>
    <row r="127" spans="1:19" x14ac:dyDescent="0.25">
      <c r="A127">
        <v>18011</v>
      </c>
      <c r="B127" t="s">
        <v>34</v>
      </c>
      <c r="C127">
        <v>5</v>
      </c>
      <c r="D127">
        <v>419.16212867802301</v>
      </c>
      <c r="E127">
        <v>27.2483457693932</v>
      </c>
      <c r="F127">
        <f t="shared" si="3"/>
        <v>5</v>
      </c>
      <c r="G127">
        <v>2</v>
      </c>
      <c r="H127">
        <v>2</v>
      </c>
      <c r="I127">
        <v>1</v>
      </c>
      <c r="J127">
        <v>0</v>
      </c>
      <c r="K127">
        <v>0</v>
      </c>
      <c r="L127">
        <v>0</v>
      </c>
      <c r="M127">
        <f t="shared" si="2"/>
        <v>408</v>
      </c>
      <c r="N127">
        <v>260</v>
      </c>
      <c r="O127">
        <v>140</v>
      </c>
      <c r="P127">
        <v>8</v>
      </c>
      <c r="Q127">
        <v>0</v>
      </c>
      <c r="R127">
        <v>0</v>
      </c>
      <c r="S127">
        <v>0</v>
      </c>
    </row>
    <row r="128" spans="1:19" x14ac:dyDescent="0.25">
      <c r="A128">
        <v>18011</v>
      </c>
      <c r="B128" t="s">
        <v>34</v>
      </c>
      <c r="C128">
        <v>6</v>
      </c>
      <c r="D128">
        <v>379.99056736590097</v>
      </c>
      <c r="E128">
        <v>24.275798958186598</v>
      </c>
      <c r="F128">
        <f t="shared" si="3"/>
        <v>5</v>
      </c>
      <c r="G128">
        <v>2</v>
      </c>
      <c r="H128">
        <v>2</v>
      </c>
      <c r="I128">
        <v>1</v>
      </c>
      <c r="J128">
        <v>0</v>
      </c>
      <c r="K128">
        <v>0</v>
      </c>
      <c r="L128">
        <v>0</v>
      </c>
      <c r="M128">
        <f t="shared" si="2"/>
        <v>408</v>
      </c>
      <c r="N128">
        <v>260</v>
      </c>
      <c r="O128">
        <v>140</v>
      </c>
      <c r="P128">
        <v>8</v>
      </c>
      <c r="Q128">
        <v>0</v>
      </c>
      <c r="R128">
        <v>0</v>
      </c>
      <c r="S128">
        <v>0</v>
      </c>
    </row>
    <row r="129" spans="1:19" x14ac:dyDescent="0.25">
      <c r="A129">
        <v>18011</v>
      </c>
      <c r="B129" t="s">
        <v>34</v>
      </c>
      <c r="C129">
        <v>7</v>
      </c>
      <c r="D129">
        <v>336.55835562438398</v>
      </c>
      <c r="E129">
        <v>19.982120230888299</v>
      </c>
      <c r="F129">
        <f t="shared" si="3"/>
        <v>5</v>
      </c>
      <c r="G129">
        <v>2</v>
      </c>
      <c r="H129">
        <v>2</v>
      </c>
      <c r="I129">
        <v>1</v>
      </c>
      <c r="J129">
        <v>0</v>
      </c>
      <c r="K129">
        <v>0</v>
      </c>
      <c r="L129">
        <v>0</v>
      </c>
      <c r="M129">
        <f t="shared" si="2"/>
        <v>408</v>
      </c>
      <c r="N129">
        <v>260</v>
      </c>
      <c r="O129">
        <v>140</v>
      </c>
      <c r="P129">
        <v>8</v>
      </c>
      <c r="Q129">
        <v>0</v>
      </c>
      <c r="R129">
        <v>0</v>
      </c>
      <c r="S129">
        <v>0</v>
      </c>
    </row>
    <row r="130" spans="1:19" x14ac:dyDescent="0.25">
      <c r="A130">
        <v>18011</v>
      </c>
      <c r="B130" t="s">
        <v>34</v>
      </c>
      <c r="C130">
        <v>8</v>
      </c>
      <c r="D130">
        <v>291.21050260453302</v>
      </c>
      <c r="E130">
        <v>16.6792904406588</v>
      </c>
      <c r="F130">
        <f t="shared" si="3"/>
        <v>5</v>
      </c>
      <c r="G130">
        <v>2</v>
      </c>
      <c r="H130">
        <v>2</v>
      </c>
      <c r="I130">
        <v>1</v>
      </c>
      <c r="J130">
        <v>0</v>
      </c>
      <c r="K130">
        <v>0</v>
      </c>
      <c r="L130">
        <v>0</v>
      </c>
      <c r="M130">
        <f t="shared" ref="M130:M193" si="4">SUM(N130:S130)</f>
        <v>408</v>
      </c>
      <c r="N130">
        <v>260</v>
      </c>
      <c r="O130">
        <v>140</v>
      </c>
      <c r="P130">
        <v>8</v>
      </c>
      <c r="Q130">
        <v>0</v>
      </c>
      <c r="R130">
        <v>0</v>
      </c>
      <c r="S130">
        <v>0</v>
      </c>
    </row>
    <row r="131" spans="1:19" x14ac:dyDescent="0.25">
      <c r="A131">
        <v>18011</v>
      </c>
      <c r="B131" t="s">
        <v>34</v>
      </c>
      <c r="C131">
        <v>9</v>
      </c>
      <c r="D131">
        <v>255.672054061664</v>
      </c>
      <c r="E131">
        <v>13.4425172462339</v>
      </c>
      <c r="F131">
        <f t="shared" ref="F131:F194" si="5">SUM(G131:L131)</f>
        <v>5</v>
      </c>
      <c r="G131">
        <v>2</v>
      </c>
      <c r="H131">
        <v>2</v>
      </c>
      <c r="I131">
        <v>1</v>
      </c>
      <c r="J131">
        <v>0</v>
      </c>
      <c r="K131">
        <v>0</v>
      </c>
      <c r="L131">
        <v>0</v>
      </c>
      <c r="M131">
        <f t="shared" si="4"/>
        <v>408</v>
      </c>
      <c r="N131">
        <v>260</v>
      </c>
      <c r="O131">
        <v>140</v>
      </c>
      <c r="P131">
        <v>8</v>
      </c>
      <c r="Q131">
        <v>0</v>
      </c>
      <c r="R131">
        <v>0</v>
      </c>
      <c r="S131">
        <v>0</v>
      </c>
    </row>
    <row r="132" spans="1:19" x14ac:dyDescent="0.25">
      <c r="A132">
        <v>18011</v>
      </c>
      <c r="B132" t="s">
        <v>34</v>
      </c>
      <c r="C132">
        <v>10</v>
      </c>
      <c r="D132">
        <v>236.28444319301701</v>
      </c>
      <c r="E132">
        <v>11.328706180487099</v>
      </c>
      <c r="F132">
        <f t="shared" si="5"/>
        <v>5</v>
      </c>
      <c r="G132">
        <v>2</v>
      </c>
      <c r="H132">
        <v>2</v>
      </c>
      <c r="I132">
        <v>1</v>
      </c>
      <c r="J132">
        <v>0</v>
      </c>
      <c r="K132">
        <v>0</v>
      </c>
      <c r="L132">
        <v>0</v>
      </c>
      <c r="M132">
        <f t="shared" si="4"/>
        <v>408</v>
      </c>
      <c r="N132">
        <v>260</v>
      </c>
      <c r="O132">
        <v>140</v>
      </c>
      <c r="P132">
        <v>8</v>
      </c>
      <c r="Q132">
        <v>0</v>
      </c>
      <c r="R132">
        <v>0</v>
      </c>
      <c r="S132">
        <v>0</v>
      </c>
    </row>
    <row r="133" spans="1:19" x14ac:dyDescent="0.25">
      <c r="A133">
        <v>18011</v>
      </c>
      <c r="B133" t="s">
        <v>34</v>
      </c>
      <c r="C133">
        <v>11</v>
      </c>
      <c r="D133">
        <v>230.53751935801699</v>
      </c>
      <c r="E133">
        <v>8.5873574545966491</v>
      </c>
      <c r="F133">
        <f t="shared" si="5"/>
        <v>5</v>
      </c>
      <c r="G133">
        <v>2</v>
      </c>
      <c r="H133">
        <v>2</v>
      </c>
      <c r="I133">
        <v>1</v>
      </c>
      <c r="J133">
        <v>0</v>
      </c>
      <c r="K133">
        <v>0</v>
      </c>
      <c r="L133">
        <v>0</v>
      </c>
      <c r="M133">
        <f t="shared" si="4"/>
        <v>408</v>
      </c>
      <c r="N133">
        <v>260</v>
      </c>
      <c r="O133">
        <v>140</v>
      </c>
      <c r="P133">
        <v>8</v>
      </c>
      <c r="Q133">
        <v>0</v>
      </c>
      <c r="R133">
        <v>0</v>
      </c>
      <c r="S133">
        <v>0</v>
      </c>
    </row>
    <row r="134" spans="1:19" x14ac:dyDescent="0.25">
      <c r="A134">
        <v>18011</v>
      </c>
      <c r="B134" t="s">
        <v>34</v>
      </c>
      <c r="C134">
        <v>12</v>
      </c>
      <c r="D134">
        <v>232.717387019569</v>
      </c>
      <c r="E134">
        <v>8.32313107137829</v>
      </c>
      <c r="F134">
        <f t="shared" si="5"/>
        <v>5</v>
      </c>
      <c r="G134">
        <v>2</v>
      </c>
      <c r="H134">
        <v>2</v>
      </c>
      <c r="I134">
        <v>1</v>
      </c>
      <c r="J134">
        <v>0</v>
      </c>
      <c r="K134">
        <v>0</v>
      </c>
      <c r="L134">
        <v>0</v>
      </c>
      <c r="M134">
        <f t="shared" si="4"/>
        <v>408</v>
      </c>
      <c r="N134">
        <v>260</v>
      </c>
      <c r="O134">
        <v>140</v>
      </c>
      <c r="P134">
        <v>8</v>
      </c>
      <c r="Q134">
        <v>0</v>
      </c>
      <c r="R134">
        <v>0</v>
      </c>
      <c r="S134">
        <v>0</v>
      </c>
    </row>
    <row r="135" spans="1:19" x14ac:dyDescent="0.25">
      <c r="A135">
        <v>18011</v>
      </c>
      <c r="B135" t="s">
        <v>34</v>
      </c>
      <c r="C135">
        <v>13</v>
      </c>
      <c r="D135">
        <v>238.332197662959</v>
      </c>
      <c r="E135">
        <v>8.0258763902576291</v>
      </c>
      <c r="F135">
        <f t="shared" si="5"/>
        <v>5</v>
      </c>
      <c r="G135">
        <v>2</v>
      </c>
      <c r="H135">
        <v>2</v>
      </c>
      <c r="I135">
        <v>1</v>
      </c>
      <c r="J135">
        <v>0</v>
      </c>
      <c r="K135">
        <v>0</v>
      </c>
      <c r="L135">
        <v>0</v>
      </c>
      <c r="M135">
        <f t="shared" si="4"/>
        <v>408</v>
      </c>
      <c r="N135">
        <v>260</v>
      </c>
      <c r="O135">
        <v>140</v>
      </c>
      <c r="P135">
        <v>8</v>
      </c>
      <c r="Q135">
        <v>0</v>
      </c>
      <c r="R135">
        <v>0</v>
      </c>
      <c r="S135">
        <v>0</v>
      </c>
    </row>
    <row r="136" spans="1:19" x14ac:dyDescent="0.25">
      <c r="A136">
        <v>18011</v>
      </c>
      <c r="B136" t="s">
        <v>34</v>
      </c>
      <c r="C136">
        <v>14</v>
      </c>
      <c r="D136">
        <v>241.50291426157901</v>
      </c>
      <c r="E136">
        <v>7.29925383640715</v>
      </c>
      <c r="F136">
        <f t="shared" si="5"/>
        <v>5</v>
      </c>
      <c r="G136">
        <v>2</v>
      </c>
      <c r="H136">
        <v>2</v>
      </c>
      <c r="I136">
        <v>1</v>
      </c>
      <c r="J136">
        <v>0</v>
      </c>
      <c r="K136">
        <v>0</v>
      </c>
      <c r="L136">
        <v>0</v>
      </c>
      <c r="M136">
        <f t="shared" si="4"/>
        <v>408</v>
      </c>
      <c r="N136">
        <v>260</v>
      </c>
      <c r="O136">
        <v>140</v>
      </c>
      <c r="P136">
        <v>8</v>
      </c>
      <c r="Q136">
        <v>0</v>
      </c>
      <c r="R136">
        <v>0</v>
      </c>
      <c r="S136">
        <v>0</v>
      </c>
    </row>
    <row r="137" spans="1:19" x14ac:dyDescent="0.25">
      <c r="A137">
        <v>18011</v>
      </c>
      <c r="B137" t="s">
        <v>34</v>
      </c>
      <c r="C137">
        <v>15</v>
      </c>
      <c r="D137">
        <v>249.79301703505499</v>
      </c>
      <c r="E137">
        <v>7.03502745318879</v>
      </c>
      <c r="F137">
        <f t="shared" si="5"/>
        <v>5</v>
      </c>
      <c r="G137">
        <v>2</v>
      </c>
      <c r="H137">
        <v>2</v>
      </c>
      <c r="I137">
        <v>1</v>
      </c>
      <c r="J137">
        <v>0</v>
      </c>
      <c r="K137">
        <v>0</v>
      </c>
      <c r="L137">
        <v>0</v>
      </c>
      <c r="M137">
        <f t="shared" si="4"/>
        <v>408</v>
      </c>
      <c r="N137">
        <v>260</v>
      </c>
      <c r="O137">
        <v>140</v>
      </c>
      <c r="P137">
        <v>8</v>
      </c>
      <c r="Q137">
        <v>0</v>
      </c>
      <c r="R137">
        <v>0</v>
      </c>
      <c r="S137">
        <v>0</v>
      </c>
    </row>
    <row r="138" spans="1:19" x14ac:dyDescent="0.25">
      <c r="A138">
        <v>18011</v>
      </c>
      <c r="B138" t="s">
        <v>34</v>
      </c>
      <c r="C138">
        <v>16</v>
      </c>
      <c r="D138">
        <v>282.62314514993602</v>
      </c>
      <c r="E138">
        <v>6.0111502182176499</v>
      </c>
      <c r="F138">
        <f t="shared" si="5"/>
        <v>5</v>
      </c>
      <c r="G138">
        <v>2</v>
      </c>
      <c r="H138">
        <v>2</v>
      </c>
      <c r="I138">
        <v>1</v>
      </c>
      <c r="J138">
        <v>0</v>
      </c>
      <c r="K138">
        <v>0</v>
      </c>
      <c r="L138">
        <v>0</v>
      </c>
      <c r="M138">
        <f t="shared" si="4"/>
        <v>408</v>
      </c>
      <c r="N138">
        <v>260</v>
      </c>
      <c r="O138">
        <v>140</v>
      </c>
      <c r="P138">
        <v>8</v>
      </c>
      <c r="Q138">
        <v>0</v>
      </c>
      <c r="R138">
        <v>0</v>
      </c>
      <c r="S138">
        <v>0</v>
      </c>
    </row>
    <row r="139" spans="1:19" x14ac:dyDescent="0.25">
      <c r="A139">
        <v>18011</v>
      </c>
      <c r="B139" t="s">
        <v>34</v>
      </c>
      <c r="C139">
        <v>17</v>
      </c>
      <c r="D139">
        <v>319.68089539631097</v>
      </c>
      <c r="E139">
        <v>5.1854427706602797</v>
      </c>
      <c r="F139">
        <f t="shared" si="5"/>
        <v>5</v>
      </c>
      <c r="G139">
        <v>2</v>
      </c>
      <c r="H139">
        <v>2</v>
      </c>
      <c r="I139">
        <v>1</v>
      </c>
      <c r="J139">
        <v>0</v>
      </c>
      <c r="K139">
        <v>0</v>
      </c>
      <c r="L139">
        <v>0</v>
      </c>
      <c r="M139">
        <f t="shared" si="4"/>
        <v>408</v>
      </c>
      <c r="N139">
        <v>260</v>
      </c>
      <c r="O139">
        <v>140</v>
      </c>
      <c r="P139">
        <v>8</v>
      </c>
      <c r="Q139">
        <v>0</v>
      </c>
      <c r="R139">
        <v>0</v>
      </c>
      <c r="S139">
        <v>0</v>
      </c>
    </row>
    <row r="140" spans="1:19" x14ac:dyDescent="0.25">
      <c r="A140">
        <v>18011</v>
      </c>
      <c r="B140" t="s">
        <v>34</v>
      </c>
      <c r="C140">
        <v>18</v>
      </c>
      <c r="D140">
        <v>357.92766436716801</v>
      </c>
      <c r="E140">
        <v>4.9872729832465099</v>
      </c>
      <c r="F140">
        <f t="shared" si="5"/>
        <v>5</v>
      </c>
      <c r="G140">
        <v>2</v>
      </c>
      <c r="H140">
        <v>2</v>
      </c>
      <c r="I140">
        <v>1</v>
      </c>
      <c r="J140">
        <v>0</v>
      </c>
      <c r="K140">
        <v>0</v>
      </c>
      <c r="L140">
        <v>0</v>
      </c>
      <c r="M140">
        <f t="shared" si="4"/>
        <v>408</v>
      </c>
      <c r="N140">
        <v>260</v>
      </c>
      <c r="O140">
        <v>140</v>
      </c>
      <c r="P140">
        <v>8</v>
      </c>
      <c r="Q140">
        <v>0</v>
      </c>
      <c r="R140">
        <v>0</v>
      </c>
      <c r="S140">
        <v>0</v>
      </c>
    </row>
    <row r="141" spans="1:19" x14ac:dyDescent="0.25">
      <c r="A141">
        <v>18011</v>
      </c>
      <c r="B141" t="s">
        <v>34</v>
      </c>
      <c r="C141">
        <v>19</v>
      </c>
      <c r="D141">
        <v>393.73033929325601</v>
      </c>
      <c r="E141">
        <v>5.7138955370969997</v>
      </c>
      <c r="F141">
        <f t="shared" si="5"/>
        <v>5</v>
      </c>
      <c r="G141">
        <v>2</v>
      </c>
      <c r="H141">
        <v>2</v>
      </c>
      <c r="I141">
        <v>1</v>
      </c>
      <c r="J141">
        <v>0</v>
      </c>
      <c r="K141">
        <v>0</v>
      </c>
      <c r="L141">
        <v>0</v>
      </c>
      <c r="M141">
        <f t="shared" si="4"/>
        <v>408</v>
      </c>
      <c r="N141">
        <v>260</v>
      </c>
      <c r="O141">
        <v>140</v>
      </c>
      <c r="P141">
        <v>8</v>
      </c>
      <c r="Q141">
        <v>0</v>
      </c>
      <c r="R141">
        <v>0</v>
      </c>
      <c r="S141">
        <v>0</v>
      </c>
    </row>
    <row r="142" spans="1:19" x14ac:dyDescent="0.25">
      <c r="A142">
        <v>18011</v>
      </c>
      <c r="B142" t="s">
        <v>34</v>
      </c>
      <c r="C142">
        <v>20</v>
      </c>
      <c r="D142">
        <v>419.16212867802301</v>
      </c>
      <c r="E142">
        <v>7.4313670280163304</v>
      </c>
      <c r="F142">
        <f t="shared" si="5"/>
        <v>5</v>
      </c>
      <c r="G142">
        <v>2</v>
      </c>
      <c r="H142">
        <v>2</v>
      </c>
      <c r="I142">
        <v>1</v>
      </c>
      <c r="J142">
        <v>0</v>
      </c>
      <c r="K142">
        <v>0</v>
      </c>
      <c r="L142">
        <v>0</v>
      </c>
      <c r="M142">
        <f t="shared" si="4"/>
        <v>408</v>
      </c>
      <c r="N142">
        <v>260</v>
      </c>
      <c r="O142">
        <v>140</v>
      </c>
      <c r="P142">
        <v>8</v>
      </c>
      <c r="Q142">
        <v>0</v>
      </c>
      <c r="R142">
        <v>0</v>
      </c>
      <c r="S142">
        <v>0</v>
      </c>
    </row>
    <row r="143" spans="1:19" x14ac:dyDescent="0.25">
      <c r="A143">
        <v>18011</v>
      </c>
      <c r="B143" t="s">
        <v>34</v>
      </c>
      <c r="C143">
        <v>21</v>
      </c>
      <c r="D143">
        <v>439.40847529212999</v>
      </c>
      <c r="E143">
        <v>10.0736308601999</v>
      </c>
      <c r="F143">
        <f t="shared" si="5"/>
        <v>5</v>
      </c>
      <c r="G143">
        <v>2</v>
      </c>
      <c r="H143">
        <v>2</v>
      </c>
      <c r="I143">
        <v>1</v>
      </c>
      <c r="J143">
        <v>0</v>
      </c>
      <c r="K143">
        <v>0</v>
      </c>
      <c r="L143">
        <v>0</v>
      </c>
      <c r="M143">
        <f t="shared" si="4"/>
        <v>408</v>
      </c>
      <c r="N143">
        <v>260</v>
      </c>
      <c r="O143">
        <v>140</v>
      </c>
      <c r="P143">
        <v>8</v>
      </c>
      <c r="Q143">
        <v>0</v>
      </c>
      <c r="R143">
        <v>0</v>
      </c>
      <c r="S143">
        <v>0</v>
      </c>
    </row>
    <row r="144" spans="1:19" x14ac:dyDescent="0.25">
      <c r="A144">
        <v>18011</v>
      </c>
      <c r="B144" t="s">
        <v>34</v>
      </c>
      <c r="C144">
        <v>22</v>
      </c>
      <c r="D144">
        <v>449.48210615233</v>
      </c>
      <c r="E144">
        <v>13.013149373504101</v>
      </c>
      <c r="F144">
        <f t="shared" si="5"/>
        <v>5</v>
      </c>
      <c r="G144">
        <v>2</v>
      </c>
      <c r="H144">
        <v>2</v>
      </c>
      <c r="I144">
        <v>1</v>
      </c>
      <c r="J144">
        <v>0</v>
      </c>
      <c r="K144">
        <v>0</v>
      </c>
      <c r="L144">
        <v>0</v>
      </c>
      <c r="M144">
        <f t="shared" si="4"/>
        <v>408</v>
      </c>
      <c r="N144">
        <v>260</v>
      </c>
      <c r="O144">
        <v>140</v>
      </c>
      <c r="P144">
        <v>8</v>
      </c>
      <c r="Q144">
        <v>0</v>
      </c>
      <c r="R144">
        <v>0</v>
      </c>
      <c r="S144">
        <v>0</v>
      </c>
    </row>
    <row r="145" spans="1:19" x14ac:dyDescent="0.25">
      <c r="A145">
        <v>18011</v>
      </c>
      <c r="B145" t="s">
        <v>34</v>
      </c>
      <c r="C145">
        <v>23</v>
      </c>
      <c r="D145">
        <v>458.036435309024</v>
      </c>
      <c r="E145">
        <v>16.580205546951898</v>
      </c>
      <c r="F145">
        <f t="shared" si="5"/>
        <v>5</v>
      </c>
      <c r="G145">
        <v>2</v>
      </c>
      <c r="H145">
        <v>2</v>
      </c>
      <c r="I145">
        <v>1</v>
      </c>
      <c r="J145">
        <v>0</v>
      </c>
      <c r="K145">
        <v>0</v>
      </c>
      <c r="L145">
        <v>0</v>
      </c>
      <c r="M145">
        <f t="shared" si="4"/>
        <v>408</v>
      </c>
      <c r="N145">
        <v>260</v>
      </c>
      <c r="O145">
        <v>140</v>
      </c>
      <c r="P145">
        <v>8</v>
      </c>
      <c r="Q145">
        <v>0</v>
      </c>
      <c r="R145">
        <v>0</v>
      </c>
      <c r="S145">
        <v>0</v>
      </c>
    </row>
    <row r="146" spans="1:19" x14ac:dyDescent="0.25">
      <c r="A146">
        <v>18013</v>
      </c>
      <c r="B146" t="s">
        <v>35</v>
      </c>
      <c r="C146">
        <v>0</v>
      </c>
      <c r="D146">
        <v>0</v>
      </c>
      <c r="E146">
        <v>0</v>
      </c>
      <c r="F146">
        <f t="shared" si="5"/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f t="shared" si="4"/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</row>
    <row r="147" spans="1:19" x14ac:dyDescent="0.25">
      <c r="A147">
        <v>18013</v>
      </c>
      <c r="B147" t="s">
        <v>35</v>
      </c>
      <c r="C147">
        <v>1</v>
      </c>
      <c r="D147">
        <v>0</v>
      </c>
      <c r="E147">
        <v>0</v>
      </c>
      <c r="F147">
        <f t="shared" si="5"/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f t="shared" si="4"/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</row>
    <row r="148" spans="1:19" x14ac:dyDescent="0.25">
      <c r="A148">
        <v>18013</v>
      </c>
      <c r="B148" t="s">
        <v>35</v>
      </c>
      <c r="C148">
        <v>2</v>
      </c>
      <c r="D148">
        <v>0</v>
      </c>
      <c r="E148">
        <v>0</v>
      </c>
      <c r="F148">
        <f t="shared" si="5"/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f t="shared" si="4"/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</row>
    <row r="149" spans="1:19" x14ac:dyDescent="0.25">
      <c r="A149">
        <v>18013</v>
      </c>
      <c r="B149" t="s">
        <v>35</v>
      </c>
      <c r="C149">
        <v>3</v>
      </c>
      <c r="D149">
        <v>0</v>
      </c>
      <c r="E149">
        <v>0</v>
      </c>
      <c r="F149">
        <f t="shared" si="5"/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f t="shared" si="4"/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</row>
    <row r="150" spans="1:19" x14ac:dyDescent="0.25">
      <c r="A150">
        <v>18013</v>
      </c>
      <c r="B150" t="s">
        <v>35</v>
      </c>
      <c r="C150">
        <v>4</v>
      </c>
      <c r="D150">
        <v>0</v>
      </c>
      <c r="E150">
        <v>0</v>
      </c>
      <c r="F150">
        <f t="shared" si="5"/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f t="shared" si="4"/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</row>
    <row r="151" spans="1:19" x14ac:dyDescent="0.25">
      <c r="A151">
        <v>18013</v>
      </c>
      <c r="B151" t="s">
        <v>35</v>
      </c>
      <c r="C151">
        <v>5</v>
      </c>
      <c r="D151">
        <v>0</v>
      </c>
      <c r="E151">
        <v>0</v>
      </c>
      <c r="F151">
        <f t="shared" si="5"/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f t="shared" si="4"/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</row>
    <row r="152" spans="1:19" x14ac:dyDescent="0.25">
      <c r="A152">
        <v>18013</v>
      </c>
      <c r="B152" t="s">
        <v>35</v>
      </c>
      <c r="C152">
        <v>6</v>
      </c>
      <c r="D152">
        <v>0</v>
      </c>
      <c r="E152">
        <v>0</v>
      </c>
      <c r="F152">
        <f t="shared" si="5"/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f t="shared" si="4"/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</row>
    <row r="153" spans="1:19" x14ac:dyDescent="0.25">
      <c r="A153">
        <v>18013</v>
      </c>
      <c r="B153" t="s">
        <v>35</v>
      </c>
      <c r="C153">
        <v>7</v>
      </c>
      <c r="D153">
        <v>0</v>
      </c>
      <c r="E153">
        <v>0</v>
      </c>
      <c r="F153">
        <f t="shared" si="5"/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f t="shared" si="4"/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</row>
    <row r="154" spans="1:19" x14ac:dyDescent="0.25">
      <c r="A154">
        <v>18013</v>
      </c>
      <c r="B154" t="s">
        <v>35</v>
      </c>
      <c r="C154">
        <v>8</v>
      </c>
      <c r="D154">
        <v>0</v>
      </c>
      <c r="E154">
        <v>0</v>
      </c>
      <c r="F154">
        <f t="shared" si="5"/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f t="shared" si="4"/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</row>
    <row r="155" spans="1:19" x14ac:dyDescent="0.25">
      <c r="A155">
        <v>18013</v>
      </c>
      <c r="B155" t="s">
        <v>35</v>
      </c>
      <c r="C155">
        <v>9</v>
      </c>
      <c r="D155">
        <v>0</v>
      </c>
      <c r="E155">
        <v>0</v>
      </c>
      <c r="F155">
        <f t="shared" si="5"/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f t="shared" si="4"/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</row>
    <row r="156" spans="1:19" x14ac:dyDescent="0.25">
      <c r="A156">
        <v>18013</v>
      </c>
      <c r="B156" t="s">
        <v>35</v>
      </c>
      <c r="C156">
        <v>10</v>
      </c>
      <c r="D156">
        <v>0</v>
      </c>
      <c r="E156">
        <v>0</v>
      </c>
      <c r="F156">
        <f t="shared" si="5"/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f t="shared" si="4"/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</row>
    <row r="157" spans="1:19" x14ac:dyDescent="0.25">
      <c r="A157">
        <v>18013</v>
      </c>
      <c r="B157" t="s">
        <v>35</v>
      </c>
      <c r="C157">
        <v>11</v>
      </c>
      <c r="D157">
        <v>0</v>
      </c>
      <c r="E157">
        <v>0</v>
      </c>
      <c r="F157">
        <f t="shared" si="5"/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f t="shared" si="4"/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</row>
    <row r="158" spans="1:19" x14ac:dyDescent="0.25">
      <c r="A158">
        <v>18013</v>
      </c>
      <c r="B158" t="s">
        <v>35</v>
      </c>
      <c r="C158">
        <v>12</v>
      </c>
      <c r="D158">
        <v>0</v>
      </c>
      <c r="E158">
        <v>0</v>
      </c>
      <c r="F158">
        <f t="shared" si="5"/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f t="shared" si="4"/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</row>
    <row r="159" spans="1:19" x14ac:dyDescent="0.25">
      <c r="A159">
        <v>18013</v>
      </c>
      <c r="B159" t="s">
        <v>35</v>
      </c>
      <c r="C159">
        <v>13</v>
      </c>
      <c r="D159">
        <v>0</v>
      </c>
      <c r="E159">
        <v>0</v>
      </c>
      <c r="F159">
        <f t="shared" si="5"/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f t="shared" si="4"/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</row>
    <row r="160" spans="1:19" x14ac:dyDescent="0.25">
      <c r="A160">
        <v>18013</v>
      </c>
      <c r="B160" t="s">
        <v>35</v>
      </c>
      <c r="C160">
        <v>14</v>
      </c>
      <c r="D160">
        <v>0</v>
      </c>
      <c r="E160">
        <v>0</v>
      </c>
      <c r="F160">
        <f t="shared" si="5"/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f t="shared" si="4"/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</row>
    <row r="161" spans="1:19" x14ac:dyDescent="0.25">
      <c r="A161">
        <v>18013</v>
      </c>
      <c r="B161" t="s">
        <v>35</v>
      </c>
      <c r="C161">
        <v>15</v>
      </c>
      <c r="D161">
        <v>0</v>
      </c>
      <c r="E161">
        <v>0</v>
      </c>
      <c r="F161">
        <f t="shared" si="5"/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f t="shared" si="4"/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</row>
    <row r="162" spans="1:19" x14ac:dyDescent="0.25">
      <c r="A162">
        <v>18013</v>
      </c>
      <c r="B162" t="s">
        <v>35</v>
      </c>
      <c r="C162">
        <v>16</v>
      </c>
      <c r="D162">
        <v>0</v>
      </c>
      <c r="E162">
        <v>0</v>
      </c>
      <c r="F162">
        <f t="shared" si="5"/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f t="shared" si="4"/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</row>
    <row r="163" spans="1:19" x14ac:dyDescent="0.25">
      <c r="A163">
        <v>18013</v>
      </c>
      <c r="B163" t="s">
        <v>35</v>
      </c>
      <c r="C163">
        <v>17</v>
      </c>
      <c r="D163">
        <v>0</v>
      </c>
      <c r="E163">
        <v>0</v>
      </c>
      <c r="F163">
        <f t="shared" si="5"/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f t="shared" si="4"/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</row>
    <row r="164" spans="1:19" x14ac:dyDescent="0.25">
      <c r="A164">
        <v>18013</v>
      </c>
      <c r="B164" t="s">
        <v>35</v>
      </c>
      <c r="C164">
        <v>18</v>
      </c>
      <c r="D164">
        <v>0</v>
      </c>
      <c r="E164">
        <v>0</v>
      </c>
      <c r="F164">
        <f t="shared" si="5"/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f t="shared" si="4"/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</row>
    <row r="165" spans="1:19" x14ac:dyDescent="0.25">
      <c r="A165">
        <v>18013</v>
      </c>
      <c r="B165" t="s">
        <v>35</v>
      </c>
      <c r="C165">
        <v>19</v>
      </c>
      <c r="D165">
        <v>0</v>
      </c>
      <c r="E165">
        <v>0</v>
      </c>
      <c r="F165">
        <f t="shared" si="5"/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f t="shared" si="4"/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</row>
    <row r="166" spans="1:19" x14ac:dyDescent="0.25">
      <c r="A166">
        <v>18013</v>
      </c>
      <c r="B166" t="s">
        <v>35</v>
      </c>
      <c r="C166">
        <v>20</v>
      </c>
      <c r="D166">
        <v>0</v>
      </c>
      <c r="E166">
        <v>0</v>
      </c>
      <c r="F166">
        <f t="shared" si="5"/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f t="shared" si="4"/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</row>
    <row r="167" spans="1:19" x14ac:dyDescent="0.25">
      <c r="A167">
        <v>18013</v>
      </c>
      <c r="B167" t="s">
        <v>35</v>
      </c>
      <c r="C167">
        <v>21</v>
      </c>
      <c r="D167">
        <v>0</v>
      </c>
      <c r="E167">
        <v>0</v>
      </c>
      <c r="F167">
        <f t="shared" si="5"/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f t="shared" si="4"/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</row>
    <row r="168" spans="1:19" x14ac:dyDescent="0.25">
      <c r="A168">
        <v>18013</v>
      </c>
      <c r="B168" t="s">
        <v>35</v>
      </c>
      <c r="C168">
        <v>22</v>
      </c>
      <c r="D168">
        <v>0</v>
      </c>
      <c r="E168">
        <v>0</v>
      </c>
      <c r="F168">
        <f t="shared" si="5"/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f t="shared" si="4"/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</row>
    <row r="169" spans="1:19" x14ac:dyDescent="0.25">
      <c r="A169">
        <v>18013</v>
      </c>
      <c r="B169" t="s">
        <v>35</v>
      </c>
      <c r="C169">
        <v>23</v>
      </c>
      <c r="D169">
        <v>0</v>
      </c>
      <c r="E169">
        <v>0</v>
      </c>
      <c r="F169">
        <f t="shared" si="5"/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f t="shared" si="4"/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</row>
    <row r="170" spans="1:19" x14ac:dyDescent="0.25">
      <c r="A170">
        <v>18015</v>
      </c>
      <c r="B170" t="s">
        <v>36</v>
      </c>
      <c r="C170">
        <v>0</v>
      </c>
      <c r="D170">
        <v>0</v>
      </c>
      <c r="E170">
        <v>0.120289643046572</v>
      </c>
      <c r="F170">
        <f t="shared" si="5"/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f t="shared" si="4"/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</row>
    <row r="171" spans="1:19" x14ac:dyDescent="0.25">
      <c r="A171">
        <v>18015</v>
      </c>
      <c r="B171" t="s">
        <v>36</v>
      </c>
      <c r="C171">
        <v>1</v>
      </c>
      <c r="D171">
        <v>0</v>
      </c>
      <c r="E171">
        <v>0.16038619072876201</v>
      </c>
      <c r="F171">
        <f t="shared" si="5"/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f t="shared" si="4"/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</row>
    <row r="172" spans="1:19" x14ac:dyDescent="0.25">
      <c r="A172">
        <v>18015</v>
      </c>
      <c r="B172" t="s">
        <v>36</v>
      </c>
      <c r="C172">
        <v>2</v>
      </c>
      <c r="D172">
        <v>0</v>
      </c>
      <c r="E172">
        <v>0.16038619072876201</v>
      </c>
      <c r="F172">
        <f t="shared" si="5"/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f t="shared" si="4"/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</row>
    <row r="173" spans="1:19" x14ac:dyDescent="0.25">
      <c r="A173">
        <v>18015</v>
      </c>
      <c r="B173" t="s">
        <v>36</v>
      </c>
      <c r="C173">
        <v>3</v>
      </c>
      <c r="D173">
        <v>0</v>
      </c>
      <c r="E173">
        <v>0.16038619072876201</v>
      </c>
      <c r="F173">
        <f t="shared" si="5"/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f t="shared" si="4"/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</row>
    <row r="174" spans="1:19" x14ac:dyDescent="0.25">
      <c r="A174">
        <v>18015</v>
      </c>
      <c r="B174" t="s">
        <v>36</v>
      </c>
      <c r="C174">
        <v>4</v>
      </c>
      <c r="D174">
        <v>0</v>
      </c>
      <c r="E174">
        <v>0.20048273841095299</v>
      </c>
      <c r="F174">
        <f t="shared" si="5"/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f t="shared" si="4"/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</row>
    <row r="175" spans="1:19" x14ac:dyDescent="0.25">
      <c r="A175">
        <v>18015</v>
      </c>
      <c r="B175" t="s">
        <v>36</v>
      </c>
      <c r="C175">
        <v>5</v>
      </c>
      <c r="D175">
        <v>0</v>
      </c>
      <c r="E175">
        <v>0.32077238145752501</v>
      </c>
      <c r="F175">
        <f t="shared" si="5"/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f t="shared" si="4"/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</row>
    <row r="176" spans="1:19" x14ac:dyDescent="0.25">
      <c r="A176">
        <v>18015</v>
      </c>
      <c r="B176" t="s">
        <v>36</v>
      </c>
      <c r="C176">
        <v>6</v>
      </c>
      <c r="D176">
        <v>0</v>
      </c>
      <c r="E176">
        <v>1.88453774106296</v>
      </c>
      <c r="F176">
        <f t="shared" si="5"/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f t="shared" si="4"/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</row>
    <row r="177" spans="1:19" x14ac:dyDescent="0.25">
      <c r="A177">
        <v>18015</v>
      </c>
      <c r="B177" t="s">
        <v>36</v>
      </c>
      <c r="C177">
        <v>7</v>
      </c>
      <c r="D177">
        <v>0</v>
      </c>
      <c r="E177">
        <v>3.36811000530402</v>
      </c>
      <c r="F177">
        <f t="shared" si="5"/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f t="shared" si="4"/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</row>
    <row r="178" spans="1:19" x14ac:dyDescent="0.25">
      <c r="A178">
        <v>18015</v>
      </c>
      <c r="B178" t="s">
        <v>36</v>
      </c>
      <c r="C178">
        <v>8</v>
      </c>
      <c r="D178">
        <v>0</v>
      </c>
      <c r="E178">
        <v>5.1724546510026004</v>
      </c>
      <c r="F178">
        <f t="shared" si="5"/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f t="shared" si="4"/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</row>
    <row r="179" spans="1:19" x14ac:dyDescent="0.25">
      <c r="A179">
        <v>18015</v>
      </c>
      <c r="B179" t="s">
        <v>36</v>
      </c>
      <c r="C179">
        <v>9</v>
      </c>
      <c r="D179">
        <v>0</v>
      </c>
      <c r="E179">
        <v>5.1724546510026004</v>
      </c>
      <c r="F179">
        <f t="shared" si="5"/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f t="shared" si="4"/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</row>
    <row r="180" spans="1:19" x14ac:dyDescent="0.25">
      <c r="A180">
        <v>18015</v>
      </c>
      <c r="B180" t="s">
        <v>36</v>
      </c>
      <c r="C180">
        <v>10</v>
      </c>
      <c r="D180">
        <v>0</v>
      </c>
      <c r="E180">
        <v>5.0120684602738397</v>
      </c>
      <c r="F180">
        <f t="shared" si="5"/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f t="shared" si="4"/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</row>
    <row r="181" spans="1:19" x14ac:dyDescent="0.25">
      <c r="A181">
        <v>18015</v>
      </c>
      <c r="B181" t="s">
        <v>36</v>
      </c>
      <c r="C181">
        <v>11</v>
      </c>
      <c r="D181">
        <v>0</v>
      </c>
      <c r="E181">
        <v>3.96955822053688</v>
      </c>
      <c r="F181">
        <f t="shared" si="5"/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f t="shared" si="4"/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</row>
    <row r="182" spans="1:19" x14ac:dyDescent="0.25">
      <c r="A182">
        <v>18015</v>
      </c>
      <c r="B182" t="s">
        <v>36</v>
      </c>
      <c r="C182">
        <v>12</v>
      </c>
      <c r="D182">
        <v>0</v>
      </c>
      <c r="E182">
        <v>3.8091720298081202</v>
      </c>
      <c r="F182">
        <f t="shared" si="5"/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f t="shared" si="4"/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</row>
    <row r="183" spans="1:19" x14ac:dyDescent="0.25">
      <c r="A183">
        <v>18015</v>
      </c>
      <c r="B183" t="s">
        <v>36</v>
      </c>
      <c r="C183">
        <v>13</v>
      </c>
      <c r="D183">
        <v>0</v>
      </c>
      <c r="E183">
        <v>2.4057928609314398</v>
      </c>
      <c r="F183">
        <f t="shared" si="5"/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f t="shared" si="4"/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</row>
    <row r="184" spans="1:19" x14ac:dyDescent="0.25">
      <c r="A184">
        <v>18015</v>
      </c>
      <c r="B184" t="s">
        <v>36</v>
      </c>
      <c r="C184">
        <v>14</v>
      </c>
      <c r="D184">
        <v>0</v>
      </c>
      <c r="E184">
        <v>1.88453774106296</v>
      </c>
      <c r="F184">
        <f t="shared" si="5"/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f t="shared" si="4"/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</row>
    <row r="185" spans="1:19" x14ac:dyDescent="0.25">
      <c r="A185">
        <v>18015</v>
      </c>
      <c r="B185" t="s">
        <v>36</v>
      </c>
      <c r="C185">
        <v>15</v>
      </c>
      <c r="D185">
        <v>0</v>
      </c>
      <c r="E185">
        <v>1.0024136920547599</v>
      </c>
      <c r="F185">
        <f t="shared" si="5"/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f t="shared" si="4"/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</row>
    <row r="186" spans="1:19" x14ac:dyDescent="0.25">
      <c r="A186">
        <v>18015</v>
      </c>
      <c r="B186" t="s">
        <v>36</v>
      </c>
      <c r="C186">
        <v>16</v>
      </c>
      <c r="D186">
        <v>0</v>
      </c>
      <c r="E186">
        <v>0.16038619072876201</v>
      </c>
      <c r="F186">
        <f t="shared" si="5"/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f t="shared" si="4"/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</row>
    <row r="187" spans="1:19" x14ac:dyDescent="0.25">
      <c r="A187">
        <v>18015</v>
      </c>
      <c r="B187" t="s">
        <v>36</v>
      </c>
      <c r="C187">
        <v>17</v>
      </c>
      <c r="D187">
        <v>0</v>
      </c>
      <c r="E187">
        <v>0.20048273841095299</v>
      </c>
      <c r="F187">
        <f t="shared" si="5"/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f t="shared" si="4"/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</row>
    <row r="188" spans="1:19" x14ac:dyDescent="0.25">
      <c r="A188">
        <v>18015</v>
      </c>
      <c r="B188" t="s">
        <v>36</v>
      </c>
      <c r="C188">
        <v>18</v>
      </c>
      <c r="D188">
        <v>0</v>
      </c>
      <c r="E188">
        <v>0.36086892913971602</v>
      </c>
      <c r="F188">
        <f t="shared" si="5"/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f t="shared" si="4"/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</row>
    <row r="189" spans="1:19" x14ac:dyDescent="0.25">
      <c r="A189">
        <v>18015</v>
      </c>
      <c r="B189" t="s">
        <v>36</v>
      </c>
      <c r="C189">
        <v>19</v>
      </c>
      <c r="D189">
        <v>0</v>
      </c>
      <c r="E189">
        <v>0.16038619072876201</v>
      </c>
      <c r="F189">
        <f t="shared" si="5"/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f t="shared" si="4"/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</row>
    <row r="190" spans="1:19" x14ac:dyDescent="0.25">
      <c r="A190">
        <v>18015</v>
      </c>
      <c r="B190" t="s">
        <v>36</v>
      </c>
      <c r="C190">
        <v>20</v>
      </c>
      <c r="D190">
        <v>0</v>
      </c>
      <c r="E190">
        <v>0.120289643046572</v>
      </c>
      <c r="F190">
        <f t="shared" si="5"/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f t="shared" si="4"/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</row>
    <row r="191" spans="1:19" x14ac:dyDescent="0.25">
      <c r="A191">
        <v>18015</v>
      </c>
      <c r="B191" t="s">
        <v>36</v>
      </c>
      <c r="C191">
        <v>21</v>
      </c>
      <c r="D191">
        <v>0</v>
      </c>
      <c r="E191">
        <v>0.120289643046572</v>
      </c>
      <c r="F191">
        <f t="shared" si="5"/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f t="shared" si="4"/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</row>
    <row r="192" spans="1:19" x14ac:dyDescent="0.25">
      <c r="A192">
        <v>18015</v>
      </c>
      <c r="B192" t="s">
        <v>36</v>
      </c>
      <c r="C192">
        <v>22</v>
      </c>
      <c r="D192">
        <v>0</v>
      </c>
      <c r="E192">
        <v>0.120289643046572</v>
      </c>
      <c r="F192">
        <f t="shared" si="5"/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f t="shared" si="4"/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</row>
    <row r="193" spans="1:19" x14ac:dyDescent="0.25">
      <c r="A193">
        <v>18015</v>
      </c>
      <c r="B193" t="s">
        <v>36</v>
      </c>
      <c r="C193">
        <v>23</v>
      </c>
      <c r="D193">
        <v>0</v>
      </c>
      <c r="E193">
        <v>0.120289643046572</v>
      </c>
      <c r="F193">
        <f t="shared" si="5"/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f t="shared" si="4"/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</row>
    <row r="194" spans="1:19" x14ac:dyDescent="0.25">
      <c r="A194">
        <v>18017</v>
      </c>
      <c r="B194" t="s">
        <v>37</v>
      </c>
      <c r="C194">
        <v>0</v>
      </c>
      <c r="D194">
        <v>24.7200618647916</v>
      </c>
      <c r="E194">
        <v>2.48102810686777</v>
      </c>
      <c r="F194">
        <f t="shared" si="5"/>
        <v>1</v>
      </c>
      <c r="G194">
        <v>0</v>
      </c>
      <c r="H194">
        <v>0</v>
      </c>
      <c r="I194">
        <v>1</v>
      </c>
      <c r="J194">
        <v>0</v>
      </c>
      <c r="K194">
        <v>0</v>
      </c>
      <c r="L194">
        <v>0</v>
      </c>
      <c r="M194">
        <f t="shared" ref="M194:M257" si="6">SUM(N194:S194)</f>
        <v>25</v>
      </c>
      <c r="N194">
        <v>0</v>
      </c>
      <c r="O194">
        <v>0</v>
      </c>
      <c r="P194">
        <v>25</v>
      </c>
      <c r="Q194">
        <v>0</v>
      </c>
      <c r="R194">
        <v>0</v>
      </c>
      <c r="S194">
        <v>0</v>
      </c>
    </row>
    <row r="195" spans="1:19" x14ac:dyDescent="0.25">
      <c r="A195">
        <v>18017</v>
      </c>
      <c r="B195" t="s">
        <v>37</v>
      </c>
      <c r="C195">
        <v>1</v>
      </c>
      <c r="D195">
        <v>24.629842660905499</v>
      </c>
      <c r="E195">
        <v>2.48102810686777</v>
      </c>
      <c r="F195">
        <f t="shared" ref="F195:F258" si="7">SUM(G195:L195)</f>
        <v>1</v>
      </c>
      <c r="G195">
        <v>0</v>
      </c>
      <c r="H195">
        <v>0</v>
      </c>
      <c r="I195">
        <v>1</v>
      </c>
      <c r="J195">
        <v>0</v>
      </c>
      <c r="K195">
        <v>0</v>
      </c>
      <c r="L195">
        <v>0</v>
      </c>
      <c r="M195">
        <f t="shared" si="6"/>
        <v>25</v>
      </c>
      <c r="N195">
        <v>0</v>
      </c>
      <c r="O195">
        <v>0</v>
      </c>
      <c r="P195">
        <v>25</v>
      </c>
      <c r="Q195">
        <v>0</v>
      </c>
      <c r="R195">
        <v>0</v>
      </c>
      <c r="S195">
        <v>0</v>
      </c>
    </row>
    <row r="196" spans="1:19" x14ac:dyDescent="0.25">
      <c r="A196">
        <v>18017</v>
      </c>
      <c r="B196" t="s">
        <v>37</v>
      </c>
      <c r="C196">
        <v>2</v>
      </c>
      <c r="D196">
        <v>24.223856243417998</v>
      </c>
      <c r="E196">
        <v>2.48102810686777</v>
      </c>
      <c r="F196">
        <f t="shared" si="7"/>
        <v>1</v>
      </c>
      <c r="G196">
        <v>0</v>
      </c>
      <c r="H196">
        <v>0</v>
      </c>
      <c r="I196">
        <v>1</v>
      </c>
      <c r="J196">
        <v>0</v>
      </c>
      <c r="K196">
        <v>0</v>
      </c>
      <c r="L196">
        <v>0</v>
      </c>
      <c r="M196">
        <f t="shared" si="6"/>
        <v>25</v>
      </c>
      <c r="N196">
        <v>0</v>
      </c>
      <c r="O196">
        <v>0</v>
      </c>
      <c r="P196">
        <v>25</v>
      </c>
      <c r="Q196">
        <v>0</v>
      </c>
      <c r="R196">
        <v>0</v>
      </c>
      <c r="S196">
        <v>0</v>
      </c>
    </row>
    <row r="197" spans="1:19" x14ac:dyDescent="0.25">
      <c r="A197">
        <v>18017</v>
      </c>
      <c r="B197" t="s">
        <v>37</v>
      </c>
      <c r="C197">
        <v>3</v>
      </c>
      <c r="D197">
        <v>23.186335398727898</v>
      </c>
      <c r="E197">
        <v>2.48102810686777</v>
      </c>
      <c r="F197">
        <f t="shared" si="7"/>
        <v>1</v>
      </c>
      <c r="G197">
        <v>0</v>
      </c>
      <c r="H197">
        <v>0</v>
      </c>
      <c r="I197">
        <v>1</v>
      </c>
      <c r="J197">
        <v>0</v>
      </c>
      <c r="K197">
        <v>0</v>
      </c>
      <c r="L197">
        <v>0</v>
      </c>
      <c r="M197">
        <f t="shared" si="6"/>
        <v>25</v>
      </c>
      <c r="N197">
        <v>0</v>
      </c>
      <c r="O197">
        <v>0</v>
      </c>
      <c r="P197">
        <v>25</v>
      </c>
      <c r="Q197">
        <v>0</v>
      </c>
      <c r="R197">
        <v>0</v>
      </c>
      <c r="S197">
        <v>0</v>
      </c>
    </row>
    <row r="198" spans="1:19" x14ac:dyDescent="0.25">
      <c r="A198">
        <v>18017</v>
      </c>
      <c r="B198" t="s">
        <v>37</v>
      </c>
      <c r="C198">
        <v>4</v>
      </c>
      <c r="D198">
        <v>21.923266544322502</v>
      </c>
      <c r="E198">
        <v>2.48102810686777</v>
      </c>
      <c r="F198">
        <f t="shared" si="7"/>
        <v>1</v>
      </c>
      <c r="G198">
        <v>0</v>
      </c>
      <c r="H198">
        <v>0</v>
      </c>
      <c r="I198">
        <v>1</v>
      </c>
      <c r="J198">
        <v>0</v>
      </c>
      <c r="K198">
        <v>0</v>
      </c>
      <c r="L198">
        <v>0</v>
      </c>
      <c r="M198">
        <f t="shared" si="6"/>
        <v>25</v>
      </c>
      <c r="N198">
        <v>0</v>
      </c>
      <c r="O198">
        <v>0</v>
      </c>
      <c r="P198">
        <v>25</v>
      </c>
      <c r="Q198">
        <v>0</v>
      </c>
      <c r="R198">
        <v>0</v>
      </c>
      <c r="S198">
        <v>0</v>
      </c>
    </row>
    <row r="199" spans="1:19" x14ac:dyDescent="0.25">
      <c r="A199">
        <v>18017</v>
      </c>
      <c r="B199" t="s">
        <v>37</v>
      </c>
      <c r="C199">
        <v>5</v>
      </c>
      <c r="D199">
        <v>20.0737728646574</v>
      </c>
      <c r="E199">
        <v>2.6163569126969199</v>
      </c>
      <c r="F199">
        <f t="shared" si="7"/>
        <v>1</v>
      </c>
      <c r="G199">
        <v>0</v>
      </c>
      <c r="H199">
        <v>0</v>
      </c>
      <c r="I199">
        <v>1</v>
      </c>
      <c r="J199">
        <v>0</v>
      </c>
      <c r="K199">
        <v>0</v>
      </c>
      <c r="L199">
        <v>0</v>
      </c>
      <c r="M199">
        <f t="shared" si="6"/>
        <v>25</v>
      </c>
      <c r="N199">
        <v>0</v>
      </c>
      <c r="O199">
        <v>0</v>
      </c>
      <c r="P199">
        <v>25</v>
      </c>
      <c r="Q199">
        <v>0</v>
      </c>
      <c r="R199">
        <v>0</v>
      </c>
      <c r="S199">
        <v>0</v>
      </c>
    </row>
    <row r="200" spans="1:19" x14ac:dyDescent="0.25">
      <c r="A200">
        <v>18017</v>
      </c>
      <c r="B200" t="s">
        <v>37</v>
      </c>
      <c r="C200">
        <v>6</v>
      </c>
      <c r="D200">
        <v>18.359607990821502</v>
      </c>
      <c r="E200">
        <v>1.30817845634846</v>
      </c>
      <c r="F200">
        <f t="shared" si="7"/>
        <v>1</v>
      </c>
      <c r="G200">
        <v>0</v>
      </c>
      <c r="H200">
        <v>0</v>
      </c>
      <c r="I200">
        <v>1</v>
      </c>
      <c r="J200">
        <v>0</v>
      </c>
      <c r="K200">
        <v>0</v>
      </c>
      <c r="L200">
        <v>0</v>
      </c>
      <c r="M200">
        <f t="shared" si="6"/>
        <v>25</v>
      </c>
      <c r="N200">
        <v>0</v>
      </c>
      <c r="O200">
        <v>0</v>
      </c>
      <c r="P200">
        <v>25</v>
      </c>
      <c r="Q200">
        <v>0</v>
      </c>
      <c r="R200">
        <v>0</v>
      </c>
      <c r="S200">
        <v>0</v>
      </c>
    </row>
    <row r="201" spans="1:19" x14ac:dyDescent="0.25">
      <c r="A201">
        <v>18017</v>
      </c>
      <c r="B201" t="s">
        <v>37</v>
      </c>
      <c r="C201">
        <v>7</v>
      </c>
      <c r="D201">
        <v>15.7883606800676</v>
      </c>
      <c r="E201">
        <v>9.0219203886100802E-2</v>
      </c>
      <c r="F201">
        <f t="shared" si="7"/>
        <v>1</v>
      </c>
      <c r="G201">
        <v>0</v>
      </c>
      <c r="H201">
        <v>0</v>
      </c>
      <c r="I201">
        <v>1</v>
      </c>
      <c r="J201">
        <v>0</v>
      </c>
      <c r="K201">
        <v>0</v>
      </c>
      <c r="L201">
        <v>0</v>
      </c>
      <c r="M201">
        <f t="shared" si="6"/>
        <v>25</v>
      </c>
      <c r="N201">
        <v>0</v>
      </c>
      <c r="O201">
        <v>0</v>
      </c>
      <c r="P201">
        <v>25</v>
      </c>
      <c r="Q201">
        <v>0</v>
      </c>
      <c r="R201">
        <v>0</v>
      </c>
      <c r="S201">
        <v>0</v>
      </c>
    </row>
    <row r="202" spans="1:19" x14ac:dyDescent="0.25">
      <c r="A202">
        <v>18017</v>
      </c>
      <c r="B202" t="s">
        <v>37</v>
      </c>
      <c r="C202">
        <v>8</v>
      </c>
      <c r="D202">
        <v>13.126894165427601</v>
      </c>
      <c r="E202">
        <v>0.40598641748745301</v>
      </c>
      <c r="F202">
        <f t="shared" si="7"/>
        <v>1</v>
      </c>
      <c r="G202">
        <v>0</v>
      </c>
      <c r="H202">
        <v>0</v>
      </c>
      <c r="I202">
        <v>1</v>
      </c>
      <c r="J202">
        <v>0</v>
      </c>
      <c r="K202">
        <v>0</v>
      </c>
      <c r="L202">
        <v>0</v>
      </c>
      <c r="M202">
        <f t="shared" si="6"/>
        <v>25</v>
      </c>
      <c r="N202">
        <v>0</v>
      </c>
      <c r="O202">
        <v>0</v>
      </c>
      <c r="P202">
        <v>25</v>
      </c>
      <c r="Q202">
        <v>0</v>
      </c>
      <c r="R202">
        <v>0</v>
      </c>
      <c r="S202">
        <v>0</v>
      </c>
    </row>
    <row r="203" spans="1:19" x14ac:dyDescent="0.25">
      <c r="A203">
        <v>18017</v>
      </c>
      <c r="B203" t="s">
        <v>37</v>
      </c>
      <c r="C203">
        <v>9</v>
      </c>
      <c r="D203">
        <v>10.871414068275101</v>
      </c>
      <c r="E203">
        <v>0.67664402914575605</v>
      </c>
      <c r="F203">
        <f t="shared" si="7"/>
        <v>1</v>
      </c>
      <c r="G203">
        <v>0</v>
      </c>
      <c r="H203">
        <v>0</v>
      </c>
      <c r="I203">
        <v>1</v>
      </c>
      <c r="J203">
        <v>0</v>
      </c>
      <c r="K203">
        <v>0</v>
      </c>
      <c r="L203">
        <v>0</v>
      </c>
      <c r="M203">
        <f t="shared" si="6"/>
        <v>25</v>
      </c>
      <c r="N203">
        <v>0</v>
      </c>
      <c r="O203">
        <v>0</v>
      </c>
      <c r="P203">
        <v>25</v>
      </c>
      <c r="Q203">
        <v>0</v>
      </c>
      <c r="R203">
        <v>0</v>
      </c>
      <c r="S203">
        <v>0</v>
      </c>
    </row>
    <row r="204" spans="1:19" x14ac:dyDescent="0.25">
      <c r="A204">
        <v>18017</v>
      </c>
      <c r="B204" t="s">
        <v>37</v>
      </c>
      <c r="C204">
        <v>10</v>
      </c>
      <c r="D204">
        <v>10.1496604371863</v>
      </c>
      <c r="E204">
        <v>0.81197283497490702</v>
      </c>
      <c r="F204">
        <f t="shared" si="7"/>
        <v>1</v>
      </c>
      <c r="G204">
        <v>0</v>
      </c>
      <c r="H204">
        <v>0</v>
      </c>
      <c r="I204">
        <v>1</v>
      </c>
      <c r="J204">
        <v>0</v>
      </c>
      <c r="K204">
        <v>0</v>
      </c>
      <c r="L204">
        <v>0</v>
      </c>
      <c r="M204">
        <f t="shared" si="6"/>
        <v>25</v>
      </c>
      <c r="N204">
        <v>0</v>
      </c>
      <c r="O204">
        <v>0</v>
      </c>
      <c r="P204">
        <v>25</v>
      </c>
      <c r="Q204">
        <v>0</v>
      </c>
      <c r="R204">
        <v>0</v>
      </c>
      <c r="S204">
        <v>0</v>
      </c>
    </row>
    <row r="205" spans="1:19" x14ac:dyDescent="0.25">
      <c r="A205">
        <v>18017</v>
      </c>
      <c r="B205" t="s">
        <v>37</v>
      </c>
      <c r="C205">
        <v>11</v>
      </c>
      <c r="D205">
        <v>10.0143316313571</v>
      </c>
      <c r="E205">
        <v>0.49620562137355401</v>
      </c>
      <c r="F205">
        <f t="shared" si="7"/>
        <v>1</v>
      </c>
      <c r="G205">
        <v>0</v>
      </c>
      <c r="H205">
        <v>0</v>
      </c>
      <c r="I205">
        <v>1</v>
      </c>
      <c r="J205">
        <v>0</v>
      </c>
      <c r="K205">
        <v>0</v>
      </c>
      <c r="L205">
        <v>0</v>
      </c>
      <c r="M205">
        <f t="shared" si="6"/>
        <v>25</v>
      </c>
      <c r="N205">
        <v>0</v>
      </c>
      <c r="O205">
        <v>0</v>
      </c>
      <c r="P205">
        <v>25</v>
      </c>
      <c r="Q205">
        <v>0</v>
      </c>
      <c r="R205">
        <v>0</v>
      </c>
      <c r="S205">
        <v>0</v>
      </c>
    </row>
    <row r="206" spans="1:19" x14ac:dyDescent="0.25">
      <c r="A206">
        <v>18017</v>
      </c>
      <c r="B206" t="s">
        <v>37</v>
      </c>
      <c r="C206">
        <v>12</v>
      </c>
      <c r="D206">
        <v>10.3752084469015</v>
      </c>
      <c r="E206">
        <v>1.3532880582915101</v>
      </c>
      <c r="F206">
        <f t="shared" si="7"/>
        <v>1</v>
      </c>
      <c r="G206">
        <v>0</v>
      </c>
      <c r="H206">
        <v>0</v>
      </c>
      <c r="I206">
        <v>1</v>
      </c>
      <c r="J206">
        <v>0</v>
      </c>
      <c r="K206">
        <v>0</v>
      </c>
      <c r="L206">
        <v>0</v>
      </c>
      <c r="M206">
        <f t="shared" si="6"/>
        <v>25</v>
      </c>
      <c r="N206">
        <v>0</v>
      </c>
      <c r="O206">
        <v>0</v>
      </c>
      <c r="P206">
        <v>25</v>
      </c>
      <c r="Q206">
        <v>0</v>
      </c>
      <c r="R206">
        <v>0</v>
      </c>
      <c r="S206">
        <v>0</v>
      </c>
    </row>
    <row r="207" spans="1:19" x14ac:dyDescent="0.25">
      <c r="A207">
        <v>18017</v>
      </c>
      <c r="B207" t="s">
        <v>37</v>
      </c>
      <c r="C207">
        <v>13</v>
      </c>
      <c r="D207">
        <v>11.096962077990399</v>
      </c>
      <c r="E207">
        <v>0.81197283497490702</v>
      </c>
      <c r="F207">
        <f t="shared" si="7"/>
        <v>1</v>
      </c>
      <c r="G207">
        <v>0</v>
      </c>
      <c r="H207">
        <v>0</v>
      </c>
      <c r="I207">
        <v>1</v>
      </c>
      <c r="J207">
        <v>0</v>
      </c>
      <c r="K207">
        <v>0</v>
      </c>
      <c r="L207">
        <v>0</v>
      </c>
      <c r="M207">
        <f t="shared" si="6"/>
        <v>25</v>
      </c>
      <c r="N207">
        <v>0</v>
      </c>
      <c r="O207">
        <v>0</v>
      </c>
      <c r="P207">
        <v>25</v>
      </c>
      <c r="Q207">
        <v>0</v>
      </c>
      <c r="R207">
        <v>0</v>
      </c>
      <c r="S207">
        <v>0</v>
      </c>
    </row>
    <row r="208" spans="1:19" x14ac:dyDescent="0.25">
      <c r="A208">
        <v>18017</v>
      </c>
      <c r="B208" t="s">
        <v>37</v>
      </c>
      <c r="C208">
        <v>14</v>
      </c>
      <c r="D208">
        <v>11.2774004857626</v>
      </c>
      <c r="E208">
        <v>1.1277400485762601</v>
      </c>
      <c r="F208">
        <f t="shared" si="7"/>
        <v>1</v>
      </c>
      <c r="G208">
        <v>0</v>
      </c>
      <c r="H208">
        <v>0</v>
      </c>
      <c r="I208">
        <v>1</v>
      </c>
      <c r="J208">
        <v>0</v>
      </c>
      <c r="K208">
        <v>0</v>
      </c>
      <c r="L208">
        <v>0</v>
      </c>
      <c r="M208">
        <f t="shared" si="6"/>
        <v>25</v>
      </c>
      <c r="N208">
        <v>0</v>
      </c>
      <c r="O208">
        <v>0</v>
      </c>
      <c r="P208">
        <v>25</v>
      </c>
      <c r="Q208">
        <v>0</v>
      </c>
      <c r="R208">
        <v>0</v>
      </c>
      <c r="S208">
        <v>0</v>
      </c>
    </row>
    <row r="209" spans="1:19" x14ac:dyDescent="0.25">
      <c r="A209">
        <v>18017</v>
      </c>
      <c r="B209" t="s">
        <v>37</v>
      </c>
      <c r="C209">
        <v>15</v>
      </c>
      <c r="D209">
        <v>11.8187157090792</v>
      </c>
      <c r="E209">
        <v>1.3532880582915101</v>
      </c>
      <c r="F209">
        <f t="shared" si="7"/>
        <v>1</v>
      </c>
      <c r="G209">
        <v>0</v>
      </c>
      <c r="H209">
        <v>0</v>
      </c>
      <c r="I209">
        <v>1</v>
      </c>
      <c r="J209">
        <v>0</v>
      </c>
      <c r="K209">
        <v>0</v>
      </c>
      <c r="L209">
        <v>0</v>
      </c>
      <c r="M209">
        <f t="shared" si="6"/>
        <v>25</v>
      </c>
      <c r="N209">
        <v>0</v>
      </c>
      <c r="O209">
        <v>0</v>
      </c>
      <c r="P209">
        <v>25</v>
      </c>
      <c r="Q209">
        <v>0</v>
      </c>
      <c r="R209">
        <v>0</v>
      </c>
      <c r="S209">
        <v>0</v>
      </c>
    </row>
    <row r="210" spans="1:19" x14ac:dyDescent="0.25">
      <c r="A210">
        <v>18017</v>
      </c>
      <c r="B210" t="s">
        <v>37</v>
      </c>
      <c r="C210">
        <v>16</v>
      </c>
      <c r="D210">
        <v>13.6230997868012</v>
      </c>
      <c r="E210">
        <v>1.4435072621776099</v>
      </c>
      <c r="F210">
        <f t="shared" si="7"/>
        <v>1</v>
      </c>
      <c r="G210">
        <v>0</v>
      </c>
      <c r="H210">
        <v>0</v>
      </c>
      <c r="I210">
        <v>1</v>
      </c>
      <c r="J210">
        <v>0</v>
      </c>
      <c r="K210">
        <v>0</v>
      </c>
      <c r="L210">
        <v>0</v>
      </c>
      <c r="M210">
        <f t="shared" si="6"/>
        <v>25</v>
      </c>
      <c r="N210">
        <v>0</v>
      </c>
      <c r="O210">
        <v>0</v>
      </c>
      <c r="P210">
        <v>25</v>
      </c>
      <c r="Q210">
        <v>0</v>
      </c>
      <c r="R210">
        <v>0</v>
      </c>
      <c r="S210">
        <v>0</v>
      </c>
    </row>
    <row r="211" spans="1:19" x14ac:dyDescent="0.25">
      <c r="A211">
        <v>18017</v>
      </c>
      <c r="B211" t="s">
        <v>37</v>
      </c>
      <c r="C211">
        <v>17</v>
      </c>
      <c r="D211">
        <v>15.8785798839537</v>
      </c>
      <c r="E211">
        <v>1.53372646606371</v>
      </c>
      <c r="F211">
        <f t="shared" si="7"/>
        <v>1</v>
      </c>
      <c r="G211">
        <v>0</v>
      </c>
      <c r="H211">
        <v>0</v>
      </c>
      <c r="I211">
        <v>1</v>
      </c>
      <c r="J211">
        <v>0</v>
      </c>
      <c r="K211">
        <v>0</v>
      </c>
      <c r="L211">
        <v>0</v>
      </c>
      <c r="M211">
        <f t="shared" si="6"/>
        <v>25</v>
      </c>
      <c r="N211">
        <v>0</v>
      </c>
      <c r="O211">
        <v>0</v>
      </c>
      <c r="P211">
        <v>25</v>
      </c>
      <c r="Q211">
        <v>0</v>
      </c>
      <c r="R211">
        <v>0</v>
      </c>
      <c r="S211">
        <v>0</v>
      </c>
    </row>
    <row r="212" spans="1:19" x14ac:dyDescent="0.25">
      <c r="A212">
        <v>18017</v>
      </c>
      <c r="B212" t="s">
        <v>37</v>
      </c>
      <c r="C212">
        <v>18</v>
      </c>
      <c r="D212">
        <v>16.780771922814701</v>
      </c>
      <c r="E212">
        <v>2.0750416893803099</v>
      </c>
      <c r="F212">
        <f t="shared" si="7"/>
        <v>1</v>
      </c>
      <c r="G212">
        <v>0</v>
      </c>
      <c r="H212">
        <v>0</v>
      </c>
      <c r="I212">
        <v>1</v>
      </c>
      <c r="J212">
        <v>0</v>
      </c>
      <c r="K212">
        <v>0</v>
      </c>
      <c r="L212">
        <v>0</v>
      </c>
      <c r="M212">
        <f t="shared" si="6"/>
        <v>25</v>
      </c>
      <c r="N212">
        <v>0</v>
      </c>
      <c r="O212">
        <v>0</v>
      </c>
      <c r="P212">
        <v>25</v>
      </c>
      <c r="Q212">
        <v>0</v>
      </c>
      <c r="R212">
        <v>0</v>
      </c>
      <c r="S212">
        <v>0</v>
      </c>
    </row>
    <row r="213" spans="1:19" x14ac:dyDescent="0.25">
      <c r="A213">
        <v>18017</v>
      </c>
      <c r="B213" t="s">
        <v>37</v>
      </c>
      <c r="C213">
        <v>19</v>
      </c>
      <c r="D213">
        <v>19.171580825796401</v>
      </c>
      <c r="E213">
        <v>2.3005896990955699</v>
      </c>
      <c r="F213">
        <f t="shared" si="7"/>
        <v>1</v>
      </c>
      <c r="G213">
        <v>0</v>
      </c>
      <c r="H213">
        <v>0</v>
      </c>
      <c r="I213">
        <v>1</v>
      </c>
      <c r="J213">
        <v>0</v>
      </c>
      <c r="K213">
        <v>0</v>
      </c>
      <c r="L213">
        <v>0</v>
      </c>
      <c r="M213">
        <f t="shared" si="6"/>
        <v>25</v>
      </c>
      <c r="N213">
        <v>0</v>
      </c>
      <c r="O213">
        <v>0</v>
      </c>
      <c r="P213">
        <v>25</v>
      </c>
      <c r="Q213">
        <v>0</v>
      </c>
      <c r="R213">
        <v>0</v>
      </c>
      <c r="S213">
        <v>0</v>
      </c>
    </row>
    <row r="214" spans="1:19" x14ac:dyDescent="0.25">
      <c r="A214">
        <v>18017</v>
      </c>
      <c r="B214" t="s">
        <v>37</v>
      </c>
      <c r="C214">
        <v>20</v>
      </c>
      <c r="D214">
        <v>20.840636097689199</v>
      </c>
      <c r="E214">
        <v>2.48102810686777</v>
      </c>
      <c r="F214">
        <f t="shared" si="7"/>
        <v>1</v>
      </c>
      <c r="G214">
        <v>0</v>
      </c>
      <c r="H214">
        <v>0</v>
      </c>
      <c r="I214">
        <v>1</v>
      </c>
      <c r="J214">
        <v>0</v>
      </c>
      <c r="K214">
        <v>0</v>
      </c>
      <c r="L214">
        <v>0</v>
      </c>
      <c r="M214">
        <f t="shared" si="6"/>
        <v>25</v>
      </c>
      <c r="N214">
        <v>0</v>
      </c>
      <c r="O214">
        <v>0</v>
      </c>
      <c r="P214">
        <v>25</v>
      </c>
      <c r="Q214">
        <v>0</v>
      </c>
      <c r="R214">
        <v>0</v>
      </c>
      <c r="S214">
        <v>0</v>
      </c>
    </row>
    <row r="215" spans="1:19" x14ac:dyDescent="0.25">
      <c r="A215">
        <v>18017</v>
      </c>
      <c r="B215" t="s">
        <v>37</v>
      </c>
      <c r="C215">
        <v>21</v>
      </c>
      <c r="D215">
        <v>22.148814554037699</v>
      </c>
      <c r="E215">
        <v>2.5261377088108201</v>
      </c>
      <c r="F215">
        <f t="shared" si="7"/>
        <v>1</v>
      </c>
      <c r="G215">
        <v>0</v>
      </c>
      <c r="H215">
        <v>0</v>
      </c>
      <c r="I215">
        <v>1</v>
      </c>
      <c r="J215">
        <v>0</v>
      </c>
      <c r="K215">
        <v>0</v>
      </c>
      <c r="L215">
        <v>0</v>
      </c>
      <c r="M215">
        <f t="shared" si="6"/>
        <v>25</v>
      </c>
      <c r="N215">
        <v>0</v>
      </c>
      <c r="O215">
        <v>0</v>
      </c>
      <c r="P215">
        <v>25</v>
      </c>
      <c r="Q215">
        <v>0</v>
      </c>
      <c r="R215">
        <v>0</v>
      </c>
      <c r="S215">
        <v>0</v>
      </c>
    </row>
    <row r="216" spans="1:19" x14ac:dyDescent="0.25">
      <c r="A216">
        <v>18017</v>
      </c>
      <c r="B216" t="s">
        <v>37</v>
      </c>
      <c r="C216">
        <v>22</v>
      </c>
      <c r="D216">
        <v>23.456993010386199</v>
      </c>
      <c r="E216">
        <v>2.5261377088108201</v>
      </c>
      <c r="F216">
        <f t="shared" si="7"/>
        <v>1</v>
      </c>
      <c r="G216">
        <v>0</v>
      </c>
      <c r="H216">
        <v>0</v>
      </c>
      <c r="I216">
        <v>1</v>
      </c>
      <c r="J216">
        <v>0</v>
      </c>
      <c r="K216">
        <v>0</v>
      </c>
      <c r="L216">
        <v>0</v>
      </c>
      <c r="M216">
        <f t="shared" si="6"/>
        <v>25</v>
      </c>
      <c r="N216">
        <v>0</v>
      </c>
      <c r="O216">
        <v>0</v>
      </c>
      <c r="P216">
        <v>25</v>
      </c>
      <c r="Q216">
        <v>0</v>
      </c>
      <c r="R216">
        <v>0</v>
      </c>
      <c r="S216">
        <v>0</v>
      </c>
    </row>
    <row r="217" spans="1:19" x14ac:dyDescent="0.25">
      <c r="A217">
        <v>18017</v>
      </c>
      <c r="B217" t="s">
        <v>37</v>
      </c>
      <c r="C217">
        <v>23</v>
      </c>
      <c r="D217">
        <v>24.404294651190199</v>
      </c>
      <c r="E217">
        <v>2.5261377088108201</v>
      </c>
      <c r="F217">
        <f t="shared" si="7"/>
        <v>1</v>
      </c>
      <c r="G217">
        <v>0</v>
      </c>
      <c r="H217">
        <v>0</v>
      </c>
      <c r="I217">
        <v>1</v>
      </c>
      <c r="J217">
        <v>0</v>
      </c>
      <c r="K217">
        <v>0</v>
      </c>
      <c r="L217">
        <v>0</v>
      </c>
      <c r="M217">
        <f t="shared" si="6"/>
        <v>25</v>
      </c>
      <c r="N217">
        <v>0</v>
      </c>
      <c r="O217">
        <v>0</v>
      </c>
      <c r="P217">
        <v>25</v>
      </c>
      <c r="Q217">
        <v>0</v>
      </c>
      <c r="R217">
        <v>0</v>
      </c>
      <c r="S217">
        <v>0</v>
      </c>
    </row>
    <row r="218" spans="1:19" x14ac:dyDescent="0.25">
      <c r="A218">
        <v>18019</v>
      </c>
      <c r="B218" t="s">
        <v>38</v>
      </c>
      <c r="C218">
        <v>0</v>
      </c>
      <c r="D218">
        <v>418.33784204160702</v>
      </c>
      <c r="E218">
        <v>40.912011536082403</v>
      </c>
      <c r="F218">
        <f t="shared" si="7"/>
        <v>7</v>
      </c>
      <c r="G218">
        <v>1</v>
      </c>
      <c r="H218">
        <v>0</v>
      </c>
      <c r="I218">
        <v>4</v>
      </c>
      <c r="J218">
        <v>0</v>
      </c>
      <c r="K218">
        <v>2</v>
      </c>
      <c r="L218">
        <v>0</v>
      </c>
      <c r="M218">
        <f t="shared" si="6"/>
        <v>473</v>
      </c>
      <c r="N218">
        <v>220</v>
      </c>
      <c r="O218">
        <v>0</v>
      </c>
      <c r="P218">
        <v>137</v>
      </c>
      <c r="Q218">
        <v>0</v>
      </c>
      <c r="R218">
        <v>116</v>
      </c>
      <c r="S218">
        <v>0</v>
      </c>
    </row>
    <row r="219" spans="1:19" x14ac:dyDescent="0.25">
      <c r="A219">
        <v>18019</v>
      </c>
      <c r="B219" t="s">
        <v>38</v>
      </c>
      <c r="C219">
        <v>1</v>
      </c>
      <c r="D219">
        <v>424.64998096431702</v>
      </c>
      <c r="E219">
        <v>43.350033448028597</v>
      </c>
      <c r="F219">
        <f t="shared" si="7"/>
        <v>7</v>
      </c>
      <c r="G219">
        <v>1</v>
      </c>
      <c r="H219">
        <v>0</v>
      </c>
      <c r="I219">
        <v>4</v>
      </c>
      <c r="J219">
        <v>0</v>
      </c>
      <c r="K219">
        <v>2</v>
      </c>
      <c r="L219">
        <v>0</v>
      </c>
      <c r="M219">
        <f t="shared" si="6"/>
        <v>473</v>
      </c>
      <c r="N219">
        <v>220</v>
      </c>
      <c r="O219">
        <v>0</v>
      </c>
      <c r="P219">
        <v>137</v>
      </c>
      <c r="Q219">
        <v>0</v>
      </c>
      <c r="R219">
        <v>116</v>
      </c>
      <c r="S219">
        <v>0</v>
      </c>
    </row>
    <row r="220" spans="1:19" x14ac:dyDescent="0.25">
      <c r="A220">
        <v>18019</v>
      </c>
      <c r="B220" t="s">
        <v>38</v>
      </c>
      <c r="C220">
        <v>2</v>
      </c>
      <c r="D220">
        <v>425.21773949175599</v>
      </c>
      <c r="E220">
        <v>43.784201733717602</v>
      </c>
      <c r="F220">
        <f t="shared" si="7"/>
        <v>7</v>
      </c>
      <c r="G220">
        <v>1</v>
      </c>
      <c r="H220">
        <v>0</v>
      </c>
      <c r="I220">
        <v>4</v>
      </c>
      <c r="J220">
        <v>0</v>
      </c>
      <c r="K220">
        <v>2</v>
      </c>
      <c r="L220">
        <v>0</v>
      </c>
      <c r="M220">
        <f t="shared" si="6"/>
        <v>473</v>
      </c>
      <c r="N220">
        <v>220</v>
      </c>
      <c r="O220">
        <v>0</v>
      </c>
      <c r="P220">
        <v>137</v>
      </c>
      <c r="Q220">
        <v>0</v>
      </c>
      <c r="R220">
        <v>116</v>
      </c>
      <c r="S220">
        <v>0</v>
      </c>
    </row>
    <row r="221" spans="1:19" x14ac:dyDescent="0.25">
      <c r="A221">
        <v>18019</v>
      </c>
      <c r="B221" t="s">
        <v>38</v>
      </c>
      <c r="C221">
        <v>3</v>
      </c>
      <c r="D221">
        <v>419.64034689867401</v>
      </c>
      <c r="E221">
        <v>43.5504188106543</v>
      </c>
      <c r="F221">
        <f t="shared" si="7"/>
        <v>7</v>
      </c>
      <c r="G221">
        <v>1</v>
      </c>
      <c r="H221">
        <v>0</v>
      </c>
      <c r="I221">
        <v>4</v>
      </c>
      <c r="J221">
        <v>0</v>
      </c>
      <c r="K221">
        <v>2</v>
      </c>
      <c r="L221">
        <v>0</v>
      </c>
      <c r="M221">
        <f t="shared" si="6"/>
        <v>473</v>
      </c>
      <c r="N221">
        <v>220</v>
      </c>
      <c r="O221">
        <v>0</v>
      </c>
      <c r="P221">
        <v>137</v>
      </c>
      <c r="Q221">
        <v>0</v>
      </c>
      <c r="R221">
        <v>116</v>
      </c>
      <c r="S221">
        <v>0</v>
      </c>
    </row>
    <row r="222" spans="1:19" x14ac:dyDescent="0.25">
      <c r="A222">
        <v>18019</v>
      </c>
      <c r="B222" t="s">
        <v>38</v>
      </c>
      <c r="C222">
        <v>4</v>
      </c>
      <c r="D222">
        <v>405.412986152249</v>
      </c>
      <c r="E222">
        <v>44.752730986408501</v>
      </c>
      <c r="F222">
        <f t="shared" si="7"/>
        <v>7</v>
      </c>
      <c r="G222">
        <v>1</v>
      </c>
      <c r="H222">
        <v>0</v>
      </c>
      <c r="I222">
        <v>4</v>
      </c>
      <c r="J222">
        <v>0</v>
      </c>
      <c r="K222">
        <v>2</v>
      </c>
      <c r="L222">
        <v>0</v>
      </c>
      <c r="M222">
        <f t="shared" si="6"/>
        <v>473</v>
      </c>
      <c r="N222">
        <v>220</v>
      </c>
      <c r="O222">
        <v>0</v>
      </c>
      <c r="P222">
        <v>137</v>
      </c>
      <c r="Q222">
        <v>0</v>
      </c>
      <c r="R222">
        <v>116</v>
      </c>
      <c r="S222">
        <v>0</v>
      </c>
    </row>
    <row r="223" spans="1:19" x14ac:dyDescent="0.25">
      <c r="A223">
        <v>18019</v>
      </c>
      <c r="B223" t="s">
        <v>38</v>
      </c>
      <c r="C223">
        <v>5</v>
      </c>
      <c r="D223">
        <v>384.97367916442602</v>
      </c>
      <c r="E223">
        <v>47.691716304918998</v>
      </c>
      <c r="F223">
        <f t="shared" si="7"/>
        <v>7</v>
      </c>
      <c r="G223">
        <v>1</v>
      </c>
      <c r="H223">
        <v>0</v>
      </c>
      <c r="I223">
        <v>4</v>
      </c>
      <c r="J223">
        <v>0</v>
      </c>
      <c r="K223">
        <v>2</v>
      </c>
      <c r="L223">
        <v>0</v>
      </c>
      <c r="M223">
        <f t="shared" si="6"/>
        <v>473</v>
      </c>
      <c r="N223">
        <v>220</v>
      </c>
      <c r="O223">
        <v>0</v>
      </c>
      <c r="P223">
        <v>137</v>
      </c>
      <c r="Q223">
        <v>0</v>
      </c>
      <c r="R223">
        <v>116</v>
      </c>
      <c r="S223">
        <v>0</v>
      </c>
    </row>
    <row r="224" spans="1:19" x14ac:dyDescent="0.25">
      <c r="A224">
        <v>18019</v>
      </c>
      <c r="B224" t="s">
        <v>38</v>
      </c>
      <c r="C224">
        <v>6</v>
      </c>
      <c r="D224">
        <v>353.71356259481502</v>
      </c>
      <c r="E224">
        <v>45.955043162162802</v>
      </c>
      <c r="F224">
        <f t="shared" si="7"/>
        <v>7</v>
      </c>
      <c r="G224">
        <v>1</v>
      </c>
      <c r="H224">
        <v>0</v>
      </c>
      <c r="I224">
        <v>4</v>
      </c>
      <c r="J224">
        <v>0</v>
      </c>
      <c r="K224">
        <v>2</v>
      </c>
      <c r="L224">
        <v>0</v>
      </c>
      <c r="M224">
        <f t="shared" si="6"/>
        <v>473</v>
      </c>
      <c r="N224">
        <v>220</v>
      </c>
      <c r="O224">
        <v>0</v>
      </c>
      <c r="P224">
        <v>137</v>
      </c>
      <c r="Q224">
        <v>0</v>
      </c>
      <c r="R224">
        <v>116</v>
      </c>
      <c r="S224">
        <v>0</v>
      </c>
    </row>
    <row r="225" spans="1:19" x14ac:dyDescent="0.25">
      <c r="A225">
        <v>18019</v>
      </c>
      <c r="B225" t="s">
        <v>38</v>
      </c>
      <c r="C225">
        <v>7</v>
      </c>
      <c r="D225">
        <v>290.69236604903</v>
      </c>
      <c r="E225">
        <v>35.768787228689199</v>
      </c>
      <c r="F225">
        <f t="shared" si="7"/>
        <v>7</v>
      </c>
      <c r="G225">
        <v>1</v>
      </c>
      <c r="H225">
        <v>0</v>
      </c>
      <c r="I225">
        <v>4</v>
      </c>
      <c r="J225">
        <v>0</v>
      </c>
      <c r="K225">
        <v>2</v>
      </c>
      <c r="L225">
        <v>0</v>
      </c>
      <c r="M225">
        <f t="shared" si="6"/>
        <v>473</v>
      </c>
      <c r="N225">
        <v>220</v>
      </c>
      <c r="O225">
        <v>0</v>
      </c>
      <c r="P225">
        <v>137</v>
      </c>
      <c r="Q225">
        <v>0</v>
      </c>
      <c r="R225">
        <v>116</v>
      </c>
      <c r="S225">
        <v>0</v>
      </c>
    </row>
    <row r="226" spans="1:19" x14ac:dyDescent="0.25">
      <c r="A226">
        <v>18019</v>
      </c>
      <c r="B226" t="s">
        <v>38</v>
      </c>
      <c r="C226">
        <v>8</v>
      </c>
      <c r="D226">
        <v>238.69236444765801</v>
      </c>
      <c r="E226">
        <v>27.385999558847001</v>
      </c>
      <c r="F226">
        <f t="shared" si="7"/>
        <v>7</v>
      </c>
      <c r="G226">
        <v>1</v>
      </c>
      <c r="H226">
        <v>0</v>
      </c>
      <c r="I226">
        <v>4</v>
      </c>
      <c r="J226">
        <v>0</v>
      </c>
      <c r="K226">
        <v>2</v>
      </c>
      <c r="L226">
        <v>0</v>
      </c>
      <c r="M226">
        <f t="shared" si="6"/>
        <v>473</v>
      </c>
      <c r="N226">
        <v>220</v>
      </c>
      <c r="O226">
        <v>0</v>
      </c>
      <c r="P226">
        <v>137</v>
      </c>
      <c r="Q226">
        <v>0</v>
      </c>
      <c r="R226">
        <v>116</v>
      </c>
      <c r="S226">
        <v>0</v>
      </c>
    </row>
    <row r="227" spans="1:19" x14ac:dyDescent="0.25">
      <c r="A227">
        <v>18019</v>
      </c>
      <c r="B227" t="s">
        <v>38</v>
      </c>
      <c r="C227">
        <v>9</v>
      </c>
      <c r="D227">
        <v>199.81760409827001</v>
      </c>
      <c r="E227">
        <v>21.4746313613886</v>
      </c>
      <c r="F227">
        <f t="shared" si="7"/>
        <v>7</v>
      </c>
      <c r="G227">
        <v>1</v>
      </c>
      <c r="H227">
        <v>0</v>
      </c>
      <c r="I227">
        <v>4</v>
      </c>
      <c r="J227">
        <v>0</v>
      </c>
      <c r="K227">
        <v>2</v>
      </c>
      <c r="L227">
        <v>0</v>
      </c>
      <c r="M227">
        <f t="shared" si="6"/>
        <v>473</v>
      </c>
      <c r="N227">
        <v>220</v>
      </c>
      <c r="O227">
        <v>0</v>
      </c>
      <c r="P227">
        <v>137</v>
      </c>
      <c r="Q227">
        <v>0</v>
      </c>
      <c r="R227">
        <v>116</v>
      </c>
      <c r="S227">
        <v>0</v>
      </c>
    </row>
    <row r="228" spans="1:19" x14ac:dyDescent="0.25">
      <c r="A228">
        <v>18019</v>
      </c>
      <c r="B228" t="s">
        <v>38</v>
      </c>
      <c r="C228">
        <v>10</v>
      </c>
      <c r="D228">
        <v>177.97559957206801</v>
      </c>
      <c r="E228">
        <v>16.064226570494402</v>
      </c>
      <c r="F228">
        <f t="shared" si="7"/>
        <v>7</v>
      </c>
      <c r="G228">
        <v>1</v>
      </c>
      <c r="H228">
        <v>0</v>
      </c>
      <c r="I228">
        <v>4</v>
      </c>
      <c r="J228">
        <v>0</v>
      </c>
      <c r="K228">
        <v>2</v>
      </c>
      <c r="L228">
        <v>0</v>
      </c>
      <c r="M228">
        <f t="shared" si="6"/>
        <v>473</v>
      </c>
      <c r="N228">
        <v>220</v>
      </c>
      <c r="O228">
        <v>0</v>
      </c>
      <c r="P228">
        <v>137</v>
      </c>
      <c r="Q228">
        <v>0</v>
      </c>
      <c r="R228">
        <v>116</v>
      </c>
      <c r="S228">
        <v>0</v>
      </c>
    </row>
    <row r="229" spans="1:19" x14ac:dyDescent="0.25">
      <c r="A229">
        <v>18019</v>
      </c>
      <c r="B229" t="s">
        <v>38</v>
      </c>
      <c r="C229">
        <v>11</v>
      </c>
      <c r="D229">
        <v>181.31535561582999</v>
      </c>
      <c r="E229">
        <v>13.659602218985899</v>
      </c>
      <c r="F229">
        <f t="shared" si="7"/>
        <v>7</v>
      </c>
      <c r="G229">
        <v>1</v>
      </c>
      <c r="H229">
        <v>0</v>
      </c>
      <c r="I229">
        <v>4</v>
      </c>
      <c r="J229">
        <v>0</v>
      </c>
      <c r="K229">
        <v>2</v>
      </c>
      <c r="L229">
        <v>0</v>
      </c>
      <c r="M229">
        <f t="shared" si="6"/>
        <v>473</v>
      </c>
      <c r="N229">
        <v>220</v>
      </c>
      <c r="O229">
        <v>0</v>
      </c>
      <c r="P229">
        <v>137</v>
      </c>
      <c r="Q229">
        <v>0</v>
      </c>
      <c r="R229">
        <v>116</v>
      </c>
      <c r="S229">
        <v>0</v>
      </c>
    </row>
    <row r="230" spans="1:19" x14ac:dyDescent="0.25">
      <c r="A230">
        <v>18019</v>
      </c>
      <c r="B230" t="s">
        <v>38</v>
      </c>
      <c r="C230">
        <v>12</v>
      </c>
      <c r="D230">
        <v>182.718053154209</v>
      </c>
      <c r="E230">
        <v>15.229287559553899</v>
      </c>
      <c r="F230">
        <f t="shared" si="7"/>
        <v>7</v>
      </c>
      <c r="G230">
        <v>1</v>
      </c>
      <c r="H230">
        <v>0</v>
      </c>
      <c r="I230">
        <v>4</v>
      </c>
      <c r="J230">
        <v>0</v>
      </c>
      <c r="K230">
        <v>2</v>
      </c>
      <c r="L230">
        <v>0</v>
      </c>
      <c r="M230">
        <f t="shared" si="6"/>
        <v>473</v>
      </c>
      <c r="N230">
        <v>220</v>
      </c>
      <c r="O230">
        <v>0</v>
      </c>
      <c r="P230">
        <v>137</v>
      </c>
      <c r="Q230">
        <v>0</v>
      </c>
      <c r="R230">
        <v>116</v>
      </c>
      <c r="S230">
        <v>0</v>
      </c>
    </row>
    <row r="231" spans="1:19" x14ac:dyDescent="0.25">
      <c r="A231">
        <v>18019</v>
      </c>
      <c r="B231" t="s">
        <v>38</v>
      </c>
      <c r="C231">
        <v>13</v>
      </c>
      <c r="D231">
        <v>183.15222143989899</v>
      </c>
      <c r="E231">
        <v>10.8876047026635</v>
      </c>
      <c r="F231">
        <f t="shared" si="7"/>
        <v>7</v>
      </c>
      <c r="G231">
        <v>1</v>
      </c>
      <c r="H231">
        <v>0</v>
      </c>
      <c r="I231">
        <v>4</v>
      </c>
      <c r="J231">
        <v>0</v>
      </c>
      <c r="K231">
        <v>2</v>
      </c>
      <c r="L231">
        <v>0</v>
      </c>
      <c r="M231">
        <f t="shared" si="6"/>
        <v>473</v>
      </c>
      <c r="N231">
        <v>220</v>
      </c>
      <c r="O231">
        <v>0</v>
      </c>
      <c r="P231">
        <v>137</v>
      </c>
      <c r="Q231">
        <v>0</v>
      </c>
      <c r="R231">
        <v>116</v>
      </c>
      <c r="S231">
        <v>0</v>
      </c>
    </row>
    <row r="232" spans="1:19" x14ac:dyDescent="0.25">
      <c r="A232">
        <v>18019</v>
      </c>
      <c r="B232" t="s">
        <v>38</v>
      </c>
      <c r="C232">
        <v>14</v>
      </c>
      <c r="D232">
        <v>191.668599351491</v>
      </c>
      <c r="E232">
        <v>9.4849071642836105</v>
      </c>
      <c r="F232">
        <f t="shared" si="7"/>
        <v>7</v>
      </c>
      <c r="G232">
        <v>1</v>
      </c>
      <c r="H232">
        <v>0</v>
      </c>
      <c r="I232">
        <v>4</v>
      </c>
      <c r="J232">
        <v>0</v>
      </c>
      <c r="K232">
        <v>2</v>
      </c>
      <c r="L232">
        <v>0</v>
      </c>
      <c r="M232">
        <f t="shared" si="6"/>
        <v>473</v>
      </c>
      <c r="N232">
        <v>220</v>
      </c>
      <c r="O232">
        <v>0</v>
      </c>
      <c r="P232">
        <v>137</v>
      </c>
      <c r="Q232">
        <v>0</v>
      </c>
      <c r="R232">
        <v>116</v>
      </c>
      <c r="S232">
        <v>0</v>
      </c>
    </row>
    <row r="233" spans="1:19" x14ac:dyDescent="0.25">
      <c r="A233">
        <v>18019</v>
      </c>
      <c r="B233" t="s">
        <v>38</v>
      </c>
      <c r="C233">
        <v>15</v>
      </c>
      <c r="D233">
        <v>208.166994207675</v>
      </c>
      <c r="E233">
        <v>9.8522803290974093</v>
      </c>
      <c r="F233">
        <f t="shared" si="7"/>
        <v>7</v>
      </c>
      <c r="G233">
        <v>1</v>
      </c>
      <c r="H233">
        <v>0</v>
      </c>
      <c r="I233">
        <v>4</v>
      </c>
      <c r="J233">
        <v>0</v>
      </c>
      <c r="K233">
        <v>2</v>
      </c>
      <c r="L233">
        <v>0</v>
      </c>
      <c r="M233">
        <f t="shared" si="6"/>
        <v>473</v>
      </c>
      <c r="N233">
        <v>220</v>
      </c>
      <c r="O233">
        <v>0</v>
      </c>
      <c r="P233">
        <v>137</v>
      </c>
      <c r="Q233">
        <v>0</v>
      </c>
      <c r="R233">
        <v>116</v>
      </c>
      <c r="S233">
        <v>0</v>
      </c>
    </row>
    <row r="234" spans="1:19" x14ac:dyDescent="0.25">
      <c r="A234">
        <v>18019</v>
      </c>
      <c r="B234" t="s">
        <v>38</v>
      </c>
      <c r="C234">
        <v>16</v>
      </c>
      <c r="D234">
        <v>230.443167019566</v>
      </c>
      <c r="E234">
        <v>11.2215803070397</v>
      </c>
      <c r="F234">
        <f t="shared" si="7"/>
        <v>7</v>
      </c>
      <c r="G234">
        <v>1</v>
      </c>
      <c r="H234">
        <v>0</v>
      </c>
      <c r="I234">
        <v>4</v>
      </c>
      <c r="J234">
        <v>0</v>
      </c>
      <c r="K234">
        <v>2</v>
      </c>
      <c r="L234">
        <v>0</v>
      </c>
      <c r="M234">
        <f t="shared" si="6"/>
        <v>473</v>
      </c>
      <c r="N234">
        <v>220</v>
      </c>
      <c r="O234">
        <v>0</v>
      </c>
      <c r="P234">
        <v>137</v>
      </c>
      <c r="Q234">
        <v>0</v>
      </c>
      <c r="R234">
        <v>116</v>
      </c>
      <c r="S234">
        <v>0</v>
      </c>
    </row>
    <row r="235" spans="1:19" x14ac:dyDescent="0.25">
      <c r="A235">
        <v>18019</v>
      </c>
      <c r="B235" t="s">
        <v>38</v>
      </c>
      <c r="C235">
        <v>17</v>
      </c>
      <c r="D235">
        <v>258.59731046847799</v>
      </c>
      <c r="E235">
        <v>13.058446131108701</v>
      </c>
      <c r="F235">
        <f t="shared" si="7"/>
        <v>7</v>
      </c>
      <c r="G235">
        <v>1</v>
      </c>
      <c r="H235">
        <v>0</v>
      </c>
      <c r="I235">
        <v>4</v>
      </c>
      <c r="J235">
        <v>0</v>
      </c>
      <c r="K235">
        <v>2</v>
      </c>
      <c r="L235">
        <v>0</v>
      </c>
      <c r="M235">
        <f t="shared" si="6"/>
        <v>473</v>
      </c>
      <c r="N235">
        <v>220</v>
      </c>
      <c r="O235">
        <v>0</v>
      </c>
      <c r="P235">
        <v>137</v>
      </c>
      <c r="Q235">
        <v>0</v>
      </c>
      <c r="R235">
        <v>116</v>
      </c>
      <c r="S235">
        <v>0</v>
      </c>
    </row>
    <row r="236" spans="1:19" x14ac:dyDescent="0.25">
      <c r="A236">
        <v>18019</v>
      </c>
      <c r="B236" t="s">
        <v>38</v>
      </c>
      <c r="C236">
        <v>18</v>
      </c>
      <c r="D236">
        <v>287.98716365358302</v>
      </c>
      <c r="E236">
        <v>15.797046086993401</v>
      </c>
      <c r="F236">
        <f t="shared" si="7"/>
        <v>7</v>
      </c>
      <c r="G236">
        <v>1</v>
      </c>
      <c r="H236">
        <v>0</v>
      </c>
      <c r="I236">
        <v>4</v>
      </c>
      <c r="J236">
        <v>0</v>
      </c>
      <c r="K236">
        <v>2</v>
      </c>
      <c r="L236">
        <v>0</v>
      </c>
      <c r="M236">
        <f t="shared" si="6"/>
        <v>473</v>
      </c>
      <c r="N236">
        <v>220</v>
      </c>
      <c r="O236">
        <v>0</v>
      </c>
      <c r="P236">
        <v>137</v>
      </c>
      <c r="Q236">
        <v>0</v>
      </c>
      <c r="R236">
        <v>116</v>
      </c>
      <c r="S236">
        <v>0</v>
      </c>
    </row>
    <row r="237" spans="1:19" x14ac:dyDescent="0.25">
      <c r="A237">
        <v>18019</v>
      </c>
      <c r="B237" t="s">
        <v>38</v>
      </c>
      <c r="C237">
        <v>19</v>
      </c>
      <c r="D237">
        <v>324.19011916796097</v>
      </c>
      <c r="E237">
        <v>18.9364167681296</v>
      </c>
      <c r="F237">
        <f t="shared" si="7"/>
        <v>7</v>
      </c>
      <c r="G237">
        <v>1</v>
      </c>
      <c r="H237">
        <v>0</v>
      </c>
      <c r="I237">
        <v>4</v>
      </c>
      <c r="J237">
        <v>0</v>
      </c>
      <c r="K237">
        <v>2</v>
      </c>
      <c r="L237">
        <v>0</v>
      </c>
      <c r="M237">
        <f t="shared" si="6"/>
        <v>473</v>
      </c>
      <c r="N237">
        <v>220</v>
      </c>
      <c r="O237">
        <v>0</v>
      </c>
      <c r="P237">
        <v>137</v>
      </c>
      <c r="Q237">
        <v>0</v>
      </c>
      <c r="R237">
        <v>116</v>
      </c>
      <c r="S237">
        <v>0</v>
      </c>
    </row>
    <row r="238" spans="1:19" x14ac:dyDescent="0.25">
      <c r="A238">
        <v>18019</v>
      </c>
      <c r="B238" t="s">
        <v>38</v>
      </c>
      <c r="C238">
        <v>20</v>
      </c>
      <c r="D238">
        <v>356.41876499026301</v>
      </c>
      <c r="E238">
        <v>23.9794483942099</v>
      </c>
      <c r="F238">
        <f t="shared" si="7"/>
        <v>7</v>
      </c>
      <c r="G238">
        <v>1</v>
      </c>
      <c r="H238">
        <v>0</v>
      </c>
      <c r="I238">
        <v>4</v>
      </c>
      <c r="J238">
        <v>0</v>
      </c>
      <c r="K238">
        <v>2</v>
      </c>
      <c r="L238">
        <v>0</v>
      </c>
      <c r="M238">
        <f t="shared" si="6"/>
        <v>473</v>
      </c>
      <c r="N238">
        <v>220</v>
      </c>
      <c r="O238">
        <v>0</v>
      </c>
      <c r="P238">
        <v>137</v>
      </c>
      <c r="Q238">
        <v>0</v>
      </c>
      <c r="R238">
        <v>116</v>
      </c>
      <c r="S238">
        <v>0</v>
      </c>
    </row>
    <row r="239" spans="1:19" x14ac:dyDescent="0.25">
      <c r="A239">
        <v>18019</v>
      </c>
      <c r="B239" t="s">
        <v>38</v>
      </c>
      <c r="C239">
        <v>21</v>
      </c>
      <c r="D239">
        <v>379.32949145046899</v>
      </c>
      <c r="E239">
        <v>27.452794679722199</v>
      </c>
      <c r="F239">
        <f t="shared" si="7"/>
        <v>7</v>
      </c>
      <c r="G239">
        <v>1</v>
      </c>
      <c r="H239">
        <v>0</v>
      </c>
      <c r="I239">
        <v>4</v>
      </c>
      <c r="J239">
        <v>0</v>
      </c>
      <c r="K239">
        <v>2</v>
      </c>
      <c r="L239">
        <v>0</v>
      </c>
      <c r="M239">
        <f t="shared" si="6"/>
        <v>473</v>
      </c>
      <c r="N239">
        <v>220</v>
      </c>
      <c r="O239">
        <v>0</v>
      </c>
      <c r="P239">
        <v>137</v>
      </c>
      <c r="Q239">
        <v>0</v>
      </c>
      <c r="R239">
        <v>116</v>
      </c>
      <c r="S239">
        <v>0</v>
      </c>
    </row>
    <row r="240" spans="1:19" x14ac:dyDescent="0.25">
      <c r="A240">
        <v>18019</v>
      </c>
      <c r="B240" t="s">
        <v>38</v>
      </c>
      <c r="C240">
        <v>22</v>
      </c>
      <c r="D240">
        <v>396.76301799890598</v>
      </c>
      <c r="E240">
        <v>31.8278750970502</v>
      </c>
      <c r="F240">
        <f t="shared" si="7"/>
        <v>7</v>
      </c>
      <c r="G240">
        <v>1</v>
      </c>
      <c r="H240">
        <v>0</v>
      </c>
      <c r="I240">
        <v>4</v>
      </c>
      <c r="J240">
        <v>0</v>
      </c>
      <c r="K240">
        <v>2</v>
      </c>
      <c r="L240">
        <v>0</v>
      </c>
      <c r="M240">
        <f t="shared" si="6"/>
        <v>473</v>
      </c>
      <c r="N240">
        <v>220</v>
      </c>
      <c r="O240">
        <v>0</v>
      </c>
      <c r="P240">
        <v>137</v>
      </c>
      <c r="Q240">
        <v>0</v>
      </c>
      <c r="R240">
        <v>116</v>
      </c>
      <c r="S240">
        <v>0</v>
      </c>
    </row>
    <row r="241" spans="1:19" x14ac:dyDescent="0.25">
      <c r="A241">
        <v>18019</v>
      </c>
      <c r="B241" t="s">
        <v>38</v>
      </c>
      <c r="C241">
        <v>23</v>
      </c>
      <c r="D241">
        <v>409.587681206951</v>
      </c>
      <c r="E241">
        <v>35.969172591314901</v>
      </c>
      <c r="F241">
        <f t="shared" si="7"/>
        <v>7</v>
      </c>
      <c r="G241">
        <v>1</v>
      </c>
      <c r="H241">
        <v>0</v>
      </c>
      <c r="I241">
        <v>4</v>
      </c>
      <c r="J241">
        <v>0</v>
      </c>
      <c r="K241">
        <v>2</v>
      </c>
      <c r="L241">
        <v>0</v>
      </c>
      <c r="M241">
        <f t="shared" si="6"/>
        <v>473</v>
      </c>
      <c r="N241">
        <v>220</v>
      </c>
      <c r="O241">
        <v>0</v>
      </c>
      <c r="P241">
        <v>137</v>
      </c>
      <c r="Q241">
        <v>0</v>
      </c>
      <c r="R241">
        <v>116</v>
      </c>
      <c r="S241">
        <v>0</v>
      </c>
    </row>
    <row r="242" spans="1:19" x14ac:dyDescent="0.25">
      <c r="A242">
        <v>18021</v>
      </c>
      <c r="B242" t="s">
        <v>39</v>
      </c>
      <c r="C242">
        <v>0</v>
      </c>
      <c r="D242">
        <v>181.69999999999899</v>
      </c>
      <c r="E242">
        <v>12.192282624796301</v>
      </c>
      <c r="F242">
        <f t="shared" si="7"/>
        <v>4</v>
      </c>
      <c r="G242">
        <v>0</v>
      </c>
      <c r="H242">
        <v>2</v>
      </c>
      <c r="I242">
        <v>2</v>
      </c>
      <c r="J242">
        <v>0</v>
      </c>
      <c r="K242">
        <v>0</v>
      </c>
      <c r="L242">
        <v>0</v>
      </c>
      <c r="M242">
        <f t="shared" si="6"/>
        <v>158</v>
      </c>
      <c r="N242">
        <v>0</v>
      </c>
      <c r="O242">
        <v>130</v>
      </c>
      <c r="P242">
        <v>28</v>
      </c>
      <c r="Q242">
        <v>0</v>
      </c>
      <c r="R242">
        <v>0</v>
      </c>
      <c r="S242">
        <v>0</v>
      </c>
    </row>
    <row r="243" spans="1:19" x14ac:dyDescent="0.25">
      <c r="A243">
        <v>18021</v>
      </c>
      <c r="B243" t="s">
        <v>39</v>
      </c>
      <c r="C243">
        <v>1</v>
      </c>
      <c r="D243">
        <v>167.75827284846599</v>
      </c>
      <c r="E243">
        <v>13.564923715005101</v>
      </c>
      <c r="F243">
        <f t="shared" si="7"/>
        <v>4</v>
      </c>
      <c r="G243">
        <v>0</v>
      </c>
      <c r="H243">
        <v>2</v>
      </c>
      <c r="I243">
        <v>2</v>
      </c>
      <c r="J243">
        <v>0</v>
      </c>
      <c r="K243">
        <v>0</v>
      </c>
      <c r="L243">
        <v>0</v>
      </c>
      <c r="M243">
        <f t="shared" si="6"/>
        <v>158</v>
      </c>
      <c r="N243">
        <v>0</v>
      </c>
      <c r="O243">
        <v>130</v>
      </c>
      <c r="P243">
        <v>28</v>
      </c>
      <c r="Q243">
        <v>0</v>
      </c>
      <c r="R243">
        <v>0</v>
      </c>
      <c r="S243">
        <v>0</v>
      </c>
    </row>
    <row r="244" spans="1:19" x14ac:dyDescent="0.25">
      <c r="A244">
        <v>18021</v>
      </c>
      <c r="B244" t="s">
        <v>39</v>
      </c>
      <c r="C244">
        <v>2</v>
      </c>
      <c r="D244">
        <v>164.070982076729</v>
      </c>
      <c r="E244">
        <v>14.4800177751444</v>
      </c>
      <c r="F244">
        <f t="shared" si="7"/>
        <v>4</v>
      </c>
      <c r="G244">
        <v>0</v>
      </c>
      <c r="H244">
        <v>2</v>
      </c>
      <c r="I244">
        <v>2</v>
      </c>
      <c r="J244">
        <v>0</v>
      </c>
      <c r="K244">
        <v>0</v>
      </c>
      <c r="L244">
        <v>0</v>
      </c>
      <c r="M244">
        <f t="shared" si="6"/>
        <v>158</v>
      </c>
      <c r="N244">
        <v>0</v>
      </c>
      <c r="O244">
        <v>130</v>
      </c>
      <c r="P244">
        <v>28</v>
      </c>
      <c r="Q244">
        <v>0</v>
      </c>
      <c r="R244">
        <v>0</v>
      </c>
      <c r="S244">
        <v>0</v>
      </c>
    </row>
    <row r="245" spans="1:19" x14ac:dyDescent="0.25">
      <c r="A245">
        <v>18021</v>
      </c>
      <c r="B245" t="s">
        <v>39</v>
      </c>
      <c r="C245">
        <v>3</v>
      </c>
      <c r="D245">
        <v>161.621759739297</v>
      </c>
      <c r="E245">
        <v>14.8299066804917</v>
      </c>
      <c r="F245">
        <f t="shared" si="7"/>
        <v>4</v>
      </c>
      <c r="G245">
        <v>0</v>
      </c>
      <c r="H245">
        <v>2</v>
      </c>
      <c r="I245">
        <v>2</v>
      </c>
      <c r="J245">
        <v>0</v>
      </c>
      <c r="K245">
        <v>0</v>
      </c>
      <c r="L245">
        <v>0</v>
      </c>
      <c r="M245">
        <f t="shared" si="6"/>
        <v>158</v>
      </c>
      <c r="N245">
        <v>0</v>
      </c>
      <c r="O245">
        <v>130</v>
      </c>
      <c r="P245">
        <v>28</v>
      </c>
      <c r="Q245">
        <v>0</v>
      </c>
      <c r="R245">
        <v>0</v>
      </c>
      <c r="S245">
        <v>0</v>
      </c>
    </row>
    <row r="246" spans="1:19" x14ac:dyDescent="0.25">
      <c r="A246">
        <v>18021</v>
      </c>
      <c r="B246" t="s">
        <v>39</v>
      </c>
      <c r="C246">
        <v>4</v>
      </c>
      <c r="D246">
        <v>156.669486002073</v>
      </c>
      <c r="E246">
        <v>15.2067101170196</v>
      </c>
      <c r="F246">
        <f t="shared" si="7"/>
        <v>4</v>
      </c>
      <c r="G246">
        <v>0</v>
      </c>
      <c r="H246">
        <v>2</v>
      </c>
      <c r="I246">
        <v>2</v>
      </c>
      <c r="J246">
        <v>0</v>
      </c>
      <c r="K246">
        <v>0</v>
      </c>
      <c r="L246">
        <v>0</v>
      </c>
      <c r="M246">
        <f t="shared" si="6"/>
        <v>158</v>
      </c>
      <c r="N246">
        <v>0</v>
      </c>
      <c r="O246">
        <v>130</v>
      </c>
      <c r="P246">
        <v>28</v>
      </c>
      <c r="Q246">
        <v>0</v>
      </c>
      <c r="R246">
        <v>0</v>
      </c>
      <c r="S246">
        <v>0</v>
      </c>
    </row>
    <row r="247" spans="1:19" x14ac:dyDescent="0.25">
      <c r="A247">
        <v>18021</v>
      </c>
      <c r="B247" t="s">
        <v>39</v>
      </c>
      <c r="C247">
        <v>5</v>
      </c>
      <c r="D247">
        <v>151.42115242186301</v>
      </c>
      <c r="E247">
        <v>17.198385424381499</v>
      </c>
      <c r="F247">
        <f t="shared" si="7"/>
        <v>4</v>
      </c>
      <c r="G247">
        <v>0</v>
      </c>
      <c r="H247">
        <v>2</v>
      </c>
      <c r="I247">
        <v>2</v>
      </c>
      <c r="J247">
        <v>0</v>
      </c>
      <c r="K247">
        <v>0</v>
      </c>
      <c r="L247">
        <v>0</v>
      </c>
      <c r="M247">
        <f t="shared" si="6"/>
        <v>158</v>
      </c>
      <c r="N247">
        <v>0</v>
      </c>
      <c r="O247">
        <v>130</v>
      </c>
      <c r="P247">
        <v>28</v>
      </c>
      <c r="Q247">
        <v>0</v>
      </c>
      <c r="R247">
        <v>0</v>
      </c>
      <c r="S247">
        <v>0</v>
      </c>
    </row>
    <row r="248" spans="1:19" x14ac:dyDescent="0.25">
      <c r="A248">
        <v>18021</v>
      </c>
      <c r="B248" t="s">
        <v>39</v>
      </c>
      <c r="C248">
        <v>6</v>
      </c>
      <c r="D248">
        <v>141.57043400977599</v>
      </c>
      <c r="E248">
        <v>17.009983706117598</v>
      </c>
      <c r="F248">
        <f t="shared" si="7"/>
        <v>4</v>
      </c>
      <c r="G248">
        <v>0</v>
      </c>
      <c r="H248">
        <v>2</v>
      </c>
      <c r="I248">
        <v>2</v>
      </c>
      <c r="J248">
        <v>0</v>
      </c>
      <c r="K248">
        <v>0</v>
      </c>
      <c r="L248">
        <v>0</v>
      </c>
      <c r="M248">
        <f t="shared" si="6"/>
        <v>158</v>
      </c>
      <c r="N248">
        <v>0</v>
      </c>
      <c r="O248">
        <v>130</v>
      </c>
      <c r="P248">
        <v>28</v>
      </c>
      <c r="Q248">
        <v>0</v>
      </c>
      <c r="R248">
        <v>0</v>
      </c>
      <c r="S248">
        <v>0</v>
      </c>
    </row>
    <row r="249" spans="1:19" x14ac:dyDescent="0.25">
      <c r="A249">
        <v>18021</v>
      </c>
      <c r="B249" t="s">
        <v>39</v>
      </c>
      <c r="C249">
        <v>7</v>
      </c>
      <c r="D249">
        <v>123.887587024144</v>
      </c>
      <c r="E249">
        <v>13.268863872018899</v>
      </c>
      <c r="F249">
        <f t="shared" si="7"/>
        <v>4</v>
      </c>
      <c r="G249">
        <v>0</v>
      </c>
      <c r="H249">
        <v>2</v>
      </c>
      <c r="I249">
        <v>2</v>
      </c>
      <c r="J249">
        <v>0</v>
      </c>
      <c r="K249">
        <v>0</v>
      </c>
      <c r="L249">
        <v>0</v>
      </c>
      <c r="M249">
        <f t="shared" si="6"/>
        <v>158</v>
      </c>
      <c r="N249">
        <v>0</v>
      </c>
      <c r="O249">
        <v>130</v>
      </c>
      <c r="P249">
        <v>28</v>
      </c>
      <c r="Q249">
        <v>0</v>
      </c>
      <c r="R249">
        <v>0</v>
      </c>
      <c r="S249">
        <v>0</v>
      </c>
    </row>
    <row r="250" spans="1:19" x14ac:dyDescent="0.25">
      <c r="A250">
        <v>18021</v>
      </c>
      <c r="B250" t="s">
        <v>39</v>
      </c>
      <c r="C250">
        <v>8</v>
      </c>
      <c r="D250">
        <v>98.157295215523604</v>
      </c>
      <c r="E250">
        <v>11.950051844171201</v>
      </c>
      <c r="F250">
        <f t="shared" si="7"/>
        <v>4</v>
      </c>
      <c r="G250">
        <v>0</v>
      </c>
      <c r="H250">
        <v>2</v>
      </c>
      <c r="I250">
        <v>2</v>
      </c>
      <c r="J250">
        <v>0</v>
      </c>
      <c r="K250">
        <v>0</v>
      </c>
      <c r="L250">
        <v>0</v>
      </c>
      <c r="M250">
        <f t="shared" si="6"/>
        <v>158</v>
      </c>
      <c r="N250">
        <v>0</v>
      </c>
      <c r="O250">
        <v>130</v>
      </c>
      <c r="P250">
        <v>28</v>
      </c>
      <c r="Q250">
        <v>0</v>
      </c>
      <c r="R250">
        <v>0</v>
      </c>
      <c r="S250">
        <v>0</v>
      </c>
    </row>
    <row r="251" spans="1:19" x14ac:dyDescent="0.25">
      <c r="A251">
        <v>18021</v>
      </c>
      <c r="B251" t="s">
        <v>39</v>
      </c>
      <c r="C251">
        <v>9</v>
      </c>
      <c r="D251">
        <v>83.381217597392904</v>
      </c>
      <c r="E251">
        <v>11.7885646570878</v>
      </c>
      <c r="F251">
        <f t="shared" si="7"/>
        <v>4</v>
      </c>
      <c r="G251">
        <v>0</v>
      </c>
      <c r="H251">
        <v>2</v>
      </c>
      <c r="I251">
        <v>2</v>
      </c>
      <c r="J251">
        <v>0</v>
      </c>
      <c r="K251">
        <v>0</v>
      </c>
      <c r="L251">
        <v>0</v>
      </c>
      <c r="M251">
        <f t="shared" si="6"/>
        <v>158</v>
      </c>
      <c r="N251">
        <v>0</v>
      </c>
      <c r="O251">
        <v>130</v>
      </c>
      <c r="P251">
        <v>28</v>
      </c>
      <c r="Q251">
        <v>0</v>
      </c>
      <c r="R251">
        <v>0</v>
      </c>
      <c r="S251">
        <v>0</v>
      </c>
    </row>
    <row r="252" spans="1:19" x14ac:dyDescent="0.25">
      <c r="A252">
        <v>18021</v>
      </c>
      <c r="B252" t="s">
        <v>39</v>
      </c>
      <c r="C252">
        <v>10</v>
      </c>
      <c r="D252">
        <v>75.064627462598096</v>
      </c>
      <c r="E252">
        <v>9.0432824766701199</v>
      </c>
      <c r="F252">
        <f t="shared" si="7"/>
        <v>4</v>
      </c>
      <c r="G252">
        <v>0</v>
      </c>
      <c r="H252">
        <v>2</v>
      </c>
      <c r="I252">
        <v>2</v>
      </c>
      <c r="J252">
        <v>0</v>
      </c>
      <c r="K252">
        <v>0</v>
      </c>
      <c r="L252">
        <v>0</v>
      </c>
      <c r="M252">
        <f t="shared" si="6"/>
        <v>158</v>
      </c>
      <c r="N252">
        <v>0</v>
      </c>
      <c r="O252">
        <v>130</v>
      </c>
      <c r="P252">
        <v>28</v>
      </c>
      <c r="Q252">
        <v>0</v>
      </c>
      <c r="R252">
        <v>0</v>
      </c>
      <c r="S252">
        <v>0</v>
      </c>
    </row>
    <row r="253" spans="1:19" x14ac:dyDescent="0.25">
      <c r="A253">
        <v>18021</v>
      </c>
      <c r="B253" t="s">
        <v>39</v>
      </c>
      <c r="C253">
        <v>11</v>
      </c>
      <c r="D253">
        <v>76.383439490445795</v>
      </c>
      <c r="E253">
        <v>4.76387201896015</v>
      </c>
      <c r="F253">
        <f t="shared" si="7"/>
        <v>4</v>
      </c>
      <c r="G253">
        <v>0</v>
      </c>
      <c r="H253">
        <v>2</v>
      </c>
      <c r="I253">
        <v>2</v>
      </c>
      <c r="J253">
        <v>0</v>
      </c>
      <c r="K253">
        <v>0</v>
      </c>
      <c r="L253">
        <v>0</v>
      </c>
      <c r="M253">
        <f t="shared" si="6"/>
        <v>158</v>
      </c>
      <c r="N253">
        <v>0</v>
      </c>
      <c r="O253">
        <v>130</v>
      </c>
      <c r="P253">
        <v>28</v>
      </c>
      <c r="Q253">
        <v>0</v>
      </c>
      <c r="R253">
        <v>0</v>
      </c>
      <c r="S253">
        <v>0</v>
      </c>
    </row>
    <row r="254" spans="1:19" x14ac:dyDescent="0.25">
      <c r="A254">
        <v>18021</v>
      </c>
      <c r="B254" t="s">
        <v>39</v>
      </c>
      <c r="C254">
        <v>12</v>
      </c>
      <c r="D254">
        <v>80.9858243223226</v>
      </c>
      <c r="E254">
        <v>3.4719745222929901</v>
      </c>
      <c r="F254">
        <f t="shared" si="7"/>
        <v>4</v>
      </c>
      <c r="G254">
        <v>0</v>
      </c>
      <c r="H254">
        <v>2</v>
      </c>
      <c r="I254">
        <v>2</v>
      </c>
      <c r="J254">
        <v>0</v>
      </c>
      <c r="K254">
        <v>0</v>
      </c>
      <c r="L254">
        <v>0</v>
      </c>
      <c r="M254">
        <f t="shared" si="6"/>
        <v>158</v>
      </c>
      <c r="N254">
        <v>0</v>
      </c>
      <c r="O254">
        <v>130</v>
      </c>
      <c r="P254">
        <v>28</v>
      </c>
      <c r="Q254">
        <v>0</v>
      </c>
      <c r="R254">
        <v>0</v>
      </c>
      <c r="S254">
        <v>0</v>
      </c>
    </row>
    <row r="255" spans="1:19" x14ac:dyDescent="0.25">
      <c r="A255">
        <v>18021</v>
      </c>
      <c r="B255" t="s">
        <v>39</v>
      </c>
      <c r="C255">
        <v>13</v>
      </c>
      <c r="D255">
        <v>69.627892164123807</v>
      </c>
      <c r="E255">
        <v>3.0413420234039301</v>
      </c>
      <c r="F255">
        <f t="shared" si="7"/>
        <v>4</v>
      </c>
      <c r="G255">
        <v>0</v>
      </c>
      <c r="H255">
        <v>2</v>
      </c>
      <c r="I255">
        <v>2</v>
      </c>
      <c r="J255">
        <v>0</v>
      </c>
      <c r="K255">
        <v>0</v>
      </c>
      <c r="L255">
        <v>0</v>
      </c>
      <c r="M255">
        <f t="shared" si="6"/>
        <v>158</v>
      </c>
      <c r="N255">
        <v>0</v>
      </c>
      <c r="O255">
        <v>130</v>
      </c>
      <c r="P255">
        <v>28</v>
      </c>
      <c r="Q255">
        <v>0</v>
      </c>
      <c r="R255">
        <v>0</v>
      </c>
      <c r="S255">
        <v>0</v>
      </c>
    </row>
    <row r="256" spans="1:19" x14ac:dyDescent="0.25">
      <c r="A256">
        <v>18021</v>
      </c>
      <c r="B256" t="s">
        <v>39</v>
      </c>
      <c r="C256">
        <v>14</v>
      </c>
      <c r="D256">
        <v>67.7977040438453</v>
      </c>
      <c r="E256">
        <v>2.2877351503480901</v>
      </c>
      <c r="F256">
        <f t="shared" si="7"/>
        <v>4</v>
      </c>
      <c r="G256">
        <v>0</v>
      </c>
      <c r="H256">
        <v>2</v>
      </c>
      <c r="I256">
        <v>2</v>
      </c>
      <c r="J256">
        <v>0</v>
      </c>
      <c r="K256">
        <v>0</v>
      </c>
      <c r="L256">
        <v>0</v>
      </c>
      <c r="M256">
        <f t="shared" si="6"/>
        <v>158</v>
      </c>
      <c r="N256">
        <v>0</v>
      </c>
      <c r="O256">
        <v>130</v>
      </c>
      <c r="P256">
        <v>28</v>
      </c>
      <c r="Q256">
        <v>0</v>
      </c>
      <c r="R256">
        <v>0</v>
      </c>
      <c r="S256">
        <v>0</v>
      </c>
    </row>
    <row r="257" spans="1:19" x14ac:dyDescent="0.25">
      <c r="A257">
        <v>18021</v>
      </c>
      <c r="B257" t="s">
        <v>39</v>
      </c>
      <c r="C257">
        <v>15</v>
      </c>
      <c r="D257">
        <v>72.669234187527707</v>
      </c>
      <c r="E257">
        <v>2.045504369723</v>
      </c>
      <c r="F257">
        <f t="shared" si="7"/>
        <v>4</v>
      </c>
      <c r="G257">
        <v>0</v>
      </c>
      <c r="H257">
        <v>2</v>
      </c>
      <c r="I257">
        <v>2</v>
      </c>
      <c r="J257">
        <v>0</v>
      </c>
      <c r="K257">
        <v>0</v>
      </c>
      <c r="L257">
        <v>0</v>
      </c>
      <c r="M257">
        <f t="shared" si="6"/>
        <v>158</v>
      </c>
      <c r="N257">
        <v>0</v>
      </c>
      <c r="O257">
        <v>130</v>
      </c>
      <c r="P257">
        <v>28</v>
      </c>
      <c r="Q257">
        <v>0</v>
      </c>
      <c r="R257">
        <v>0</v>
      </c>
      <c r="S257">
        <v>0</v>
      </c>
    </row>
    <row r="258" spans="1:19" x14ac:dyDescent="0.25">
      <c r="A258">
        <v>18021</v>
      </c>
      <c r="B258" t="s">
        <v>39</v>
      </c>
      <c r="C258">
        <v>16</v>
      </c>
      <c r="D258">
        <v>83.461961190934602</v>
      </c>
      <c r="E258">
        <v>2.0185898385424301</v>
      </c>
      <c r="F258">
        <f t="shared" si="7"/>
        <v>4</v>
      </c>
      <c r="G258">
        <v>0</v>
      </c>
      <c r="H258">
        <v>2</v>
      </c>
      <c r="I258">
        <v>2</v>
      </c>
      <c r="J258">
        <v>0</v>
      </c>
      <c r="K258">
        <v>0</v>
      </c>
      <c r="L258">
        <v>0</v>
      </c>
      <c r="M258">
        <f t="shared" ref="M258:M321" si="8">SUM(N258:S258)</f>
        <v>158</v>
      </c>
      <c r="N258">
        <v>0</v>
      </c>
      <c r="O258">
        <v>130</v>
      </c>
      <c r="P258">
        <v>28</v>
      </c>
      <c r="Q258">
        <v>0</v>
      </c>
      <c r="R258">
        <v>0</v>
      </c>
      <c r="S258">
        <v>0</v>
      </c>
    </row>
    <row r="259" spans="1:19" x14ac:dyDescent="0.25">
      <c r="A259">
        <v>18021</v>
      </c>
      <c r="B259" t="s">
        <v>39</v>
      </c>
      <c r="C259">
        <v>17</v>
      </c>
      <c r="D259">
        <v>93.554910383646799</v>
      </c>
      <c r="E259">
        <v>2.1800770256258302</v>
      </c>
      <c r="F259">
        <f t="shared" ref="F259:F322" si="9">SUM(G259:L259)</f>
        <v>4</v>
      </c>
      <c r="G259">
        <v>0</v>
      </c>
      <c r="H259">
        <v>2</v>
      </c>
      <c r="I259">
        <v>2</v>
      </c>
      <c r="J259">
        <v>0</v>
      </c>
      <c r="K259">
        <v>0</v>
      </c>
      <c r="L259">
        <v>0</v>
      </c>
      <c r="M259">
        <f t="shared" si="8"/>
        <v>158</v>
      </c>
      <c r="N259">
        <v>0</v>
      </c>
      <c r="O259">
        <v>130</v>
      </c>
      <c r="P259">
        <v>28</v>
      </c>
      <c r="Q259">
        <v>0</v>
      </c>
      <c r="R259">
        <v>0</v>
      </c>
      <c r="S259">
        <v>0</v>
      </c>
    </row>
    <row r="260" spans="1:19" x14ac:dyDescent="0.25">
      <c r="A260">
        <v>18021</v>
      </c>
      <c r="B260" t="s">
        <v>39</v>
      </c>
      <c r="C260">
        <v>18</v>
      </c>
      <c r="D260">
        <v>108.061842689971</v>
      </c>
      <c r="E260">
        <v>2.4223078062509198</v>
      </c>
      <c r="F260">
        <f t="shared" si="9"/>
        <v>4</v>
      </c>
      <c r="G260">
        <v>0</v>
      </c>
      <c r="H260">
        <v>2</v>
      </c>
      <c r="I260">
        <v>2</v>
      </c>
      <c r="J260">
        <v>0</v>
      </c>
      <c r="K260">
        <v>0</v>
      </c>
      <c r="L260">
        <v>0</v>
      </c>
      <c r="M260">
        <f t="shared" si="8"/>
        <v>158</v>
      </c>
      <c r="N260">
        <v>0</v>
      </c>
      <c r="O260">
        <v>130</v>
      </c>
      <c r="P260">
        <v>28</v>
      </c>
      <c r="Q260">
        <v>0</v>
      </c>
      <c r="R260">
        <v>0</v>
      </c>
      <c r="S260">
        <v>0</v>
      </c>
    </row>
    <row r="261" spans="1:19" x14ac:dyDescent="0.25">
      <c r="A261">
        <v>18021</v>
      </c>
      <c r="B261" t="s">
        <v>39</v>
      </c>
      <c r="C261">
        <v>19</v>
      </c>
      <c r="D261">
        <v>121.249962968449</v>
      </c>
      <c r="E261">
        <v>2.9875129610428002</v>
      </c>
      <c r="F261">
        <f t="shared" si="9"/>
        <v>4</v>
      </c>
      <c r="G261">
        <v>0</v>
      </c>
      <c r="H261">
        <v>2</v>
      </c>
      <c r="I261">
        <v>2</v>
      </c>
      <c r="J261">
        <v>0</v>
      </c>
      <c r="K261">
        <v>0</v>
      </c>
      <c r="L261">
        <v>0</v>
      </c>
      <c r="M261">
        <f t="shared" si="8"/>
        <v>158</v>
      </c>
      <c r="N261">
        <v>0</v>
      </c>
      <c r="O261">
        <v>130</v>
      </c>
      <c r="P261">
        <v>28</v>
      </c>
      <c r="Q261">
        <v>0</v>
      </c>
      <c r="R261">
        <v>0</v>
      </c>
      <c r="S261">
        <v>0</v>
      </c>
    </row>
    <row r="262" spans="1:19" x14ac:dyDescent="0.25">
      <c r="A262">
        <v>18021</v>
      </c>
      <c r="B262" t="s">
        <v>39</v>
      </c>
      <c r="C262">
        <v>20</v>
      </c>
      <c r="D262">
        <v>134.868715745815</v>
      </c>
      <c r="E262">
        <v>3.7680343652792101</v>
      </c>
      <c r="F262">
        <f t="shared" si="9"/>
        <v>4</v>
      </c>
      <c r="G262">
        <v>0</v>
      </c>
      <c r="H262">
        <v>2</v>
      </c>
      <c r="I262">
        <v>2</v>
      </c>
      <c r="J262">
        <v>0</v>
      </c>
      <c r="K262">
        <v>0</v>
      </c>
      <c r="L262">
        <v>0</v>
      </c>
      <c r="M262">
        <f t="shared" si="8"/>
        <v>158</v>
      </c>
      <c r="N262">
        <v>0</v>
      </c>
      <c r="O262">
        <v>130</v>
      </c>
      <c r="P262">
        <v>28</v>
      </c>
      <c r="Q262">
        <v>0</v>
      </c>
      <c r="R262">
        <v>0</v>
      </c>
      <c r="S262">
        <v>0</v>
      </c>
    </row>
    <row r="263" spans="1:19" x14ac:dyDescent="0.25">
      <c r="A263">
        <v>18021</v>
      </c>
      <c r="B263" t="s">
        <v>39</v>
      </c>
      <c r="C263">
        <v>21</v>
      </c>
      <c r="D263">
        <v>145.84984446748601</v>
      </c>
      <c r="E263">
        <v>5.7058806102799497</v>
      </c>
      <c r="F263">
        <f t="shared" si="9"/>
        <v>4</v>
      </c>
      <c r="G263">
        <v>0</v>
      </c>
      <c r="H263">
        <v>2</v>
      </c>
      <c r="I263">
        <v>2</v>
      </c>
      <c r="J263">
        <v>0</v>
      </c>
      <c r="K263">
        <v>0</v>
      </c>
      <c r="L263">
        <v>0</v>
      </c>
      <c r="M263">
        <f t="shared" si="8"/>
        <v>158</v>
      </c>
      <c r="N263">
        <v>0</v>
      </c>
      <c r="O263">
        <v>130</v>
      </c>
      <c r="P263">
        <v>28</v>
      </c>
      <c r="Q263">
        <v>0</v>
      </c>
      <c r="R263">
        <v>0</v>
      </c>
      <c r="S263">
        <v>0</v>
      </c>
    </row>
    <row r="264" spans="1:19" x14ac:dyDescent="0.25">
      <c r="A264">
        <v>18021</v>
      </c>
      <c r="B264" t="s">
        <v>39</v>
      </c>
      <c r="C264">
        <v>22</v>
      </c>
      <c r="D264">
        <v>155.29684491186401</v>
      </c>
      <c r="E264">
        <v>7.6437268552806898</v>
      </c>
      <c r="F264">
        <f t="shared" si="9"/>
        <v>4</v>
      </c>
      <c r="G264">
        <v>0</v>
      </c>
      <c r="H264">
        <v>2</v>
      </c>
      <c r="I264">
        <v>2</v>
      </c>
      <c r="J264">
        <v>0</v>
      </c>
      <c r="K264">
        <v>0</v>
      </c>
      <c r="L264">
        <v>0</v>
      </c>
      <c r="M264">
        <f t="shared" si="8"/>
        <v>158</v>
      </c>
      <c r="N264">
        <v>0</v>
      </c>
      <c r="O264">
        <v>130</v>
      </c>
      <c r="P264">
        <v>28</v>
      </c>
      <c r="Q264">
        <v>0</v>
      </c>
      <c r="R264">
        <v>0</v>
      </c>
      <c r="S264">
        <v>0</v>
      </c>
    </row>
    <row r="265" spans="1:19" x14ac:dyDescent="0.25">
      <c r="A265">
        <v>18021</v>
      </c>
      <c r="B265" t="s">
        <v>39</v>
      </c>
      <c r="C265">
        <v>23</v>
      </c>
      <c r="D265">
        <v>172.14534143089901</v>
      </c>
      <c r="E265">
        <v>10.2813509109761</v>
      </c>
      <c r="F265">
        <f t="shared" si="9"/>
        <v>4</v>
      </c>
      <c r="G265">
        <v>0</v>
      </c>
      <c r="H265">
        <v>2</v>
      </c>
      <c r="I265">
        <v>2</v>
      </c>
      <c r="J265">
        <v>0</v>
      </c>
      <c r="K265">
        <v>0</v>
      </c>
      <c r="L265">
        <v>0</v>
      </c>
      <c r="M265">
        <f t="shared" si="8"/>
        <v>158</v>
      </c>
      <c r="N265">
        <v>0</v>
      </c>
      <c r="O265">
        <v>130</v>
      </c>
      <c r="P265">
        <v>28</v>
      </c>
      <c r="Q265">
        <v>0</v>
      </c>
      <c r="R265">
        <v>0</v>
      </c>
      <c r="S265">
        <v>0</v>
      </c>
    </row>
    <row r="266" spans="1:19" x14ac:dyDescent="0.25">
      <c r="A266">
        <v>18023</v>
      </c>
      <c r="B266" t="s">
        <v>40</v>
      </c>
      <c r="C266">
        <v>0</v>
      </c>
      <c r="D266">
        <v>56.154346210995499</v>
      </c>
      <c r="E266">
        <v>6.5360326894502201</v>
      </c>
      <c r="F266">
        <f t="shared" si="9"/>
        <v>1</v>
      </c>
      <c r="G266">
        <v>0</v>
      </c>
      <c r="H266">
        <v>1</v>
      </c>
      <c r="I266">
        <v>0</v>
      </c>
      <c r="J266">
        <v>0</v>
      </c>
      <c r="K266">
        <v>0</v>
      </c>
      <c r="L266">
        <v>0</v>
      </c>
      <c r="M266">
        <f t="shared" si="8"/>
        <v>50</v>
      </c>
      <c r="N266">
        <v>0</v>
      </c>
      <c r="O266">
        <v>50</v>
      </c>
      <c r="P266">
        <v>0</v>
      </c>
      <c r="Q266">
        <v>0</v>
      </c>
      <c r="R266">
        <v>0</v>
      </c>
      <c r="S266">
        <v>0</v>
      </c>
    </row>
    <row r="267" spans="1:19" x14ac:dyDescent="0.25">
      <c r="A267">
        <v>18023</v>
      </c>
      <c r="B267" t="s">
        <v>40</v>
      </c>
      <c r="C267">
        <v>1</v>
      </c>
      <c r="D267">
        <v>57.1368870728083</v>
      </c>
      <c r="E267">
        <v>7.8816864784546699</v>
      </c>
      <c r="F267">
        <f t="shared" si="9"/>
        <v>1</v>
      </c>
      <c r="G267">
        <v>0</v>
      </c>
      <c r="H267">
        <v>1</v>
      </c>
      <c r="I267">
        <v>0</v>
      </c>
      <c r="J267">
        <v>0</v>
      </c>
      <c r="K267">
        <v>0</v>
      </c>
      <c r="L267">
        <v>0</v>
      </c>
      <c r="M267">
        <f t="shared" si="8"/>
        <v>50</v>
      </c>
      <c r="N267">
        <v>0</v>
      </c>
      <c r="O267">
        <v>50</v>
      </c>
      <c r="P267">
        <v>0</v>
      </c>
      <c r="Q267">
        <v>0</v>
      </c>
      <c r="R267">
        <v>0</v>
      </c>
      <c r="S267">
        <v>0</v>
      </c>
    </row>
    <row r="268" spans="1:19" x14ac:dyDescent="0.25">
      <c r="A268">
        <v>18023</v>
      </c>
      <c r="B268" t="s">
        <v>40</v>
      </c>
      <c r="C268">
        <v>2</v>
      </c>
      <c r="D268">
        <v>57.499999999999901</v>
      </c>
      <c r="E268">
        <v>10.1244427934621</v>
      </c>
      <c r="F268">
        <f t="shared" si="9"/>
        <v>1</v>
      </c>
      <c r="G268">
        <v>0</v>
      </c>
      <c r="H268">
        <v>1</v>
      </c>
      <c r="I268">
        <v>0</v>
      </c>
      <c r="J268">
        <v>0</v>
      </c>
      <c r="K268">
        <v>0</v>
      </c>
      <c r="L268">
        <v>0</v>
      </c>
      <c r="M268">
        <f t="shared" si="8"/>
        <v>50</v>
      </c>
      <c r="N268">
        <v>0</v>
      </c>
      <c r="O268">
        <v>50</v>
      </c>
      <c r="P268">
        <v>0</v>
      </c>
      <c r="Q268">
        <v>0</v>
      </c>
      <c r="R268">
        <v>0</v>
      </c>
      <c r="S268">
        <v>0</v>
      </c>
    </row>
    <row r="269" spans="1:19" x14ac:dyDescent="0.25">
      <c r="A269">
        <v>18023</v>
      </c>
      <c r="B269" t="s">
        <v>40</v>
      </c>
      <c r="C269">
        <v>3</v>
      </c>
      <c r="D269">
        <v>56.901931649331303</v>
      </c>
      <c r="E269">
        <v>10.4448365527488</v>
      </c>
      <c r="F269">
        <f t="shared" si="9"/>
        <v>1</v>
      </c>
      <c r="G269">
        <v>0</v>
      </c>
      <c r="H269">
        <v>1</v>
      </c>
      <c r="I269">
        <v>0</v>
      </c>
      <c r="J269">
        <v>0</v>
      </c>
      <c r="K269">
        <v>0</v>
      </c>
      <c r="L269">
        <v>0</v>
      </c>
      <c r="M269">
        <f t="shared" si="8"/>
        <v>50</v>
      </c>
      <c r="N269">
        <v>0</v>
      </c>
      <c r="O269">
        <v>50</v>
      </c>
      <c r="P269">
        <v>0</v>
      </c>
      <c r="Q269">
        <v>0</v>
      </c>
      <c r="R269">
        <v>0</v>
      </c>
      <c r="S269">
        <v>0</v>
      </c>
    </row>
    <row r="270" spans="1:19" x14ac:dyDescent="0.25">
      <c r="A270">
        <v>18023</v>
      </c>
      <c r="B270" t="s">
        <v>40</v>
      </c>
      <c r="C270">
        <v>4</v>
      </c>
      <c r="D270">
        <v>54.915490341753298</v>
      </c>
      <c r="E270">
        <v>9.6118127786032694</v>
      </c>
      <c r="F270">
        <f t="shared" si="9"/>
        <v>1</v>
      </c>
      <c r="G270">
        <v>0</v>
      </c>
      <c r="H270">
        <v>1</v>
      </c>
      <c r="I270">
        <v>0</v>
      </c>
      <c r="J270">
        <v>0</v>
      </c>
      <c r="K270">
        <v>0</v>
      </c>
      <c r="L270">
        <v>0</v>
      </c>
      <c r="M270">
        <f t="shared" si="8"/>
        <v>50</v>
      </c>
      <c r="N270">
        <v>0</v>
      </c>
      <c r="O270">
        <v>50</v>
      </c>
      <c r="P270">
        <v>0</v>
      </c>
      <c r="Q270">
        <v>0</v>
      </c>
      <c r="R270">
        <v>0</v>
      </c>
      <c r="S270">
        <v>0</v>
      </c>
    </row>
    <row r="271" spans="1:19" x14ac:dyDescent="0.25">
      <c r="A271">
        <v>18023</v>
      </c>
      <c r="B271" t="s">
        <v>40</v>
      </c>
      <c r="C271">
        <v>5</v>
      </c>
      <c r="D271">
        <v>52.843610698365502</v>
      </c>
      <c r="E271">
        <v>10.530274888558599</v>
      </c>
      <c r="F271">
        <f t="shared" si="9"/>
        <v>1</v>
      </c>
      <c r="G271">
        <v>0</v>
      </c>
      <c r="H271">
        <v>1</v>
      </c>
      <c r="I271">
        <v>0</v>
      </c>
      <c r="J271">
        <v>0</v>
      </c>
      <c r="K271">
        <v>0</v>
      </c>
      <c r="L271">
        <v>0</v>
      </c>
      <c r="M271">
        <f t="shared" si="8"/>
        <v>50</v>
      </c>
      <c r="N271">
        <v>0</v>
      </c>
      <c r="O271">
        <v>50</v>
      </c>
      <c r="P271">
        <v>0</v>
      </c>
      <c r="Q271">
        <v>0</v>
      </c>
      <c r="R271">
        <v>0</v>
      </c>
      <c r="S271">
        <v>0</v>
      </c>
    </row>
    <row r="272" spans="1:19" x14ac:dyDescent="0.25">
      <c r="A272">
        <v>18023</v>
      </c>
      <c r="B272" t="s">
        <v>40</v>
      </c>
      <c r="C272">
        <v>6</v>
      </c>
      <c r="D272">
        <v>48.315378900445701</v>
      </c>
      <c r="E272">
        <v>10.4448365527488</v>
      </c>
      <c r="F272">
        <f t="shared" si="9"/>
        <v>1</v>
      </c>
      <c r="G272">
        <v>0</v>
      </c>
      <c r="H272">
        <v>1</v>
      </c>
      <c r="I272">
        <v>0</v>
      </c>
      <c r="J272">
        <v>0</v>
      </c>
      <c r="K272">
        <v>0</v>
      </c>
      <c r="L272">
        <v>0</v>
      </c>
      <c r="M272">
        <f t="shared" si="8"/>
        <v>50</v>
      </c>
      <c r="N272">
        <v>0</v>
      </c>
      <c r="O272">
        <v>50</v>
      </c>
      <c r="P272">
        <v>0</v>
      </c>
      <c r="Q272">
        <v>0</v>
      </c>
      <c r="R272">
        <v>0</v>
      </c>
      <c r="S272">
        <v>0</v>
      </c>
    </row>
    <row r="273" spans="1:19" x14ac:dyDescent="0.25">
      <c r="A273">
        <v>18023</v>
      </c>
      <c r="B273" t="s">
        <v>40</v>
      </c>
      <c r="C273">
        <v>7</v>
      </c>
      <c r="D273">
        <v>41.608469539375903</v>
      </c>
      <c r="E273">
        <v>8.3088781575037096</v>
      </c>
      <c r="F273">
        <f t="shared" si="9"/>
        <v>1</v>
      </c>
      <c r="G273">
        <v>0</v>
      </c>
      <c r="H273">
        <v>1</v>
      </c>
      <c r="I273">
        <v>0</v>
      </c>
      <c r="J273">
        <v>0</v>
      </c>
      <c r="K273">
        <v>0</v>
      </c>
      <c r="L273">
        <v>0</v>
      </c>
      <c r="M273">
        <f t="shared" si="8"/>
        <v>50</v>
      </c>
      <c r="N273">
        <v>0</v>
      </c>
      <c r="O273">
        <v>50</v>
      </c>
      <c r="P273">
        <v>0</v>
      </c>
      <c r="Q273">
        <v>0</v>
      </c>
      <c r="R273">
        <v>0</v>
      </c>
      <c r="S273">
        <v>0</v>
      </c>
    </row>
    <row r="274" spans="1:19" x14ac:dyDescent="0.25">
      <c r="A274">
        <v>18023</v>
      </c>
      <c r="B274" t="s">
        <v>40</v>
      </c>
      <c r="C274">
        <v>8</v>
      </c>
      <c r="D274">
        <v>32.765601783060902</v>
      </c>
      <c r="E274">
        <v>5.9806835066864696</v>
      </c>
      <c r="F274">
        <f t="shared" si="9"/>
        <v>1</v>
      </c>
      <c r="G274">
        <v>0</v>
      </c>
      <c r="H274">
        <v>1</v>
      </c>
      <c r="I274">
        <v>0</v>
      </c>
      <c r="J274">
        <v>0</v>
      </c>
      <c r="K274">
        <v>0</v>
      </c>
      <c r="L274">
        <v>0</v>
      </c>
      <c r="M274">
        <f t="shared" si="8"/>
        <v>50</v>
      </c>
      <c r="N274">
        <v>0</v>
      </c>
      <c r="O274">
        <v>50</v>
      </c>
      <c r="P274">
        <v>0</v>
      </c>
      <c r="Q274">
        <v>0</v>
      </c>
      <c r="R274">
        <v>0</v>
      </c>
      <c r="S274">
        <v>0</v>
      </c>
    </row>
    <row r="275" spans="1:19" x14ac:dyDescent="0.25">
      <c r="A275">
        <v>18023</v>
      </c>
      <c r="B275" t="s">
        <v>40</v>
      </c>
      <c r="C275">
        <v>9</v>
      </c>
      <c r="D275">
        <v>25.247028231797898</v>
      </c>
      <c r="E275">
        <v>4.6350297176820199</v>
      </c>
      <c r="F275">
        <f t="shared" si="9"/>
        <v>1</v>
      </c>
      <c r="G275">
        <v>0</v>
      </c>
      <c r="H275">
        <v>1</v>
      </c>
      <c r="I275">
        <v>0</v>
      </c>
      <c r="J275">
        <v>0</v>
      </c>
      <c r="K275">
        <v>0</v>
      </c>
      <c r="L275">
        <v>0</v>
      </c>
      <c r="M275">
        <f t="shared" si="8"/>
        <v>50</v>
      </c>
      <c r="N275">
        <v>0</v>
      </c>
      <c r="O275">
        <v>50</v>
      </c>
      <c r="P275">
        <v>0</v>
      </c>
      <c r="Q275">
        <v>0</v>
      </c>
      <c r="R275">
        <v>0</v>
      </c>
      <c r="S275">
        <v>0</v>
      </c>
    </row>
    <row r="276" spans="1:19" x14ac:dyDescent="0.25">
      <c r="A276">
        <v>18023</v>
      </c>
      <c r="B276" t="s">
        <v>40</v>
      </c>
      <c r="C276">
        <v>10</v>
      </c>
      <c r="D276">
        <v>21.0178306092124</v>
      </c>
      <c r="E276">
        <v>3.5029717682020798</v>
      </c>
      <c r="F276">
        <f t="shared" si="9"/>
        <v>1</v>
      </c>
      <c r="G276">
        <v>0</v>
      </c>
      <c r="H276">
        <v>1</v>
      </c>
      <c r="I276">
        <v>0</v>
      </c>
      <c r="J276">
        <v>0</v>
      </c>
      <c r="K276">
        <v>0</v>
      </c>
      <c r="L276">
        <v>0</v>
      </c>
      <c r="M276">
        <f t="shared" si="8"/>
        <v>50</v>
      </c>
      <c r="N276">
        <v>0</v>
      </c>
      <c r="O276">
        <v>50</v>
      </c>
      <c r="P276">
        <v>0</v>
      </c>
      <c r="Q276">
        <v>0</v>
      </c>
      <c r="R276">
        <v>0</v>
      </c>
      <c r="S276">
        <v>0</v>
      </c>
    </row>
    <row r="277" spans="1:19" x14ac:dyDescent="0.25">
      <c r="A277">
        <v>18023</v>
      </c>
      <c r="B277" t="s">
        <v>40</v>
      </c>
      <c r="C277">
        <v>11</v>
      </c>
      <c r="D277">
        <v>19.116827637444199</v>
      </c>
      <c r="E277">
        <v>3.1612184249628501</v>
      </c>
      <c r="F277">
        <f t="shared" si="9"/>
        <v>1</v>
      </c>
      <c r="G277">
        <v>0</v>
      </c>
      <c r="H277">
        <v>1</v>
      </c>
      <c r="I277">
        <v>0</v>
      </c>
      <c r="J277">
        <v>0</v>
      </c>
      <c r="K277">
        <v>0</v>
      </c>
      <c r="L277">
        <v>0</v>
      </c>
      <c r="M277">
        <f t="shared" si="8"/>
        <v>50</v>
      </c>
      <c r="N277">
        <v>0</v>
      </c>
      <c r="O277">
        <v>50</v>
      </c>
      <c r="P277">
        <v>0</v>
      </c>
      <c r="Q277">
        <v>0</v>
      </c>
      <c r="R277">
        <v>0</v>
      </c>
      <c r="S277">
        <v>0</v>
      </c>
    </row>
    <row r="278" spans="1:19" x14ac:dyDescent="0.25">
      <c r="A278">
        <v>18023</v>
      </c>
      <c r="B278" t="s">
        <v>40</v>
      </c>
      <c r="C278">
        <v>12</v>
      </c>
      <c r="D278">
        <v>17.749814264487298</v>
      </c>
      <c r="E278">
        <v>3.26801634472511</v>
      </c>
      <c r="F278">
        <f t="shared" si="9"/>
        <v>1</v>
      </c>
      <c r="G278">
        <v>0</v>
      </c>
      <c r="H278">
        <v>1</v>
      </c>
      <c r="I278">
        <v>0</v>
      </c>
      <c r="J278">
        <v>0</v>
      </c>
      <c r="K278">
        <v>0</v>
      </c>
      <c r="L278">
        <v>0</v>
      </c>
      <c r="M278">
        <f t="shared" si="8"/>
        <v>50</v>
      </c>
      <c r="N278">
        <v>0</v>
      </c>
      <c r="O278">
        <v>50</v>
      </c>
      <c r="P278">
        <v>0</v>
      </c>
      <c r="Q278">
        <v>0</v>
      </c>
      <c r="R278">
        <v>0</v>
      </c>
      <c r="S278">
        <v>0</v>
      </c>
    </row>
    <row r="279" spans="1:19" x14ac:dyDescent="0.25">
      <c r="A279">
        <v>18023</v>
      </c>
      <c r="B279" t="s">
        <v>40</v>
      </c>
      <c r="C279">
        <v>13</v>
      </c>
      <c r="D279">
        <v>17.899331352154501</v>
      </c>
      <c r="E279">
        <v>2.7340267459138099</v>
      </c>
      <c r="F279">
        <f t="shared" si="9"/>
        <v>1</v>
      </c>
      <c r="G279">
        <v>0</v>
      </c>
      <c r="H279">
        <v>1</v>
      </c>
      <c r="I279">
        <v>0</v>
      </c>
      <c r="J279">
        <v>0</v>
      </c>
      <c r="K279">
        <v>0</v>
      </c>
      <c r="L279">
        <v>0</v>
      </c>
      <c r="M279">
        <f t="shared" si="8"/>
        <v>50</v>
      </c>
      <c r="N279">
        <v>0</v>
      </c>
      <c r="O279">
        <v>50</v>
      </c>
      <c r="P279">
        <v>0</v>
      </c>
      <c r="Q279">
        <v>0</v>
      </c>
      <c r="R279">
        <v>0</v>
      </c>
      <c r="S279">
        <v>0</v>
      </c>
    </row>
    <row r="280" spans="1:19" x14ac:dyDescent="0.25">
      <c r="A280">
        <v>18023</v>
      </c>
      <c r="B280" t="s">
        <v>40</v>
      </c>
      <c r="C280">
        <v>14</v>
      </c>
      <c r="D280">
        <v>17.8352526002971</v>
      </c>
      <c r="E280">
        <v>2.2213967310549698</v>
      </c>
      <c r="F280">
        <f t="shared" si="9"/>
        <v>1</v>
      </c>
      <c r="G280">
        <v>0</v>
      </c>
      <c r="H280">
        <v>1</v>
      </c>
      <c r="I280">
        <v>0</v>
      </c>
      <c r="J280">
        <v>0</v>
      </c>
      <c r="K280">
        <v>0</v>
      </c>
      <c r="L280">
        <v>0</v>
      </c>
      <c r="M280">
        <f t="shared" si="8"/>
        <v>50</v>
      </c>
      <c r="N280">
        <v>0</v>
      </c>
      <c r="O280">
        <v>50</v>
      </c>
      <c r="P280">
        <v>0</v>
      </c>
      <c r="Q280">
        <v>0</v>
      </c>
      <c r="R280">
        <v>0</v>
      </c>
      <c r="S280">
        <v>0</v>
      </c>
    </row>
    <row r="281" spans="1:19" x14ac:dyDescent="0.25">
      <c r="A281">
        <v>18023</v>
      </c>
      <c r="B281" t="s">
        <v>40</v>
      </c>
      <c r="C281">
        <v>15</v>
      </c>
      <c r="D281">
        <v>18.903231797919702</v>
      </c>
      <c r="E281">
        <v>2.02916047548291</v>
      </c>
      <c r="F281">
        <f t="shared" si="9"/>
        <v>1</v>
      </c>
      <c r="G281">
        <v>0</v>
      </c>
      <c r="H281">
        <v>1</v>
      </c>
      <c r="I281">
        <v>0</v>
      </c>
      <c r="J281">
        <v>0</v>
      </c>
      <c r="K281">
        <v>0</v>
      </c>
      <c r="L281">
        <v>0</v>
      </c>
      <c r="M281">
        <f t="shared" si="8"/>
        <v>50</v>
      </c>
      <c r="N281">
        <v>0</v>
      </c>
      <c r="O281">
        <v>50</v>
      </c>
      <c r="P281">
        <v>0</v>
      </c>
      <c r="Q281">
        <v>0</v>
      </c>
      <c r="R281">
        <v>0</v>
      </c>
      <c r="S281">
        <v>0</v>
      </c>
    </row>
    <row r="282" spans="1:19" x14ac:dyDescent="0.25">
      <c r="A282">
        <v>18023</v>
      </c>
      <c r="B282" t="s">
        <v>40</v>
      </c>
      <c r="C282">
        <v>16</v>
      </c>
      <c r="D282">
        <v>20.99647102526</v>
      </c>
      <c r="E282">
        <v>1.73012630014858</v>
      </c>
      <c r="F282">
        <f t="shared" si="9"/>
        <v>1</v>
      </c>
      <c r="G282">
        <v>0</v>
      </c>
      <c r="H282">
        <v>1</v>
      </c>
      <c r="I282">
        <v>0</v>
      </c>
      <c r="J282">
        <v>0</v>
      </c>
      <c r="K282">
        <v>0</v>
      </c>
      <c r="L282">
        <v>0</v>
      </c>
      <c r="M282">
        <f t="shared" si="8"/>
        <v>50</v>
      </c>
      <c r="N282">
        <v>0</v>
      </c>
      <c r="O282">
        <v>50</v>
      </c>
      <c r="P282">
        <v>0</v>
      </c>
      <c r="Q282">
        <v>0</v>
      </c>
      <c r="R282">
        <v>0</v>
      </c>
      <c r="S282">
        <v>0</v>
      </c>
    </row>
    <row r="283" spans="1:19" x14ac:dyDescent="0.25">
      <c r="A283">
        <v>18023</v>
      </c>
      <c r="B283" t="s">
        <v>40</v>
      </c>
      <c r="C283">
        <v>17</v>
      </c>
      <c r="D283">
        <v>24.862555720653699</v>
      </c>
      <c r="E283">
        <v>1.3670133729569001</v>
      </c>
      <c r="F283">
        <f t="shared" si="9"/>
        <v>1</v>
      </c>
      <c r="G283">
        <v>0</v>
      </c>
      <c r="H283">
        <v>1</v>
      </c>
      <c r="I283">
        <v>0</v>
      </c>
      <c r="J283">
        <v>0</v>
      </c>
      <c r="K283">
        <v>0</v>
      </c>
      <c r="L283">
        <v>0</v>
      </c>
      <c r="M283">
        <f t="shared" si="8"/>
        <v>50</v>
      </c>
      <c r="N283">
        <v>0</v>
      </c>
      <c r="O283">
        <v>50</v>
      </c>
      <c r="P283">
        <v>0</v>
      </c>
      <c r="Q283">
        <v>0</v>
      </c>
      <c r="R283">
        <v>0</v>
      </c>
      <c r="S283">
        <v>0</v>
      </c>
    </row>
    <row r="284" spans="1:19" x14ac:dyDescent="0.25">
      <c r="A284">
        <v>18023</v>
      </c>
      <c r="B284" t="s">
        <v>40</v>
      </c>
      <c r="C284">
        <v>18</v>
      </c>
      <c r="D284">
        <v>29.988855869242101</v>
      </c>
      <c r="E284">
        <v>1.5165304606240699</v>
      </c>
      <c r="F284">
        <f t="shared" si="9"/>
        <v>1</v>
      </c>
      <c r="G284">
        <v>0</v>
      </c>
      <c r="H284">
        <v>1</v>
      </c>
      <c r="I284">
        <v>0</v>
      </c>
      <c r="J284">
        <v>0</v>
      </c>
      <c r="K284">
        <v>0</v>
      </c>
      <c r="L284">
        <v>0</v>
      </c>
      <c r="M284">
        <f t="shared" si="8"/>
        <v>50</v>
      </c>
      <c r="N284">
        <v>0</v>
      </c>
      <c r="O284">
        <v>50</v>
      </c>
      <c r="P284">
        <v>0</v>
      </c>
      <c r="Q284">
        <v>0</v>
      </c>
      <c r="R284">
        <v>0</v>
      </c>
      <c r="S284">
        <v>0</v>
      </c>
    </row>
    <row r="285" spans="1:19" x14ac:dyDescent="0.25">
      <c r="A285">
        <v>18023</v>
      </c>
      <c r="B285" t="s">
        <v>40</v>
      </c>
      <c r="C285">
        <v>19</v>
      </c>
      <c r="D285">
        <v>35.820022288261498</v>
      </c>
      <c r="E285">
        <v>1.64468796433878</v>
      </c>
      <c r="F285">
        <f t="shared" si="9"/>
        <v>1</v>
      </c>
      <c r="G285">
        <v>0</v>
      </c>
      <c r="H285">
        <v>1</v>
      </c>
      <c r="I285">
        <v>0</v>
      </c>
      <c r="J285">
        <v>0</v>
      </c>
      <c r="K285">
        <v>0</v>
      </c>
      <c r="L285">
        <v>0</v>
      </c>
      <c r="M285">
        <f t="shared" si="8"/>
        <v>50</v>
      </c>
      <c r="N285">
        <v>0</v>
      </c>
      <c r="O285">
        <v>50</v>
      </c>
      <c r="P285">
        <v>0</v>
      </c>
      <c r="Q285">
        <v>0</v>
      </c>
      <c r="R285">
        <v>0</v>
      </c>
      <c r="S285">
        <v>0</v>
      </c>
    </row>
    <row r="286" spans="1:19" x14ac:dyDescent="0.25">
      <c r="A286">
        <v>18023</v>
      </c>
      <c r="B286" t="s">
        <v>40</v>
      </c>
      <c r="C286">
        <v>20</v>
      </c>
      <c r="D286">
        <v>42.057020802377401</v>
      </c>
      <c r="E286">
        <v>1.79420505200594</v>
      </c>
      <c r="F286">
        <f t="shared" si="9"/>
        <v>1</v>
      </c>
      <c r="G286">
        <v>0</v>
      </c>
      <c r="H286">
        <v>1</v>
      </c>
      <c r="I286">
        <v>0</v>
      </c>
      <c r="J286">
        <v>0</v>
      </c>
      <c r="K286">
        <v>0</v>
      </c>
      <c r="L286">
        <v>0</v>
      </c>
      <c r="M286">
        <f t="shared" si="8"/>
        <v>50</v>
      </c>
      <c r="N286">
        <v>0</v>
      </c>
      <c r="O286">
        <v>50</v>
      </c>
      <c r="P286">
        <v>0</v>
      </c>
      <c r="Q286">
        <v>0</v>
      </c>
      <c r="R286">
        <v>0</v>
      </c>
      <c r="S286">
        <v>0</v>
      </c>
    </row>
    <row r="287" spans="1:19" x14ac:dyDescent="0.25">
      <c r="A287">
        <v>18023</v>
      </c>
      <c r="B287" t="s">
        <v>40</v>
      </c>
      <c r="C287">
        <v>21</v>
      </c>
      <c r="D287">
        <v>47.418276374442797</v>
      </c>
      <c r="E287">
        <v>3.01170133729569</v>
      </c>
      <c r="F287">
        <f t="shared" si="9"/>
        <v>1</v>
      </c>
      <c r="G287">
        <v>0</v>
      </c>
      <c r="H287">
        <v>1</v>
      </c>
      <c r="I287">
        <v>0</v>
      </c>
      <c r="J287">
        <v>0</v>
      </c>
      <c r="K287">
        <v>0</v>
      </c>
      <c r="L287">
        <v>0</v>
      </c>
      <c r="M287">
        <f t="shared" si="8"/>
        <v>50</v>
      </c>
      <c r="N287">
        <v>0</v>
      </c>
      <c r="O287">
        <v>50</v>
      </c>
      <c r="P287">
        <v>0</v>
      </c>
      <c r="Q287">
        <v>0</v>
      </c>
      <c r="R287">
        <v>0</v>
      </c>
      <c r="S287">
        <v>0</v>
      </c>
    </row>
    <row r="288" spans="1:19" x14ac:dyDescent="0.25">
      <c r="A288">
        <v>18023</v>
      </c>
      <c r="B288" t="s">
        <v>40</v>
      </c>
      <c r="C288">
        <v>22</v>
      </c>
      <c r="D288">
        <v>51.412518573551203</v>
      </c>
      <c r="E288">
        <v>4.6563893016344702</v>
      </c>
      <c r="F288">
        <f t="shared" si="9"/>
        <v>1</v>
      </c>
      <c r="G288">
        <v>0</v>
      </c>
      <c r="H288">
        <v>1</v>
      </c>
      <c r="I288">
        <v>0</v>
      </c>
      <c r="J288">
        <v>0</v>
      </c>
      <c r="K288">
        <v>0</v>
      </c>
      <c r="L288">
        <v>0</v>
      </c>
      <c r="M288">
        <f t="shared" si="8"/>
        <v>50</v>
      </c>
      <c r="N288">
        <v>0</v>
      </c>
      <c r="O288">
        <v>50</v>
      </c>
      <c r="P288">
        <v>0</v>
      </c>
      <c r="Q288">
        <v>0</v>
      </c>
      <c r="R288">
        <v>0</v>
      </c>
      <c r="S288">
        <v>0</v>
      </c>
    </row>
    <row r="289" spans="1:19" x14ac:dyDescent="0.25">
      <c r="A289">
        <v>18023</v>
      </c>
      <c r="B289" t="s">
        <v>40</v>
      </c>
      <c r="C289">
        <v>23</v>
      </c>
      <c r="D289">
        <v>54.445579494799397</v>
      </c>
      <c r="E289">
        <v>5.4466939078751802</v>
      </c>
      <c r="F289">
        <f t="shared" si="9"/>
        <v>1</v>
      </c>
      <c r="G289">
        <v>0</v>
      </c>
      <c r="H289">
        <v>1</v>
      </c>
      <c r="I289">
        <v>0</v>
      </c>
      <c r="J289">
        <v>0</v>
      </c>
      <c r="K289">
        <v>0</v>
      </c>
      <c r="L289">
        <v>0</v>
      </c>
      <c r="M289">
        <f t="shared" si="8"/>
        <v>50</v>
      </c>
      <c r="N289">
        <v>0</v>
      </c>
      <c r="O289">
        <v>50</v>
      </c>
      <c r="P289">
        <v>0</v>
      </c>
      <c r="Q289">
        <v>0</v>
      </c>
      <c r="R289">
        <v>0</v>
      </c>
      <c r="S289">
        <v>0</v>
      </c>
    </row>
    <row r="290" spans="1:19" x14ac:dyDescent="0.25">
      <c r="A290">
        <v>18025</v>
      </c>
      <c r="B290" t="s">
        <v>41</v>
      </c>
      <c r="C290">
        <v>0</v>
      </c>
      <c r="D290">
        <v>85.974675462864397</v>
      </c>
      <c r="E290">
        <v>5.7818152798467697</v>
      </c>
      <c r="F290">
        <f t="shared" si="9"/>
        <v>2</v>
      </c>
      <c r="G290">
        <v>0</v>
      </c>
      <c r="H290">
        <v>1</v>
      </c>
      <c r="I290">
        <v>1</v>
      </c>
      <c r="J290">
        <v>0</v>
      </c>
      <c r="K290">
        <v>0</v>
      </c>
      <c r="L290">
        <v>0</v>
      </c>
      <c r="M290">
        <f t="shared" si="8"/>
        <v>75</v>
      </c>
      <c r="N290">
        <v>0</v>
      </c>
      <c r="O290">
        <v>50</v>
      </c>
      <c r="P290">
        <v>25</v>
      </c>
      <c r="Q290">
        <v>0</v>
      </c>
      <c r="R290">
        <v>0</v>
      </c>
      <c r="S290">
        <v>0</v>
      </c>
    </row>
    <row r="291" spans="1:19" x14ac:dyDescent="0.25">
      <c r="A291">
        <v>18025</v>
      </c>
      <c r="B291" t="s">
        <v>41</v>
      </c>
      <c r="C291">
        <v>1</v>
      </c>
      <c r="D291">
        <v>86.249999999999901</v>
      </c>
      <c r="E291">
        <v>6.4425941689721196</v>
      </c>
      <c r="F291">
        <f t="shared" si="9"/>
        <v>2</v>
      </c>
      <c r="G291">
        <v>0</v>
      </c>
      <c r="H291">
        <v>1</v>
      </c>
      <c r="I291">
        <v>1</v>
      </c>
      <c r="J291">
        <v>0</v>
      </c>
      <c r="K291">
        <v>0</v>
      </c>
      <c r="L291">
        <v>0</v>
      </c>
      <c r="M291">
        <f t="shared" si="8"/>
        <v>75</v>
      </c>
      <c r="N291">
        <v>0</v>
      </c>
      <c r="O291">
        <v>50</v>
      </c>
      <c r="P291">
        <v>25</v>
      </c>
      <c r="Q291">
        <v>0</v>
      </c>
      <c r="R291">
        <v>0</v>
      </c>
      <c r="S291">
        <v>0</v>
      </c>
    </row>
    <row r="292" spans="1:19" x14ac:dyDescent="0.25">
      <c r="A292">
        <v>18025</v>
      </c>
      <c r="B292" t="s">
        <v>41</v>
      </c>
      <c r="C292">
        <v>2</v>
      </c>
      <c r="D292">
        <v>86.158225154288104</v>
      </c>
      <c r="E292">
        <v>6.9932432432432403</v>
      </c>
      <c r="F292">
        <f t="shared" si="9"/>
        <v>2</v>
      </c>
      <c r="G292">
        <v>0</v>
      </c>
      <c r="H292">
        <v>1</v>
      </c>
      <c r="I292">
        <v>1</v>
      </c>
      <c r="J292">
        <v>0</v>
      </c>
      <c r="K292">
        <v>0</v>
      </c>
      <c r="L292">
        <v>0</v>
      </c>
      <c r="M292">
        <f t="shared" si="8"/>
        <v>75</v>
      </c>
      <c r="N292">
        <v>0</v>
      </c>
      <c r="O292">
        <v>50</v>
      </c>
      <c r="P292">
        <v>25</v>
      </c>
      <c r="Q292">
        <v>0</v>
      </c>
      <c r="R292">
        <v>0</v>
      </c>
      <c r="S292">
        <v>0</v>
      </c>
    </row>
    <row r="293" spans="1:19" x14ac:dyDescent="0.25">
      <c r="A293">
        <v>18025</v>
      </c>
      <c r="B293" t="s">
        <v>41</v>
      </c>
      <c r="C293">
        <v>3</v>
      </c>
      <c r="D293">
        <v>84.799957437752695</v>
      </c>
      <c r="E293">
        <v>6.97488827410087</v>
      </c>
      <c r="F293">
        <f t="shared" si="9"/>
        <v>2</v>
      </c>
      <c r="G293">
        <v>0</v>
      </c>
      <c r="H293">
        <v>1</v>
      </c>
      <c r="I293">
        <v>1</v>
      </c>
      <c r="J293">
        <v>0</v>
      </c>
      <c r="K293">
        <v>0</v>
      </c>
      <c r="L293">
        <v>0</v>
      </c>
      <c r="M293">
        <f t="shared" si="8"/>
        <v>75</v>
      </c>
      <c r="N293">
        <v>0</v>
      </c>
      <c r="O293">
        <v>50</v>
      </c>
      <c r="P293">
        <v>25</v>
      </c>
      <c r="Q293">
        <v>0</v>
      </c>
      <c r="R293">
        <v>0</v>
      </c>
      <c r="S293">
        <v>0</v>
      </c>
    </row>
    <row r="294" spans="1:19" x14ac:dyDescent="0.25">
      <c r="A294">
        <v>18025</v>
      </c>
      <c r="B294" t="s">
        <v>41</v>
      </c>
      <c r="C294">
        <v>4</v>
      </c>
      <c r="D294">
        <v>83.423334752074794</v>
      </c>
      <c r="E294">
        <v>7.4337625026601399</v>
      </c>
      <c r="F294">
        <f t="shared" si="9"/>
        <v>2</v>
      </c>
      <c r="G294">
        <v>0</v>
      </c>
      <c r="H294">
        <v>1</v>
      </c>
      <c r="I294">
        <v>1</v>
      </c>
      <c r="J294">
        <v>0</v>
      </c>
      <c r="K294">
        <v>0</v>
      </c>
      <c r="L294">
        <v>0</v>
      </c>
      <c r="M294">
        <f t="shared" si="8"/>
        <v>75</v>
      </c>
      <c r="N294">
        <v>0</v>
      </c>
      <c r="O294">
        <v>50</v>
      </c>
      <c r="P294">
        <v>25</v>
      </c>
      <c r="Q294">
        <v>0</v>
      </c>
      <c r="R294">
        <v>0</v>
      </c>
      <c r="S294">
        <v>0</v>
      </c>
    </row>
    <row r="295" spans="1:19" x14ac:dyDescent="0.25">
      <c r="A295">
        <v>18025</v>
      </c>
      <c r="B295" t="s">
        <v>41</v>
      </c>
      <c r="C295">
        <v>5</v>
      </c>
      <c r="D295">
        <v>79.421951479038</v>
      </c>
      <c r="E295">
        <v>7.8559267929346603</v>
      </c>
      <c r="F295">
        <f t="shared" si="9"/>
        <v>2</v>
      </c>
      <c r="G295">
        <v>0</v>
      </c>
      <c r="H295">
        <v>1</v>
      </c>
      <c r="I295">
        <v>1</v>
      </c>
      <c r="J295">
        <v>0</v>
      </c>
      <c r="K295">
        <v>0</v>
      </c>
      <c r="L295">
        <v>0</v>
      </c>
      <c r="M295">
        <f t="shared" si="8"/>
        <v>75</v>
      </c>
      <c r="N295">
        <v>0</v>
      </c>
      <c r="O295">
        <v>50</v>
      </c>
      <c r="P295">
        <v>25</v>
      </c>
      <c r="Q295">
        <v>0</v>
      </c>
      <c r="R295">
        <v>0</v>
      </c>
      <c r="S295">
        <v>0</v>
      </c>
    </row>
    <row r="296" spans="1:19" x14ac:dyDescent="0.25">
      <c r="A296">
        <v>18025</v>
      </c>
      <c r="B296" t="s">
        <v>41</v>
      </c>
      <c r="C296">
        <v>6</v>
      </c>
      <c r="D296">
        <v>71.584379655245698</v>
      </c>
      <c r="E296">
        <v>7.3419876569482803</v>
      </c>
      <c r="F296">
        <f t="shared" si="9"/>
        <v>2</v>
      </c>
      <c r="G296">
        <v>0</v>
      </c>
      <c r="H296">
        <v>1</v>
      </c>
      <c r="I296">
        <v>1</v>
      </c>
      <c r="J296">
        <v>0</v>
      </c>
      <c r="K296">
        <v>0</v>
      </c>
      <c r="L296">
        <v>0</v>
      </c>
      <c r="M296">
        <f t="shared" si="8"/>
        <v>75</v>
      </c>
      <c r="N296">
        <v>0</v>
      </c>
      <c r="O296">
        <v>50</v>
      </c>
      <c r="P296">
        <v>25</v>
      </c>
      <c r="Q296">
        <v>0</v>
      </c>
      <c r="R296">
        <v>0</v>
      </c>
      <c r="S296">
        <v>0</v>
      </c>
    </row>
    <row r="297" spans="1:19" x14ac:dyDescent="0.25">
      <c r="A297">
        <v>18025</v>
      </c>
      <c r="B297" t="s">
        <v>41</v>
      </c>
      <c r="C297">
        <v>7</v>
      </c>
      <c r="D297">
        <v>57.120663971057603</v>
      </c>
      <c r="E297">
        <v>6.5160140455416</v>
      </c>
      <c r="F297">
        <f t="shared" si="9"/>
        <v>2</v>
      </c>
      <c r="G297">
        <v>0</v>
      </c>
      <c r="H297">
        <v>1</v>
      </c>
      <c r="I297">
        <v>1</v>
      </c>
      <c r="J297">
        <v>0</v>
      </c>
      <c r="K297">
        <v>0</v>
      </c>
      <c r="L297">
        <v>0</v>
      </c>
      <c r="M297">
        <f t="shared" si="8"/>
        <v>75</v>
      </c>
      <c r="N297">
        <v>0</v>
      </c>
      <c r="O297">
        <v>50</v>
      </c>
      <c r="P297">
        <v>25</v>
      </c>
      <c r="Q297">
        <v>0</v>
      </c>
      <c r="R297">
        <v>0</v>
      </c>
      <c r="S297">
        <v>0</v>
      </c>
    </row>
    <row r="298" spans="1:19" x14ac:dyDescent="0.25">
      <c r="A298">
        <v>18025</v>
      </c>
      <c r="B298" t="s">
        <v>41</v>
      </c>
      <c r="C298">
        <v>8</v>
      </c>
      <c r="D298">
        <v>45.079804213662399</v>
      </c>
      <c r="E298">
        <v>4.4602575015960797</v>
      </c>
      <c r="F298">
        <f t="shared" si="9"/>
        <v>2</v>
      </c>
      <c r="G298">
        <v>0</v>
      </c>
      <c r="H298">
        <v>1</v>
      </c>
      <c r="I298">
        <v>1</v>
      </c>
      <c r="J298">
        <v>0</v>
      </c>
      <c r="K298">
        <v>0</v>
      </c>
      <c r="L298">
        <v>0</v>
      </c>
      <c r="M298">
        <f t="shared" si="8"/>
        <v>75</v>
      </c>
      <c r="N298">
        <v>0</v>
      </c>
      <c r="O298">
        <v>50</v>
      </c>
      <c r="P298">
        <v>25</v>
      </c>
      <c r="Q298">
        <v>0</v>
      </c>
      <c r="R298">
        <v>0</v>
      </c>
      <c r="S298">
        <v>0</v>
      </c>
    </row>
    <row r="299" spans="1:19" x14ac:dyDescent="0.25">
      <c r="A299">
        <v>18025</v>
      </c>
      <c r="B299" t="s">
        <v>41</v>
      </c>
      <c r="C299">
        <v>9</v>
      </c>
      <c r="D299">
        <v>39.132794211534303</v>
      </c>
      <c r="E299">
        <v>2.9551500319216801</v>
      </c>
      <c r="F299">
        <f t="shared" si="9"/>
        <v>2</v>
      </c>
      <c r="G299">
        <v>0</v>
      </c>
      <c r="H299">
        <v>1</v>
      </c>
      <c r="I299">
        <v>1</v>
      </c>
      <c r="J299">
        <v>0</v>
      </c>
      <c r="K299">
        <v>0</v>
      </c>
      <c r="L299">
        <v>0</v>
      </c>
      <c r="M299">
        <f t="shared" si="8"/>
        <v>75</v>
      </c>
      <c r="N299">
        <v>0</v>
      </c>
      <c r="O299">
        <v>50</v>
      </c>
      <c r="P299">
        <v>25</v>
      </c>
      <c r="Q299">
        <v>0</v>
      </c>
      <c r="R299">
        <v>0</v>
      </c>
      <c r="S299">
        <v>0</v>
      </c>
    </row>
    <row r="300" spans="1:19" x14ac:dyDescent="0.25">
      <c r="A300">
        <v>18025</v>
      </c>
      <c r="B300" t="s">
        <v>41</v>
      </c>
      <c r="C300">
        <v>10</v>
      </c>
      <c r="D300">
        <v>35.314960629921202</v>
      </c>
      <c r="E300">
        <v>2.25766120451159</v>
      </c>
      <c r="F300">
        <f t="shared" si="9"/>
        <v>2</v>
      </c>
      <c r="G300">
        <v>0</v>
      </c>
      <c r="H300">
        <v>1</v>
      </c>
      <c r="I300">
        <v>1</v>
      </c>
      <c r="J300">
        <v>0</v>
      </c>
      <c r="K300">
        <v>0</v>
      </c>
      <c r="L300">
        <v>0</v>
      </c>
      <c r="M300">
        <f t="shared" si="8"/>
        <v>75</v>
      </c>
      <c r="N300">
        <v>0</v>
      </c>
      <c r="O300">
        <v>50</v>
      </c>
      <c r="P300">
        <v>25</v>
      </c>
      <c r="Q300">
        <v>0</v>
      </c>
      <c r="R300">
        <v>0</v>
      </c>
      <c r="S300">
        <v>0</v>
      </c>
    </row>
    <row r="301" spans="1:19" x14ac:dyDescent="0.25">
      <c r="A301">
        <v>18025</v>
      </c>
      <c r="B301" t="s">
        <v>41</v>
      </c>
      <c r="C301">
        <v>11</v>
      </c>
      <c r="D301">
        <v>34.654181740795899</v>
      </c>
      <c r="E301">
        <v>2.5513407107895199</v>
      </c>
      <c r="F301">
        <f t="shared" si="9"/>
        <v>2</v>
      </c>
      <c r="G301">
        <v>0</v>
      </c>
      <c r="H301">
        <v>1</v>
      </c>
      <c r="I301">
        <v>1</v>
      </c>
      <c r="J301">
        <v>0</v>
      </c>
      <c r="K301">
        <v>0</v>
      </c>
      <c r="L301">
        <v>0</v>
      </c>
      <c r="M301">
        <f t="shared" si="8"/>
        <v>75</v>
      </c>
      <c r="N301">
        <v>0</v>
      </c>
      <c r="O301">
        <v>50</v>
      </c>
      <c r="P301">
        <v>25</v>
      </c>
      <c r="Q301">
        <v>0</v>
      </c>
      <c r="R301">
        <v>0</v>
      </c>
      <c r="S301">
        <v>0</v>
      </c>
    </row>
    <row r="302" spans="1:19" x14ac:dyDescent="0.25">
      <c r="A302">
        <v>18025</v>
      </c>
      <c r="B302" t="s">
        <v>41</v>
      </c>
      <c r="C302">
        <v>12</v>
      </c>
      <c r="D302">
        <v>35.535220259629703</v>
      </c>
      <c r="E302">
        <v>2.53298574164715</v>
      </c>
      <c r="F302">
        <f t="shared" si="9"/>
        <v>2</v>
      </c>
      <c r="G302">
        <v>0</v>
      </c>
      <c r="H302">
        <v>1</v>
      </c>
      <c r="I302">
        <v>1</v>
      </c>
      <c r="J302">
        <v>0</v>
      </c>
      <c r="K302">
        <v>0</v>
      </c>
      <c r="L302">
        <v>0</v>
      </c>
      <c r="M302">
        <f t="shared" si="8"/>
        <v>75</v>
      </c>
      <c r="N302">
        <v>0</v>
      </c>
      <c r="O302">
        <v>50</v>
      </c>
      <c r="P302">
        <v>25</v>
      </c>
      <c r="Q302">
        <v>0</v>
      </c>
      <c r="R302">
        <v>0</v>
      </c>
      <c r="S302">
        <v>0</v>
      </c>
    </row>
    <row r="303" spans="1:19" x14ac:dyDescent="0.25">
      <c r="A303">
        <v>18025</v>
      </c>
      <c r="B303" t="s">
        <v>41</v>
      </c>
      <c r="C303">
        <v>13</v>
      </c>
      <c r="D303">
        <v>37.205522451585402</v>
      </c>
      <c r="E303">
        <v>2.0190466056607699</v>
      </c>
      <c r="F303">
        <f t="shared" si="9"/>
        <v>2</v>
      </c>
      <c r="G303">
        <v>0</v>
      </c>
      <c r="H303">
        <v>1</v>
      </c>
      <c r="I303">
        <v>1</v>
      </c>
      <c r="J303">
        <v>0</v>
      </c>
      <c r="K303">
        <v>0</v>
      </c>
      <c r="L303">
        <v>0</v>
      </c>
      <c r="M303">
        <f t="shared" si="8"/>
        <v>75</v>
      </c>
      <c r="N303">
        <v>0</v>
      </c>
      <c r="O303">
        <v>50</v>
      </c>
      <c r="P303">
        <v>25</v>
      </c>
      <c r="Q303">
        <v>0</v>
      </c>
      <c r="R303">
        <v>0</v>
      </c>
      <c r="S303">
        <v>0</v>
      </c>
    </row>
    <row r="304" spans="1:19" x14ac:dyDescent="0.25">
      <c r="A304">
        <v>18025</v>
      </c>
      <c r="B304" t="s">
        <v>41</v>
      </c>
      <c r="C304">
        <v>14</v>
      </c>
      <c r="D304">
        <v>40.509416897212098</v>
      </c>
      <c r="E304">
        <v>1.78043200680995</v>
      </c>
      <c r="F304">
        <f t="shared" si="9"/>
        <v>2</v>
      </c>
      <c r="G304">
        <v>0</v>
      </c>
      <c r="H304">
        <v>1</v>
      </c>
      <c r="I304">
        <v>1</v>
      </c>
      <c r="J304">
        <v>0</v>
      </c>
      <c r="K304">
        <v>0</v>
      </c>
      <c r="L304">
        <v>0</v>
      </c>
      <c r="M304">
        <f t="shared" si="8"/>
        <v>75</v>
      </c>
      <c r="N304">
        <v>0</v>
      </c>
      <c r="O304">
        <v>50</v>
      </c>
      <c r="P304">
        <v>25</v>
      </c>
      <c r="Q304">
        <v>0</v>
      </c>
      <c r="R304">
        <v>0</v>
      </c>
      <c r="S304">
        <v>0</v>
      </c>
    </row>
    <row r="305" spans="1:19" x14ac:dyDescent="0.25">
      <c r="A305">
        <v>18025</v>
      </c>
      <c r="B305" t="s">
        <v>41</v>
      </c>
      <c r="C305">
        <v>15</v>
      </c>
      <c r="D305">
        <v>45.777293041072497</v>
      </c>
      <c r="E305">
        <v>1.57852734624388</v>
      </c>
      <c r="F305">
        <f t="shared" si="9"/>
        <v>2</v>
      </c>
      <c r="G305">
        <v>0</v>
      </c>
      <c r="H305">
        <v>1</v>
      </c>
      <c r="I305">
        <v>1</v>
      </c>
      <c r="J305">
        <v>0</v>
      </c>
      <c r="K305">
        <v>0</v>
      </c>
      <c r="L305">
        <v>0</v>
      </c>
      <c r="M305">
        <f t="shared" si="8"/>
        <v>75</v>
      </c>
      <c r="N305">
        <v>0</v>
      </c>
      <c r="O305">
        <v>50</v>
      </c>
      <c r="P305">
        <v>25</v>
      </c>
      <c r="Q305">
        <v>0</v>
      </c>
      <c r="R305">
        <v>0</v>
      </c>
      <c r="S305">
        <v>0</v>
      </c>
    </row>
    <row r="306" spans="1:19" x14ac:dyDescent="0.25">
      <c r="A306">
        <v>18025</v>
      </c>
      <c r="B306" t="s">
        <v>41</v>
      </c>
      <c r="C306">
        <v>16</v>
      </c>
      <c r="D306">
        <v>52.531921685464901</v>
      </c>
      <c r="E306">
        <v>0.97281336454564704</v>
      </c>
      <c r="F306">
        <f t="shared" si="9"/>
        <v>2</v>
      </c>
      <c r="G306">
        <v>0</v>
      </c>
      <c r="H306">
        <v>1</v>
      </c>
      <c r="I306">
        <v>1</v>
      </c>
      <c r="J306">
        <v>0</v>
      </c>
      <c r="K306">
        <v>0</v>
      </c>
      <c r="L306">
        <v>0</v>
      </c>
      <c r="M306">
        <f t="shared" si="8"/>
        <v>75</v>
      </c>
      <c r="N306">
        <v>0</v>
      </c>
      <c r="O306">
        <v>50</v>
      </c>
      <c r="P306">
        <v>25</v>
      </c>
      <c r="Q306">
        <v>0</v>
      </c>
      <c r="R306">
        <v>0</v>
      </c>
      <c r="S306">
        <v>0</v>
      </c>
    </row>
    <row r="307" spans="1:19" x14ac:dyDescent="0.25">
      <c r="A307">
        <v>18025</v>
      </c>
      <c r="B307" t="s">
        <v>41</v>
      </c>
      <c r="C307">
        <v>17</v>
      </c>
      <c r="D307">
        <v>58.919450947009899</v>
      </c>
      <c r="E307">
        <v>1.0645882102574999</v>
      </c>
      <c r="F307">
        <f t="shared" si="9"/>
        <v>2</v>
      </c>
      <c r="G307">
        <v>0</v>
      </c>
      <c r="H307">
        <v>1</v>
      </c>
      <c r="I307">
        <v>1</v>
      </c>
      <c r="J307">
        <v>0</v>
      </c>
      <c r="K307">
        <v>0</v>
      </c>
      <c r="L307">
        <v>0</v>
      </c>
      <c r="M307">
        <f t="shared" si="8"/>
        <v>75</v>
      </c>
      <c r="N307">
        <v>0</v>
      </c>
      <c r="O307">
        <v>50</v>
      </c>
      <c r="P307">
        <v>25</v>
      </c>
      <c r="Q307">
        <v>0</v>
      </c>
      <c r="R307">
        <v>0</v>
      </c>
      <c r="S307">
        <v>0</v>
      </c>
    </row>
    <row r="308" spans="1:19" x14ac:dyDescent="0.25">
      <c r="A308">
        <v>18025</v>
      </c>
      <c r="B308" t="s">
        <v>41</v>
      </c>
      <c r="C308">
        <v>18</v>
      </c>
      <c r="D308">
        <v>66.353213449670093</v>
      </c>
      <c r="E308">
        <v>1.57852734624388</v>
      </c>
      <c r="F308">
        <f t="shared" si="9"/>
        <v>2</v>
      </c>
      <c r="G308">
        <v>0</v>
      </c>
      <c r="H308">
        <v>1</v>
      </c>
      <c r="I308">
        <v>1</v>
      </c>
      <c r="J308">
        <v>0</v>
      </c>
      <c r="K308">
        <v>0</v>
      </c>
      <c r="L308">
        <v>0</v>
      </c>
      <c r="M308">
        <f t="shared" si="8"/>
        <v>75</v>
      </c>
      <c r="N308">
        <v>0</v>
      </c>
      <c r="O308">
        <v>50</v>
      </c>
      <c r="P308">
        <v>25</v>
      </c>
      <c r="Q308">
        <v>0</v>
      </c>
      <c r="R308">
        <v>0</v>
      </c>
      <c r="S308">
        <v>0</v>
      </c>
    </row>
    <row r="309" spans="1:19" x14ac:dyDescent="0.25">
      <c r="A309">
        <v>18025</v>
      </c>
      <c r="B309" t="s">
        <v>41</v>
      </c>
      <c r="C309">
        <v>19</v>
      </c>
      <c r="D309">
        <v>71.639444562672793</v>
      </c>
      <c r="E309">
        <v>2.11082145137263</v>
      </c>
      <c r="F309">
        <f t="shared" si="9"/>
        <v>2</v>
      </c>
      <c r="G309">
        <v>0</v>
      </c>
      <c r="H309">
        <v>1</v>
      </c>
      <c r="I309">
        <v>1</v>
      </c>
      <c r="J309">
        <v>0</v>
      </c>
      <c r="K309">
        <v>0</v>
      </c>
      <c r="L309">
        <v>0</v>
      </c>
      <c r="M309">
        <f t="shared" si="8"/>
        <v>75</v>
      </c>
      <c r="N309">
        <v>0</v>
      </c>
      <c r="O309">
        <v>50</v>
      </c>
      <c r="P309">
        <v>25</v>
      </c>
      <c r="Q309">
        <v>0</v>
      </c>
      <c r="R309">
        <v>0</v>
      </c>
      <c r="S309">
        <v>0</v>
      </c>
    </row>
    <row r="310" spans="1:19" x14ac:dyDescent="0.25">
      <c r="A310">
        <v>18025</v>
      </c>
      <c r="B310" t="s">
        <v>41</v>
      </c>
      <c r="C310">
        <v>20</v>
      </c>
      <c r="D310">
        <v>79.330176633326204</v>
      </c>
      <c r="E310">
        <v>2.90008512449457</v>
      </c>
      <c r="F310">
        <f t="shared" si="9"/>
        <v>2</v>
      </c>
      <c r="G310">
        <v>0</v>
      </c>
      <c r="H310">
        <v>1</v>
      </c>
      <c r="I310">
        <v>1</v>
      </c>
      <c r="J310">
        <v>0</v>
      </c>
      <c r="K310">
        <v>0</v>
      </c>
      <c r="L310">
        <v>0</v>
      </c>
      <c r="M310">
        <f t="shared" si="8"/>
        <v>75</v>
      </c>
      <c r="N310">
        <v>0</v>
      </c>
      <c r="O310">
        <v>50</v>
      </c>
      <c r="P310">
        <v>25</v>
      </c>
      <c r="Q310">
        <v>0</v>
      </c>
      <c r="R310">
        <v>0</v>
      </c>
      <c r="S310">
        <v>0</v>
      </c>
    </row>
    <row r="311" spans="1:19" x14ac:dyDescent="0.25">
      <c r="A311">
        <v>18025</v>
      </c>
      <c r="B311" t="s">
        <v>41</v>
      </c>
      <c r="C311">
        <v>21</v>
      </c>
      <c r="D311">
        <v>82.377101510959704</v>
      </c>
      <c r="E311">
        <v>3.6709938284741401</v>
      </c>
      <c r="F311">
        <f t="shared" si="9"/>
        <v>2</v>
      </c>
      <c r="G311">
        <v>0</v>
      </c>
      <c r="H311">
        <v>1</v>
      </c>
      <c r="I311">
        <v>1</v>
      </c>
      <c r="J311">
        <v>0</v>
      </c>
      <c r="K311">
        <v>0</v>
      </c>
      <c r="L311">
        <v>0</v>
      </c>
      <c r="M311">
        <f t="shared" si="8"/>
        <v>75</v>
      </c>
      <c r="N311">
        <v>0</v>
      </c>
      <c r="O311">
        <v>50</v>
      </c>
      <c r="P311">
        <v>25</v>
      </c>
      <c r="Q311">
        <v>0</v>
      </c>
      <c r="R311">
        <v>0</v>
      </c>
      <c r="S311">
        <v>0</v>
      </c>
    </row>
    <row r="312" spans="1:19" x14ac:dyDescent="0.25">
      <c r="A312">
        <v>18025</v>
      </c>
      <c r="B312" t="s">
        <v>41</v>
      </c>
      <c r="C312">
        <v>22</v>
      </c>
      <c r="D312">
        <v>84.304373270908599</v>
      </c>
      <c r="E312">
        <v>4.22164290274526</v>
      </c>
      <c r="F312">
        <f t="shared" si="9"/>
        <v>2</v>
      </c>
      <c r="G312">
        <v>0</v>
      </c>
      <c r="H312">
        <v>1</v>
      </c>
      <c r="I312">
        <v>1</v>
      </c>
      <c r="J312">
        <v>0</v>
      </c>
      <c r="K312">
        <v>0</v>
      </c>
      <c r="L312">
        <v>0</v>
      </c>
      <c r="M312">
        <f t="shared" si="8"/>
        <v>75</v>
      </c>
      <c r="N312">
        <v>0</v>
      </c>
      <c r="O312">
        <v>50</v>
      </c>
      <c r="P312">
        <v>25</v>
      </c>
      <c r="Q312">
        <v>0</v>
      </c>
      <c r="R312">
        <v>0</v>
      </c>
      <c r="S312">
        <v>0</v>
      </c>
    </row>
    <row r="313" spans="1:19" x14ac:dyDescent="0.25">
      <c r="A313">
        <v>18025</v>
      </c>
      <c r="B313" t="s">
        <v>41</v>
      </c>
      <c r="C313">
        <v>23</v>
      </c>
      <c r="D313">
        <v>85.809480740583098</v>
      </c>
      <c r="E313">
        <v>4.9191317301553497</v>
      </c>
      <c r="F313">
        <f t="shared" si="9"/>
        <v>2</v>
      </c>
      <c r="G313">
        <v>0</v>
      </c>
      <c r="H313">
        <v>1</v>
      </c>
      <c r="I313">
        <v>1</v>
      </c>
      <c r="J313">
        <v>0</v>
      </c>
      <c r="K313">
        <v>0</v>
      </c>
      <c r="L313">
        <v>0</v>
      </c>
      <c r="M313">
        <f t="shared" si="8"/>
        <v>75</v>
      </c>
      <c r="N313">
        <v>0</v>
      </c>
      <c r="O313">
        <v>50</v>
      </c>
      <c r="P313">
        <v>25</v>
      </c>
      <c r="Q313">
        <v>0</v>
      </c>
      <c r="R313">
        <v>0</v>
      </c>
      <c r="S313">
        <v>0</v>
      </c>
    </row>
    <row r="314" spans="1:19" x14ac:dyDescent="0.25">
      <c r="A314">
        <v>18027</v>
      </c>
      <c r="B314" t="s">
        <v>42</v>
      </c>
      <c r="C314">
        <v>0</v>
      </c>
      <c r="D314">
        <v>22.5474060822898</v>
      </c>
      <c r="E314">
        <v>2.3864042933810299</v>
      </c>
      <c r="F314">
        <f t="shared" si="9"/>
        <v>2</v>
      </c>
      <c r="G314">
        <v>0</v>
      </c>
      <c r="H314">
        <v>0</v>
      </c>
      <c r="I314">
        <v>2</v>
      </c>
      <c r="J314">
        <v>0</v>
      </c>
      <c r="K314">
        <v>0</v>
      </c>
      <c r="L314">
        <v>0</v>
      </c>
      <c r="M314">
        <f t="shared" si="8"/>
        <v>20</v>
      </c>
      <c r="N314">
        <v>0</v>
      </c>
      <c r="O314">
        <v>0</v>
      </c>
      <c r="P314">
        <v>20</v>
      </c>
      <c r="Q314">
        <v>0</v>
      </c>
      <c r="R314">
        <v>0</v>
      </c>
      <c r="S314">
        <v>0</v>
      </c>
    </row>
    <row r="315" spans="1:19" x14ac:dyDescent="0.25">
      <c r="A315">
        <v>18027</v>
      </c>
      <c r="B315" t="s">
        <v>42</v>
      </c>
      <c r="C315">
        <v>1</v>
      </c>
      <c r="D315">
        <v>18.1860465116279</v>
      </c>
      <c r="E315">
        <v>2.7567084078711899</v>
      </c>
      <c r="F315">
        <f t="shared" si="9"/>
        <v>2</v>
      </c>
      <c r="G315">
        <v>0</v>
      </c>
      <c r="H315">
        <v>0</v>
      </c>
      <c r="I315">
        <v>2</v>
      </c>
      <c r="J315">
        <v>0</v>
      </c>
      <c r="K315">
        <v>0</v>
      </c>
      <c r="L315">
        <v>0</v>
      </c>
      <c r="M315">
        <f t="shared" si="8"/>
        <v>20</v>
      </c>
      <c r="N315">
        <v>0</v>
      </c>
      <c r="O315">
        <v>0</v>
      </c>
      <c r="P315">
        <v>20</v>
      </c>
      <c r="Q315">
        <v>0</v>
      </c>
      <c r="R315">
        <v>0</v>
      </c>
      <c r="S315">
        <v>0</v>
      </c>
    </row>
    <row r="316" spans="1:19" x14ac:dyDescent="0.25">
      <c r="A316">
        <v>18027</v>
      </c>
      <c r="B316" t="s">
        <v>42</v>
      </c>
      <c r="C316">
        <v>2</v>
      </c>
      <c r="D316">
        <v>17.9391771019678</v>
      </c>
      <c r="E316">
        <v>3.0035778175312999</v>
      </c>
      <c r="F316">
        <f t="shared" si="9"/>
        <v>2</v>
      </c>
      <c r="G316">
        <v>0</v>
      </c>
      <c r="H316">
        <v>0</v>
      </c>
      <c r="I316">
        <v>2</v>
      </c>
      <c r="J316">
        <v>0</v>
      </c>
      <c r="K316">
        <v>0</v>
      </c>
      <c r="L316">
        <v>0</v>
      </c>
      <c r="M316">
        <f t="shared" si="8"/>
        <v>20</v>
      </c>
      <c r="N316">
        <v>0</v>
      </c>
      <c r="O316">
        <v>0</v>
      </c>
      <c r="P316">
        <v>20</v>
      </c>
      <c r="Q316">
        <v>0</v>
      </c>
      <c r="R316">
        <v>0</v>
      </c>
      <c r="S316">
        <v>0</v>
      </c>
    </row>
    <row r="317" spans="1:19" x14ac:dyDescent="0.25">
      <c r="A317">
        <v>18027</v>
      </c>
      <c r="B317" t="s">
        <v>42</v>
      </c>
      <c r="C317">
        <v>3</v>
      </c>
      <c r="D317">
        <v>18.3094812164579</v>
      </c>
      <c r="E317">
        <v>3.2093023255813899</v>
      </c>
      <c r="F317">
        <f t="shared" si="9"/>
        <v>2</v>
      </c>
      <c r="G317">
        <v>0</v>
      </c>
      <c r="H317">
        <v>0</v>
      </c>
      <c r="I317">
        <v>2</v>
      </c>
      <c r="J317">
        <v>0</v>
      </c>
      <c r="K317">
        <v>0</v>
      </c>
      <c r="L317">
        <v>0</v>
      </c>
      <c r="M317">
        <f t="shared" si="8"/>
        <v>20</v>
      </c>
      <c r="N317">
        <v>0</v>
      </c>
      <c r="O317">
        <v>0</v>
      </c>
      <c r="P317">
        <v>20</v>
      </c>
      <c r="Q317">
        <v>0</v>
      </c>
      <c r="R317">
        <v>0</v>
      </c>
      <c r="S317">
        <v>0</v>
      </c>
    </row>
    <row r="318" spans="1:19" x14ac:dyDescent="0.25">
      <c r="A318">
        <v>18027</v>
      </c>
      <c r="B318" t="s">
        <v>42</v>
      </c>
      <c r="C318">
        <v>4</v>
      </c>
      <c r="D318">
        <v>17.9391771019678</v>
      </c>
      <c r="E318">
        <v>3.82647584973166</v>
      </c>
      <c r="F318">
        <f t="shared" si="9"/>
        <v>2</v>
      </c>
      <c r="G318">
        <v>0</v>
      </c>
      <c r="H318">
        <v>0</v>
      </c>
      <c r="I318">
        <v>2</v>
      </c>
      <c r="J318">
        <v>0</v>
      </c>
      <c r="K318">
        <v>0</v>
      </c>
      <c r="L318">
        <v>0</v>
      </c>
      <c r="M318">
        <f t="shared" si="8"/>
        <v>20</v>
      </c>
      <c r="N318">
        <v>0</v>
      </c>
      <c r="O318">
        <v>0</v>
      </c>
      <c r="P318">
        <v>20</v>
      </c>
      <c r="Q318">
        <v>0</v>
      </c>
      <c r="R318">
        <v>0</v>
      </c>
      <c r="S318">
        <v>0</v>
      </c>
    </row>
    <row r="319" spans="1:19" x14ac:dyDescent="0.25">
      <c r="A319">
        <v>18027</v>
      </c>
      <c r="B319" t="s">
        <v>42</v>
      </c>
      <c r="C319">
        <v>5</v>
      </c>
      <c r="D319">
        <v>16.910554561717301</v>
      </c>
      <c r="E319">
        <v>4.2790697674418601</v>
      </c>
      <c r="F319">
        <f t="shared" si="9"/>
        <v>2</v>
      </c>
      <c r="G319">
        <v>0</v>
      </c>
      <c r="H319">
        <v>0</v>
      </c>
      <c r="I319">
        <v>2</v>
      </c>
      <c r="J319">
        <v>0</v>
      </c>
      <c r="K319">
        <v>0</v>
      </c>
      <c r="L319">
        <v>0</v>
      </c>
      <c r="M319">
        <f t="shared" si="8"/>
        <v>20</v>
      </c>
      <c r="N319">
        <v>0</v>
      </c>
      <c r="O319">
        <v>0</v>
      </c>
      <c r="P319">
        <v>20</v>
      </c>
      <c r="Q319">
        <v>0</v>
      </c>
      <c r="R319">
        <v>0</v>
      </c>
      <c r="S319">
        <v>0</v>
      </c>
    </row>
    <row r="320" spans="1:19" x14ac:dyDescent="0.25">
      <c r="A320">
        <v>18027</v>
      </c>
      <c r="B320" t="s">
        <v>42</v>
      </c>
      <c r="C320">
        <v>6</v>
      </c>
      <c r="D320">
        <v>17.486583184257601</v>
      </c>
      <c r="E320">
        <v>4.19677996422182</v>
      </c>
      <c r="F320">
        <f t="shared" si="9"/>
        <v>2</v>
      </c>
      <c r="G320">
        <v>0</v>
      </c>
      <c r="H320">
        <v>0</v>
      </c>
      <c r="I320">
        <v>2</v>
      </c>
      <c r="J320">
        <v>0</v>
      </c>
      <c r="K320">
        <v>0</v>
      </c>
      <c r="L320">
        <v>0</v>
      </c>
      <c r="M320">
        <f t="shared" si="8"/>
        <v>20</v>
      </c>
      <c r="N320">
        <v>0</v>
      </c>
      <c r="O320">
        <v>0</v>
      </c>
      <c r="P320">
        <v>20</v>
      </c>
      <c r="Q320">
        <v>0</v>
      </c>
      <c r="R320">
        <v>0</v>
      </c>
      <c r="S320">
        <v>0</v>
      </c>
    </row>
    <row r="321" spans="1:19" x14ac:dyDescent="0.25">
      <c r="A321">
        <v>18027</v>
      </c>
      <c r="B321" t="s">
        <v>42</v>
      </c>
      <c r="C321">
        <v>7</v>
      </c>
      <c r="D321">
        <v>18.9677996422182</v>
      </c>
      <c r="E321">
        <v>4.1144901610017799</v>
      </c>
      <c r="F321">
        <f t="shared" si="9"/>
        <v>2</v>
      </c>
      <c r="G321">
        <v>0</v>
      </c>
      <c r="H321">
        <v>0</v>
      </c>
      <c r="I321">
        <v>2</v>
      </c>
      <c r="J321">
        <v>0</v>
      </c>
      <c r="K321">
        <v>0</v>
      </c>
      <c r="L321">
        <v>0</v>
      </c>
      <c r="M321">
        <f t="shared" si="8"/>
        <v>20</v>
      </c>
      <c r="N321">
        <v>0</v>
      </c>
      <c r="O321">
        <v>0</v>
      </c>
      <c r="P321">
        <v>20</v>
      </c>
      <c r="Q321">
        <v>0</v>
      </c>
      <c r="R321">
        <v>0</v>
      </c>
      <c r="S321">
        <v>0</v>
      </c>
    </row>
    <row r="322" spans="1:19" x14ac:dyDescent="0.25">
      <c r="A322">
        <v>18027</v>
      </c>
      <c r="B322" t="s">
        <v>42</v>
      </c>
      <c r="C322">
        <v>8</v>
      </c>
      <c r="D322">
        <v>17.033989266547401</v>
      </c>
      <c r="E322">
        <v>4.81395348837209</v>
      </c>
      <c r="F322">
        <f t="shared" si="9"/>
        <v>2</v>
      </c>
      <c r="G322">
        <v>0</v>
      </c>
      <c r="H322">
        <v>0</v>
      </c>
      <c r="I322">
        <v>2</v>
      </c>
      <c r="J322">
        <v>0</v>
      </c>
      <c r="K322">
        <v>0</v>
      </c>
      <c r="L322">
        <v>0</v>
      </c>
      <c r="M322">
        <f t="shared" ref="M322:M385" si="10">SUM(N322:S322)</f>
        <v>20</v>
      </c>
      <c r="N322">
        <v>0</v>
      </c>
      <c r="O322">
        <v>0</v>
      </c>
      <c r="P322">
        <v>20</v>
      </c>
      <c r="Q322">
        <v>0</v>
      </c>
      <c r="R322">
        <v>0</v>
      </c>
      <c r="S322">
        <v>0</v>
      </c>
    </row>
    <row r="323" spans="1:19" x14ac:dyDescent="0.25">
      <c r="A323">
        <v>18027</v>
      </c>
      <c r="B323" t="s">
        <v>42</v>
      </c>
      <c r="C323">
        <v>9</v>
      </c>
      <c r="D323">
        <v>14.1127012522361</v>
      </c>
      <c r="E323">
        <v>3.1270125223613499</v>
      </c>
      <c r="F323">
        <f t="shared" ref="F323:F386" si="11">SUM(G323:L323)</f>
        <v>2</v>
      </c>
      <c r="G323">
        <v>0</v>
      </c>
      <c r="H323">
        <v>0</v>
      </c>
      <c r="I323">
        <v>2</v>
      </c>
      <c r="J323">
        <v>0</v>
      </c>
      <c r="K323">
        <v>0</v>
      </c>
      <c r="L323">
        <v>0</v>
      </c>
      <c r="M323">
        <f t="shared" si="10"/>
        <v>20</v>
      </c>
      <c r="N323">
        <v>0</v>
      </c>
      <c r="O323">
        <v>0</v>
      </c>
      <c r="P323">
        <v>20</v>
      </c>
      <c r="Q323">
        <v>0</v>
      </c>
      <c r="R323">
        <v>0</v>
      </c>
      <c r="S323">
        <v>0</v>
      </c>
    </row>
    <row r="324" spans="1:19" x14ac:dyDescent="0.25">
      <c r="A324">
        <v>18027</v>
      </c>
      <c r="B324" t="s">
        <v>42</v>
      </c>
      <c r="C324">
        <v>10</v>
      </c>
      <c r="D324">
        <v>13.330948121645701</v>
      </c>
      <c r="E324">
        <v>2.7567084078711899</v>
      </c>
      <c r="F324">
        <f t="shared" si="11"/>
        <v>2</v>
      </c>
      <c r="G324">
        <v>0</v>
      </c>
      <c r="H324">
        <v>0</v>
      </c>
      <c r="I324">
        <v>2</v>
      </c>
      <c r="J324">
        <v>0</v>
      </c>
      <c r="K324">
        <v>0</v>
      </c>
      <c r="L324">
        <v>0</v>
      </c>
      <c r="M324">
        <f t="shared" si="10"/>
        <v>20</v>
      </c>
      <c r="N324">
        <v>0</v>
      </c>
      <c r="O324">
        <v>0</v>
      </c>
      <c r="P324">
        <v>20</v>
      </c>
      <c r="Q324">
        <v>0</v>
      </c>
      <c r="R324">
        <v>0</v>
      </c>
      <c r="S324">
        <v>0</v>
      </c>
    </row>
    <row r="325" spans="1:19" x14ac:dyDescent="0.25">
      <c r="A325">
        <v>18027</v>
      </c>
      <c r="B325" t="s">
        <v>42</v>
      </c>
      <c r="C325">
        <v>11</v>
      </c>
      <c r="D325">
        <v>13.001788908765599</v>
      </c>
      <c r="E325">
        <v>3.4561717352415</v>
      </c>
      <c r="F325">
        <f t="shared" si="11"/>
        <v>2</v>
      </c>
      <c r="G325">
        <v>0</v>
      </c>
      <c r="H325">
        <v>0</v>
      </c>
      <c r="I325">
        <v>2</v>
      </c>
      <c r="J325">
        <v>0</v>
      </c>
      <c r="K325">
        <v>0</v>
      </c>
      <c r="L325">
        <v>0</v>
      </c>
      <c r="M325">
        <f t="shared" si="10"/>
        <v>20</v>
      </c>
      <c r="N325">
        <v>0</v>
      </c>
      <c r="O325">
        <v>0</v>
      </c>
      <c r="P325">
        <v>20</v>
      </c>
      <c r="Q325">
        <v>0</v>
      </c>
      <c r="R325">
        <v>0</v>
      </c>
      <c r="S325">
        <v>0</v>
      </c>
    </row>
    <row r="326" spans="1:19" x14ac:dyDescent="0.25">
      <c r="A326">
        <v>18027</v>
      </c>
      <c r="B326" t="s">
        <v>42</v>
      </c>
      <c r="C326">
        <v>12</v>
      </c>
      <c r="D326">
        <v>13.906976744186</v>
      </c>
      <c r="E326">
        <v>3.25044722719141</v>
      </c>
      <c r="F326">
        <f t="shared" si="11"/>
        <v>2</v>
      </c>
      <c r="G326">
        <v>0</v>
      </c>
      <c r="H326">
        <v>0</v>
      </c>
      <c r="I326">
        <v>2</v>
      </c>
      <c r="J326">
        <v>0</v>
      </c>
      <c r="K326">
        <v>0</v>
      </c>
      <c r="L326">
        <v>0</v>
      </c>
      <c r="M326">
        <f t="shared" si="10"/>
        <v>20</v>
      </c>
      <c r="N326">
        <v>0</v>
      </c>
      <c r="O326">
        <v>0</v>
      </c>
      <c r="P326">
        <v>20</v>
      </c>
      <c r="Q326">
        <v>0</v>
      </c>
      <c r="R326">
        <v>0</v>
      </c>
      <c r="S326">
        <v>0</v>
      </c>
    </row>
    <row r="327" spans="1:19" x14ac:dyDescent="0.25">
      <c r="A327">
        <v>18027</v>
      </c>
      <c r="B327" t="s">
        <v>42</v>
      </c>
      <c r="C327">
        <v>13</v>
      </c>
      <c r="D327">
        <v>14.4418604651162</v>
      </c>
      <c r="E327">
        <v>3.1270125223613499</v>
      </c>
      <c r="F327">
        <f t="shared" si="11"/>
        <v>2</v>
      </c>
      <c r="G327">
        <v>0</v>
      </c>
      <c r="H327">
        <v>0</v>
      </c>
      <c r="I327">
        <v>2</v>
      </c>
      <c r="J327">
        <v>0</v>
      </c>
      <c r="K327">
        <v>0</v>
      </c>
      <c r="L327">
        <v>0</v>
      </c>
      <c r="M327">
        <f t="shared" si="10"/>
        <v>20</v>
      </c>
      <c r="N327">
        <v>0</v>
      </c>
      <c r="O327">
        <v>0</v>
      </c>
      <c r="P327">
        <v>20</v>
      </c>
      <c r="Q327">
        <v>0</v>
      </c>
      <c r="R327">
        <v>0</v>
      </c>
      <c r="S327">
        <v>0</v>
      </c>
    </row>
    <row r="328" spans="1:19" x14ac:dyDescent="0.25">
      <c r="A328">
        <v>18027</v>
      </c>
      <c r="B328" t="s">
        <v>42</v>
      </c>
      <c r="C328">
        <v>14</v>
      </c>
      <c r="D328">
        <v>13.536672629695801</v>
      </c>
      <c r="E328">
        <v>2.0572450805008899</v>
      </c>
      <c r="F328">
        <f t="shared" si="11"/>
        <v>2</v>
      </c>
      <c r="G328">
        <v>0</v>
      </c>
      <c r="H328">
        <v>0</v>
      </c>
      <c r="I328">
        <v>2</v>
      </c>
      <c r="J328">
        <v>0</v>
      </c>
      <c r="K328">
        <v>0</v>
      </c>
      <c r="L328">
        <v>0</v>
      </c>
      <c r="M328">
        <f t="shared" si="10"/>
        <v>20</v>
      </c>
      <c r="N328">
        <v>0</v>
      </c>
      <c r="O328">
        <v>0</v>
      </c>
      <c r="P328">
        <v>20</v>
      </c>
      <c r="Q328">
        <v>0</v>
      </c>
      <c r="R328">
        <v>0</v>
      </c>
      <c r="S328">
        <v>0</v>
      </c>
    </row>
    <row r="329" spans="1:19" x14ac:dyDescent="0.25">
      <c r="A329">
        <v>18027</v>
      </c>
      <c r="B329" t="s">
        <v>42</v>
      </c>
      <c r="C329">
        <v>15</v>
      </c>
      <c r="D329">
        <v>13.6189624329159</v>
      </c>
      <c r="E329">
        <v>1.4400715563506199</v>
      </c>
      <c r="F329">
        <f t="shared" si="11"/>
        <v>2</v>
      </c>
      <c r="G329">
        <v>0</v>
      </c>
      <c r="H329">
        <v>0</v>
      </c>
      <c r="I329">
        <v>2</v>
      </c>
      <c r="J329">
        <v>0</v>
      </c>
      <c r="K329">
        <v>0</v>
      </c>
      <c r="L329">
        <v>0</v>
      </c>
      <c r="M329">
        <f t="shared" si="10"/>
        <v>20</v>
      </c>
      <c r="N329">
        <v>0</v>
      </c>
      <c r="O329">
        <v>0</v>
      </c>
      <c r="P329">
        <v>20</v>
      </c>
      <c r="Q329">
        <v>0</v>
      </c>
      <c r="R329">
        <v>0</v>
      </c>
      <c r="S329">
        <v>0</v>
      </c>
    </row>
    <row r="330" spans="1:19" x14ac:dyDescent="0.25">
      <c r="A330">
        <v>18027</v>
      </c>
      <c r="B330" t="s">
        <v>42</v>
      </c>
      <c r="C330">
        <v>16</v>
      </c>
      <c r="D330">
        <v>13.824686940966</v>
      </c>
      <c r="E330">
        <v>1.68694096601073</v>
      </c>
      <c r="F330">
        <f t="shared" si="11"/>
        <v>2</v>
      </c>
      <c r="G330">
        <v>0</v>
      </c>
      <c r="H330">
        <v>0</v>
      </c>
      <c r="I330">
        <v>2</v>
      </c>
      <c r="J330">
        <v>0</v>
      </c>
      <c r="K330">
        <v>0</v>
      </c>
      <c r="L330">
        <v>0</v>
      </c>
      <c r="M330">
        <f t="shared" si="10"/>
        <v>20</v>
      </c>
      <c r="N330">
        <v>0</v>
      </c>
      <c r="O330">
        <v>0</v>
      </c>
      <c r="P330">
        <v>20</v>
      </c>
      <c r="Q330">
        <v>0</v>
      </c>
      <c r="R330">
        <v>0</v>
      </c>
      <c r="S330">
        <v>0</v>
      </c>
    </row>
    <row r="331" spans="1:19" x14ac:dyDescent="0.25">
      <c r="A331">
        <v>18027</v>
      </c>
      <c r="B331" t="s">
        <v>42</v>
      </c>
      <c r="C331">
        <v>17</v>
      </c>
      <c r="D331">
        <v>15.017889087656499</v>
      </c>
      <c r="E331">
        <v>1.2754919499105499</v>
      </c>
      <c r="F331">
        <f t="shared" si="11"/>
        <v>2</v>
      </c>
      <c r="G331">
        <v>0</v>
      </c>
      <c r="H331">
        <v>0</v>
      </c>
      <c r="I331">
        <v>2</v>
      </c>
      <c r="J331">
        <v>0</v>
      </c>
      <c r="K331">
        <v>0</v>
      </c>
      <c r="L331">
        <v>0</v>
      </c>
      <c r="M331">
        <f t="shared" si="10"/>
        <v>20</v>
      </c>
      <c r="N331">
        <v>0</v>
      </c>
      <c r="O331">
        <v>0</v>
      </c>
      <c r="P331">
        <v>20</v>
      </c>
      <c r="Q331">
        <v>0</v>
      </c>
      <c r="R331">
        <v>0</v>
      </c>
      <c r="S331">
        <v>0</v>
      </c>
    </row>
    <row r="332" spans="1:19" x14ac:dyDescent="0.25">
      <c r="A332">
        <v>18027</v>
      </c>
      <c r="B332" t="s">
        <v>42</v>
      </c>
      <c r="C332">
        <v>18</v>
      </c>
      <c r="D332">
        <v>16.005366726296899</v>
      </c>
      <c r="E332">
        <v>1.0697674418604599</v>
      </c>
      <c r="F332">
        <f t="shared" si="11"/>
        <v>2</v>
      </c>
      <c r="G332">
        <v>0</v>
      </c>
      <c r="H332">
        <v>0</v>
      </c>
      <c r="I332">
        <v>2</v>
      </c>
      <c r="J332">
        <v>0</v>
      </c>
      <c r="K332">
        <v>0</v>
      </c>
      <c r="L332">
        <v>0</v>
      </c>
      <c r="M332">
        <f t="shared" si="10"/>
        <v>20</v>
      </c>
      <c r="N332">
        <v>0</v>
      </c>
      <c r="O332">
        <v>0</v>
      </c>
      <c r="P332">
        <v>20</v>
      </c>
      <c r="Q332">
        <v>0</v>
      </c>
      <c r="R332">
        <v>0</v>
      </c>
      <c r="S332">
        <v>0</v>
      </c>
    </row>
    <row r="333" spans="1:19" x14ac:dyDescent="0.25">
      <c r="A333">
        <v>18027</v>
      </c>
      <c r="B333" t="s">
        <v>42</v>
      </c>
      <c r="C333">
        <v>19</v>
      </c>
      <c r="D333">
        <v>17.075134168157401</v>
      </c>
      <c r="E333">
        <v>1.2343470483005301</v>
      </c>
      <c r="F333">
        <f t="shared" si="11"/>
        <v>2</v>
      </c>
      <c r="G333">
        <v>0</v>
      </c>
      <c r="H333">
        <v>0</v>
      </c>
      <c r="I333">
        <v>2</v>
      </c>
      <c r="J333">
        <v>0</v>
      </c>
      <c r="K333">
        <v>0</v>
      </c>
      <c r="L333">
        <v>0</v>
      </c>
      <c r="M333">
        <f t="shared" si="10"/>
        <v>20</v>
      </c>
      <c r="N333">
        <v>0</v>
      </c>
      <c r="O333">
        <v>0</v>
      </c>
      <c r="P333">
        <v>20</v>
      </c>
      <c r="Q333">
        <v>0</v>
      </c>
      <c r="R333">
        <v>0</v>
      </c>
      <c r="S333">
        <v>0</v>
      </c>
    </row>
    <row r="334" spans="1:19" x14ac:dyDescent="0.25">
      <c r="A334">
        <v>18027</v>
      </c>
      <c r="B334" t="s">
        <v>42</v>
      </c>
      <c r="C334">
        <v>20</v>
      </c>
      <c r="D334">
        <v>18.2271914132379</v>
      </c>
      <c r="E334">
        <v>1.31663685152057</v>
      </c>
      <c r="F334">
        <f t="shared" si="11"/>
        <v>2</v>
      </c>
      <c r="G334">
        <v>0</v>
      </c>
      <c r="H334">
        <v>0</v>
      </c>
      <c r="I334">
        <v>2</v>
      </c>
      <c r="J334">
        <v>0</v>
      </c>
      <c r="K334">
        <v>0</v>
      </c>
      <c r="L334">
        <v>0</v>
      </c>
      <c r="M334">
        <f t="shared" si="10"/>
        <v>20</v>
      </c>
      <c r="N334">
        <v>0</v>
      </c>
      <c r="O334">
        <v>0</v>
      </c>
      <c r="P334">
        <v>20</v>
      </c>
      <c r="Q334">
        <v>0</v>
      </c>
      <c r="R334">
        <v>0</v>
      </c>
      <c r="S334">
        <v>0</v>
      </c>
    </row>
    <row r="335" spans="1:19" x14ac:dyDescent="0.25">
      <c r="A335">
        <v>18027</v>
      </c>
      <c r="B335" t="s">
        <v>42</v>
      </c>
      <c r="C335">
        <v>21</v>
      </c>
      <c r="D335">
        <v>18.2683363148479</v>
      </c>
      <c r="E335">
        <v>1.6457960644007099</v>
      </c>
      <c r="F335">
        <f t="shared" si="11"/>
        <v>2</v>
      </c>
      <c r="G335">
        <v>0</v>
      </c>
      <c r="H335">
        <v>0</v>
      </c>
      <c r="I335">
        <v>2</v>
      </c>
      <c r="J335">
        <v>0</v>
      </c>
      <c r="K335">
        <v>0</v>
      </c>
      <c r="L335">
        <v>0</v>
      </c>
      <c r="M335">
        <f t="shared" si="10"/>
        <v>20</v>
      </c>
      <c r="N335">
        <v>0</v>
      </c>
      <c r="O335">
        <v>0</v>
      </c>
      <c r="P335">
        <v>20</v>
      </c>
      <c r="Q335">
        <v>0</v>
      </c>
      <c r="R335">
        <v>0</v>
      </c>
      <c r="S335">
        <v>0</v>
      </c>
    </row>
    <row r="336" spans="1:19" x14ac:dyDescent="0.25">
      <c r="A336">
        <v>18027</v>
      </c>
      <c r="B336" t="s">
        <v>42</v>
      </c>
      <c r="C336">
        <v>22</v>
      </c>
      <c r="D336">
        <v>18.8032200357781</v>
      </c>
      <c r="E336">
        <v>1.8103756708407801</v>
      </c>
      <c r="F336">
        <f t="shared" si="11"/>
        <v>2</v>
      </c>
      <c r="G336">
        <v>0</v>
      </c>
      <c r="H336">
        <v>0</v>
      </c>
      <c r="I336">
        <v>2</v>
      </c>
      <c r="J336">
        <v>0</v>
      </c>
      <c r="K336">
        <v>0</v>
      </c>
      <c r="L336">
        <v>0</v>
      </c>
      <c r="M336">
        <f t="shared" si="10"/>
        <v>20</v>
      </c>
      <c r="N336">
        <v>0</v>
      </c>
      <c r="O336">
        <v>0</v>
      </c>
      <c r="P336">
        <v>20</v>
      </c>
      <c r="Q336">
        <v>0</v>
      </c>
      <c r="R336">
        <v>0</v>
      </c>
      <c r="S336">
        <v>0</v>
      </c>
    </row>
    <row r="337" spans="1:19" x14ac:dyDescent="0.25">
      <c r="A337">
        <v>18027</v>
      </c>
      <c r="B337" t="s">
        <v>42</v>
      </c>
      <c r="C337">
        <v>23</v>
      </c>
      <c r="D337">
        <v>23</v>
      </c>
      <c r="E337">
        <v>2.3452593917710098</v>
      </c>
      <c r="F337">
        <f t="shared" si="11"/>
        <v>2</v>
      </c>
      <c r="G337">
        <v>0</v>
      </c>
      <c r="H337">
        <v>0</v>
      </c>
      <c r="I337">
        <v>2</v>
      </c>
      <c r="J337">
        <v>0</v>
      </c>
      <c r="K337">
        <v>0</v>
      </c>
      <c r="L337">
        <v>0</v>
      </c>
      <c r="M337">
        <f t="shared" si="10"/>
        <v>20</v>
      </c>
      <c r="N337">
        <v>0</v>
      </c>
      <c r="O337">
        <v>0</v>
      </c>
      <c r="P337">
        <v>20</v>
      </c>
      <c r="Q337">
        <v>0</v>
      </c>
      <c r="R337">
        <v>0</v>
      </c>
      <c r="S337">
        <v>0</v>
      </c>
    </row>
    <row r="338" spans="1:19" x14ac:dyDescent="0.25">
      <c r="A338">
        <v>18029</v>
      </c>
      <c r="B338" t="s">
        <v>43</v>
      </c>
      <c r="C338">
        <v>0</v>
      </c>
      <c r="D338">
        <v>37.843210137808803</v>
      </c>
      <c r="E338">
        <v>3.6485606186676698</v>
      </c>
      <c r="F338">
        <f t="shared" si="11"/>
        <v>2</v>
      </c>
      <c r="G338">
        <v>0</v>
      </c>
      <c r="H338">
        <v>1</v>
      </c>
      <c r="I338">
        <v>1</v>
      </c>
      <c r="J338">
        <v>0</v>
      </c>
      <c r="K338">
        <v>0</v>
      </c>
      <c r="L338">
        <v>0</v>
      </c>
      <c r="M338">
        <f t="shared" si="10"/>
        <v>85</v>
      </c>
      <c r="N338">
        <v>0</v>
      </c>
      <c r="O338">
        <v>75</v>
      </c>
      <c r="P338">
        <v>10</v>
      </c>
      <c r="Q338">
        <v>0</v>
      </c>
      <c r="R338">
        <v>0</v>
      </c>
      <c r="S338">
        <v>0</v>
      </c>
    </row>
    <row r="339" spans="1:19" x14ac:dyDescent="0.25">
      <c r="A339">
        <v>18029</v>
      </c>
      <c r="B339" t="s">
        <v>43</v>
      </c>
      <c r="C339">
        <v>1</v>
      </c>
      <c r="D339">
        <v>38.734137730739299</v>
      </c>
      <c r="E339">
        <v>4.4546379646523899</v>
      </c>
      <c r="F339">
        <f t="shared" si="11"/>
        <v>2</v>
      </c>
      <c r="G339">
        <v>0</v>
      </c>
      <c r="H339">
        <v>1</v>
      </c>
      <c r="I339">
        <v>1</v>
      </c>
      <c r="J339">
        <v>0</v>
      </c>
      <c r="K339">
        <v>0</v>
      </c>
      <c r="L339">
        <v>0</v>
      </c>
      <c r="M339">
        <f t="shared" si="10"/>
        <v>85</v>
      </c>
      <c r="N339">
        <v>0</v>
      </c>
      <c r="O339">
        <v>75</v>
      </c>
      <c r="P339">
        <v>10</v>
      </c>
      <c r="Q339">
        <v>0</v>
      </c>
      <c r="R339">
        <v>0</v>
      </c>
      <c r="S339">
        <v>0</v>
      </c>
    </row>
    <row r="340" spans="1:19" x14ac:dyDescent="0.25">
      <c r="A340">
        <v>18029</v>
      </c>
      <c r="B340" t="s">
        <v>43</v>
      </c>
      <c r="C340">
        <v>2</v>
      </c>
      <c r="D340">
        <v>39.115963841995203</v>
      </c>
      <c r="E340">
        <v>4.5394882115981501</v>
      </c>
      <c r="F340">
        <f t="shared" si="11"/>
        <v>2</v>
      </c>
      <c r="G340">
        <v>0</v>
      </c>
      <c r="H340">
        <v>1</v>
      </c>
      <c r="I340">
        <v>1</v>
      </c>
      <c r="J340">
        <v>0</v>
      </c>
      <c r="K340">
        <v>0</v>
      </c>
      <c r="L340">
        <v>0</v>
      </c>
      <c r="M340">
        <f t="shared" si="10"/>
        <v>85</v>
      </c>
      <c r="N340">
        <v>0</v>
      </c>
      <c r="O340">
        <v>75</v>
      </c>
      <c r="P340">
        <v>10</v>
      </c>
      <c r="Q340">
        <v>0</v>
      </c>
      <c r="R340">
        <v>0</v>
      </c>
      <c r="S340">
        <v>0</v>
      </c>
    </row>
    <row r="341" spans="1:19" x14ac:dyDescent="0.25">
      <c r="A341">
        <v>18029</v>
      </c>
      <c r="B341" t="s">
        <v>43</v>
      </c>
      <c r="C341">
        <v>3</v>
      </c>
      <c r="D341">
        <v>39.158388965468099</v>
      </c>
      <c r="E341">
        <v>4.8364640759083004</v>
      </c>
      <c r="F341">
        <f t="shared" si="11"/>
        <v>2</v>
      </c>
      <c r="G341">
        <v>0</v>
      </c>
      <c r="H341">
        <v>1</v>
      </c>
      <c r="I341">
        <v>1</v>
      </c>
      <c r="J341">
        <v>0</v>
      </c>
      <c r="K341">
        <v>0</v>
      </c>
      <c r="L341">
        <v>0</v>
      </c>
      <c r="M341">
        <f t="shared" si="10"/>
        <v>85</v>
      </c>
      <c r="N341">
        <v>0</v>
      </c>
      <c r="O341">
        <v>75</v>
      </c>
      <c r="P341">
        <v>10</v>
      </c>
      <c r="Q341">
        <v>0</v>
      </c>
      <c r="R341">
        <v>0</v>
      </c>
      <c r="S341">
        <v>0</v>
      </c>
    </row>
    <row r="342" spans="1:19" x14ac:dyDescent="0.25">
      <c r="A342">
        <v>18029</v>
      </c>
      <c r="B342" t="s">
        <v>43</v>
      </c>
      <c r="C342">
        <v>4</v>
      </c>
      <c r="D342">
        <v>39.243239212413897</v>
      </c>
      <c r="E342">
        <v>5.4728409280015002</v>
      </c>
      <c r="F342">
        <f t="shared" si="11"/>
        <v>2</v>
      </c>
      <c r="G342">
        <v>0</v>
      </c>
      <c r="H342">
        <v>1</v>
      </c>
      <c r="I342">
        <v>1</v>
      </c>
      <c r="J342">
        <v>0</v>
      </c>
      <c r="K342">
        <v>0</v>
      </c>
      <c r="L342">
        <v>0</v>
      </c>
      <c r="M342">
        <f t="shared" si="10"/>
        <v>85</v>
      </c>
      <c r="N342">
        <v>0</v>
      </c>
      <c r="O342">
        <v>75</v>
      </c>
      <c r="P342">
        <v>10</v>
      </c>
      <c r="Q342">
        <v>0</v>
      </c>
      <c r="R342">
        <v>0</v>
      </c>
      <c r="S342">
        <v>0</v>
      </c>
    </row>
    <row r="343" spans="1:19" x14ac:dyDescent="0.25">
      <c r="A343">
        <v>18029</v>
      </c>
      <c r="B343" t="s">
        <v>43</v>
      </c>
      <c r="C343">
        <v>5</v>
      </c>
      <c r="D343">
        <v>40.091741681871497</v>
      </c>
      <c r="E343">
        <v>6.9577202495522998</v>
      </c>
      <c r="F343">
        <f t="shared" si="11"/>
        <v>2</v>
      </c>
      <c r="G343">
        <v>0</v>
      </c>
      <c r="H343">
        <v>1</v>
      </c>
      <c r="I343">
        <v>1</v>
      </c>
      <c r="J343">
        <v>0</v>
      </c>
      <c r="K343">
        <v>0</v>
      </c>
      <c r="L343">
        <v>0</v>
      </c>
      <c r="M343">
        <f t="shared" si="10"/>
        <v>85</v>
      </c>
      <c r="N343">
        <v>0</v>
      </c>
      <c r="O343">
        <v>75</v>
      </c>
      <c r="P343">
        <v>10</v>
      </c>
      <c r="Q343">
        <v>0</v>
      </c>
      <c r="R343">
        <v>0</v>
      </c>
      <c r="S343">
        <v>0</v>
      </c>
    </row>
    <row r="344" spans="1:19" x14ac:dyDescent="0.25">
      <c r="A344">
        <v>18029</v>
      </c>
      <c r="B344" t="s">
        <v>43</v>
      </c>
      <c r="C344">
        <v>6</v>
      </c>
      <c r="D344">
        <v>40.091741681871497</v>
      </c>
      <c r="E344">
        <v>11.751759201987699</v>
      </c>
      <c r="F344">
        <f t="shared" si="11"/>
        <v>2</v>
      </c>
      <c r="G344">
        <v>0</v>
      </c>
      <c r="H344">
        <v>1</v>
      </c>
      <c r="I344">
        <v>1</v>
      </c>
      <c r="J344">
        <v>0</v>
      </c>
      <c r="K344">
        <v>0</v>
      </c>
      <c r="L344">
        <v>0</v>
      </c>
      <c r="M344">
        <f t="shared" si="10"/>
        <v>85</v>
      </c>
      <c r="N344">
        <v>0</v>
      </c>
      <c r="O344">
        <v>75</v>
      </c>
      <c r="P344">
        <v>10</v>
      </c>
      <c r="Q344">
        <v>0</v>
      </c>
      <c r="R344">
        <v>0</v>
      </c>
      <c r="S344">
        <v>0</v>
      </c>
    </row>
    <row r="345" spans="1:19" x14ac:dyDescent="0.25">
      <c r="A345">
        <v>18029</v>
      </c>
      <c r="B345" t="s">
        <v>43</v>
      </c>
      <c r="C345">
        <v>7</v>
      </c>
      <c r="D345">
        <v>37.334108656134298</v>
      </c>
      <c r="E345">
        <v>13.660889758267301</v>
      </c>
      <c r="F345">
        <f t="shared" si="11"/>
        <v>2</v>
      </c>
      <c r="G345">
        <v>0</v>
      </c>
      <c r="H345">
        <v>1</v>
      </c>
      <c r="I345">
        <v>1</v>
      </c>
      <c r="J345">
        <v>0</v>
      </c>
      <c r="K345">
        <v>0</v>
      </c>
      <c r="L345">
        <v>0</v>
      </c>
      <c r="M345">
        <f t="shared" si="10"/>
        <v>85</v>
      </c>
      <c r="N345">
        <v>0</v>
      </c>
      <c r="O345">
        <v>75</v>
      </c>
      <c r="P345">
        <v>10</v>
      </c>
      <c r="Q345">
        <v>0</v>
      </c>
      <c r="R345">
        <v>0</v>
      </c>
      <c r="S345">
        <v>0</v>
      </c>
    </row>
    <row r="346" spans="1:19" x14ac:dyDescent="0.25">
      <c r="A346">
        <v>18029</v>
      </c>
      <c r="B346" t="s">
        <v>43</v>
      </c>
      <c r="C346">
        <v>8</v>
      </c>
      <c r="D346">
        <v>29.9097120483803</v>
      </c>
      <c r="E346">
        <v>10.309305003909801</v>
      </c>
      <c r="F346">
        <f t="shared" si="11"/>
        <v>2</v>
      </c>
      <c r="G346">
        <v>0</v>
      </c>
      <c r="H346">
        <v>1</v>
      </c>
      <c r="I346">
        <v>1</v>
      </c>
      <c r="J346">
        <v>0</v>
      </c>
      <c r="K346">
        <v>0</v>
      </c>
      <c r="L346">
        <v>0</v>
      </c>
      <c r="M346">
        <f t="shared" si="10"/>
        <v>85</v>
      </c>
      <c r="N346">
        <v>0</v>
      </c>
      <c r="O346">
        <v>75</v>
      </c>
      <c r="P346">
        <v>10</v>
      </c>
      <c r="Q346">
        <v>0</v>
      </c>
      <c r="R346">
        <v>0</v>
      </c>
      <c r="S346">
        <v>0</v>
      </c>
    </row>
    <row r="347" spans="1:19" x14ac:dyDescent="0.25">
      <c r="A347">
        <v>18029</v>
      </c>
      <c r="B347" t="s">
        <v>43</v>
      </c>
      <c r="C347">
        <v>9</v>
      </c>
      <c r="D347">
        <v>25.158098219417699</v>
      </c>
      <c r="E347">
        <v>8.2304739537387004</v>
      </c>
      <c r="F347">
        <f t="shared" si="11"/>
        <v>2</v>
      </c>
      <c r="G347">
        <v>0</v>
      </c>
      <c r="H347">
        <v>1</v>
      </c>
      <c r="I347">
        <v>1</v>
      </c>
      <c r="J347">
        <v>0</v>
      </c>
      <c r="K347">
        <v>0</v>
      </c>
      <c r="L347">
        <v>0</v>
      </c>
      <c r="M347">
        <f t="shared" si="10"/>
        <v>85</v>
      </c>
      <c r="N347">
        <v>0</v>
      </c>
      <c r="O347">
        <v>75</v>
      </c>
      <c r="P347">
        <v>10</v>
      </c>
      <c r="Q347">
        <v>0</v>
      </c>
      <c r="R347">
        <v>0</v>
      </c>
      <c r="S347">
        <v>0</v>
      </c>
    </row>
    <row r="348" spans="1:19" x14ac:dyDescent="0.25">
      <c r="A348">
        <v>18029</v>
      </c>
      <c r="B348" t="s">
        <v>43</v>
      </c>
      <c r="C348">
        <v>10</v>
      </c>
      <c r="D348">
        <v>23.758069144812701</v>
      </c>
      <c r="E348">
        <v>6.9152951260794202</v>
      </c>
      <c r="F348">
        <f t="shared" si="11"/>
        <v>2</v>
      </c>
      <c r="G348">
        <v>0</v>
      </c>
      <c r="H348">
        <v>1</v>
      </c>
      <c r="I348">
        <v>1</v>
      </c>
      <c r="J348">
        <v>0</v>
      </c>
      <c r="K348">
        <v>0</v>
      </c>
      <c r="L348">
        <v>0</v>
      </c>
      <c r="M348">
        <f t="shared" si="10"/>
        <v>85</v>
      </c>
      <c r="N348">
        <v>0</v>
      </c>
      <c r="O348">
        <v>75</v>
      </c>
      <c r="P348">
        <v>10</v>
      </c>
      <c r="Q348">
        <v>0</v>
      </c>
      <c r="R348">
        <v>0</v>
      </c>
      <c r="S348">
        <v>0</v>
      </c>
    </row>
    <row r="349" spans="1:19" x14ac:dyDescent="0.25">
      <c r="A349">
        <v>18029</v>
      </c>
      <c r="B349" t="s">
        <v>43</v>
      </c>
      <c r="C349">
        <v>11</v>
      </c>
      <c r="D349">
        <v>22.739866181463601</v>
      </c>
      <c r="E349">
        <v>6.9577202495522998</v>
      </c>
      <c r="F349">
        <f t="shared" si="11"/>
        <v>2</v>
      </c>
      <c r="G349">
        <v>0</v>
      </c>
      <c r="H349">
        <v>1</v>
      </c>
      <c r="I349">
        <v>1</v>
      </c>
      <c r="J349">
        <v>0</v>
      </c>
      <c r="K349">
        <v>0</v>
      </c>
      <c r="L349">
        <v>0</v>
      </c>
      <c r="M349">
        <f t="shared" si="10"/>
        <v>85</v>
      </c>
      <c r="N349">
        <v>0</v>
      </c>
      <c r="O349">
        <v>75</v>
      </c>
      <c r="P349">
        <v>10</v>
      </c>
      <c r="Q349">
        <v>0</v>
      </c>
      <c r="R349">
        <v>0</v>
      </c>
      <c r="S349">
        <v>0</v>
      </c>
    </row>
    <row r="350" spans="1:19" x14ac:dyDescent="0.25">
      <c r="A350">
        <v>18029</v>
      </c>
      <c r="B350" t="s">
        <v>43</v>
      </c>
      <c r="C350">
        <v>12</v>
      </c>
      <c r="D350">
        <v>21.170136612966999</v>
      </c>
      <c r="E350">
        <v>6.3213433974591</v>
      </c>
      <c r="F350">
        <f t="shared" si="11"/>
        <v>2</v>
      </c>
      <c r="G350">
        <v>0</v>
      </c>
      <c r="H350">
        <v>1</v>
      </c>
      <c r="I350">
        <v>1</v>
      </c>
      <c r="J350">
        <v>0</v>
      </c>
      <c r="K350">
        <v>0</v>
      </c>
      <c r="L350">
        <v>0</v>
      </c>
      <c r="M350">
        <f t="shared" si="10"/>
        <v>85</v>
      </c>
      <c r="N350">
        <v>0</v>
      </c>
      <c r="O350">
        <v>75</v>
      </c>
      <c r="P350">
        <v>10</v>
      </c>
      <c r="Q350">
        <v>0</v>
      </c>
      <c r="R350">
        <v>0</v>
      </c>
      <c r="S350">
        <v>0</v>
      </c>
    </row>
    <row r="351" spans="1:19" x14ac:dyDescent="0.25">
      <c r="A351">
        <v>18029</v>
      </c>
      <c r="B351" t="s">
        <v>43</v>
      </c>
      <c r="C351">
        <v>13</v>
      </c>
      <c r="D351">
        <v>20.745885378238199</v>
      </c>
      <c r="E351">
        <v>4.4546379646523899</v>
      </c>
      <c r="F351">
        <f t="shared" si="11"/>
        <v>2</v>
      </c>
      <c r="G351">
        <v>0</v>
      </c>
      <c r="H351">
        <v>1</v>
      </c>
      <c r="I351">
        <v>1</v>
      </c>
      <c r="J351">
        <v>0</v>
      </c>
      <c r="K351">
        <v>0</v>
      </c>
      <c r="L351">
        <v>0</v>
      </c>
      <c r="M351">
        <f t="shared" si="10"/>
        <v>85</v>
      </c>
      <c r="N351">
        <v>0</v>
      </c>
      <c r="O351">
        <v>75</v>
      </c>
      <c r="P351">
        <v>10</v>
      </c>
      <c r="Q351">
        <v>0</v>
      </c>
      <c r="R351">
        <v>0</v>
      </c>
      <c r="S351">
        <v>0</v>
      </c>
    </row>
    <row r="352" spans="1:19" x14ac:dyDescent="0.25">
      <c r="A352">
        <v>18029</v>
      </c>
      <c r="B352" t="s">
        <v>43</v>
      </c>
      <c r="C352">
        <v>14</v>
      </c>
      <c r="D352">
        <v>20.0670834026721</v>
      </c>
      <c r="E352">
        <v>2.9273335196287098</v>
      </c>
      <c r="F352">
        <f t="shared" si="11"/>
        <v>2</v>
      </c>
      <c r="G352">
        <v>0</v>
      </c>
      <c r="H352">
        <v>1</v>
      </c>
      <c r="I352">
        <v>1</v>
      </c>
      <c r="J352">
        <v>0</v>
      </c>
      <c r="K352">
        <v>0</v>
      </c>
      <c r="L352">
        <v>0</v>
      </c>
      <c r="M352">
        <f t="shared" si="10"/>
        <v>85</v>
      </c>
      <c r="N352">
        <v>0</v>
      </c>
      <c r="O352">
        <v>75</v>
      </c>
      <c r="P352">
        <v>10</v>
      </c>
      <c r="Q352">
        <v>0</v>
      </c>
      <c r="R352">
        <v>0</v>
      </c>
      <c r="S352">
        <v>0</v>
      </c>
    </row>
    <row r="353" spans="1:19" x14ac:dyDescent="0.25">
      <c r="A353">
        <v>18029</v>
      </c>
      <c r="B353" t="s">
        <v>43</v>
      </c>
      <c r="C353">
        <v>15</v>
      </c>
      <c r="D353">
        <v>19.8973829087806</v>
      </c>
      <c r="E353">
        <v>2.7152079022643099</v>
      </c>
      <c r="F353">
        <f t="shared" si="11"/>
        <v>2</v>
      </c>
      <c r="G353">
        <v>0</v>
      </c>
      <c r="H353">
        <v>1</v>
      </c>
      <c r="I353">
        <v>1</v>
      </c>
      <c r="J353">
        <v>0</v>
      </c>
      <c r="K353">
        <v>0</v>
      </c>
      <c r="L353">
        <v>0</v>
      </c>
      <c r="M353">
        <f t="shared" si="10"/>
        <v>85</v>
      </c>
      <c r="N353">
        <v>0</v>
      </c>
      <c r="O353">
        <v>75</v>
      </c>
      <c r="P353">
        <v>10</v>
      </c>
      <c r="Q353">
        <v>0</v>
      </c>
      <c r="R353">
        <v>0</v>
      </c>
      <c r="S353">
        <v>0</v>
      </c>
    </row>
    <row r="354" spans="1:19" x14ac:dyDescent="0.25">
      <c r="A354">
        <v>18029</v>
      </c>
      <c r="B354" t="s">
        <v>43</v>
      </c>
      <c r="C354">
        <v>16</v>
      </c>
      <c r="D354">
        <v>22.103489329370401</v>
      </c>
      <c r="E354">
        <v>3.1818842604659898</v>
      </c>
      <c r="F354">
        <f t="shared" si="11"/>
        <v>2</v>
      </c>
      <c r="G354">
        <v>0</v>
      </c>
      <c r="H354">
        <v>1</v>
      </c>
      <c r="I354">
        <v>1</v>
      </c>
      <c r="J354">
        <v>0</v>
      </c>
      <c r="K354">
        <v>0</v>
      </c>
      <c r="L354">
        <v>0</v>
      </c>
      <c r="M354">
        <f t="shared" si="10"/>
        <v>85</v>
      </c>
      <c r="N354">
        <v>0</v>
      </c>
      <c r="O354">
        <v>75</v>
      </c>
      <c r="P354">
        <v>10</v>
      </c>
      <c r="Q354">
        <v>0</v>
      </c>
      <c r="R354">
        <v>0</v>
      </c>
      <c r="S354">
        <v>0</v>
      </c>
    </row>
    <row r="355" spans="1:19" x14ac:dyDescent="0.25">
      <c r="A355">
        <v>18029</v>
      </c>
      <c r="B355" t="s">
        <v>43</v>
      </c>
      <c r="C355">
        <v>17</v>
      </c>
      <c r="D355">
        <v>25.752049948038099</v>
      </c>
      <c r="E355">
        <v>2.07883105017111</v>
      </c>
      <c r="F355">
        <f t="shared" si="11"/>
        <v>2</v>
      </c>
      <c r="G355">
        <v>0</v>
      </c>
      <c r="H355">
        <v>1</v>
      </c>
      <c r="I355">
        <v>1</v>
      </c>
      <c r="J355">
        <v>0</v>
      </c>
      <c r="K355">
        <v>0</v>
      </c>
      <c r="L355">
        <v>0</v>
      </c>
      <c r="M355">
        <f t="shared" si="10"/>
        <v>85</v>
      </c>
      <c r="N355">
        <v>0</v>
      </c>
      <c r="O355">
        <v>75</v>
      </c>
      <c r="P355">
        <v>10</v>
      </c>
      <c r="Q355">
        <v>0</v>
      </c>
      <c r="R355">
        <v>0</v>
      </c>
      <c r="S355">
        <v>0</v>
      </c>
    </row>
    <row r="356" spans="1:19" x14ac:dyDescent="0.25">
      <c r="A356">
        <v>18029</v>
      </c>
      <c r="B356" t="s">
        <v>43</v>
      </c>
      <c r="C356">
        <v>18</v>
      </c>
      <c r="D356">
        <v>27.449054886953299</v>
      </c>
      <c r="E356">
        <v>1.9091305562795899</v>
      </c>
      <c r="F356">
        <f t="shared" si="11"/>
        <v>2</v>
      </c>
      <c r="G356">
        <v>0</v>
      </c>
      <c r="H356">
        <v>1</v>
      </c>
      <c r="I356">
        <v>1</v>
      </c>
      <c r="J356">
        <v>0</v>
      </c>
      <c r="K356">
        <v>0</v>
      </c>
      <c r="L356">
        <v>0</v>
      </c>
      <c r="M356">
        <f t="shared" si="10"/>
        <v>85</v>
      </c>
      <c r="N356">
        <v>0</v>
      </c>
      <c r="O356">
        <v>75</v>
      </c>
      <c r="P356">
        <v>10</v>
      </c>
      <c r="Q356">
        <v>0</v>
      </c>
      <c r="R356">
        <v>0</v>
      </c>
      <c r="S356">
        <v>0</v>
      </c>
    </row>
    <row r="357" spans="1:19" x14ac:dyDescent="0.25">
      <c r="A357">
        <v>18029</v>
      </c>
      <c r="B357" t="s">
        <v>43</v>
      </c>
      <c r="C357">
        <v>19</v>
      </c>
      <c r="D357">
        <v>29.2733351962871</v>
      </c>
      <c r="E357">
        <v>3.1818842604659898</v>
      </c>
      <c r="F357">
        <f t="shared" si="11"/>
        <v>2</v>
      </c>
      <c r="G357">
        <v>0</v>
      </c>
      <c r="H357">
        <v>1</v>
      </c>
      <c r="I357">
        <v>1</v>
      </c>
      <c r="J357">
        <v>0</v>
      </c>
      <c r="K357">
        <v>0</v>
      </c>
      <c r="L357">
        <v>0</v>
      </c>
      <c r="M357">
        <f t="shared" si="10"/>
        <v>85</v>
      </c>
      <c r="N357">
        <v>0</v>
      </c>
      <c r="O357">
        <v>75</v>
      </c>
      <c r="P357">
        <v>10</v>
      </c>
      <c r="Q357">
        <v>0</v>
      </c>
      <c r="R357">
        <v>0</v>
      </c>
      <c r="S357">
        <v>0</v>
      </c>
    </row>
    <row r="358" spans="1:19" x14ac:dyDescent="0.25">
      <c r="A358">
        <v>18029</v>
      </c>
      <c r="B358" t="s">
        <v>43</v>
      </c>
      <c r="C358">
        <v>20</v>
      </c>
      <c r="D358">
        <v>31.606716987295499</v>
      </c>
      <c r="E358">
        <v>2.9273335196287098</v>
      </c>
      <c r="F358">
        <f t="shared" si="11"/>
        <v>2</v>
      </c>
      <c r="G358">
        <v>0</v>
      </c>
      <c r="H358">
        <v>1</v>
      </c>
      <c r="I358">
        <v>1</v>
      </c>
      <c r="J358">
        <v>0</v>
      </c>
      <c r="K358">
        <v>0</v>
      </c>
      <c r="L358">
        <v>0</v>
      </c>
      <c r="M358">
        <f t="shared" si="10"/>
        <v>85</v>
      </c>
      <c r="N358">
        <v>0</v>
      </c>
      <c r="O358">
        <v>75</v>
      </c>
      <c r="P358">
        <v>10</v>
      </c>
      <c r="Q358">
        <v>0</v>
      </c>
      <c r="R358">
        <v>0</v>
      </c>
      <c r="S358">
        <v>0</v>
      </c>
    </row>
    <row r="359" spans="1:19" x14ac:dyDescent="0.25">
      <c r="A359">
        <v>18029</v>
      </c>
      <c r="B359" t="s">
        <v>43</v>
      </c>
      <c r="C359">
        <v>21</v>
      </c>
      <c r="D359">
        <v>34.449200259978397</v>
      </c>
      <c r="E359">
        <v>2.2061064205897498</v>
      </c>
      <c r="F359">
        <f t="shared" si="11"/>
        <v>2</v>
      </c>
      <c r="G359">
        <v>0</v>
      </c>
      <c r="H359">
        <v>1</v>
      </c>
      <c r="I359">
        <v>1</v>
      </c>
      <c r="J359">
        <v>0</v>
      </c>
      <c r="K359">
        <v>0</v>
      </c>
      <c r="L359">
        <v>0</v>
      </c>
      <c r="M359">
        <f t="shared" si="10"/>
        <v>85</v>
      </c>
      <c r="N359">
        <v>0</v>
      </c>
      <c r="O359">
        <v>75</v>
      </c>
      <c r="P359">
        <v>10</v>
      </c>
      <c r="Q359">
        <v>0</v>
      </c>
      <c r="R359">
        <v>0</v>
      </c>
      <c r="S359">
        <v>0</v>
      </c>
    </row>
    <row r="360" spans="1:19" x14ac:dyDescent="0.25">
      <c r="A360">
        <v>18029</v>
      </c>
      <c r="B360" t="s">
        <v>43</v>
      </c>
      <c r="C360">
        <v>22</v>
      </c>
      <c r="D360">
        <v>35.509828346800397</v>
      </c>
      <c r="E360">
        <v>2.1636812971168702</v>
      </c>
      <c r="F360">
        <f t="shared" si="11"/>
        <v>2</v>
      </c>
      <c r="G360">
        <v>0</v>
      </c>
      <c r="H360">
        <v>1</v>
      </c>
      <c r="I360">
        <v>1</v>
      </c>
      <c r="J360">
        <v>0</v>
      </c>
      <c r="K360">
        <v>0</v>
      </c>
      <c r="L360">
        <v>0</v>
      </c>
      <c r="M360">
        <f t="shared" si="10"/>
        <v>85</v>
      </c>
      <c r="N360">
        <v>0</v>
      </c>
      <c r="O360">
        <v>75</v>
      </c>
      <c r="P360">
        <v>10</v>
      </c>
      <c r="Q360">
        <v>0</v>
      </c>
      <c r="R360">
        <v>0</v>
      </c>
      <c r="S360">
        <v>0</v>
      </c>
    </row>
    <row r="361" spans="1:19" x14ac:dyDescent="0.25">
      <c r="A361">
        <v>18029</v>
      </c>
      <c r="B361" t="s">
        <v>43</v>
      </c>
      <c r="C361">
        <v>23</v>
      </c>
      <c r="D361">
        <v>37.503809150025802</v>
      </c>
      <c r="E361">
        <v>3.3091596308846301</v>
      </c>
      <c r="F361">
        <f t="shared" si="11"/>
        <v>2</v>
      </c>
      <c r="G361">
        <v>0</v>
      </c>
      <c r="H361">
        <v>1</v>
      </c>
      <c r="I361">
        <v>1</v>
      </c>
      <c r="J361">
        <v>0</v>
      </c>
      <c r="K361">
        <v>0</v>
      </c>
      <c r="L361">
        <v>0</v>
      </c>
      <c r="M361">
        <f t="shared" si="10"/>
        <v>85</v>
      </c>
      <c r="N361">
        <v>0</v>
      </c>
      <c r="O361">
        <v>75</v>
      </c>
      <c r="P361">
        <v>10</v>
      </c>
      <c r="Q361">
        <v>0</v>
      </c>
      <c r="R361">
        <v>0</v>
      </c>
      <c r="S361">
        <v>0</v>
      </c>
    </row>
    <row r="362" spans="1:19" x14ac:dyDescent="0.25">
      <c r="A362">
        <v>18031</v>
      </c>
      <c r="B362" t="s">
        <v>44</v>
      </c>
      <c r="C362">
        <v>0</v>
      </c>
      <c r="D362">
        <v>171.35</v>
      </c>
      <c r="E362">
        <v>5.0488597376387396</v>
      </c>
      <c r="F362">
        <f t="shared" si="11"/>
        <v>2</v>
      </c>
      <c r="G362">
        <v>0</v>
      </c>
      <c r="H362">
        <v>2</v>
      </c>
      <c r="I362">
        <v>0</v>
      </c>
      <c r="J362">
        <v>0</v>
      </c>
      <c r="K362">
        <v>0</v>
      </c>
      <c r="L362">
        <v>0</v>
      </c>
      <c r="M362">
        <f t="shared" si="10"/>
        <v>149</v>
      </c>
      <c r="N362">
        <v>0</v>
      </c>
      <c r="O362">
        <v>149</v>
      </c>
      <c r="P362">
        <v>0</v>
      </c>
      <c r="Q362">
        <v>0</v>
      </c>
      <c r="R362">
        <v>0</v>
      </c>
      <c r="S362">
        <v>0</v>
      </c>
    </row>
    <row r="363" spans="1:19" x14ac:dyDescent="0.25">
      <c r="A363">
        <v>18031</v>
      </c>
      <c r="B363" t="s">
        <v>44</v>
      </c>
      <c r="C363">
        <v>1</v>
      </c>
      <c r="D363">
        <v>171.00418768920201</v>
      </c>
      <c r="E363">
        <v>5.6713218970736596</v>
      </c>
      <c r="F363">
        <f t="shared" si="11"/>
        <v>2</v>
      </c>
      <c r="G363">
        <v>0</v>
      </c>
      <c r="H363">
        <v>2</v>
      </c>
      <c r="I363">
        <v>0</v>
      </c>
      <c r="J363">
        <v>0</v>
      </c>
      <c r="K363">
        <v>0</v>
      </c>
      <c r="L363">
        <v>0</v>
      </c>
      <c r="M363">
        <f t="shared" si="10"/>
        <v>149</v>
      </c>
      <c r="N363">
        <v>0</v>
      </c>
      <c r="O363">
        <v>149</v>
      </c>
      <c r="P363">
        <v>0</v>
      </c>
      <c r="Q363">
        <v>0</v>
      </c>
      <c r="R363">
        <v>0</v>
      </c>
      <c r="S363">
        <v>0</v>
      </c>
    </row>
    <row r="364" spans="1:19" x14ac:dyDescent="0.25">
      <c r="A364">
        <v>18031</v>
      </c>
      <c r="B364" t="s">
        <v>44</v>
      </c>
      <c r="C364">
        <v>2</v>
      </c>
      <c r="D364">
        <v>168.99847628657901</v>
      </c>
      <c r="E364">
        <v>6.0517154389505503</v>
      </c>
      <c r="F364">
        <f t="shared" si="11"/>
        <v>2</v>
      </c>
      <c r="G364">
        <v>0</v>
      </c>
      <c r="H364">
        <v>2</v>
      </c>
      <c r="I364">
        <v>0</v>
      </c>
      <c r="J364">
        <v>0</v>
      </c>
      <c r="K364">
        <v>0</v>
      </c>
      <c r="L364">
        <v>0</v>
      </c>
      <c r="M364">
        <f t="shared" si="10"/>
        <v>149</v>
      </c>
      <c r="N364">
        <v>0</v>
      </c>
      <c r="O364">
        <v>149</v>
      </c>
      <c r="P364">
        <v>0</v>
      </c>
      <c r="Q364">
        <v>0</v>
      </c>
      <c r="R364">
        <v>0</v>
      </c>
      <c r="S364">
        <v>0</v>
      </c>
    </row>
    <row r="365" spans="1:19" x14ac:dyDescent="0.25">
      <c r="A365">
        <v>18031</v>
      </c>
      <c r="B365" t="s">
        <v>44</v>
      </c>
      <c r="C365">
        <v>3</v>
      </c>
      <c r="D365">
        <v>166.508627648839</v>
      </c>
      <c r="E365">
        <v>6.0171342078708303</v>
      </c>
      <c r="F365">
        <f t="shared" si="11"/>
        <v>2</v>
      </c>
      <c r="G365">
        <v>0</v>
      </c>
      <c r="H365">
        <v>2</v>
      </c>
      <c r="I365">
        <v>0</v>
      </c>
      <c r="J365">
        <v>0</v>
      </c>
      <c r="K365">
        <v>0</v>
      </c>
      <c r="L365">
        <v>0</v>
      </c>
      <c r="M365">
        <f t="shared" si="10"/>
        <v>149</v>
      </c>
      <c r="N365">
        <v>0</v>
      </c>
      <c r="O365">
        <v>149</v>
      </c>
      <c r="P365">
        <v>0</v>
      </c>
      <c r="Q365">
        <v>0</v>
      </c>
      <c r="R365">
        <v>0</v>
      </c>
      <c r="S365">
        <v>0</v>
      </c>
    </row>
    <row r="366" spans="1:19" x14ac:dyDescent="0.25">
      <c r="A366">
        <v>18031</v>
      </c>
      <c r="B366" t="s">
        <v>44</v>
      </c>
      <c r="C366">
        <v>4</v>
      </c>
      <c r="D366">
        <v>154.05938446014099</v>
      </c>
      <c r="E366">
        <v>7.1928960645812303</v>
      </c>
      <c r="F366">
        <f t="shared" si="11"/>
        <v>2</v>
      </c>
      <c r="G366">
        <v>0</v>
      </c>
      <c r="H366">
        <v>2</v>
      </c>
      <c r="I366">
        <v>0</v>
      </c>
      <c r="J366">
        <v>0</v>
      </c>
      <c r="K366">
        <v>0</v>
      </c>
      <c r="L366">
        <v>0</v>
      </c>
      <c r="M366">
        <f t="shared" si="10"/>
        <v>149</v>
      </c>
      <c r="N366">
        <v>0</v>
      </c>
      <c r="O366">
        <v>149</v>
      </c>
      <c r="P366">
        <v>0</v>
      </c>
      <c r="Q366">
        <v>0</v>
      </c>
      <c r="R366">
        <v>0</v>
      </c>
      <c r="S366">
        <v>0</v>
      </c>
    </row>
    <row r="367" spans="1:19" x14ac:dyDescent="0.25">
      <c r="A367">
        <v>18031</v>
      </c>
      <c r="B367" t="s">
        <v>44</v>
      </c>
      <c r="C367">
        <v>5</v>
      </c>
      <c r="D367">
        <v>149.944217961654</v>
      </c>
      <c r="E367">
        <v>9.6827447023208801</v>
      </c>
      <c r="F367">
        <f t="shared" si="11"/>
        <v>2</v>
      </c>
      <c r="G367">
        <v>0</v>
      </c>
      <c r="H367">
        <v>2</v>
      </c>
      <c r="I367">
        <v>0</v>
      </c>
      <c r="J367">
        <v>0</v>
      </c>
      <c r="K367">
        <v>0</v>
      </c>
      <c r="L367">
        <v>0</v>
      </c>
      <c r="M367">
        <f t="shared" si="10"/>
        <v>149</v>
      </c>
      <c r="N367">
        <v>0</v>
      </c>
      <c r="O367">
        <v>149</v>
      </c>
      <c r="P367">
        <v>0</v>
      </c>
      <c r="Q367">
        <v>0</v>
      </c>
      <c r="R367">
        <v>0</v>
      </c>
      <c r="S367">
        <v>0</v>
      </c>
    </row>
    <row r="368" spans="1:19" x14ac:dyDescent="0.25">
      <c r="A368">
        <v>18031</v>
      </c>
      <c r="B368" t="s">
        <v>44</v>
      </c>
      <c r="C368">
        <v>6</v>
      </c>
      <c r="D368">
        <v>136.52670030272401</v>
      </c>
      <c r="E368">
        <v>9.9593945509586206</v>
      </c>
      <c r="F368">
        <f t="shared" si="11"/>
        <v>2</v>
      </c>
      <c r="G368">
        <v>0</v>
      </c>
      <c r="H368">
        <v>2</v>
      </c>
      <c r="I368">
        <v>0</v>
      </c>
      <c r="J368">
        <v>0</v>
      </c>
      <c r="K368">
        <v>0</v>
      </c>
      <c r="L368">
        <v>0</v>
      </c>
      <c r="M368">
        <f t="shared" si="10"/>
        <v>149</v>
      </c>
      <c r="N368">
        <v>0</v>
      </c>
      <c r="O368">
        <v>149</v>
      </c>
      <c r="P368">
        <v>0</v>
      </c>
      <c r="Q368">
        <v>0</v>
      </c>
      <c r="R368">
        <v>0</v>
      </c>
      <c r="S368">
        <v>0</v>
      </c>
    </row>
    <row r="369" spans="1:19" x14ac:dyDescent="0.25">
      <c r="A369">
        <v>18031</v>
      </c>
      <c r="B369" t="s">
        <v>44</v>
      </c>
      <c r="C369">
        <v>7</v>
      </c>
      <c r="D369">
        <v>110.590776992936</v>
      </c>
      <c r="E369">
        <v>10.6856004036326</v>
      </c>
      <c r="F369">
        <f t="shared" si="11"/>
        <v>2</v>
      </c>
      <c r="G369">
        <v>0</v>
      </c>
      <c r="H369">
        <v>2</v>
      </c>
      <c r="I369">
        <v>0</v>
      </c>
      <c r="J369">
        <v>0</v>
      </c>
      <c r="K369">
        <v>0</v>
      </c>
      <c r="L369">
        <v>0</v>
      </c>
      <c r="M369">
        <f t="shared" si="10"/>
        <v>149</v>
      </c>
      <c r="N369">
        <v>0</v>
      </c>
      <c r="O369">
        <v>149</v>
      </c>
      <c r="P369">
        <v>0</v>
      </c>
      <c r="Q369">
        <v>0</v>
      </c>
      <c r="R369">
        <v>0</v>
      </c>
      <c r="S369">
        <v>0</v>
      </c>
    </row>
    <row r="370" spans="1:19" x14ac:dyDescent="0.25">
      <c r="A370">
        <v>18031</v>
      </c>
      <c r="B370" t="s">
        <v>44</v>
      </c>
      <c r="C370">
        <v>8</v>
      </c>
      <c r="D370">
        <v>94.406760847628604</v>
      </c>
      <c r="E370">
        <v>8.6453077699293601</v>
      </c>
      <c r="F370">
        <f t="shared" si="11"/>
        <v>2</v>
      </c>
      <c r="G370">
        <v>0</v>
      </c>
      <c r="H370">
        <v>2</v>
      </c>
      <c r="I370">
        <v>0</v>
      </c>
      <c r="J370">
        <v>0</v>
      </c>
      <c r="K370">
        <v>0</v>
      </c>
      <c r="L370">
        <v>0</v>
      </c>
      <c r="M370">
        <f t="shared" si="10"/>
        <v>149</v>
      </c>
      <c r="N370">
        <v>0</v>
      </c>
      <c r="O370">
        <v>149</v>
      </c>
      <c r="P370">
        <v>0</v>
      </c>
      <c r="Q370">
        <v>0</v>
      </c>
      <c r="R370">
        <v>0</v>
      </c>
      <c r="S370">
        <v>0</v>
      </c>
    </row>
    <row r="371" spans="1:19" x14ac:dyDescent="0.25">
      <c r="A371">
        <v>18031</v>
      </c>
      <c r="B371" t="s">
        <v>44</v>
      </c>
      <c r="C371">
        <v>9</v>
      </c>
      <c r="D371">
        <v>84.793178607467198</v>
      </c>
      <c r="E371">
        <v>7.1928960645812303</v>
      </c>
      <c r="F371">
        <f t="shared" si="11"/>
        <v>2</v>
      </c>
      <c r="G371">
        <v>0</v>
      </c>
      <c r="H371">
        <v>2</v>
      </c>
      <c r="I371">
        <v>0</v>
      </c>
      <c r="J371">
        <v>0</v>
      </c>
      <c r="K371">
        <v>0</v>
      </c>
      <c r="L371">
        <v>0</v>
      </c>
      <c r="M371">
        <f t="shared" si="10"/>
        <v>149</v>
      </c>
      <c r="N371">
        <v>0</v>
      </c>
      <c r="O371">
        <v>149</v>
      </c>
      <c r="P371">
        <v>0</v>
      </c>
      <c r="Q371">
        <v>0</v>
      </c>
      <c r="R371">
        <v>0</v>
      </c>
      <c r="S371">
        <v>0</v>
      </c>
    </row>
    <row r="372" spans="1:19" x14ac:dyDescent="0.25">
      <c r="A372">
        <v>18031</v>
      </c>
      <c r="B372" t="s">
        <v>44</v>
      </c>
      <c r="C372">
        <v>10</v>
      </c>
      <c r="D372">
        <v>80.505105953582202</v>
      </c>
      <c r="E372">
        <v>6.3283652875882899</v>
      </c>
      <c r="F372">
        <f t="shared" si="11"/>
        <v>2</v>
      </c>
      <c r="G372">
        <v>0</v>
      </c>
      <c r="H372">
        <v>2</v>
      </c>
      <c r="I372">
        <v>0</v>
      </c>
      <c r="J372">
        <v>0</v>
      </c>
      <c r="K372">
        <v>0</v>
      </c>
      <c r="L372">
        <v>0</v>
      </c>
      <c r="M372">
        <f t="shared" si="10"/>
        <v>149</v>
      </c>
      <c r="N372">
        <v>0</v>
      </c>
      <c r="O372">
        <v>149</v>
      </c>
      <c r="P372">
        <v>0</v>
      </c>
      <c r="Q372">
        <v>0</v>
      </c>
      <c r="R372">
        <v>0</v>
      </c>
      <c r="S372">
        <v>0</v>
      </c>
    </row>
    <row r="373" spans="1:19" x14ac:dyDescent="0.25">
      <c r="A373">
        <v>18031</v>
      </c>
      <c r="B373" t="s">
        <v>44</v>
      </c>
      <c r="C373">
        <v>11</v>
      </c>
      <c r="D373">
        <v>82.337911200807198</v>
      </c>
      <c r="E373">
        <v>4.2880726538849601</v>
      </c>
      <c r="F373">
        <f t="shared" si="11"/>
        <v>2</v>
      </c>
      <c r="G373">
        <v>0</v>
      </c>
      <c r="H373">
        <v>2</v>
      </c>
      <c r="I373">
        <v>0</v>
      </c>
      <c r="J373">
        <v>0</v>
      </c>
      <c r="K373">
        <v>0</v>
      </c>
      <c r="L373">
        <v>0</v>
      </c>
      <c r="M373">
        <f t="shared" si="10"/>
        <v>149</v>
      </c>
      <c r="N373">
        <v>0</v>
      </c>
      <c r="O373">
        <v>149</v>
      </c>
      <c r="P373">
        <v>0</v>
      </c>
      <c r="Q373">
        <v>0</v>
      </c>
      <c r="R373">
        <v>0</v>
      </c>
      <c r="S373">
        <v>0</v>
      </c>
    </row>
    <row r="374" spans="1:19" x14ac:dyDescent="0.25">
      <c r="A374">
        <v>18031</v>
      </c>
      <c r="B374" t="s">
        <v>44</v>
      </c>
      <c r="C374">
        <v>12</v>
      </c>
      <c r="D374">
        <v>87.455933400605403</v>
      </c>
      <c r="E374">
        <v>2.35152371342078</v>
      </c>
      <c r="F374">
        <f t="shared" si="11"/>
        <v>2</v>
      </c>
      <c r="G374">
        <v>0</v>
      </c>
      <c r="H374">
        <v>2</v>
      </c>
      <c r="I374">
        <v>0</v>
      </c>
      <c r="J374">
        <v>0</v>
      </c>
      <c r="K374">
        <v>0</v>
      </c>
      <c r="L374">
        <v>0</v>
      </c>
      <c r="M374">
        <f t="shared" si="10"/>
        <v>149</v>
      </c>
      <c r="N374">
        <v>0</v>
      </c>
      <c r="O374">
        <v>149</v>
      </c>
      <c r="P374">
        <v>0</v>
      </c>
      <c r="Q374">
        <v>0</v>
      </c>
      <c r="R374">
        <v>0</v>
      </c>
      <c r="S374">
        <v>0</v>
      </c>
    </row>
    <row r="375" spans="1:19" x14ac:dyDescent="0.25">
      <c r="A375">
        <v>18031</v>
      </c>
      <c r="B375" t="s">
        <v>44</v>
      </c>
      <c r="C375">
        <v>13</v>
      </c>
      <c r="D375">
        <v>90.291594349142201</v>
      </c>
      <c r="E375">
        <v>1.62531786074672</v>
      </c>
      <c r="F375">
        <f t="shared" si="11"/>
        <v>2</v>
      </c>
      <c r="G375">
        <v>0</v>
      </c>
      <c r="H375">
        <v>2</v>
      </c>
      <c r="I375">
        <v>0</v>
      </c>
      <c r="J375">
        <v>0</v>
      </c>
      <c r="K375">
        <v>0</v>
      </c>
      <c r="L375">
        <v>0</v>
      </c>
      <c r="M375">
        <f t="shared" si="10"/>
        <v>149</v>
      </c>
      <c r="N375">
        <v>0</v>
      </c>
      <c r="O375">
        <v>149</v>
      </c>
      <c r="P375">
        <v>0</v>
      </c>
      <c r="Q375">
        <v>0</v>
      </c>
      <c r="R375">
        <v>0</v>
      </c>
      <c r="S375">
        <v>0</v>
      </c>
    </row>
    <row r="376" spans="1:19" x14ac:dyDescent="0.25">
      <c r="A376">
        <v>18031</v>
      </c>
      <c r="B376" t="s">
        <v>44</v>
      </c>
      <c r="C376">
        <v>14</v>
      </c>
      <c r="D376">
        <v>91.156125126135194</v>
      </c>
      <c r="E376">
        <v>1.48699293642785</v>
      </c>
      <c r="F376">
        <f t="shared" si="11"/>
        <v>2</v>
      </c>
      <c r="G376">
        <v>0</v>
      </c>
      <c r="H376">
        <v>2</v>
      </c>
      <c r="I376">
        <v>0</v>
      </c>
      <c r="J376">
        <v>0</v>
      </c>
      <c r="K376">
        <v>0</v>
      </c>
      <c r="L376">
        <v>0</v>
      </c>
      <c r="M376">
        <f t="shared" si="10"/>
        <v>149</v>
      </c>
      <c r="N376">
        <v>0</v>
      </c>
      <c r="O376">
        <v>149</v>
      </c>
      <c r="P376">
        <v>0</v>
      </c>
      <c r="Q376">
        <v>0</v>
      </c>
      <c r="R376">
        <v>0</v>
      </c>
      <c r="S376">
        <v>0</v>
      </c>
    </row>
    <row r="377" spans="1:19" x14ac:dyDescent="0.25">
      <c r="A377">
        <v>18031</v>
      </c>
      <c r="B377" t="s">
        <v>44</v>
      </c>
      <c r="C377">
        <v>15</v>
      </c>
      <c r="D377">
        <v>97.899465186680104</v>
      </c>
      <c r="E377">
        <v>0.79536831483350101</v>
      </c>
      <c r="F377">
        <f t="shared" si="11"/>
        <v>2</v>
      </c>
      <c r="G377">
        <v>0</v>
      </c>
      <c r="H377">
        <v>2</v>
      </c>
      <c r="I377">
        <v>0</v>
      </c>
      <c r="J377">
        <v>0</v>
      </c>
      <c r="K377">
        <v>0</v>
      </c>
      <c r="L377">
        <v>0</v>
      </c>
      <c r="M377">
        <f t="shared" si="10"/>
        <v>149</v>
      </c>
      <c r="N377">
        <v>0</v>
      </c>
      <c r="O377">
        <v>149</v>
      </c>
      <c r="P377">
        <v>0</v>
      </c>
      <c r="Q377">
        <v>0</v>
      </c>
      <c r="R377">
        <v>0</v>
      </c>
      <c r="S377">
        <v>0</v>
      </c>
    </row>
    <row r="378" spans="1:19" x14ac:dyDescent="0.25">
      <c r="A378">
        <v>18031</v>
      </c>
      <c r="B378" t="s">
        <v>44</v>
      </c>
      <c r="C378">
        <v>16</v>
      </c>
      <c r="D378">
        <v>111.697376387487</v>
      </c>
      <c r="E378">
        <v>0.58788092835519601</v>
      </c>
      <c r="F378">
        <f t="shared" si="11"/>
        <v>2</v>
      </c>
      <c r="G378">
        <v>0</v>
      </c>
      <c r="H378">
        <v>2</v>
      </c>
      <c r="I378">
        <v>0</v>
      </c>
      <c r="J378">
        <v>0</v>
      </c>
      <c r="K378">
        <v>0</v>
      </c>
      <c r="L378">
        <v>0</v>
      </c>
      <c r="M378">
        <f t="shared" si="10"/>
        <v>149</v>
      </c>
      <c r="N378">
        <v>0</v>
      </c>
      <c r="O378">
        <v>149</v>
      </c>
      <c r="P378">
        <v>0</v>
      </c>
      <c r="Q378">
        <v>0</v>
      </c>
      <c r="R378">
        <v>0</v>
      </c>
      <c r="S378">
        <v>0</v>
      </c>
    </row>
    <row r="379" spans="1:19" x14ac:dyDescent="0.25">
      <c r="A379">
        <v>18031</v>
      </c>
      <c r="B379" t="s">
        <v>44</v>
      </c>
      <c r="C379">
        <v>17</v>
      </c>
      <c r="D379">
        <v>126.636468213925</v>
      </c>
      <c r="E379">
        <v>0.72620585267406601</v>
      </c>
      <c r="F379">
        <f t="shared" si="11"/>
        <v>2</v>
      </c>
      <c r="G379">
        <v>0</v>
      </c>
      <c r="H379">
        <v>2</v>
      </c>
      <c r="I379">
        <v>0</v>
      </c>
      <c r="J379">
        <v>0</v>
      </c>
      <c r="K379">
        <v>0</v>
      </c>
      <c r="L379">
        <v>0</v>
      </c>
      <c r="M379">
        <f t="shared" si="10"/>
        <v>149</v>
      </c>
      <c r="N379">
        <v>0</v>
      </c>
      <c r="O379">
        <v>149</v>
      </c>
      <c r="P379">
        <v>0</v>
      </c>
      <c r="Q379">
        <v>0</v>
      </c>
      <c r="R379">
        <v>0</v>
      </c>
      <c r="S379">
        <v>0</v>
      </c>
    </row>
    <row r="380" spans="1:19" x14ac:dyDescent="0.25">
      <c r="A380">
        <v>18031</v>
      </c>
      <c r="B380" t="s">
        <v>44</v>
      </c>
      <c r="C380">
        <v>18</v>
      </c>
      <c r="D380">
        <v>136.492119071644</v>
      </c>
      <c r="E380">
        <v>0.86453077699293601</v>
      </c>
      <c r="F380">
        <f t="shared" si="11"/>
        <v>2</v>
      </c>
      <c r="G380">
        <v>0</v>
      </c>
      <c r="H380">
        <v>2</v>
      </c>
      <c r="I380">
        <v>0</v>
      </c>
      <c r="J380">
        <v>0</v>
      </c>
      <c r="K380">
        <v>0</v>
      </c>
      <c r="L380">
        <v>0</v>
      </c>
      <c r="M380">
        <f t="shared" si="10"/>
        <v>149</v>
      </c>
      <c r="N380">
        <v>0</v>
      </c>
      <c r="O380">
        <v>149</v>
      </c>
      <c r="P380">
        <v>0</v>
      </c>
      <c r="Q380">
        <v>0</v>
      </c>
      <c r="R380">
        <v>0</v>
      </c>
      <c r="S380">
        <v>0</v>
      </c>
    </row>
    <row r="381" spans="1:19" x14ac:dyDescent="0.25">
      <c r="A381">
        <v>18031</v>
      </c>
      <c r="B381" t="s">
        <v>44</v>
      </c>
      <c r="C381">
        <v>19</v>
      </c>
      <c r="D381">
        <v>145.37949545913199</v>
      </c>
      <c r="E381">
        <v>1.10659939455095</v>
      </c>
      <c r="F381">
        <f t="shared" si="11"/>
        <v>2</v>
      </c>
      <c r="G381">
        <v>0</v>
      </c>
      <c r="H381">
        <v>2</v>
      </c>
      <c r="I381">
        <v>0</v>
      </c>
      <c r="J381">
        <v>0</v>
      </c>
      <c r="K381">
        <v>0</v>
      </c>
      <c r="L381">
        <v>0</v>
      </c>
      <c r="M381">
        <f t="shared" si="10"/>
        <v>149</v>
      </c>
      <c r="N381">
        <v>0</v>
      </c>
      <c r="O381">
        <v>149</v>
      </c>
      <c r="P381">
        <v>0</v>
      </c>
      <c r="Q381">
        <v>0</v>
      </c>
      <c r="R381">
        <v>0</v>
      </c>
      <c r="S381">
        <v>0</v>
      </c>
    </row>
    <row r="382" spans="1:19" x14ac:dyDescent="0.25">
      <c r="A382">
        <v>18031</v>
      </c>
      <c r="B382" t="s">
        <v>44</v>
      </c>
      <c r="C382">
        <v>20</v>
      </c>
      <c r="D382">
        <v>152.98736629666999</v>
      </c>
      <c r="E382">
        <v>1.590736629667</v>
      </c>
      <c r="F382">
        <f t="shared" si="11"/>
        <v>2</v>
      </c>
      <c r="G382">
        <v>0</v>
      </c>
      <c r="H382">
        <v>2</v>
      </c>
      <c r="I382">
        <v>0</v>
      </c>
      <c r="J382">
        <v>0</v>
      </c>
      <c r="K382">
        <v>0</v>
      </c>
      <c r="L382">
        <v>0</v>
      </c>
      <c r="M382">
        <f t="shared" si="10"/>
        <v>149</v>
      </c>
      <c r="N382">
        <v>0</v>
      </c>
      <c r="O382">
        <v>149</v>
      </c>
      <c r="P382">
        <v>0</v>
      </c>
      <c r="Q382">
        <v>0</v>
      </c>
      <c r="R382">
        <v>0</v>
      </c>
      <c r="S382">
        <v>0</v>
      </c>
    </row>
    <row r="383" spans="1:19" x14ac:dyDescent="0.25">
      <c r="A383">
        <v>18031</v>
      </c>
      <c r="B383" t="s">
        <v>44</v>
      </c>
      <c r="C383">
        <v>21</v>
      </c>
      <c r="D383">
        <v>157.34460141271401</v>
      </c>
      <c r="E383">
        <v>1.90196770938446</v>
      </c>
      <c r="F383">
        <f t="shared" si="11"/>
        <v>2</v>
      </c>
      <c r="G383">
        <v>0</v>
      </c>
      <c r="H383">
        <v>2</v>
      </c>
      <c r="I383">
        <v>0</v>
      </c>
      <c r="J383">
        <v>0</v>
      </c>
      <c r="K383">
        <v>0</v>
      </c>
      <c r="L383">
        <v>0</v>
      </c>
      <c r="M383">
        <f t="shared" si="10"/>
        <v>149</v>
      </c>
      <c r="N383">
        <v>0</v>
      </c>
      <c r="O383">
        <v>149</v>
      </c>
      <c r="P383">
        <v>0</v>
      </c>
      <c r="Q383">
        <v>0</v>
      </c>
      <c r="R383">
        <v>0</v>
      </c>
      <c r="S383">
        <v>0</v>
      </c>
    </row>
    <row r="384" spans="1:19" x14ac:dyDescent="0.25">
      <c r="A384">
        <v>18031</v>
      </c>
      <c r="B384" t="s">
        <v>44</v>
      </c>
      <c r="C384">
        <v>22</v>
      </c>
      <c r="D384">
        <v>162.220554994954</v>
      </c>
      <c r="E384">
        <v>2.7319172552976698</v>
      </c>
      <c r="F384">
        <f t="shared" si="11"/>
        <v>2</v>
      </c>
      <c r="G384">
        <v>0</v>
      </c>
      <c r="H384">
        <v>2</v>
      </c>
      <c r="I384">
        <v>0</v>
      </c>
      <c r="J384">
        <v>0</v>
      </c>
      <c r="K384">
        <v>0</v>
      </c>
      <c r="L384">
        <v>0</v>
      </c>
      <c r="M384">
        <f t="shared" si="10"/>
        <v>149</v>
      </c>
      <c r="N384">
        <v>0</v>
      </c>
      <c r="O384">
        <v>149</v>
      </c>
      <c r="P384">
        <v>0</v>
      </c>
      <c r="Q384">
        <v>0</v>
      </c>
      <c r="R384">
        <v>0</v>
      </c>
      <c r="S384">
        <v>0</v>
      </c>
    </row>
    <row r="385" spans="1:19" x14ac:dyDescent="0.25">
      <c r="A385">
        <v>18031</v>
      </c>
      <c r="B385" t="s">
        <v>44</v>
      </c>
      <c r="C385">
        <v>23</v>
      </c>
      <c r="D385">
        <v>167.26941473259299</v>
      </c>
      <c r="E385">
        <v>3.5964480322906098</v>
      </c>
      <c r="F385">
        <f t="shared" si="11"/>
        <v>2</v>
      </c>
      <c r="G385">
        <v>0</v>
      </c>
      <c r="H385">
        <v>2</v>
      </c>
      <c r="I385">
        <v>0</v>
      </c>
      <c r="J385">
        <v>0</v>
      </c>
      <c r="K385">
        <v>0</v>
      </c>
      <c r="L385">
        <v>0</v>
      </c>
      <c r="M385">
        <f t="shared" si="10"/>
        <v>149</v>
      </c>
      <c r="N385">
        <v>0</v>
      </c>
      <c r="O385">
        <v>149</v>
      </c>
      <c r="P385">
        <v>0</v>
      </c>
      <c r="Q385">
        <v>0</v>
      </c>
      <c r="R385">
        <v>0</v>
      </c>
      <c r="S385">
        <v>0</v>
      </c>
    </row>
    <row r="386" spans="1:19" x14ac:dyDescent="0.25">
      <c r="A386">
        <v>18033</v>
      </c>
      <c r="B386" t="s">
        <v>45</v>
      </c>
      <c r="C386">
        <v>0</v>
      </c>
      <c r="D386">
        <v>85.665001087698599</v>
      </c>
      <c r="E386">
        <v>6.8489853268147698</v>
      </c>
      <c r="F386">
        <f t="shared" si="11"/>
        <v>3</v>
      </c>
      <c r="G386">
        <v>0</v>
      </c>
      <c r="H386">
        <v>0</v>
      </c>
      <c r="I386">
        <v>2</v>
      </c>
      <c r="J386">
        <v>0</v>
      </c>
      <c r="K386">
        <v>1</v>
      </c>
      <c r="L386">
        <v>0</v>
      </c>
      <c r="M386">
        <f t="shared" ref="M386:M449" si="12">SUM(N386:S386)</f>
        <v>123</v>
      </c>
      <c r="N386">
        <v>0</v>
      </c>
      <c r="O386">
        <v>0</v>
      </c>
      <c r="P386">
        <v>40</v>
      </c>
      <c r="Q386">
        <v>0</v>
      </c>
      <c r="R386">
        <v>83</v>
      </c>
      <c r="S386">
        <v>0</v>
      </c>
    </row>
    <row r="387" spans="1:19" x14ac:dyDescent="0.25">
      <c r="A387">
        <v>18033</v>
      </c>
      <c r="B387" t="s">
        <v>45</v>
      </c>
      <c r="C387">
        <v>1</v>
      </c>
      <c r="D387">
        <v>84.242519519821698</v>
      </c>
      <c r="E387">
        <v>6.0587177891053701</v>
      </c>
      <c r="F387">
        <f t="shared" ref="F387:F450" si="13">SUM(G387:L387)</f>
        <v>3</v>
      </c>
      <c r="G387">
        <v>0</v>
      </c>
      <c r="H387">
        <v>0</v>
      </c>
      <c r="I387">
        <v>2</v>
      </c>
      <c r="J387">
        <v>0</v>
      </c>
      <c r="K387">
        <v>1</v>
      </c>
      <c r="L387">
        <v>0</v>
      </c>
      <c r="M387">
        <f t="shared" si="12"/>
        <v>123</v>
      </c>
      <c r="N387">
        <v>0</v>
      </c>
      <c r="O387">
        <v>0</v>
      </c>
      <c r="P387">
        <v>40</v>
      </c>
      <c r="Q387">
        <v>0</v>
      </c>
      <c r="R387">
        <v>83</v>
      </c>
      <c r="S387">
        <v>0</v>
      </c>
    </row>
    <row r="388" spans="1:19" x14ac:dyDescent="0.25">
      <c r="A388">
        <v>18033</v>
      </c>
      <c r="B388" t="s">
        <v>45</v>
      </c>
      <c r="C388">
        <v>2</v>
      </c>
      <c r="D388">
        <v>84.295204022335597</v>
      </c>
      <c r="E388">
        <v>5.7426107740216104</v>
      </c>
      <c r="F388">
        <f t="shared" si="13"/>
        <v>3</v>
      </c>
      <c r="G388">
        <v>0</v>
      </c>
      <c r="H388">
        <v>0</v>
      </c>
      <c r="I388">
        <v>2</v>
      </c>
      <c r="J388">
        <v>0</v>
      </c>
      <c r="K388">
        <v>1</v>
      </c>
      <c r="L388">
        <v>0</v>
      </c>
      <c r="M388">
        <f t="shared" si="12"/>
        <v>123</v>
      </c>
      <c r="N388">
        <v>0</v>
      </c>
      <c r="O388">
        <v>0</v>
      </c>
      <c r="P388">
        <v>40</v>
      </c>
      <c r="Q388">
        <v>0</v>
      </c>
      <c r="R388">
        <v>83</v>
      </c>
      <c r="S388">
        <v>0</v>
      </c>
    </row>
    <row r="389" spans="1:19" x14ac:dyDescent="0.25">
      <c r="A389">
        <v>18033</v>
      </c>
      <c r="B389" t="s">
        <v>45</v>
      </c>
      <c r="C389">
        <v>3</v>
      </c>
      <c r="D389">
        <v>84.980102555017098</v>
      </c>
      <c r="E389">
        <v>6.0060332865914097</v>
      </c>
      <c r="F389">
        <f t="shared" si="13"/>
        <v>3</v>
      </c>
      <c r="G389">
        <v>0</v>
      </c>
      <c r="H389">
        <v>0</v>
      </c>
      <c r="I389">
        <v>2</v>
      </c>
      <c r="J389">
        <v>0</v>
      </c>
      <c r="K389">
        <v>1</v>
      </c>
      <c r="L389">
        <v>0</v>
      </c>
      <c r="M389">
        <f t="shared" si="12"/>
        <v>123</v>
      </c>
      <c r="N389">
        <v>0</v>
      </c>
      <c r="O389">
        <v>0</v>
      </c>
      <c r="P389">
        <v>40</v>
      </c>
      <c r="Q389">
        <v>0</v>
      </c>
      <c r="R389">
        <v>83</v>
      </c>
      <c r="S389">
        <v>0</v>
      </c>
    </row>
    <row r="390" spans="1:19" x14ac:dyDescent="0.25">
      <c r="A390">
        <v>18033</v>
      </c>
      <c r="B390" t="s">
        <v>45</v>
      </c>
      <c r="C390">
        <v>4</v>
      </c>
      <c r="D390">
        <v>87.140167158089398</v>
      </c>
      <c r="E390">
        <v>6.2694557991612099</v>
      </c>
      <c r="F390">
        <f t="shared" si="13"/>
        <v>3</v>
      </c>
      <c r="G390">
        <v>0</v>
      </c>
      <c r="H390">
        <v>0</v>
      </c>
      <c r="I390">
        <v>2</v>
      </c>
      <c r="J390">
        <v>0</v>
      </c>
      <c r="K390">
        <v>1</v>
      </c>
      <c r="L390">
        <v>0</v>
      </c>
      <c r="M390">
        <f t="shared" si="12"/>
        <v>123</v>
      </c>
      <c r="N390">
        <v>0</v>
      </c>
      <c r="O390">
        <v>0</v>
      </c>
      <c r="P390">
        <v>40</v>
      </c>
      <c r="Q390">
        <v>0</v>
      </c>
      <c r="R390">
        <v>83</v>
      </c>
      <c r="S390">
        <v>0</v>
      </c>
    </row>
    <row r="391" spans="1:19" x14ac:dyDescent="0.25">
      <c r="A391">
        <v>18033</v>
      </c>
      <c r="B391" t="s">
        <v>45</v>
      </c>
      <c r="C391">
        <v>5</v>
      </c>
      <c r="D391">
        <v>89.194862756133901</v>
      </c>
      <c r="E391">
        <v>6.8489853268147698</v>
      </c>
      <c r="F391">
        <f t="shared" si="13"/>
        <v>3</v>
      </c>
      <c r="G391">
        <v>0</v>
      </c>
      <c r="H391">
        <v>0</v>
      </c>
      <c r="I391">
        <v>2</v>
      </c>
      <c r="J391">
        <v>0</v>
      </c>
      <c r="K391">
        <v>1</v>
      </c>
      <c r="L391">
        <v>0</v>
      </c>
      <c r="M391">
        <f t="shared" si="12"/>
        <v>123</v>
      </c>
      <c r="N391">
        <v>0</v>
      </c>
      <c r="O391">
        <v>0</v>
      </c>
      <c r="P391">
        <v>40</v>
      </c>
      <c r="Q391">
        <v>0</v>
      </c>
      <c r="R391">
        <v>83</v>
      </c>
      <c r="S391">
        <v>0</v>
      </c>
    </row>
    <row r="392" spans="1:19" x14ac:dyDescent="0.25">
      <c r="A392">
        <v>18033</v>
      </c>
      <c r="B392" t="s">
        <v>45</v>
      </c>
      <c r="C392">
        <v>6</v>
      </c>
      <c r="D392">
        <v>84.874733549989202</v>
      </c>
      <c r="E392">
        <v>7.6392528645241597</v>
      </c>
      <c r="F392">
        <f t="shared" si="13"/>
        <v>3</v>
      </c>
      <c r="G392">
        <v>0</v>
      </c>
      <c r="H392">
        <v>0</v>
      </c>
      <c r="I392">
        <v>2</v>
      </c>
      <c r="J392">
        <v>0</v>
      </c>
      <c r="K392">
        <v>1</v>
      </c>
      <c r="L392">
        <v>0</v>
      </c>
      <c r="M392">
        <f t="shared" si="12"/>
        <v>123</v>
      </c>
      <c r="N392">
        <v>0</v>
      </c>
      <c r="O392">
        <v>0</v>
      </c>
      <c r="P392">
        <v>40</v>
      </c>
      <c r="Q392">
        <v>0</v>
      </c>
      <c r="R392">
        <v>83</v>
      </c>
      <c r="S392">
        <v>0</v>
      </c>
    </row>
    <row r="393" spans="1:19" x14ac:dyDescent="0.25">
      <c r="A393">
        <v>18033</v>
      </c>
      <c r="B393" t="s">
        <v>45</v>
      </c>
      <c r="C393">
        <v>7</v>
      </c>
      <c r="D393">
        <v>75.128100584906605</v>
      </c>
      <c r="E393">
        <v>8.5875739097754398</v>
      </c>
      <c r="F393">
        <f t="shared" si="13"/>
        <v>3</v>
      </c>
      <c r="G393">
        <v>0</v>
      </c>
      <c r="H393">
        <v>0</v>
      </c>
      <c r="I393">
        <v>2</v>
      </c>
      <c r="J393">
        <v>0</v>
      </c>
      <c r="K393">
        <v>1</v>
      </c>
      <c r="L393">
        <v>0</v>
      </c>
      <c r="M393">
        <f t="shared" si="12"/>
        <v>123</v>
      </c>
      <c r="N393">
        <v>0</v>
      </c>
      <c r="O393">
        <v>0</v>
      </c>
      <c r="P393">
        <v>40</v>
      </c>
      <c r="Q393">
        <v>0</v>
      </c>
      <c r="R393">
        <v>83</v>
      </c>
      <c r="S393">
        <v>0</v>
      </c>
    </row>
    <row r="394" spans="1:19" x14ac:dyDescent="0.25">
      <c r="A394">
        <v>18033</v>
      </c>
      <c r="B394" t="s">
        <v>45</v>
      </c>
      <c r="C394">
        <v>8</v>
      </c>
      <c r="D394">
        <v>63.537510031835403</v>
      </c>
      <c r="E394">
        <v>15.1731367240204</v>
      </c>
      <c r="F394">
        <f t="shared" si="13"/>
        <v>3</v>
      </c>
      <c r="G394">
        <v>0</v>
      </c>
      <c r="H394">
        <v>0</v>
      </c>
      <c r="I394">
        <v>2</v>
      </c>
      <c r="J394">
        <v>0</v>
      </c>
      <c r="K394">
        <v>1</v>
      </c>
      <c r="L394">
        <v>0</v>
      </c>
      <c r="M394">
        <f t="shared" si="12"/>
        <v>123</v>
      </c>
      <c r="N394">
        <v>0</v>
      </c>
      <c r="O394">
        <v>0</v>
      </c>
      <c r="P394">
        <v>40</v>
      </c>
      <c r="Q394">
        <v>0</v>
      </c>
      <c r="R394">
        <v>83</v>
      </c>
      <c r="S394">
        <v>0</v>
      </c>
    </row>
    <row r="395" spans="1:19" x14ac:dyDescent="0.25">
      <c r="A395">
        <v>18033</v>
      </c>
      <c r="B395" t="s">
        <v>45</v>
      </c>
      <c r="C395">
        <v>9</v>
      </c>
      <c r="D395">
        <v>53.474770051669097</v>
      </c>
      <c r="E395">
        <v>16.016088764243701</v>
      </c>
      <c r="F395">
        <f t="shared" si="13"/>
        <v>3</v>
      </c>
      <c r="G395">
        <v>0</v>
      </c>
      <c r="H395">
        <v>0</v>
      </c>
      <c r="I395">
        <v>2</v>
      </c>
      <c r="J395">
        <v>0</v>
      </c>
      <c r="K395">
        <v>1</v>
      </c>
      <c r="L395">
        <v>0</v>
      </c>
      <c r="M395">
        <f t="shared" si="12"/>
        <v>123</v>
      </c>
      <c r="N395">
        <v>0</v>
      </c>
      <c r="O395">
        <v>0</v>
      </c>
      <c r="P395">
        <v>40</v>
      </c>
      <c r="Q395">
        <v>0</v>
      </c>
      <c r="R395">
        <v>83</v>
      </c>
      <c r="S395">
        <v>0</v>
      </c>
    </row>
    <row r="396" spans="1:19" x14ac:dyDescent="0.25">
      <c r="A396">
        <v>18033</v>
      </c>
      <c r="B396" t="s">
        <v>45</v>
      </c>
      <c r="C396">
        <v>10</v>
      </c>
      <c r="D396">
        <v>44.571089126809902</v>
      </c>
      <c r="E396">
        <v>15.2785057290483</v>
      </c>
      <c r="F396">
        <f t="shared" si="13"/>
        <v>3</v>
      </c>
      <c r="G396">
        <v>0</v>
      </c>
      <c r="H396">
        <v>0</v>
      </c>
      <c r="I396">
        <v>2</v>
      </c>
      <c r="J396">
        <v>0</v>
      </c>
      <c r="K396">
        <v>1</v>
      </c>
      <c r="L396">
        <v>0</v>
      </c>
      <c r="M396">
        <f t="shared" si="12"/>
        <v>123</v>
      </c>
      <c r="N396">
        <v>0</v>
      </c>
      <c r="O396">
        <v>0</v>
      </c>
      <c r="P396">
        <v>40</v>
      </c>
      <c r="Q396">
        <v>0</v>
      </c>
      <c r="R396">
        <v>83</v>
      </c>
      <c r="S396">
        <v>0</v>
      </c>
    </row>
    <row r="397" spans="1:19" x14ac:dyDescent="0.25">
      <c r="A397">
        <v>18033</v>
      </c>
      <c r="B397" t="s">
        <v>45</v>
      </c>
      <c r="C397">
        <v>11</v>
      </c>
      <c r="D397">
        <v>42.569078031279503</v>
      </c>
      <c r="E397">
        <v>15.1731367240204</v>
      </c>
      <c r="F397">
        <f t="shared" si="13"/>
        <v>3</v>
      </c>
      <c r="G397">
        <v>0</v>
      </c>
      <c r="H397">
        <v>0</v>
      </c>
      <c r="I397">
        <v>2</v>
      </c>
      <c r="J397">
        <v>0</v>
      </c>
      <c r="K397">
        <v>1</v>
      </c>
      <c r="L397">
        <v>0</v>
      </c>
      <c r="M397">
        <f t="shared" si="12"/>
        <v>123</v>
      </c>
      <c r="N397">
        <v>0</v>
      </c>
      <c r="O397">
        <v>0</v>
      </c>
      <c r="P397">
        <v>40</v>
      </c>
      <c r="Q397">
        <v>0</v>
      </c>
      <c r="R397">
        <v>83</v>
      </c>
      <c r="S397">
        <v>0</v>
      </c>
    </row>
    <row r="398" spans="1:19" x14ac:dyDescent="0.25">
      <c r="A398">
        <v>18033</v>
      </c>
      <c r="B398" t="s">
        <v>45</v>
      </c>
      <c r="C398">
        <v>12</v>
      </c>
      <c r="D398">
        <v>42.042233006139902</v>
      </c>
      <c r="E398">
        <v>14.0140776687133</v>
      </c>
      <c r="F398">
        <f t="shared" si="13"/>
        <v>3</v>
      </c>
      <c r="G398">
        <v>0</v>
      </c>
      <c r="H398">
        <v>0</v>
      </c>
      <c r="I398">
        <v>2</v>
      </c>
      <c r="J398">
        <v>0</v>
      </c>
      <c r="K398">
        <v>1</v>
      </c>
      <c r="L398">
        <v>0</v>
      </c>
      <c r="M398">
        <f t="shared" si="12"/>
        <v>123</v>
      </c>
      <c r="N398">
        <v>0</v>
      </c>
      <c r="O398">
        <v>0</v>
      </c>
      <c r="P398">
        <v>40</v>
      </c>
      <c r="Q398">
        <v>0</v>
      </c>
      <c r="R398">
        <v>83</v>
      </c>
      <c r="S398">
        <v>0</v>
      </c>
    </row>
    <row r="399" spans="1:19" x14ac:dyDescent="0.25">
      <c r="A399">
        <v>18033</v>
      </c>
      <c r="B399" t="s">
        <v>45</v>
      </c>
      <c r="C399">
        <v>13</v>
      </c>
      <c r="D399">
        <v>37.985526312565</v>
      </c>
      <c r="E399">
        <v>11.3798525430153</v>
      </c>
      <c r="F399">
        <f t="shared" si="13"/>
        <v>3</v>
      </c>
      <c r="G399">
        <v>0</v>
      </c>
      <c r="H399">
        <v>0</v>
      </c>
      <c r="I399">
        <v>2</v>
      </c>
      <c r="J399">
        <v>0</v>
      </c>
      <c r="K399">
        <v>1</v>
      </c>
      <c r="L399">
        <v>0</v>
      </c>
      <c r="M399">
        <f t="shared" si="12"/>
        <v>123</v>
      </c>
      <c r="N399">
        <v>0</v>
      </c>
      <c r="O399">
        <v>0</v>
      </c>
      <c r="P399">
        <v>40</v>
      </c>
      <c r="Q399">
        <v>0</v>
      </c>
      <c r="R399">
        <v>83</v>
      </c>
      <c r="S399">
        <v>0</v>
      </c>
    </row>
    <row r="400" spans="1:19" x14ac:dyDescent="0.25">
      <c r="A400">
        <v>18033</v>
      </c>
      <c r="B400" t="s">
        <v>45</v>
      </c>
      <c r="C400">
        <v>14</v>
      </c>
      <c r="D400">
        <v>36.088884222062397</v>
      </c>
      <c r="E400">
        <v>7.4285148544683297</v>
      </c>
      <c r="F400">
        <f t="shared" si="13"/>
        <v>3</v>
      </c>
      <c r="G400">
        <v>0</v>
      </c>
      <c r="H400">
        <v>0</v>
      </c>
      <c r="I400">
        <v>2</v>
      </c>
      <c r="J400">
        <v>0</v>
      </c>
      <c r="K400">
        <v>1</v>
      </c>
      <c r="L400">
        <v>0</v>
      </c>
      <c r="M400">
        <f t="shared" si="12"/>
        <v>123</v>
      </c>
      <c r="N400">
        <v>0</v>
      </c>
      <c r="O400">
        <v>0</v>
      </c>
      <c r="P400">
        <v>40</v>
      </c>
      <c r="Q400">
        <v>0</v>
      </c>
      <c r="R400">
        <v>83</v>
      </c>
      <c r="S400">
        <v>0</v>
      </c>
    </row>
    <row r="401" spans="1:19" x14ac:dyDescent="0.25">
      <c r="A401">
        <v>18033</v>
      </c>
      <c r="B401" t="s">
        <v>45</v>
      </c>
      <c r="C401">
        <v>15</v>
      </c>
      <c r="D401">
        <v>35.720092704464697</v>
      </c>
      <c r="E401">
        <v>6.5855628142449696</v>
      </c>
      <c r="F401">
        <f t="shared" si="13"/>
        <v>3</v>
      </c>
      <c r="G401">
        <v>0</v>
      </c>
      <c r="H401">
        <v>0</v>
      </c>
      <c r="I401">
        <v>2</v>
      </c>
      <c r="J401">
        <v>0</v>
      </c>
      <c r="K401">
        <v>1</v>
      </c>
      <c r="L401">
        <v>0</v>
      </c>
      <c r="M401">
        <f t="shared" si="12"/>
        <v>123</v>
      </c>
      <c r="N401">
        <v>0</v>
      </c>
      <c r="O401">
        <v>0</v>
      </c>
      <c r="P401">
        <v>40</v>
      </c>
      <c r="Q401">
        <v>0</v>
      </c>
      <c r="R401">
        <v>83</v>
      </c>
      <c r="S401">
        <v>0</v>
      </c>
    </row>
    <row r="402" spans="1:19" x14ac:dyDescent="0.25">
      <c r="A402">
        <v>18033</v>
      </c>
      <c r="B402" t="s">
        <v>45</v>
      </c>
      <c r="C402">
        <v>16</v>
      </c>
      <c r="D402">
        <v>35.562039196922797</v>
      </c>
      <c r="E402">
        <v>5.5318727639657697</v>
      </c>
      <c r="F402">
        <f t="shared" si="13"/>
        <v>3</v>
      </c>
      <c r="G402">
        <v>0</v>
      </c>
      <c r="H402">
        <v>0</v>
      </c>
      <c r="I402">
        <v>2</v>
      </c>
      <c r="J402">
        <v>0</v>
      </c>
      <c r="K402">
        <v>1</v>
      </c>
      <c r="L402">
        <v>0</v>
      </c>
      <c r="M402">
        <f t="shared" si="12"/>
        <v>123</v>
      </c>
      <c r="N402">
        <v>0</v>
      </c>
      <c r="O402">
        <v>0</v>
      </c>
      <c r="P402">
        <v>40</v>
      </c>
      <c r="Q402">
        <v>0</v>
      </c>
      <c r="R402">
        <v>83</v>
      </c>
      <c r="S402">
        <v>0</v>
      </c>
    </row>
    <row r="403" spans="1:19" x14ac:dyDescent="0.25">
      <c r="A403">
        <v>18033</v>
      </c>
      <c r="B403" t="s">
        <v>45</v>
      </c>
      <c r="C403">
        <v>17</v>
      </c>
      <c r="D403">
        <v>40.409013428207103</v>
      </c>
      <c r="E403">
        <v>4.6362362212284598</v>
      </c>
      <c r="F403">
        <f t="shared" si="13"/>
        <v>3</v>
      </c>
      <c r="G403">
        <v>0</v>
      </c>
      <c r="H403">
        <v>0</v>
      </c>
      <c r="I403">
        <v>2</v>
      </c>
      <c r="J403">
        <v>0</v>
      </c>
      <c r="K403">
        <v>1</v>
      </c>
      <c r="L403">
        <v>0</v>
      </c>
      <c r="M403">
        <f t="shared" si="12"/>
        <v>123</v>
      </c>
      <c r="N403">
        <v>0</v>
      </c>
      <c r="O403">
        <v>0</v>
      </c>
      <c r="P403">
        <v>40</v>
      </c>
      <c r="Q403">
        <v>0</v>
      </c>
      <c r="R403">
        <v>83</v>
      </c>
      <c r="S403">
        <v>0</v>
      </c>
    </row>
    <row r="404" spans="1:19" x14ac:dyDescent="0.25">
      <c r="A404">
        <v>18033</v>
      </c>
      <c r="B404" t="s">
        <v>45</v>
      </c>
      <c r="C404">
        <v>18</v>
      </c>
      <c r="D404">
        <v>46.4150467147985</v>
      </c>
      <c r="E404">
        <v>4.6889207237424202</v>
      </c>
      <c r="F404">
        <f t="shared" si="13"/>
        <v>3</v>
      </c>
      <c r="G404">
        <v>0</v>
      </c>
      <c r="H404">
        <v>0</v>
      </c>
      <c r="I404">
        <v>2</v>
      </c>
      <c r="J404">
        <v>0</v>
      </c>
      <c r="K404">
        <v>1</v>
      </c>
      <c r="L404">
        <v>0</v>
      </c>
      <c r="M404">
        <f t="shared" si="12"/>
        <v>123</v>
      </c>
      <c r="N404">
        <v>0</v>
      </c>
      <c r="O404">
        <v>0</v>
      </c>
      <c r="P404">
        <v>40</v>
      </c>
      <c r="Q404">
        <v>0</v>
      </c>
      <c r="R404">
        <v>83</v>
      </c>
      <c r="S404">
        <v>0</v>
      </c>
    </row>
    <row r="405" spans="1:19" x14ac:dyDescent="0.25">
      <c r="A405">
        <v>18033</v>
      </c>
      <c r="B405" t="s">
        <v>45</v>
      </c>
      <c r="C405">
        <v>19</v>
      </c>
      <c r="D405">
        <v>54.159668584350598</v>
      </c>
      <c r="E405">
        <v>5.2684502513959703</v>
      </c>
      <c r="F405">
        <f t="shared" si="13"/>
        <v>3</v>
      </c>
      <c r="G405">
        <v>0</v>
      </c>
      <c r="H405">
        <v>0</v>
      </c>
      <c r="I405">
        <v>2</v>
      </c>
      <c r="J405">
        <v>0</v>
      </c>
      <c r="K405">
        <v>1</v>
      </c>
      <c r="L405">
        <v>0</v>
      </c>
      <c r="M405">
        <f t="shared" si="12"/>
        <v>123</v>
      </c>
      <c r="N405">
        <v>0</v>
      </c>
      <c r="O405">
        <v>0</v>
      </c>
      <c r="P405">
        <v>40</v>
      </c>
      <c r="Q405">
        <v>0</v>
      </c>
      <c r="R405">
        <v>83</v>
      </c>
      <c r="S405">
        <v>0</v>
      </c>
    </row>
    <row r="406" spans="1:19" x14ac:dyDescent="0.25">
      <c r="A406">
        <v>18033</v>
      </c>
      <c r="B406" t="s">
        <v>45</v>
      </c>
      <c r="C406">
        <v>20</v>
      </c>
      <c r="D406">
        <v>63.695563539377297</v>
      </c>
      <c r="E406">
        <v>5.5845572664797301</v>
      </c>
      <c r="F406">
        <f t="shared" si="13"/>
        <v>3</v>
      </c>
      <c r="G406">
        <v>0</v>
      </c>
      <c r="H406">
        <v>0</v>
      </c>
      <c r="I406">
        <v>2</v>
      </c>
      <c r="J406">
        <v>0</v>
      </c>
      <c r="K406">
        <v>1</v>
      </c>
      <c r="L406">
        <v>0</v>
      </c>
      <c r="M406">
        <f t="shared" si="12"/>
        <v>123</v>
      </c>
      <c r="N406">
        <v>0</v>
      </c>
      <c r="O406">
        <v>0</v>
      </c>
      <c r="P406">
        <v>40</v>
      </c>
      <c r="Q406">
        <v>0</v>
      </c>
      <c r="R406">
        <v>83</v>
      </c>
      <c r="S406">
        <v>0</v>
      </c>
    </row>
    <row r="407" spans="1:19" x14ac:dyDescent="0.25">
      <c r="A407">
        <v>18033</v>
      </c>
      <c r="B407" t="s">
        <v>45</v>
      </c>
      <c r="C407">
        <v>21</v>
      </c>
      <c r="D407">
        <v>71.545554413957305</v>
      </c>
      <c r="E407">
        <v>6.3748248041891298</v>
      </c>
      <c r="F407">
        <f t="shared" si="13"/>
        <v>3</v>
      </c>
      <c r="G407">
        <v>0</v>
      </c>
      <c r="H407">
        <v>0</v>
      </c>
      <c r="I407">
        <v>2</v>
      </c>
      <c r="J407">
        <v>0</v>
      </c>
      <c r="K407">
        <v>1</v>
      </c>
      <c r="L407">
        <v>0</v>
      </c>
      <c r="M407">
        <f t="shared" si="12"/>
        <v>123</v>
      </c>
      <c r="N407">
        <v>0</v>
      </c>
      <c r="O407">
        <v>0</v>
      </c>
      <c r="P407">
        <v>40</v>
      </c>
      <c r="Q407">
        <v>0</v>
      </c>
      <c r="R407">
        <v>83</v>
      </c>
      <c r="S407">
        <v>0</v>
      </c>
    </row>
    <row r="408" spans="1:19" x14ac:dyDescent="0.25">
      <c r="A408">
        <v>18033</v>
      </c>
      <c r="B408" t="s">
        <v>45</v>
      </c>
      <c r="C408">
        <v>22</v>
      </c>
      <c r="D408">
        <v>78.499908745799999</v>
      </c>
      <c r="E408">
        <v>6.9543543318426897</v>
      </c>
      <c r="F408">
        <f t="shared" si="13"/>
        <v>3</v>
      </c>
      <c r="G408">
        <v>0</v>
      </c>
      <c r="H408">
        <v>0</v>
      </c>
      <c r="I408">
        <v>2</v>
      </c>
      <c r="J408">
        <v>0</v>
      </c>
      <c r="K408">
        <v>1</v>
      </c>
      <c r="L408">
        <v>0</v>
      </c>
      <c r="M408">
        <f t="shared" si="12"/>
        <v>123</v>
      </c>
      <c r="N408">
        <v>0</v>
      </c>
      <c r="O408">
        <v>0</v>
      </c>
      <c r="P408">
        <v>40</v>
      </c>
      <c r="Q408">
        <v>0</v>
      </c>
      <c r="R408">
        <v>83</v>
      </c>
      <c r="S408">
        <v>0</v>
      </c>
    </row>
    <row r="409" spans="1:19" x14ac:dyDescent="0.25">
      <c r="A409">
        <v>18033</v>
      </c>
      <c r="B409" t="s">
        <v>45</v>
      </c>
      <c r="C409">
        <v>23</v>
      </c>
      <c r="D409">
        <v>84.769364544961206</v>
      </c>
      <c r="E409">
        <v>7.11240783938457</v>
      </c>
      <c r="F409">
        <f t="shared" si="13"/>
        <v>3</v>
      </c>
      <c r="G409">
        <v>0</v>
      </c>
      <c r="H409">
        <v>0</v>
      </c>
      <c r="I409">
        <v>2</v>
      </c>
      <c r="J409">
        <v>0</v>
      </c>
      <c r="K409">
        <v>1</v>
      </c>
      <c r="L409">
        <v>0</v>
      </c>
      <c r="M409">
        <f t="shared" si="12"/>
        <v>123</v>
      </c>
      <c r="N409">
        <v>0</v>
      </c>
      <c r="O409">
        <v>0</v>
      </c>
      <c r="P409">
        <v>40</v>
      </c>
      <c r="Q409">
        <v>0</v>
      </c>
      <c r="R409">
        <v>83</v>
      </c>
      <c r="S409">
        <v>0</v>
      </c>
    </row>
    <row r="410" spans="1:19" x14ac:dyDescent="0.25">
      <c r="A410">
        <v>18035</v>
      </c>
      <c r="B410" t="s">
        <v>46</v>
      </c>
      <c r="C410">
        <v>0</v>
      </c>
      <c r="D410">
        <v>288.241603684582</v>
      </c>
      <c r="E410">
        <v>4.1434730529658603</v>
      </c>
      <c r="F410">
        <f t="shared" si="13"/>
        <v>5</v>
      </c>
      <c r="G410">
        <v>1</v>
      </c>
      <c r="H410">
        <v>1</v>
      </c>
      <c r="I410">
        <v>1</v>
      </c>
      <c r="J410">
        <v>0</v>
      </c>
      <c r="K410">
        <v>2</v>
      </c>
      <c r="L410">
        <v>0</v>
      </c>
      <c r="M410">
        <f t="shared" si="12"/>
        <v>355</v>
      </c>
      <c r="N410">
        <v>120</v>
      </c>
      <c r="O410">
        <v>50</v>
      </c>
      <c r="P410">
        <v>30</v>
      </c>
      <c r="Q410">
        <v>0</v>
      </c>
      <c r="R410">
        <v>155</v>
      </c>
      <c r="S410">
        <v>0</v>
      </c>
    </row>
    <row r="411" spans="1:19" x14ac:dyDescent="0.25">
      <c r="A411">
        <v>18035</v>
      </c>
      <c r="B411" t="s">
        <v>46</v>
      </c>
      <c r="C411">
        <v>1</v>
      </c>
      <c r="D411">
        <v>294.727039767485</v>
      </c>
      <c r="E411">
        <v>4.9721676635590404</v>
      </c>
      <c r="F411">
        <f t="shared" si="13"/>
        <v>5</v>
      </c>
      <c r="G411">
        <v>1</v>
      </c>
      <c r="H411">
        <v>1</v>
      </c>
      <c r="I411">
        <v>1</v>
      </c>
      <c r="J411">
        <v>0</v>
      </c>
      <c r="K411">
        <v>2</v>
      </c>
      <c r="L411">
        <v>0</v>
      </c>
      <c r="M411">
        <f t="shared" si="12"/>
        <v>355</v>
      </c>
      <c r="N411">
        <v>120</v>
      </c>
      <c r="O411">
        <v>50</v>
      </c>
      <c r="P411">
        <v>30</v>
      </c>
      <c r="Q411">
        <v>0</v>
      </c>
      <c r="R411">
        <v>155</v>
      </c>
      <c r="S411">
        <v>0</v>
      </c>
    </row>
    <row r="412" spans="1:19" x14ac:dyDescent="0.25">
      <c r="A412">
        <v>18035</v>
      </c>
      <c r="B412" t="s">
        <v>46</v>
      </c>
      <c r="C412">
        <v>2</v>
      </c>
      <c r="D412">
        <v>296.240308186829</v>
      </c>
      <c r="E412">
        <v>5.4765904700070598</v>
      </c>
      <c r="F412">
        <f t="shared" si="13"/>
        <v>5</v>
      </c>
      <c r="G412">
        <v>1</v>
      </c>
      <c r="H412">
        <v>1</v>
      </c>
      <c r="I412">
        <v>1</v>
      </c>
      <c r="J412">
        <v>0</v>
      </c>
      <c r="K412">
        <v>2</v>
      </c>
      <c r="L412">
        <v>0</v>
      </c>
      <c r="M412">
        <f t="shared" si="12"/>
        <v>355</v>
      </c>
      <c r="N412">
        <v>120</v>
      </c>
      <c r="O412">
        <v>50</v>
      </c>
      <c r="P412">
        <v>30</v>
      </c>
      <c r="Q412">
        <v>0</v>
      </c>
      <c r="R412">
        <v>155</v>
      </c>
      <c r="S412">
        <v>0</v>
      </c>
    </row>
    <row r="413" spans="1:19" x14ac:dyDescent="0.25">
      <c r="A413">
        <v>18035</v>
      </c>
      <c r="B413" t="s">
        <v>46</v>
      </c>
      <c r="C413">
        <v>3</v>
      </c>
      <c r="D413">
        <v>293.39392235044397</v>
      </c>
      <c r="E413">
        <v>6.3052850806002301</v>
      </c>
      <c r="F413">
        <f t="shared" si="13"/>
        <v>5</v>
      </c>
      <c r="G413">
        <v>1</v>
      </c>
      <c r="H413">
        <v>1</v>
      </c>
      <c r="I413">
        <v>1</v>
      </c>
      <c r="J413">
        <v>0</v>
      </c>
      <c r="K413">
        <v>2</v>
      </c>
      <c r="L413">
        <v>0</v>
      </c>
      <c r="M413">
        <f t="shared" si="12"/>
        <v>355</v>
      </c>
      <c r="N413">
        <v>120</v>
      </c>
      <c r="O413">
        <v>50</v>
      </c>
      <c r="P413">
        <v>30</v>
      </c>
      <c r="Q413">
        <v>0</v>
      </c>
      <c r="R413">
        <v>155</v>
      </c>
      <c r="S413">
        <v>0</v>
      </c>
    </row>
    <row r="414" spans="1:19" x14ac:dyDescent="0.25">
      <c r="A414">
        <v>18035</v>
      </c>
      <c r="B414" t="s">
        <v>46</v>
      </c>
      <c r="C414">
        <v>4</v>
      </c>
      <c r="D414">
        <v>282.909134016417</v>
      </c>
      <c r="E414">
        <v>6.3773454815213801</v>
      </c>
      <c r="F414">
        <f t="shared" si="13"/>
        <v>5</v>
      </c>
      <c r="G414">
        <v>1</v>
      </c>
      <c r="H414">
        <v>1</v>
      </c>
      <c r="I414">
        <v>1</v>
      </c>
      <c r="J414">
        <v>0</v>
      </c>
      <c r="K414">
        <v>2</v>
      </c>
      <c r="L414">
        <v>0</v>
      </c>
      <c r="M414">
        <f t="shared" si="12"/>
        <v>355</v>
      </c>
      <c r="N414">
        <v>120</v>
      </c>
      <c r="O414">
        <v>50</v>
      </c>
      <c r="P414">
        <v>30</v>
      </c>
      <c r="Q414">
        <v>0</v>
      </c>
      <c r="R414">
        <v>155</v>
      </c>
      <c r="S414">
        <v>0</v>
      </c>
    </row>
    <row r="415" spans="1:19" x14ac:dyDescent="0.25">
      <c r="A415">
        <v>18035</v>
      </c>
      <c r="B415" t="s">
        <v>46</v>
      </c>
      <c r="C415">
        <v>5</v>
      </c>
      <c r="D415">
        <v>273.54128189666801</v>
      </c>
      <c r="E415">
        <v>6.6295568847453898</v>
      </c>
      <c r="F415">
        <f t="shared" si="13"/>
        <v>5</v>
      </c>
      <c r="G415">
        <v>1</v>
      </c>
      <c r="H415">
        <v>1</v>
      </c>
      <c r="I415">
        <v>1</v>
      </c>
      <c r="J415">
        <v>0</v>
      </c>
      <c r="K415">
        <v>2</v>
      </c>
      <c r="L415">
        <v>0</v>
      </c>
      <c r="M415">
        <f t="shared" si="12"/>
        <v>355</v>
      </c>
      <c r="N415">
        <v>120</v>
      </c>
      <c r="O415">
        <v>50</v>
      </c>
      <c r="P415">
        <v>30</v>
      </c>
      <c r="Q415">
        <v>0</v>
      </c>
      <c r="R415">
        <v>155</v>
      </c>
      <c r="S415">
        <v>0</v>
      </c>
    </row>
    <row r="416" spans="1:19" x14ac:dyDescent="0.25">
      <c r="A416">
        <v>18035</v>
      </c>
      <c r="B416" t="s">
        <v>46</v>
      </c>
      <c r="C416">
        <v>6</v>
      </c>
      <c r="D416">
        <v>252.89597703275999</v>
      </c>
      <c r="E416">
        <v>6.8097078870482504</v>
      </c>
      <c r="F416">
        <f t="shared" si="13"/>
        <v>5</v>
      </c>
      <c r="G416">
        <v>1</v>
      </c>
      <c r="H416">
        <v>1</v>
      </c>
      <c r="I416">
        <v>1</v>
      </c>
      <c r="J416">
        <v>0</v>
      </c>
      <c r="K416">
        <v>2</v>
      </c>
      <c r="L416">
        <v>0</v>
      </c>
      <c r="M416">
        <f t="shared" si="12"/>
        <v>355</v>
      </c>
      <c r="N416">
        <v>120</v>
      </c>
      <c r="O416">
        <v>50</v>
      </c>
      <c r="P416">
        <v>30</v>
      </c>
      <c r="Q416">
        <v>0</v>
      </c>
      <c r="R416">
        <v>155</v>
      </c>
      <c r="S416">
        <v>0</v>
      </c>
    </row>
    <row r="417" spans="1:19" x14ac:dyDescent="0.25">
      <c r="A417">
        <v>18035</v>
      </c>
      <c r="B417" t="s">
        <v>46</v>
      </c>
      <c r="C417">
        <v>7</v>
      </c>
      <c r="D417">
        <v>218.84743759751899</v>
      </c>
      <c r="E417">
        <v>7.3501608939568399</v>
      </c>
      <c r="F417">
        <f t="shared" si="13"/>
        <v>5</v>
      </c>
      <c r="G417">
        <v>1</v>
      </c>
      <c r="H417">
        <v>1</v>
      </c>
      <c r="I417">
        <v>1</v>
      </c>
      <c r="J417">
        <v>0</v>
      </c>
      <c r="K417">
        <v>2</v>
      </c>
      <c r="L417">
        <v>0</v>
      </c>
      <c r="M417">
        <f t="shared" si="12"/>
        <v>355</v>
      </c>
      <c r="N417">
        <v>120</v>
      </c>
      <c r="O417">
        <v>50</v>
      </c>
      <c r="P417">
        <v>30</v>
      </c>
      <c r="Q417">
        <v>0</v>
      </c>
      <c r="R417">
        <v>155</v>
      </c>
      <c r="S417">
        <v>0</v>
      </c>
    </row>
    <row r="418" spans="1:19" x14ac:dyDescent="0.25">
      <c r="A418">
        <v>18035</v>
      </c>
      <c r="B418" t="s">
        <v>46</v>
      </c>
      <c r="C418">
        <v>8</v>
      </c>
      <c r="D418">
        <v>179.034066088586</v>
      </c>
      <c r="E418">
        <v>6.5935266842848099</v>
      </c>
      <c r="F418">
        <f t="shared" si="13"/>
        <v>5</v>
      </c>
      <c r="G418">
        <v>1</v>
      </c>
      <c r="H418">
        <v>1</v>
      </c>
      <c r="I418">
        <v>1</v>
      </c>
      <c r="J418">
        <v>0</v>
      </c>
      <c r="K418">
        <v>2</v>
      </c>
      <c r="L418">
        <v>0</v>
      </c>
      <c r="M418">
        <f t="shared" si="12"/>
        <v>355</v>
      </c>
      <c r="N418">
        <v>120</v>
      </c>
      <c r="O418">
        <v>50</v>
      </c>
      <c r="P418">
        <v>30</v>
      </c>
      <c r="Q418">
        <v>0</v>
      </c>
      <c r="R418">
        <v>155</v>
      </c>
      <c r="S418">
        <v>0</v>
      </c>
    </row>
    <row r="419" spans="1:19" x14ac:dyDescent="0.25">
      <c r="A419">
        <v>18035</v>
      </c>
      <c r="B419" t="s">
        <v>46</v>
      </c>
      <c r="C419">
        <v>9</v>
      </c>
      <c r="D419">
        <v>147.759852088808</v>
      </c>
      <c r="E419">
        <v>6.4133756819819503</v>
      </c>
      <c r="F419">
        <f t="shared" si="13"/>
        <v>5</v>
      </c>
      <c r="G419">
        <v>1</v>
      </c>
      <c r="H419">
        <v>1</v>
      </c>
      <c r="I419">
        <v>1</v>
      </c>
      <c r="J419">
        <v>0</v>
      </c>
      <c r="K419">
        <v>2</v>
      </c>
      <c r="L419">
        <v>0</v>
      </c>
      <c r="M419">
        <f t="shared" si="12"/>
        <v>355</v>
      </c>
      <c r="N419">
        <v>120</v>
      </c>
      <c r="O419">
        <v>50</v>
      </c>
      <c r="P419">
        <v>30</v>
      </c>
      <c r="Q419">
        <v>0</v>
      </c>
      <c r="R419">
        <v>155</v>
      </c>
      <c r="S419">
        <v>0</v>
      </c>
    </row>
    <row r="420" spans="1:19" x14ac:dyDescent="0.25">
      <c r="A420">
        <v>18035</v>
      </c>
      <c r="B420" t="s">
        <v>46</v>
      </c>
      <c r="C420">
        <v>10</v>
      </c>
      <c r="D420">
        <v>135.797825535898</v>
      </c>
      <c r="E420">
        <v>6.8457380875088196</v>
      </c>
      <c r="F420">
        <f t="shared" si="13"/>
        <v>5</v>
      </c>
      <c r="G420">
        <v>1</v>
      </c>
      <c r="H420">
        <v>1</v>
      </c>
      <c r="I420">
        <v>1</v>
      </c>
      <c r="J420">
        <v>0</v>
      </c>
      <c r="K420">
        <v>2</v>
      </c>
      <c r="L420">
        <v>0</v>
      </c>
      <c r="M420">
        <f t="shared" si="12"/>
        <v>355</v>
      </c>
      <c r="N420">
        <v>120</v>
      </c>
      <c r="O420">
        <v>50</v>
      </c>
      <c r="P420">
        <v>30</v>
      </c>
      <c r="Q420">
        <v>0</v>
      </c>
      <c r="R420">
        <v>155</v>
      </c>
      <c r="S420">
        <v>0</v>
      </c>
    </row>
    <row r="421" spans="1:19" x14ac:dyDescent="0.25">
      <c r="A421">
        <v>18035</v>
      </c>
      <c r="B421" t="s">
        <v>46</v>
      </c>
      <c r="C421">
        <v>11</v>
      </c>
      <c r="D421">
        <v>131.94259408661699</v>
      </c>
      <c r="E421">
        <v>5.6927716727704896</v>
      </c>
      <c r="F421">
        <f t="shared" si="13"/>
        <v>5</v>
      </c>
      <c r="G421">
        <v>1</v>
      </c>
      <c r="H421">
        <v>1</v>
      </c>
      <c r="I421">
        <v>1</v>
      </c>
      <c r="J421">
        <v>0</v>
      </c>
      <c r="K421">
        <v>2</v>
      </c>
      <c r="L421">
        <v>0</v>
      </c>
      <c r="M421">
        <f t="shared" si="12"/>
        <v>355</v>
      </c>
      <c r="N421">
        <v>120</v>
      </c>
      <c r="O421">
        <v>50</v>
      </c>
      <c r="P421">
        <v>30</v>
      </c>
      <c r="Q421">
        <v>0</v>
      </c>
      <c r="R421">
        <v>155</v>
      </c>
      <c r="S421">
        <v>0</v>
      </c>
    </row>
    <row r="422" spans="1:19" x14ac:dyDescent="0.25">
      <c r="A422">
        <v>18035</v>
      </c>
      <c r="B422" t="s">
        <v>46</v>
      </c>
      <c r="C422">
        <v>12</v>
      </c>
      <c r="D422">
        <v>133.636013508264</v>
      </c>
      <c r="E422">
        <v>3.09859723960925</v>
      </c>
      <c r="F422">
        <f t="shared" si="13"/>
        <v>5</v>
      </c>
      <c r="G422">
        <v>1</v>
      </c>
      <c r="H422">
        <v>1</v>
      </c>
      <c r="I422">
        <v>1</v>
      </c>
      <c r="J422">
        <v>0</v>
      </c>
      <c r="K422">
        <v>2</v>
      </c>
      <c r="L422">
        <v>0</v>
      </c>
      <c r="M422">
        <f t="shared" si="12"/>
        <v>355</v>
      </c>
      <c r="N422">
        <v>120</v>
      </c>
      <c r="O422">
        <v>50</v>
      </c>
      <c r="P422">
        <v>30</v>
      </c>
      <c r="Q422">
        <v>0</v>
      </c>
      <c r="R422">
        <v>155</v>
      </c>
      <c r="S422">
        <v>0</v>
      </c>
    </row>
    <row r="423" spans="1:19" x14ac:dyDescent="0.25">
      <c r="A423">
        <v>18035</v>
      </c>
      <c r="B423" t="s">
        <v>46</v>
      </c>
      <c r="C423">
        <v>13</v>
      </c>
      <c r="D423">
        <v>138.64421137228399</v>
      </c>
      <c r="E423">
        <v>3.13462744006983</v>
      </c>
      <c r="F423">
        <f t="shared" si="13"/>
        <v>5</v>
      </c>
      <c r="G423">
        <v>1</v>
      </c>
      <c r="H423">
        <v>1</v>
      </c>
      <c r="I423">
        <v>1</v>
      </c>
      <c r="J423">
        <v>0</v>
      </c>
      <c r="K423">
        <v>2</v>
      </c>
      <c r="L423">
        <v>0</v>
      </c>
      <c r="M423">
        <f t="shared" si="12"/>
        <v>355</v>
      </c>
      <c r="N423">
        <v>120</v>
      </c>
      <c r="O423">
        <v>50</v>
      </c>
      <c r="P423">
        <v>30</v>
      </c>
      <c r="Q423">
        <v>0</v>
      </c>
      <c r="R423">
        <v>155</v>
      </c>
      <c r="S423">
        <v>0</v>
      </c>
    </row>
    <row r="424" spans="1:19" x14ac:dyDescent="0.25">
      <c r="A424">
        <v>18035</v>
      </c>
      <c r="B424" t="s">
        <v>46</v>
      </c>
      <c r="C424">
        <v>14</v>
      </c>
      <c r="D424">
        <v>135.76179533543799</v>
      </c>
      <c r="E424">
        <v>3.89126164974186</v>
      </c>
      <c r="F424">
        <f t="shared" si="13"/>
        <v>5</v>
      </c>
      <c r="G424">
        <v>1</v>
      </c>
      <c r="H424">
        <v>1</v>
      </c>
      <c r="I424">
        <v>1</v>
      </c>
      <c r="J424">
        <v>0</v>
      </c>
      <c r="K424">
        <v>2</v>
      </c>
      <c r="L424">
        <v>0</v>
      </c>
      <c r="M424">
        <f t="shared" si="12"/>
        <v>355</v>
      </c>
      <c r="N424">
        <v>120</v>
      </c>
      <c r="O424">
        <v>50</v>
      </c>
      <c r="P424">
        <v>30</v>
      </c>
      <c r="Q424">
        <v>0</v>
      </c>
      <c r="R424">
        <v>155</v>
      </c>
      <c r="S424">
        <v>0</v>
      </c>
    </row>
    <row r="425" spans="1:19" x14ac:dyDescent="0.25">
      <c r="A425">
        <v>18035</v>
      </c>
      <c r="B425" t="s">
        <v>46</v>
      </c>
      <c r="C425">
        <v>15</v>
      </c>
      <c r="D425">
        <v>138.46406036998101</v>
      </c>
      <c r="E425">
        <v>3.24271804145154</v>
      </c>
      <c r="F425">
        <f t="shared" si="13"/>
        <v>5</v>
      </c>
      <c r="G425">
        <v>1</v>
      </c>
      <c r="H425">
        <v>1</v>
      </c>
      <c r="I425">
        <v>1</v>
      </c>
      <c r="J425">
        <v>0</v>
      </c>
      <c r="K425">
        <v>2</v>
      </c>
      <c r="L425">
        <v>0</v>
      </c>
      <c r="M425">
        <f t="shared" si="12"/>
        <v>355</v>
      </c>
      <c r="N425">
        <v>120</v>
      </c>
      <c r="O425">
        <v>50</v>
      </c>
      <c r="P425">
        <v>30</v>
      </c>
      <c r="Q425">
        <v>0</v>
      </c>
      <c r="R425">
        <v>155</v>
      </c>
      <c r="S425">
        <v>0</v>
      </c>
    </row>
    <row r="426" spans="1:19" x14ac:dyDescent="0.25">
      <c r="A426">
        <v>18035</v>
      </c>
      <c r="B426" t="s">
        <v>46</v>
      </c>
      <c r="C426">
        <v>16</v>
      </c>
      <c r="D426">
        <v>150.93050972933901</v>
      </c>
      <c r="E426">
        <v>1.5853288202652001</v>
      </c>
      <c r="F426">
        <f t="shared" si="13"/>
        <v>5</v>
      </c>
      <c r="G426">
        <v>1</v>
      </c>
      <c r="H426">
        <v>1</v>
      </c>
      <c r="I426">
        <v>1</v>
      </c>
      <c r="J426">
        <v>0</v>
      </c>
      <c r="K426">
        <v>2</v>
      </c>
      <c r="L426">
        <v>0</v>
      </c>
      <c r="M426">
        <f t="shared" si="12"/>
        <v>355</v>
      </c>
      <c r="N426">
        <v>120</v>
      </c>
      <c r="O426">
        <v>50</v>
      </c>
      <c r="P426">
        <v>30</v>
      </c>
      <c r="Q426">
        <v>0</v>
      </c>
      <c r="R426">
        <v>155</v>
      </c>
      <c r="S426">
        <v>0</v>
      </c>
    </row>
    <row r="427" spans="1:19" x14ac:dyDescent="0.25">
      <c r="A427">
        <v>18035</v>
      </c>
      <c r="B427" t="s">
        <v>46</v>
      </c>
      <c r="C427">
        <v>17</v>
      </c>
      <c r="D427">
        <v>169.197821362849</v>
      </c>
      <c r="E427">
        <v>0.57648320736916403</v>
      </c>
      <c r="F427">
        <f t="shared" si="13"/>
        <v>5</v>
      </c>
      <c r="G427">
        <v>1</v>
      </c>
      <c r="H427">
        <v>1</v>
      </c>
      <c r="I427">
        <v>1</v>
      </c>
      <c r="J427">
        <v>0</v>
      </c>
      <c r="K427">
        <v>2</v>
      </c>
      <c r="L427">
        <v>0</v>
      </c>
      <c r="M427">
        <f t="shared" si="12"/>
        <v>355</v>
      </c>
      <c r="N427">
        <v>120</v>
      </c>
      <c r="O427">
        <v>50</v>
      </c>
      <c r="P427">
        <v>30</v>
      </c>
      <c r="Q427">
        <v>0</v>
      </c>
      <c r="R427">
        <v>155</v>
      </c>
      <c r="S427">
        <v>0</v>
      </c>
    </row>
    <row r="428" spans="1:19" x14ac:dyDescent="0.25">
      <c r="A428">
        <v>18035</v>
      </c>
      <c r="B428" t="s">
        <v>46</v>
      </c>
      <c r="C428">
        <v>18</v>
      </c>
      <c r="D428">
        <v>188.546039010177</v>
      </c>
      <c r="E428">
        <v>0.50442280644801896</v>
      </c>
      <c r="F428">
        <f t="shared" si="13"/>
        <v>5</v>
      </c>
      <c r="G428">
        <v>1</v>
      </c>
      <c r="H428">
        <v>1</v>
      </c>
      <c r="I428">
        <v>1</v>
      </c>
      <c r="J428">
        <v>0</v>
      </c>
      <c r="K428">
        <v>2</v>
      </c>
      <c r="L428">
        <v>0</v>
      </c>
      <c r="M428">
        <f t="shared" si="12"/>
        <v>355</v>
      </c>
      <c r="N428">
        <v>120</v>
      </c>
      <c r="O428">
        <v>50</v>
      </c>
      <c r="P428">
        <v>30</v>
      </c>
      <c r="Q428">
        <v>0</v>
      </c>
      <c r="R428">
        <v>155</v>
      </c>
      <c r="S428">
        <v>0</v>
      </c>
    </row>
    <row r="429" spans="1:19" x14ac:dyDescent="0.25">
      <c r="A429">
        <v>18035</v>
      </c>
      <c r="B429" t="s">
        <v>46</v>
      </c>
      <c r="C429">
        <v>19</v>
      </c>
      <c r="D429">
        <v>213.33481692705101</v>
      </c>
      <c r="E429">
        <v>0.86472481105374599</v>
      </c>
      <c r="F429">
        <f t="shared" si="13"/>
        <v>5</v>
      </c>
      <c r="G429">
        <v>1</v>
      </c>
      <c r="H429">
        <v>1</v>
      </c>
      <c r="I429">
        <v>1</v>
      </c>
      <c r="J429">
        <v>0</v>
      </c>
      <c r="K429">
        <v>2</v>
      </c>
      <c r="L429">
        <v>0</v>
      </c>
      <c r="M429">
        <f t="shared" si="12"/>
        <v>355</v>
      </c>
      <c r="N429">
        <v>120</v>
      </c>
      <c r="O429">
        <v>50</v>
      </c>
      <c r="P429">
        <v>30</v>
      </c>
      <c r="Q429">
        <v>0</v>
      </c>
      <c r="R429">
        <v>155</v>
      </c>
      <c r="S429">
        <v>0</v>
      </c>
    </row>
    <row r="430" spans="1:19" x14ac:dyDescent="0.25">
      <c r="A430">
        <v>18035</v>
      </c>
      <c r="B430" t="s">
        <v>46</v>
      </c>
      <c r="C430">
        <v>20</v>
      </c>
      <c r="D430">
        <v>241.978826293206</v>
      </c>
      <c r="E430">
        <v>0.50442280644801896</v>
      </c>
      <c r="F430">
        <f t="shared" si="13"/>
        <v>5</v>
      </c>
      <c r="G430">
        <v>1</v>
      </c>
      <c r="H430">
        <v>1</v>
      </c>
      <c r="I430">
        <v>1</v>
      </c>
      <c r="J430">
        <v>0</v>
      </c>
      <c r="K430">
        <v>2</v>
      </c>
      <c r="L430">
        <v>0</v>
      </c>
      <c r="M430">
        <f t="shared" si="12"/>
        <v>355</v>
      </c>
      <c r="N430">
        <v>120</v>
      </c>
      <c r="O430">
        <v>50</v>
      </c>
      <c r="P430">
        <v>30</v>
      </c>
      <c r="Q430">
        <v>0</v>
      </c>
      <c r="R430">
        <v>155</v>
      </c>
      <c r="S430">
        <v>0</v>
      </c>
    </row>
    <row r="431" spans="1:19" x14ac:dyDescent="0.25">
      <c r="A431">
        <v>18035</v>
      </c>
      <c r="B431" t="s">
        <v>46</v>
      </c>
      <c r="C431">
        <v>21</v>
      </c>
      <c r="D431">
        <v>263.12855396356298</v>
      </c>
      <c r="E431">
        <v>1.2250268156594699</v>
      </c>
      <c r="F431">
        <f t="shared" si="13"/>
        <v>5</v>
      </c>
      <c r="G431">
        <v>1</v>
      </c>
      <c r="H431">
        <v>1</v>
      </c>
      <c r="I431">
        <v>1</v>
      </c>
      <c r="J431">
        <v>0</v>
      </c>
      <c r="K431">
        <v>2</v>
      </c>
      <c r="L431">
        <v>0</v>
      </c>
      <c r="M431">
        <f t="shared" si="12"/>
        <v>355</v>
      </c>
      <c r="N431">
        <v>120</v>
      </c>
      <c r="O431">
        <v>50</v>
      </c>
      <c r="P431">
        <v>30</v>
      </c>
      <c r="Q431">
        <v>0</v>
      </c>
      <c r="R431">
        <v>155</v>
      </c>
      <c r="S431">
        <v>0</v>
      </c>
    </row>
    <row r="432" spans="1:19" x14ac:dyDescent="0.25">
      <c r="A432">
        <v>18035</v>
      </c>
      <c r="B432" t="s">
        <v>46</v>
      </c>
      <c r="C432">
        <v>22</v>
      </c>
      <c r="D432">
        <v>273.79349329989202</v>
      </c>
      <c r="E432">
        <v>1.7654798225680599</v>
      </c>
      <c r="F432">
        <f t="shared" si="13"/>
        <v>5</v>
      </c>
      <c r="G432">
        <v>1</v>
      </c>
      <c r="H432">
        <v>1</v>
      </c>
      <c r="I432">
        <v>1</v>
      </c>
      <c r="J432">
        <v>0</v>
      </c>
      <c r="K432">
        <v>2</v>
      </c>
      <c r="L432">
        <v>0</v>
      </c>
      <c r="M432">
        <f t="shared" si="12"/>
        <v>355</v>
      </c>
      <c r="N432">
        <v>120</v>
      </c>
      <c r="O432">
        <v>50</v>
      </c>
      <c r="P432">
        <v>30</v>
      </c>
      <c r="Q432">
        <v>0</v>
      </c>
      <c r="R432">
        <v>155</v>
      </c>
      <c r="S432">
        <v>0</v>
      </c>
    </row>
    <row r="433" spans="1:19" x14ac:dyDescent="0.25">
      <c r="A433">
        <v>18035</v>
      </c>
      <c r="B433" t="s">
        <v>46</v>
      </c>
      <c r="C433">
        <v>23</v>
      </c>
      <c r="D433">
        <v>282.332650809048</v>
      </c>
      <c r="E433">
        <v>2.99050663822754</v>
      </c>
      <c r="F433">
        <f t="shared" si="13"/>
        <v>5</v>
      </c>
      <c r="G433">
        <v>1</v>
      </c>
      <c r="H433">
        <v>1</v>
      </c>
      <c r="I433">
        <v>1</v>
      </c>
      <c r="J433">
        <v>0</v>
      </c>
      <c r="K433">
        <v>2</v>
      </c>
      <c r="L433">
        <v>0</v>
      </c>
      <c r="M433">
        <f t="shared" si="12"/>
        <v>355</v>
      </c>
      <c r="N433">
        <v>120</v>
      </c>
      <c r="O433">
        <v>50</v>
      </c>
      <c r="P433">
        <v>30</v>
      </c>
      <c r="Q433">
        <v>0</v>
      </c>
      <c r="R433">
        <v>155</v>
      </c>
      <c r="S433">
        <v>0</v>
      </c>
    </row>
    <row r="434" spans="1:19" x14ac:dyDescent="0.25">
      <c r="A434">
        <v>18037</v>
      </c>
      <c r="B434" t="s">
        <v>47</v>
      </c>
      <c r="C434">
        <v>0</v>
      </c>
      <c r="D434">
        <v>21.3670797662902</v>
      </c>
      <c r="E434">
        <v>1.9711328197684701</v>
      </c>
      <c r="F434">
        <f t="shared" si="13"/>
        <v>1</v>
      </c>
      <c r="G434">
        <v>0</v>
      </c>
      <c r="H434">
        <v>0</v>
      </c>
      <c r="I434">
        <v>1</v>
      </c>
      <c r="J434">
        <v>0</v>
      </c>
      <c r="K434">
        <v>0</v>
      </c>
      <c r="L434">
        <v>0</v>
      </c>
      <c r="M434">
        <f t="shared" si="12"/>
        <v>20</v>
      </c>
      <c r="N434">
        <v>0</v>
      </c>
      <c r="O434">
        <v>0</v>
      </c>
      <c r="P434">
        <v>20</v>
      </c>
      <c r="Q434">
        <v>0</v>
      </c>
      <c r="R434">
        <v>0</v>
      </c>
      <c r="S434">
        <v>0</v>
      </c>
    </row>
    <row r="435" spans="1:19" x14ac:dyDescent="0.25">
      <c r="A435">
        <v>18037</v>
      </c>
      <c r="B435" t="s">
        <v>47</v>
      </c>
      <c r="C435">
        <v>1</v>
      </c>
      <c r="D435">
        <v>21.3670797662902</v>
      </c>
      <c r="E435">
        <v>2.4442046965128998</v>
      </c>
      <c r="F435">
        <f t="shared" si="13"/>
        <v>1</v>
      </c>
      <c r="G435">
        <v>0</v>
      </c>
      <c r="H435">
        <v>0</v>
      </c>
      <c r="I435">
        <v>1</v>
      </c>
      <c r="J435">
        <v>0</v>
      </c>
      <c r="K435">
        <v>0</v>
      </c>
      <c r="L435">
        <v>0</v>
      </c>
      <c r="M435">
        <f t="shared" si="12"/>
        <v>20</v>
      </c>
      <c r="N435">
        <v>0</v>
      </c>
      <c r="O435">
        <v>0</v>
      </c>
      <c r="P435">
        <v>20</v>
      </c>
      <c r="Q435">
        <v>0</v>
      </c>
      <c r="R435">
        <v>0</v>
      </c>
      <c r="S435">
        <v>0</v>
      </c>
    </row>
    <row r="436" spans="1:19" x14ac:dyDescent="0.25">
      <c r="A436">
        <v>18037</v>
      </c>
      <c r="B436" t="s">
        <v>47</v>
      </c>
      <c r="C436">
        <v>2</v>
      </c>
      <c r="D436">
        <v>21.3670797662902</v>
      </c>
      <c r="E436">
        <v>2.2076687581406902</v>
      </c>
      <c r="F436">
        <f t="shared" si="13"/>
        <v>1</v>
      </c>
      <c r="G436">
        <v>0</v>
      </c>
      <c r="H436">
        <v>0</v>
      </c>
      <c r="I436">
        <v>1</v>
      </c>
      <c r="J436">
        <v>0</v>
      </c>
      <c r="K436">
        <v>0</v>
      </c>
      <c r="L436">
        <v>0</v>
      </c>
      <c r="M436">
        <f t="shared" si="12"/>
        <v>20</v>
      </c>
      <c r="N436">
        <v>0</v>
      </c>
      <c r="O436">
        <v>0</v>
      </c>
      <c r="P436">
        <v>20</v>
      </c>
      <c r="Q436">
        <v>0</v>
      </c>
      <c r="R436">
        <v>0</v>
      </c>
      <c r="S436">
        <v>0</v>
      </c>
    </row>
    <row r="437" spans="1:19" x14ac:dyDescent="0.25">
      <c r="A437">
        <v>18037</v>
      </c>
      <c r="B437" t="s">
        <v>47</v>
      </c>
      <c r="C437">
        <v>3</v>
      </c>
      <c r="D437">
        <v>21.209389140708701</v>
      </c>
      <c r="E437">
        <v>2.1288234453499499</v>
      </c>
      <c r="F437">
        <f t="shared" si="13"/>
        <v>1</v>
      </c>
      <c r="G437">
        <v>0</v>
      </c>
      <c r="H437">
        <v>0</v>
      </c>
      <c r="I437">
        <v>1</v>
      </c>
      <c r="J437">
        <v>0</v>
      </c>
      <c r="K437">
        <v>0</v>
      </c>
      <c r="L437">
        <v>0</v>
      </c>
      <c r="M437">
        <f t="shared" si="12"/>
        <v>20</v>
      </c>
      <c r="N437">
        <v>0</v>
      </c>
      <c r="O437">
        <v>0</v>
      </c>
      <c r="P437">
        <v>20</v>
      </c>
      <c r="Q437">
        <v>0</v>
      </c>
      <c r="R437">
        <v>0</v>
      </c>
      <c r="S437">
        <v>0</v>
      </c>
    </row>
    <row r="438" spans="1:19" x14ac:dyDescent="0.25">
      <c r="A438">
        <v>18037</v>
      </c>
      <c r="B438" t="s">
        <v>47</v>
      </c>
      <c r="C438">
        <v>4</v>
      </c>
      <c r="D438">
        <v>20.894007889545801</v>
      </c>
      <c r="E438">
        <v>2.3653593837221698</v>
      </c>
      <c r="F438">
        <f t="shared" si="13"/>
        <v>1</v>
      </c>
      <c r="G438">
        <v>0</v>
      </c>
      <c r="H438">
        <v>0</v>
      </c>
      <c r="I438">
        <v>1</v>
      </c>
      <c r="J438">
        <v>0</v>
      </c>
      <c r="K438">
        <v>0</v>
      </c>
      <c r="L438">
        <v>0</v>
      </c>
      <c r="M438">
        <f t="shared" si="12"/>
        <v>20</v>
      </c>
      <c r="N438">
        <v>0</v>
      </c>
      <c r="O438">
        <v>0</v>
      </c>
      <c r="P438">
        <v>20</v>
      </c>
      <c r="Q438">
        <v>0</v>
      </c>
      <c r="R438">
        <v>0</v>
      </c>
      <c r="S438">
        <v>0</v>
      </c>
    </row>
    <row r="439" spans="1:19" x14ac:dyDescent="0.25">
      <c r="A439">
        <v>18037</v>
      </c>
      <c r="B439" t="s">
        <v>47</v>
      </c>
      <c r="C439">
        <v>5</v>
      </c>
      <c r="D439">
        <v>19.790173510475402</v>
      </c>
      <c r="E439">
        <v>2.3653593837221698</v>
      </c>
      <c r="F439">
        <f t="shared" si="13"/>
        <v>1</v>
      </c>
      <c r="G439">
        <v>0</v>
      </c>
      <c r="H439">
        <v>0</v>
      </c>
      <c r="I439">
        <v>1</v>
      </c>
      <c r="J439">
        <v>0</v>
      </c>
      <c r="K439">
        <v>0</v>
      </c>
      <c r="L439">
        <v>0</v>
      </c>
      <c r="M439">
        <f t="shared" si="12"/>
        <v>20</v>
      </c>
      <c r="N439">
        <v>0</v>
      </c>
      <c r="O439">
        <v>0</v>
      </c>
      <c r="P439">
        <v>20</v>
      </c>
      <c r="Q439">
        <v>0</v>
      </c>
      <c r="R439">
        <v>0</v>
      </c>
      <c r="S439">
        <v>0</v>
      </c>
    </row>
    <row r="440" spans="1:19" x14ac:dyDescent="0.25">
      <c r="A440">
        <v>18037</v>
      </c>
      <c r="B440" t="s">
        <v>47</v>
      </c>
      <c r="C440">
        <v>6</v>
      </c>
      <c r="D440">
        <v>18.686339131405099</v>
      </c>
      <c r="E440">
        <v>3.3115031372110302</v>
      </c>
      <c r="F440">
        <f t="shared" si="13"/>
        <v>1</v>
      </c>
      <c r="G440">
        <v>0</v>
      </c>
      <c r="H440">
        <v>0</v>
      </c>
      <c r="I440">
        <v>1</v>
      </c>
      <c r="J440">
        <v>0</v>
      </c>
      <c r="K440">
        <v>0</v>
      </c>
      <c r="L440">
        <v>0</v>
      </c>
      <c r="M440">
        <f t="shared" si="12"/>
        <v>20</v>
      </c>
      <c r="N440">
        <v>0</v>
      </c>
      <c r="O440">
        <v>0</v>
      </c>
      <c r="P440">
        <v>20</v>
      </c>
      <c r="Q440">
        <v>0</v>
      </c>
      <c r="R440">
        <v>0</v>
      </c>
      <c r="S440">
        <v>0</v>
      </c>
    </row>
    <row r="441" spans="1:19" x14ac:dyDescent="0.25">
      <c r="A441">
        <v>18037</v>
      </c>
      <c r="B441" t="s">
        <v>47</v>
      </c>
      <c r="C441">
        <v>7</v>
      </c>
      <c r="D441">
        <v>16.320979747682902</v>
      </c>
      <c r="E441">
        <v>6.7018515872128104</v>
      </c>
      <c r="F441">
        <f t="shared" si="13"/>
        <v>1</v>
      </c>
      <c r="G441">
        <v>0</v>
      </c>
      <c r="H441">
        <v>0</v>
      </c>
      <c r="I441">
        <v>1</v>
      </c>
      <c r="J441">
        <v>0</v>
      </c>
      <c r="K441">
        <v>0</v>
      </c>
      <c r="L441">
        <v>0</v>
      </c>
      <c r="M441">
        <f t="shared" si="12"/>
        <v>20</v>
      </c>
      <c r="N441">
        <v>0</v>
      </c>
      <c r="O441">
        <v>0</v>
      </c>
      <c r="P441">
        <v>20</v>
      </c>
      <c r="Q441">
        <v>0</v>
      </c>
      <c r="R441">
        <v>0</v>
      </c>
      <c r="S441">
        <v>0</v>
      </c>
    </row>
    <row r="442" spans="1:19" x14ac:dyDescent="0.25">
      <c r="A442">
        <v>18037</v>
      </c>
      <c r="B442" t="s">
        <v>47</v>
      </c>
      <c r="C442">
        <v>8</v>
      </c>
      <c r="D442">
        <v>13.640239112797801</v>
      </c>
      <c r="E442">
        <v>6.7018515872128104</v>
      </c>
      <c r="F442">
        <f t="shared" si="13"/>
        <v>1</v>
      </c>
      <c r="G442">
        <v>0</v>
      </c>
      <c r="H442">
        <v>0</v>
      </c>
      <c r="I442">
        <v>1</v>
      </c>
      <c r="J442">
        <v>0</v>
      </c>
      <c r="K442">
        <v>0</v>
      </c>
      <c r="L442">
        <v>0</v>
      </c>
      <c r="M442">
        <f t="shared" si="12"/>
        <v>20</v>
      </c>
      <c r="N442">
        <v>0</v>
      </c>
      <c r="O442">
        <v>0</v>
      </c>
      <c r="P442">
        <v>20</v>
      </c>
      <c r="Q442">
        <v>0</v>
      </c>
      <c r="R442">
        <v>0</v>
      </c>
      <c r="S442">
        <v>0</v>
      </c>
    </row>
    <row r="443" spans="1:19" x14ac:dyDescent="0.25">
      <c r="A443">
        <v>18037</v>
      </c>
      <c r="B443" t="s">
        <v>47</v>
      </c>
      <c r="C443">
        <v>9</v>
      </c>
      <c r="D443">
        <v>11.4325703546571</v>
      </c>
      <c r="E443">
        <v>8.0422219046553796</v>
      </c>
      <c r="F443">
        <f t="shared" si="13"/>
        <v>1</v>
      </c>
      <c r="G443">
        <v>0</v>
      </c>
      <c r="H443">
        <v>0</v>
      </c>
      <c r="I443">
        <v>1</v>
      </c>
      <c r="J443">
        <v>0</v>
      </c>
      <c r="K443">
        <v>0</v>
      </c>
      <c r="L443">
        <v>0</v>
      </c>
      <c r="M443">
        <f t="shared" si="12"/>
        <v>20</v>
      </c>
      <c r="N443">
        <v>0</v>
      </c>
      <c r="O443">
        <v>0</v>
      </c>
      <c r="P443">
        <v>20</v>
      </c>
      <c r="Q443">
        <v>0</v>
      </c>
      <c r="R443">
        <v>0</v>
      </c>
      <c r="S443">
        <v>0</v>
      </c>
    </row>
    <row r="444" spans="1:19" x14ac:dyDescent="0.25">
      <c r="A444">
        <v>18037</v>
      </c>
      <c r="B444" t="s">
        <v>47</v>
      </c>
      <c r="C444">
        <v>10</v>
      </c>
      <c r="D444">
        <v>11.5114156674478</v>
      </c>
      <c r="E444">
        <v>9.2249015965164602</v>
      </c>
      <c r="F444">
        <f t="shared" si="13"/>
        <v>1</v>
      </c>
      <c r="G444">
        <v>0</v>
      </c>
      <c r="H444">
        <v>0</v>
      </c>
      <c r="I444">
        <v>1</v>
      </c>
      <c r="J444">
        <v>0</v>
      </c>
      <c r="K444">
        <v>0</v>
      </c>
      <c r="L444">
        <v>0</v>
      </c>
      <c r="M444">
        <f t="shared" si="12"/>
        <v>20</v>
      </c>
      <c r="N444">
        <v>0</v>
      </c>
      <c r="O444">
        <v>0</v>
      </c>
      <c r="P444">
        <v>20</v>
      </c>
      <c r="Q444">
        <v>0</v>
      </c>
      <c r="R444">
        <v>0</v>
      </c>
      <c r="S444">
        <v>0</v>
      </c>
    </row>
    <row r="445" spans="1:19" x14ac:dyDescent="0.25">
      <c r="A445">
        <v>18037</v>
      </c>
      <c r="B445" t="s">
        <v>47</v>
      </c>
      <c r="C445">
        <v>11</v>
      </c>
      <c r="D445">
        <v>12.536404733727499</v>
      </c>
      <c r="E445">
        <v>8.6729844069812891</v>
      </c>
      <c r="F445">
        <f t="shared" si="13"/>
        <v>1</v>
      </c>
      <c r="G445">
        <v>0</v>
      </c>
      <c r="H445">
        <v>0</v>
      </c>
      <c r="I445">
        <v>1</v>
      </c>
      <c r="J445">
        <v>0</v>
      </c>
      <c r="K445">
        <v>0</v>
      </c>
      <c r="L445">
        <v>0</v>
      </c>
      <c r="M445">
        <f t="shared" si="12"/>
        <v>20</v>
      </c>
      <c r="N445">
        <v>0</v>
      </c>
      <c r="O445">
        <v>0</v>
      </c>
      <c r="P445">
        <v>20</v>
      </c>
      <c r="Q445">
        <v>0</v>
      </c>
      <c r="R445">
        <v>0</v>
      </c>
      <c r="S445">
        <v>0</v>
      </c>
    </row>
    <row r="446" spans="1:19" x14ac:dyDescent="0.25">
      <c r="A446">
        <v>18037</v>
      </c>
      <c r="B446" t="s">
        <v>47</v>
      </c>
      <c r="C446">
        <v>12</v>
      </c>
      <c r="D446">
        <v>12.772940672099701</v>
      </c>
      <c r="E446">
        <v>7.0960781511665099</v>
      </c>
      <c r="F446">
        <f t="shared" si="13"/>
        <v>1</v>
      </c>
      <c r="G446">
        <v>0</v>
      </c>
      <c r="H446">
        <v>0</v>
      </c>
      <c r="I446">
        <v>1</v>
      </c>
      <c r="J446">
        <v>0</v>
      </c>
      <c r="K446">
        <v>0</v>
      </c>
      <c r="L446">
        <v>0</v>
      </c>
      <c r="M446">
        <f t="shared" si="12"/>
        <v>20</v>
      </c>
      <c r="N446">
        <v>0</v>
      </c>
      <c r="O446">
        <v>0</v>
      </c>
      <c r="P446">
        <v>20</v>
      </c>
      <c r="Q446">
        <v>0</v>
      </c>
      <c r="R446">
        <v>0</v>
      </c>
      <c r="S446">
        <v>0</v>
      </c>
    </row>
    <row r="447" spans="1:19" x14ac:dyDescent="0.25">
      <c r="A447">
        <v>18037</v>
      </c>
      <c r="B447" t="s">
        <v>47</v>
      </c>
      <c r="C447">
        <v>13</v>
      </c>
      <c r="D447">
        <v>11.196034416284901</v>
      </c>
      <c r="E447">
        <v>5.3614812697702501</v>
      </c>
      <c r="F447">
        <f t="shared" si="13"/>
        <v>1</v>
      </c>
      <c r="G447">
        <v>0</v>
      </c>
      <c r="H447">
        <v>0</v>
      </c>
      <c r="I447">
        <v>1</v>
      </c>
      <c r="J447">
        <v>0</v>
      </c>
      <c r="K447">
        <v>0</v>
      </c>
      <c r="L447">
        <v>0</v>
      </c>
      <c r="M447">
        <f t="shared" si="12"/>
        <v>20</v>
      </c>
      <c r="N447">
        <v>0</v>
      </c>
      <c r="O447">
        <v>0</v>
      </c>
      <c r="P447">
        <v>20</v>
      </c>
      <c r="Q447">
        <v>0</v>
      </c>
      <c r="R447">
        <v>0</v>
      </c>
      <c r="S447">
        <v>0</v>
      </c>
    </row>
    <row r="448" spans="1:19" x14ac:dyDescent="0.25">
      <c r="A448">
        <v>18037</v>
      </c>
      <c r="B448" t="s">
        <v>47</v>
      </c>
      <c r="C448">
        <v>14</v>
      </c>
      <c r="D448">
        <v>9.6979734732609</v>
      </c>
      <c r="E448">
        <v>3.7845750139554699</v>
      </c>
      <c r="F448">
        <f t="shared" si="13"/>
        <v>1</v>
      </c>
      <c r="G448">
        <v>0</v>
      </c>
      <c r="H448">
        <v>0</v>
      </c>
      <c r="I448">
        <v>1</v>
      </c>
      <c r="J448">
        <v>0</v>
      </c>
      <c r="K448">
        <v>0</v>
      </c>
      <c r="L448">
        <v>0</v>
      </c>
      <c r="M448">
        <f t="shared" si="12"/>
        <v>20</v>
      </c>
      <c r="N448">
        <v>0</v>
      </c>
      <c r="O448">
        <v>0</v>
      </c>
      <c r="P448">
        <v>20</v>
      </c>
      <c r="Q448">
        <v>0</v>
      </c>
      <c r="R448">
        <v>0</v>
      </c>
      <c r="S448">
        <v>0</v>
      </c>
    </row>
    <row r="449" spans="1:19" x14ac:dyDescent="0.25">
      <c r="A449">
        <v>18037</v>
      </c>
      <c r="B449" t="s">
        <v>47</v>
      </c>
      <c r="C449">
        <v>15</v>
      </c>
      <c r="D449">
        <v>9.3037469093072005</v>
      </c>
      <c r="E449">
        <v>1.4980609430240399</v>
      </c>
      <c r="F449">
        <f t="shared" si="13"/>
        <v>1</v>
      </c>
      <c r="G449">
        <v>0</v>
      </c>
      <c r="H449">
        <v>0</v>
      </c>
      <c r="I449">
        <v>1</v>
      </c>
      <c r="J449">
        <v>0</v>
      </c>
      <c r="K449">
        <v>0</v>
      </c>
      <c r="L449">
        <v>0</v>
      </c>
      <c r="M449">
        <f t="shared" si="12"/>
        <v>20</v>
      </c>
      <c r="N449">
        <v>0</v>
      </c>
      <c r="O449">
        <v>0</v>
      </c>
      <c r="P449">
        <v>20</v>
      </c>
      <c r="Q449">
        <v>0</v>
      </c>
      <c r="R449">
        <v>0</v>
      </c>
      <c r="S449">
        <v>0</v>
      </c>
    </row>
    <row r="450" spans="1:19" x14ac:dyDescent="0.25">
      <c r="A450">
        <v>18037</v>
      </c>
      <c r="B450" t="s">
        <v>47</v>
      </c>
      <c r="C450">
        <v>16</v>
      </c>
      <c r="D450">
        <v>9.8556640988423698</v>
      </c>
      <c r="E450">
        <v>1.10383437907034</v>
      </c>
      <c r="F450">
        <f t="shared" si="13"/>
        <v>1</v>
      </c>
      <c r="G450">
        <v>0</v>
      </c>
      <c r="H450">
        <v>0</v>
      </c>
      <c r="I450">
        <v>1</v>
      </c>
      <c r="J450">
        <v>0</v>
      </c>
      <c r="K450">
        <v>0</v>
      </c>
      <c r="L450">
        <v>0</v>
      </c>
      <c r="M450">
        <f t="shared" ref="M450:M513" si="14">SUM(N450:S450)</f>
        <v>20</v>
      </c>
      <c r="N450">
        <v>0</v>
      </c>
      <c r="O450">
        <v>0</v>
      </c>
      <c r="P450">
        <v>20</v>
      </c>
      <c r="Q450">
        <v>0</v>
      </c>
      <c r="R450">
        <v>0</v>
      </c>
      <c r="S450">
        <v>0</v>
      </c>
    </row>
    <row r="451" spans="1:19" x14ac:dyDescent="0.25">
      <c r="A451">
        <v>18037</v>
      </c>
      <c r="B451" t="s">
        <v>47</v>
      </c>
      <c r="C451">
        <v>17</v>
      </c>
      <c r="D451">
        <v>11.7479516058201</v>
      </c>
      <c r="E451">
        <v>1.26152500465182</v>
      </c>
      <c r="F451">
        <f t="shared" ref="F451:F514" si="15">SUM(G451:L451)</f>
        <v>1</v>
      </c>
      <c r="G451">
        <v>0</v>
      </c>
      <c r="H451">
        <v>0</v>
      </c>
      <c r="I451">
        <v>1</v>
      </c>
      <c r="J451">
        <v>0</v>
      </c>
      <c r="K451">
        <v>0</v>
      </c>
      <c r="L451">
        <v>0</v>
      </c>
      <c r="M451">
        <f t="shared" si="14"/>
        <v>20</v>
      </c>
      <c r="N451">
        <v>0</v>
      </c>
      <c r="O451">
        <v>0</v>
      </c>
      <c r="P451">
        <v>20</v>
      </c>
      <c r="Q451">
        <v>0</v>
      </c>
      <c r="R451">
        <v>0</v>
      </c>
      <c r="S451">
        <v>0</v>
      </c>
    </row>
    <row r="452" spans="1:19" x14ac:dyDescent="0.25">
      <c r="A452">
        <v>18037</v>
      </c>
      <c r="B452" t="s">
        <v>47</v>
      </c>
      <c r="C452">
        <v>18</v>
      </c>
      <c r="D452">
        <v>14.2710016151237</v>
      </c>
      <c r="E452">
        <v>1.18267969186108</v>
      </c>
      <c r="F452">
        <f t="shared" si="15"/>
        <v>1</v>
      </c>
      <c r="G452">
        <v>0</v>
      </c>
      <c r="H452">
        <v>0</v>
      </c>
      <c r="I452">
        <v>1</v>
      </c>
      <c r="J452">
        <v>0</v>
      </c>
      <c r="K452">
        <v>0</v>
      </c>
      <c r="L452">
        <v>0</v>
      </c>
      <c r="M452">
        <f t="shared" si="14"/>
        <v>20</v>
      </c>
      <c r="N452">
        <v>0</v>
      </c>
      <c r="O452">
        <v>0</v>
      </c>
      <c r="P452">
        <v>20</v>
      </c>
      <c r="Q452">
        <v>0</v>
      </c>
      <c r="R452">
        <v>0</v>
      </c>
      <c r="S452">
        <v>0</v>
      </c>
    </row>
    <row r="453" spans="1:19" x14ac:dyDescent="0.25">
      <c r="A453">
        <v>18037</v>
      </c>
      <c r="B453" t="s">
        <v>47</v>
      </c>
      <c r="C453">
        <v>19</v>
      </c>
      <c r="D453">
        <v>16.636360998845898</v>
      </c>
      <c r="E453">
        <v>1.3403703174425601</v>
      </c>
      <c r="F453">
        <f t="shared" si="15"/>
        <v>1</v>
      </c>
      <c r="G453">
        <v>0</v>
      </c>
      <c r="H453">
        <v>0</v>
      </c>
      <c r="I453">
        <v>1</v>
      </c>
      <c r="J453">
        <v>0</v>
      </c>
      <c r="K453">
        <v>0</v>
      </c>
      <c r="L453">
        <v>0</v>
      </c>
      <c r="M453">
        <f t="shared" si="14"/>
        <v>20</v>
      </c>
      <c r="N453">
        <v>0</v>
      </c>
      <c r="O453">
        <v>0</v>
      </c>
      <c r="P453">
        <v>20</v>
      </c>
      <c r="Q453">
        <v>0</v>
      </c>
      <c r="R453">
        <v>0</v>
      </c>
      <c r="S453">
        <v>0</v>
      </c>
    </row>
    <row r="454" spans="1:19" x14ac:dyDescent="0.25">
      <c r="A454">
        <v>18037</v>
      </c>
      <c r="B454" t="s">
        <v>47</v>
      </c>
      <c r="C454">
        <v>20</v>
      </c>
      <c r="D454">
        <v>17.6613500651255</v>
      </c>
      <c r="E454">
        <v>1.65575156860551</v>
      </c>
      <c r="F454">
        <f t="shared" si="15"/>
        <v>1</v>
      </c>
      <c r="G454">
        <v>0</v>
      </c>
      <c r="H454">
        <v>0</v>
      </c>
      <c r="I454">
        <v>1</v>
      </c>
      <c r="J454">
        <v>0</v>
      </c>
      <c r="K454">
        <v>0</v>
      </c>
      <c r="L454">
        <v>0</v>
      </c>
      <c r="M454">
        <f t="shared" si="14"/>
        <v>20</v>
      </c>
      <c r="N454">
        <v>0</v>
      </c>
      <c r="O454">
        <v>0</v>
      </c>
      <c r="P454">
        <v>20</v>
      </c>
      <c r="Q454">
        <v>0</v>
      </c>
      <c r="R454">
        <v>0</v>
      </c>
      <c r="S454">
        <v>0</v>
      </c>
    </row>
    <row r="455" spans="1:19" x14ac:dyDescent="0.25">
      <c r="A455">
        <v>18037</v>
      </c>
      <c r="B455" t="s">
        <v>47</v>
      </c>
      <c r="C455">
        <v>21</v>
      </c>
      <c r="D455">
        <v>19.0805656953588</v>
      </c>
      <c r="E455">
        <v>1.65575156860551</v>
      </c>
      <c r="F455">
        <f t="shared" si="15"/>
        <v>1</v>
      </c>
      <c r="G455">
        <v>0</v>
      </c>
      <c r="H455">
        <v>0</v>
      </c>
      <c r="I455">
        <v>1</v>
      </c>
      <c r="J455">
        <v>0</v>
      </c>
      <c r="K455">
        <v>0</v>
      </c>
      <c r="L455">
        <v>0</v>
      </c>
      <c r="M455">
        <f t="shared" si="14"/>
        <v>20</v>
      </c>
      <c r="N455">
        <v>0</v>
      </c>
      <c r="O455">
        <v>0</v>
      </c>
      <c r="P455">
        <v>20</v>
      </c>
      <c r="Q455">
        <v>0</v>
      </c>
      <c r="R455">
        <v>0</v>
      </c>
      <c r="S455">
        <v>0</v>
      </c>
    </row>
    <row r="456" spans="1:19" x14ac:dyDescent="0.25">
      <c r="A456">
        <v>18037</v>
      </c>
      <c r="B456" t="s">
        <v>47</v>
      </c>
      <c r="C456">
        <v>22</v>
      </c>
      <c r="D456">
        <v>20.184400074429099</v>
      </c>
      <c r="E456">
        <v>1.5769062558147799</v>
      </c>
      <c r="F456">
        <f t="shared" si="15"/>
        <v>1</v>
      </c>
      <c r="G456">
        <v>0</v>
      </c>
      <c r="H456">
        <v>0</v>
      </c>
      <c r="I456">
        <v>1</v>
      </c>
      <c r="J456">
        <v>0</v>
      </c>
      <c r="K456">
        <v>0</v>
      </c>
      <c r="L456">
        <v>0</v>
      </c>
      <c r="M456">
        <f t="shared" si="14"/>
        <v>20</v>
      </c>
      <c r="N456">
        <v>0</v>
      </c>
      <c r="O456">
        <v>0</v>
      </c>
      <c r="P456">
        <v>20</v>
      </c>
      <c r="Q456">
        <v>0</v>
      </c>
      <c r="R456">
        <v>0</v>
      </c>
      <c r="S456">
        <v>0</v>
      </c>
    </row>
    <row r="457" spans="1:19" x14ac:dyDescent="0.25">
      <c r="A457">
        <v>18037</v>
      </c>
      <c r="B457" t="s">
        <v>47</v>
      </c>
      <c r="C457">
        <v>23</v>
      </c>
      <c r="D457">
        <v>20.657471951173601</v>
      </c>
      <c r="E457">
        <v>1.65575156860551</v>
      </c>
      <c r="F457">
        <f t="shared" si="15"/>
        <v>1</v>
      </c>
      <c r="G457">
        <v>0</v>
      </c>
      <c r="H457">
        <v>0</v>
      </c>
      <c r="I457">
        <v>1</v>
      </c>
      <c r="J457">
        <v>0</v>
      </c>
      <c r="K457">
        <v>0</v>
      </c>
      <c r="L457">
        <v>0</v>
      </c>
      <c r="M457">
        <f t="shared" si="14"/>
        <v>20</v>
      </c>
      <c r="N457">
        <v>0</v>
      </c>
      <c r="O457">
        <v>0</v>
      </c>
      <c r="P457">
        <v>20</v>
      </c>
      <c r="Q457">
        <v>0</v>
      </c>
      <c r="R457">
        <v>0</v>
      </c>
      <c r="S457">
        <v>0</v>
      </c>
    </row>
    <row r="458" spans="1:19" x14ac:dyDescent="0.25">
      <c r="A458">
        <v>18039</v>
      </c>
      <c r="B458" t="s">
        <v>48</v>
      </c>
      <c r="C458">
        <v>0</v>
      </c>
      <c r="D458">
        <v>343.11981681170602</v>
      </c>
      <c r="E458">
        <v>44.532989374646803</v>
      </c>
      <c r="F458">
        <f t="shared" si="15"/>
        <v>12</v>
      </c>
      <c r="G458">
        <v>0</v>
      </c>
      <c r="H458">
        <v>0</v>
      </c>
      <c r="I458">
        <v>8</v>
      </c>
      <c r="J458">
        <v>2</v>
      </c>
      <c r="K458">
        <v>2</v>
      </c>
      <c r="L458">
        <v>0</v>
      </c>
      <c r="M458">
        <f t="shared" si="14"/>
        <v>653</v>
      </c>
      <c r="N458">
        <v>0</v>
      </c>
      <c r="O458">
        <v>0</v>
      </c>
      <c r="P458">
        <v>123</v>
      </c>
      <c r="Q458">
        <v>400</v>
      </c>
      <c r="R458">
        <v>130</v>
      </c>
      <c r="S458">
        <v>0</v>
      </c>
    </row>
    <row r="459" spans="1:19" x14ac:dyDescent="0.25">
      <c r="A459">
        <v>18039</v>
      </c>
      <c r="B459" t="s">
        <v>48</v>
      </c>
      <c r="C459">
        <v>1</v>
      </c>
      <c r="D459">
        <v>359.25566868864303</v>
      </c>
      <c r="E459">
        <v>48.358510488328001</v>
      </c>
      <c r="F459">
        <f t="shared" si="15"/>
        <v>12</v>
      </c>
      <c r="G459">
        <v>0</v>
      </c>
      <c r="H459">
        <v>0</v>
      </c>
      <c r="I459">
        <v>8</v>
      </c>
      <c r="J459">
        <v>2</v>
      </c>
      <c r="K459">
        <v>2</v>
      </c>
      <c r="L459">
        <v>0</v>
      </c>
      <c r="M459">
        <f t="shared" si="14"/>
        <v>653</v>
      </c>
      <c r="N459">
        <v>0</v>
      </c>
      <c r="O459">
        <v>0</v>
      </c>
      <c r="P459">
        <v>123</v>
      </c>
      <c r="Q459">
        <v>400</v>
      </c>
      <c r="R459">
        <v>130</v>
      </c>
      <c r="S459">
        <v>0</v>
      </c>
    </row>
    <row r="460" spans="1:19" x14ac:dyDescent="0.25">
      <c r="A460">
        <v>18039</v>
      </c>
      <c r="B460" t="s">
        <v>48</v>
      </c>
      <c r="C460">
        <v>2</v>
      </c>
      <c r="D460">
        <v>370.04560003492298</v>
      </c>
      <c r="E460">
        <v>51.8897607471105</v>
      </c>
      <c r="F460">
        <f t="shared" si="15"/>
        <v>12</v>
      </c>
      <c r="G460">
        <v>0</v>
      </c>
      <c r="H460">
        <v>0</v>
      </c>
      <c r="I460">
        <v>8</v>
      </c>
      <c r="J460">
        <v>2</v>
      </c>
      <c r="K460">
        <v>2</v>
      </c>
      <c r="L460">
        <v>0</v>
      </c>
      <c r="M460">
        <f t="shared" si="14"/>
        <v>653</v>
      </c>
      <c r="N460">
        <v>0</v>
      </c>
      <c r="O460">
        <v>0</v>
      </c>
      <c r="P460">
        <v>123</v>
      </c>
      <c r="Q460">
        <v>400</v>
      </c>
      <c r="R460">
        <v>130</v>
      </c>
      <c r="S460">
        <v>0</v>
      </c>
    </row>
    <row r="461" spans="1:19" x14ac:dyDescent="0.25">
      <c r="A461">
        <v>18039</v>
      </c>
      <c r="B461" t="s">
        <v>48</v>
      </c>
      <c r="C461">
        <v>3</v>
      </c>
      <c r="D461">
        <v>374.7539337133</v>
      </c>
      <c r="E461">
        <v>55.813372145757803</v>
      </c>
      <c r="F461">
        <f t="shared" si="15"/>
        <v>12</v>
      </c>
      <c r="G461">
        <v>0</v>
      </c>
      <c r="H461">
        <v>0</v>
      </c>
      <c r="I461">
        <v>8</v>
      </c>
      <c r="J461">
        <v>2</v>
      </c>
      <c r="K461">
        <v>2</v>
      </c>
      <c r="L461">
        <v>0</v>
      </c>
      <c r="M461">
        <f t="shared" si="14"/>
        <v>653</v>
      </c>
      <c r="N461">
        <v>0</v>
      </c>
      <c r="O461">
        <v>0</v>
      </c>
      <c r="P461">
        <v>123</v>
      </c>
      <c r="Q461">
        <v>400</v>
      </c>
      <c r="R461">
        <v>130</v>
      </c>
      <c r="S461">
        <v>0</v>
      </c>
    </row>
    <row r="462" spans="1:19" x14ac:dyDescent="0.25">
      <c r="A462">
        <v>18039</v>
      </c>
      <c r="B462" t="s">
        <v>48</v>
      </c>
      <c r="C462">
        <v>4</v>
      </c>
      <c r="D462">
        <v>373.576850293706</v>
      </c>
      <c r="E462">
        <v>55.1267401509946</v>
      </c>
      <c r="F462">
        <f t="shared" si="15"/>
        <v>12</v>
      </c>
      <c r="G462">
        <v>0</v>
      </c>
      <c r="H462">
        <v>0</v>
      </c>
      <c r="I462">
        <v>8</v>
      </c>
      <c r="J462">
        <v>2</v>
      </c>
      <c r="K462">
        <v>2</v>
      </c>
      <c r="L462">
        <v>0</v>
      </c>
      <c r="M462">
        <f t="shared" si="14"/>
        <v>653</v>
      </c>
      <c r="N462">
        <v>0</v>
      </c>
      <c r="O462">
        <v>0</v>
      </c>
      <c r="P462">
        <v>123</v>
      </c>
      <c r="Q462">
        <v>400</v>
      </c>
      <c r="R462">
        <v>130</v>
      </c>
      <c r="S462">
        <v>0</v>
      </c>
    </row>
    <row r="463" spans="1:19" x14ac:dyDescent="0.25">
      <c r="A463">
        <v>18039</v>
      </c>
      <c r="B463" t="s">
        <v>48</v>
      </c>
      <c r="C463">
        <v>5</v>
      </c>
      <c r="D463">
        <v>366.75957548855598</v>
      </c>
      <c r="E463">
        <v>50.0260453327531</v>
      </c>
      <c r="F463">
        <f t="shared" si="15"/>
        <v>12</v>
      </c>
      <c r="G463">
        <v>0</v>
      </c>
      <c r="H463">
        <v>0</v>
      </c>
      <c r="I463">
        <v>8</v>
      </c>
      <c r="J463">
        <v>2</v>
      </c>
      <c r="K463">
        <v>2</v>
      </c>
      <c r="L463">
        <v>0</v>
      </c>
      <c r="M463">
        <f t="shared" si="14"/>
        <v>653</v>
      </c>
      <c r="N463">
        <v>0</v>
      </c>
      <c r="O463">
        <v>0</v>
      </c>
      <c r="P463">
        <v>123</v>
      </c>
      <c r="Q463">
        <v>400</v>
      </c>
      <c r="R463">
        <v>130</v>
      </c>
      <c r="S463">
        <v>0</v>
      </c>
    </row>
    <row r="464" spans="1:19" x14ac:dyDescent="0.25">
      <c r="A464">
        <v>18039</v>
      </c>
      <c r="B464" t="s">
        <v>48</v>
      </c>
      <c r="C464">
        <v>6</v>
      </c>
      <c r="D464">
        <v>340.96183054245</v>
      </c>
      <c r="E464">
        <v>46.494795073970501</v>
      </c>
      <c r="F464">
        <f t="shared" si="15"/>
        <v>12</v>
      </c>
      <c r="G464">
        <v>0</v>
      </c>
      <c r="H464">
        <v>0</v>
      </c>
      <c r="I464">
        <v>8</v>
      </c>
      <c r="J464">
        <v>2</v>
      </c>
      <c r="K464">
        <v>2</v>
      </c>
      <c r="L464">
        <v>0</v>
      </c>
      <c r="M464">
        <f t="shared" si="14"/>
        <v>653</v>
      </c>
      <c r="N464">
        <v>0</v>
      </c>
      <c r="O464">
        <v>0</v>
      </c>
      <c r="P464">
        <v>123</v>
      </c>
      <c r="Q464">
        <v>400</v>
      </c>
      <c r="R464">
        <v>130</v>
      </c>
      <c r="S464">
        <v>0</v>
      </c>
    </row>
    <row r="465" spans="1:19" x14ac:dyDescent="0.25">
      <c r="A465">
        <v>18039</v>
      </c>
      <c r="B465" t="s">
        <v>48</v>
      </c>
      <c r="C465">
        <v>7</v>
      </c>
      <c r="D465">
        <v>292.30904919922398</v>
      </c>
      <c r="E465">
        <v>42.865454530221797</v>
      </c>
      <c r="F465">
        <f t="shared" si="15"/>
        <v>12</v>
      </c>
      <c r="G465">
        <v>0</v>
      </c>
      <c r="H465">
        <v>0</v>
      </c>
      <c r="I465">
        <v>8</v>
      </c>
      <c r="J465">
        <v>2</v>
      </c>
      <c r="K465">
        <v>2</v>
      </c>
      <c r="L465">
        <v>0</v>
      </c>
      <c r="M465">
        <f t="shared" si="14"/>
        <v>653</v>
      </c>
      <c r="N465">
        <v>0</v>
      </c>
      <c r="O465">
        <v>0</v>
      </c>
      <c r="P465">
        <v>123</v>
      </c>
      <c r="Q465">
        <v>400</v>
      </c>
      <c r="R465">
        <v>130</v>
      </c>
      <c r="S465">
        <v>0</v>
      </c>
    </row>
    <row r="466" spans="1:19" x14ac:dyDescent="0.25">
      <c r="A466">
        <v>18039</v>
      </c>
      <c r="B466" t="s">
        <v>48</v>
      </c>
      <c r="C466">
        <v>8</v>
      </c>
      <c r="D466">
        <v>233.20965250709901</v>
      </c>
      <c r="E466">
        <v>38.3042562792943</v>
      </c>
      <c r="F466">
        <f t="shared" si="15"/>
        <v>12</v>
      </c>
      <c r="G466">
        <v>0</v>
      </c>
      <c r="H466">
        <v>0</v>
      </c>
      <c r="I466">
        <v>8</v>
      </c>
      <c r="J466">
        <v>2</v>
      </c>
      <c r="K466">
        <v>2</v>
      </c>
      <c r="L466">
        <v>0</v>
      </c>
      <c r="M466">
        <f t="shared" si="14"/>
        <v>653</v>
      </c>
      <c r="N466">
        <v>0</v>
      </c>
      <c r="O466">
        <v>0</v>
      </c>
      <c r="P466">
        <v>123</v>
      </c>
      <c r="Q466">
        <v>400</v>
      </c>
      <c r="R466">
        <v>130</v>
      </c>
      <c r="S466">
        <v>0</v>
      </c>
    </row>
    <row r="467" spans="1:19" x14ac:dyDescent="0.25">
      <c r="A467">
        <v>18039</v>
      </c>
      <c r="B467" t="s">
        <v>48</v>
      </c>
      <c r="C467">
        <v>9</v>
      </c>
      <c r="D467">
        <v>187.79385056775601</v>
      </c>
      <c r="E467">
        <v>35.263457445342603</v>
      </c>
      <c r="F467">
        <f t="shared" si="15"/>
        <v>12</v>
      </c>
      <c r="G467">
        <v>0</v>
      </c>
      <c r="H467">
        <v>0</v>
      </c>
      <c r="I467">
        <v>8</v>
      </c>
      <c r="J467">
        <v>2</v>
      </c>
      <c r="K467">
        <v>2</v>
      </c>
      <c r="L467">
        <v>0</v>
      </c>
      <c r="M467">
        <f t="shared" si="14"/>
        <v>653</v>
      </c>
      <c r="N467">
        <v>0</v>
      </c>
      <c r="O467">
        <v>0</v>
      </c>
      <c r="P467">
        <v>123</v>
      </c>
      <c r="Q467">
        <v>400</v>
      </c>
      <c r="R467">
        <v>130</v>
      </c>
      <c r="S467">
        <v>0</v>
      </c>
    </row>
    <row r="468" spans="1:19" x14ac:dyDescent="0.25">
      <c r="A468">
        <v>18039</v>
      </c>
      <c r="B468" t="s">
        <v>48</v>
      </c>
      <c r="C468">
        <v>10</v>
      </c>
      <c r="D468">
        <v>154.78646967663599</v>
      </c>
      <c r="E468">
        <v>34.184464310714603</v>
      </c>
      <c r="F468">
        <f t="shared" si="15"/>
        <v>12</v>
      </c>
      <c r="G468">
        <v>0</v>
      </c>
      <c r="H468">
        <v>0</v>
      </c>
      <c r="I468">
        <v>8</v>
      </c>
      <c r="J468">
        <v>2</v>
      </c>
      <c r="K468">
        <v>2</v>
      </c>
      <c r="L468">
        <v>0</v>
      </c>
      <c r="M468">
        <f t="shared" si="14"/>
        <v>653</v>
      </c>
      <c r="N468">
        <v>0</v>
      </c>
      <c r="O468">
        <v>0</v>
      </c>
      <c r="P468">
        <v>123</v>
      </c>
      <c r="Q468">
        <v>400</v>
      </c>
      <c r="R468">
        <v>130</v>
      </c>
      <c r="S468">
        <v>0</v>
      </c>
    </row>
    <row r="469" spans="1:19" x14ac:dyDescent="0.25">
      <c r="A469">
        <v>18039</v>
      </c>
      <c r="B469" t="s">
        <v>48</v>
      </c>
      <c r="C469">
        <v>11</v>
      </c>
      <c r="D469">
        <v>143.653222332974</v>
      </c>
      <c r="E469">
        <v>32.909290606154201</v>
      </c>
      <c r="F469">
        <f t="shared" si="15"/>
        <v>12</v>
      </c>
      <c r="G469">
        <v>0</v>
      </c>
      <c r="H469">
        <v>0</v>
      </c>
      <c r="I469">
        <v>8</v>
      </c>
      <c r="J469">
        <v>2</v>
      </c>
      <c r="K469">
        <v>2</v>
      </c>
      <c r="L469">
        <v>0</v>
      </c>
      <c r="M469">
        <f t="shared" si="14"/>
        <v>653</v>
      </c>
      <c r="N469">
        <v>0</v>
      </c>
      <c r="O469">
        <v>0</v>
      </c>
      <c r="P469">
        <v>123</v>
      </c>
      <c r="Q469">
        <v>400</v>
      </c>
      <c r="R469">
        <v>130</v>
      </c>
      <c r="S469">
        <v>0</v>
      </c>
    </row>
    <row r="470" spans="1:19" x14ac:dyDescent="0.25">
      <c r="A470">
        <v>18039</v>
      </c>
      <c r="B470" t="s">
        <v>48</v>
      </c>
      <c r="C470">
        <v>12</v>
      </c>
      <c r="D470">
        <v>134.432735546153</v>
      </c>
      <c r="E470">
        <v>29.525175774820902</v>
      </c>
      <c r="F470">
        <f t="shared" si="15"/>
        <v>12</v>
      </c>
      <c r="G470">
        <v>0</v>
      </c>
      <c r="H470">
        <v>0</v>
      </c>
      <c r="I470">
        <v>8</v>
      </c>
      <c r="J470">
        <v>2</v>
      </c>
      <c r="K470">
        <v>2</v>
      </c>
      <c r="L470">
        <v>0</v>
      </c>
      <c r="M470">
        <f t="shared" si="14"/>
        <v>653</v>
      </c>
      <c r="N470">
        <v>0</v>
      </c>
      <c r="O470">
        <v>0</v>
      </c>
      <c r="P470">
        <v>123</v>
      </c>
      <c r="Q470">
        <v>400</v>
      </c>
      <c r="R470">
        <v>130</v>
      </c>
      <c r="S470">
        <v>0</v>
      </c>
    </row>
    <row r="471" spans="1:19" x14ac:dyDescent="0.25">
      <c r="A471">
        <v>18039</v>
      </c>
      <c r="B471" t="s">
        <v>48</v>
      </c>
      <c r="C471">
        <v>13</v>
      </c>
      <c r="D471">
        <v>129.18490530046199</v>
      </c>
      <c r="E471">
        <v>27.955731215362</v>
      </c>
      <c r="F471">
        <f t="shared" si="15"/>
        <v>12</v>
      </c>
      <c r="G471">
        <v>0</v>
      </c>
      <c r="H471">
        <v>0</v>
      </c>
      <c r="I471">
        <v>8</v>
      </c>
      <c r="J471">
        <v>2</v>
      </c>
      <c r="K471">
        <v>2</v>
      </c>
      <c r="L471">
        <v>0</v>
      </c>
      <c r="M471">
        <f t="shared" si="14"/>
        <v>653</v>
      </c>
      <c r="N471">
        <v>0</v>
      </c>
      <c r="O471">
        <v>0</v>
      </c>
      <c r="P471">
        <v>123</v>
      </c>
      <c r="Q471">
        <v>400</v>
      </c>
      <c r="R471">
        <v>130</v>
      </c>
      <c r="S471">
        <v>0</v>
      </c>
    </row>
    <row r="472" spans="1:19" x14ac:dyDescent="0.25">
      <c r="A472">
        <v>18039</v>
      </c>
      <c r="B472" t="s">
        <v>48</v>
      </c>
      <c r="C472">
        <v>14</v>
      </c>
      <c r="D472">
        <v>128.35113787824901</v>
      </c>
      <c r="E472">
        <v>21.825088404975599</v>
      </c>
      <c r="F472">
        <f t="shared" si="15"/>
        <v>12</v>
      </c>
      <c r="G472">
        <v>0</v>
      </c>
      <c r="H472">
        <v>0</v>
      </c>
      <c r="I472">
        <v>8</v>
      </c>
      <c r="J472">
        <v>2</v>
      </c>
      <c r="K472">
        <v>2</v>
      </c>
      <c r="L472">
        <v>0</v>
      </c>
      <c r="M472">
        <f t="shared" si="14"/>
        <v>653</v>
      </c>
      <c r="N472">
        <v>0</v>
      </c>
      <c r="O472">
        <v>0</v>
      </c>
      <c r="P472">
        <v>123</v>
      </c>
      <c r="Q472">
        <v>400</v>
      </c>
      <c r="R472">
        <v>130</v>
      </c>
      <c r="S472">
        <v>0</v>
      </c>
    </row>
    <row r="473" spans="1:19" x14ac:dyDescent="0.25">
      <c r="A473">
        <v>18039</v>
      </c>
      <c r="B473" t="s">
        <v>48</v>
      </c>
      <c r="C473">
        <v>15</v>
      </c>
      <c r="D473">
        <v>128.69445387563101</v>
      </c>
      <c r="E473">
        <v>16.233942161903201</v>
      </c>
      <c r="F473">
        <f t="shared" si="15"/>
        <v>12</v>
      </c>
      <c r="G473">
        <v>0</v>
      </c>
      <c r="H473">
        <v>0</v>
      </c>
      <c r="I473">
        <v>8</v>
      </c>
      <c r="J473">
        <v>2</v>
      </c>
      <c r="K473">
        <v>2</v>
      </c>
      <c r="L473">
        <v>0</v>
      </c>
      <c r="M473">
        <f t="shared" si="14"/>
        <v>653</v>
      </c>
      <c r="N473">
        <v>0</v>
      </c>
      <c r="O473">
        <v>0</v>
      </c>
      <c r="P473">
        <v>123</v>
      </c>
      <c r="Q473">
        <v>400</v>
      </c>
      <c r="R473">
        <v>130</v>
      </c>
      <c r="S473">
        <v>0</v>
      </c>
    </row>
    <row r="474" spans="1:19" x14ac:dyDescent="0.25">
      <c r="A474">
        <v>18039</v>
      </c>
      <c r="B474" t="s">
        <v>48</v>
      </c>
      <c r="C474">
        <v>16</v>
      </c>
      <c r="D474">
        <v>136.345496102993</v>
      </c>
      <c r="E474">
        <v>13.5855044678162</v>
      </c>
      <c r="F474">
        <f t="shared" si="15"/>
        <v>12</v>
      </c>
      <c r="G474">
        <v>0</v>
      </c>
      <c r="H474">
        <v>0</v>
      </c>
      <c r="I474">
        <v>8</v>
      </c>
      <c r="J474">
        <v>2</v>
      </c>
      <c r="K474">
        <v>2</v>
      </c>
      <c r="L474">
        <v>0</v>
      </c>
      <c r="M474">
        <f t="shared" si="14"/>
        <v>653</v>
      </c>
      <c r="N474">
        <v>0</v>
      </c>
      <c r="O474">
        <v>0</v>
      </c>
      <c r="P474">
        <v>123</v>
      </c>
      <c r="Q474">
        <v>400</v>
      </c>
      <c r="R474">
        <v>130</v>
      </c>
      <c r="S474">
        <v>0</v>
      </c>
    </row>
    <row r="475" spans="1:19" x14ac:dyDescent="0.25">
      <c r="A475">
        <v>18039</v>
      </c>
      <c r="B475" t="s">
        <v>48</v>
      </c>
      <c r="C475">
        <v>17</v>
      </c>
      <c r="D475">
        <v>149.73482000087699</v>
      </c>
      <c r="E475">
        <v>12.751737045603701</v>
      </c>
      <c r="F475">
        <f t="shared" si="15"/>
        <v>12</v>
      </c>
      <c r="G475">
        <v>0</v>
      </c>
      <c r="H475">
        <v>0</v>
      </c>
      <c r="I475">
        <v>8</v>
      </c>
      <c r="J475">
        <v>2</v>
      </c>
      <c r="K475">
        <v>2</v>
      </c>
      <c r="L475">
        <v>0</v>
      </c>
      <c r="M475">
        <f t="shared" si="14"/>
        <v>653</v>
      </c>
      <c r="N475">
        <v>0</v>
      </c>
      <c r="O475">
        <v>0</v>
      </c>
      <c r="P475">
        <v>123</v>
      </c>
      <c r="Q475">
        <v>400</v>
      </c>
      <c r="R475">
        <v>130</v>
      </c>
      <c r="S475">
        <v>0</v>
      </c>
    </row>
    <row r="476" spans="1:19" x14ac:dyDescent="0.25">
      <c r="A476">
        <v>18039</v>
      </c>
      <c r="B476" t="s">
        <v>48</v>
      </c>
      <c r="C476">
        <v>18</v>
      </c>
      <c r="D476">
        <v>167.97961300458701</v>
      </c>
      <c r="E476">
        <v>14.566407317478101</v>
      </c>
      <c r="F476">
        <f t="shared" si="15"/>
        <v>12</v>
      </c>
      <c r="G476">
        <v>0</v>
      </c>
      <c r="H476">
        <v>0</v>
      </c>
      <c r="I476">
        <v>8</v>
      </c>
      <c r="J476">
        <v>2</v>
      </c>
      <c r="K476">
        <v>2</v>
      </c>
      <c r="L476">
        <v>0</v>
      </c>
      <c r="M476">
        <f t="shared" si="14"/>
        <v>653</v>
      </c>
      <c r="N476">
        <v>0</v>
      </c>
      <c r="O476">
        <v>0</v>
      </c>
      <c r="P476">
        <v>123</v>
      </c>
      <c r="Q476">
        <v>400</v>
      </c>
      <c r="R476">
        <v>130</v>
      </c>
      <c r="S476">
        <v>0</v>
      </c>
    </row>
    <row r="477" spans="1:19" x14ac:dyDescent="0.25">
      <c r="A477">
        <v>18039</v>
      </c>
      <c r="B477" t="s">
        <v>48</v>
      </c>
      <c r="C477">
        <v>19</v>
      </c>
      <c r="D477">
        <v>195.641073365051</v>
      </c>
      <c r="E477">
        <v>25.405383806241201</v>
      </c>
      <c r="F477">
        <f t="shared" si="15"/>
        <v>12</v>
      </c>
      <c r="G477">
        <v>0</v>
      </c>
      <c r="H477">
        <v>0</v>
      </c>
      <c r="I477">
        <v>8</v>
      </c>
      <c r="J477">
        <v>2</v>
      </c>
      <c r="K477">
        <v>2</v>
      </c>
      <c r="L477">
        <v>0</v>
      </c>
      <c r="M477">
        <f t="shared" si="14"/>
        <v>653</v>
      </c>
      <c r="N477">
        <v>0</v>
      </c>
      <c r="O477">
        <v>0</v>
      </c>
      <c r="P477">
        <v>123</v>
      </c>
      <c r="Q477">
        <v>400</v>
      </c>
      <c r="R477">
        <v>130</v>
      </c>
      <c r="S477">
        <v>0</v>
      </c>
    </row>
    <row r="478" spans="1:19" x14ac:dyDescent="0.25">
      <c r="A478">
        <v>18039</v>
      </c>
      <c r="B478" t="s">
        <v>48</v>
      </c>
      <c r="C478">
        <v>20</v>
      </c>
      <c r="D478">
        <v>229.82553767576499</v>
      </c>
      <c r="E478">
        <v>28.200956927777401</v>
      </c>
      <c r="F478">
        <f t="shared" si="15"/>
        <v>12</v>
      </c>
      <c r="G478">
        <v>0</v>
      </c>
      <c r="H478">
        <v>0</v>
      </c>
      <c r="I478">
        <v>8</v>
      </c>
      <c r="J478">
        <v>2</v>
      </c>
      <c r="K478">
        <v>2</v>
      </c>
      <c r="L478">
        <v>0</v>
      </c>
      <c r="M478">
        <f t="shared" si="14"/>
        <v>653</v>
      </c>
      <c r="N478">
        <v>0</v>
      </c>
      <c r="O478">
        <v>0</v>
      </c>
      <c r="P478">
        <v>123</v>
      </c>
      <c r="Q478">
        <v>400</v>
      </c>
      <c r="R478">
        <v>130</v>
      </c>
      <c r="S478">
        <v>0</v>
      </c>
    </row>
    <row r="479" spans="1:19" x14ac:dyDescent="0.25">
      <c r="A479">
        <v>18039</v>
      </c>
      <c r="B479" t="s">
        <v>48</v>
      </c>
      <c r="C479">
        <v>21</v>
      </c>
      <c r="D479">
        <v>267.78647795767802</v>
      </c>
      <c r="E479">
        <v>33.007380891120398</v>
      </c>
      <c r="F479">
        <f t="shared" si="15"/>
        <v>12</v>
      </c>
      <c r="G479">
        <v>0</v>
      </c>
      <c r="H479">
        <v>0</v>
      </c>
      <c r="I479">
        <v>8</v>
      </c>
      <c r="J479">
        <v>2</v>
      </c>
      <c r="K479">
        <v>2</v>
      </c>
      <c r="L479">
        <v>0</v>
      </c>
      <c r="M479">
        <f t="shared" si="14"/>
        <v>653</v>
      </c>
      <c r="N479">
        <v>0</v>
      </c>
      <c r="O479">
        <v>0</v>
      </c>
      <c r="P479">
        <v>123</v>
      </c>
      <c r="Q479">
        <v>400</v>
      </c>
      <c r="R479">
        <v>130</v>
      </c>
      <c r="S479">
        <v>0</v>
      </c>
    </row>
    <row r="480" spans="1:19" x14ac:dyDescent="0.25">
      <c r="A480">
        <v>18039</v>
      </c>
      <c r="B480" t="s">
        <v>48</v>
      </c>
      <c r="C480">
        <v>22</v>
      </c>
      <c r="D480">
        <v>299.46964000175501</v>
      </c>
      <c r="E480">
        <v>36.930992289767701</v>
      </c>
      <c r="F480">
        <f t="shared" si="15"/>
        <v>12</v>
      </c>
      <c r="G480">
        <v>0</v>
      </c>
      <c r="H480">
        <v>0</v>
      </c>
      <c r="I480">
        <v>8</v>
      </c>
      <c r="J480">
        <v>2</v>
      </c>
      <c r="K480">
        <v>2</v>
      </c>
      <c r="L480">
        <v>0</v>
      </c>
      <c r="M480">
        <f t="shared" si="14"/>
        <v>653</v>
      </c>
      <c r="N480">
        <v>0</v>
      </c>
      <c r="O480">
        <v>0</v>
      </c>
      <c r="P480">
        <v>123</v>
      </c>
      <c r="Q480">
        <v>400</v>
      </c>
      <c r="R480">
        <v>130</v>
      </c>
      <c r="S480">
        <v>0</v>
      </c>
    </row>
    <row r="481" spans="1:19" x14ac:dyDescent="0.25">
      <c r="A481">
        <v>18039</v>
      </c>
      <c r="B481" t="s">
        <v>48</v>
      </c>
      <c r="C481">
        <v>23</v>
      </c>
      <c r="D481">
        <v>323.74698553088501</v>
      </c>
      <c r="E481">
        <v>41.246964828279701</v>
      </c>
      <c r="F481">
        <f t="shared" si="15"/>
        <v>12</v>
      </c>
      <c r="G481">
        <v>0</v>
      </c>
      <c r="H481">
        <v>0</v>
      </c>
      <c r="I481">
        <v>8</v>
      </c>
      <c r="J481">
        <v>2</v>
      </c>
      <c r="K481">
        <v>2</v>
      </c>
      <c r="L481">
        <v>0</v>
      </c>
      <c r="M481">
        <f t="shared" si="14"/>
        <v>653</v>
      </c>
      <c r="N481">
        <v>0</v>
      </c>
      <c r="O481">
        <v>0</v>
      </c>
      <c r="P481">
        <v>123</v>
      </c>
      <c r="Q481">
        <v>400</v>
      </c>
      <c r="R481">
        <v>130</v>
      </c>
      <c r="S481">
        <v>0</v>
      </c>
    </row>
    <row r="482" spans="1:19" x14ac:dyDescent="0.25">
      <c r="A482">
        <v>18041</v>
      </c>
      <c r="B482" t="s">
        <v>49</v>
      </c>
      <c r="C482">
        <v>0</v>
      </c>
      <c r="D482">
        <v>0</v>
      </c>
      <c r="E482">
        <v>0</v>
      </c>
      <c r="F482">
        <f t="shared" si="15"/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f t="shared" si="14"/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</row>
    <row r="483" spans="1:19" x14ac:dyDescent="0.25">
      <c r="A483">
        <v>18041</v>
      </c>
      <c r="B483" t="s">
        <v>49</v>
      </c>
      <c r="C483">
        <v>1</v>
      </c>
      <c r="D483">
        <v>0</v>
      </c>
      <c r="E483">
        <v>0</v>
      </c>
      <c r="F483">
        <f t="shared" si="15"/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f t="shared" si="14"/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</row>
    <row r="484" spans="1:19" x14ac:dyDescent="0.25">
      <c r="A484">
        <v>18041</v>
      </c>
      <c r="B484" t="s">
        <v>49</v>
      </c>
      <c r="C484">
        <v>2</v>
      </c>
      <c r="D484">
        <v>0</v>
      </c>
      <c r="E484">
        <v>0</v>
      </c>
      <c r="F484">
        <f t="shared" si="15"/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f t="shared" si="14"/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</row>
    <row r="485" spans="1:19" x14ac:dyDescent="0.25">
      <c r="A485">
        <v>18041</v>
      </c>
      <c r="B485" t="s">
        <v>49</v>
      </c>
      <c r="C485">
        <v>3</v>
      </c>
      <c r="D485">
        <v>0</v>
      </c>
      <c r="E485">
        <v>0</v>
      </c>
      <c r="F485">
        <f t="shared" si="15"/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f t="shared" si="14"/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</row>
    <row r="486" spans="1:19" x14ac:dyDescent="0.25">
      <c r="A486">
        <v>18041</v>
      </c>
      <c r="B486" t="s">
        <v>49</v>
      </c>
      <c r="C486">
        <v>4</v>
      </c>
      <c r="D486">
        <v>0</v>
      </c>
      <c r="E486">
        <v>0</v>
      </c>
      <c r="F486">
        <f t="shared" si="15"/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f t="shared" si="14"/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</row>
    <row r="487" spans="1:19" x14ac:dyDescent="0.25">
      <c r="A487">
        <v>18041</v>
      </c>
      <c r="B487" t="s">
        <v>49</v>
      </c>
      <c r="C487">
        <v>5</v>
      </c>
      <c r="D487">
        <v>0</v>
      </c>
      <c r="E487">
        <v>0</v>
      </c>
      <c r="F487">
        <f t="shared" si="15"/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f t="shared" si="14"/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</row>
    <row r="488" spans="1:19" x14ac:dyDescent="0.25">
      <c r="A488">
        <v>18041</v>
      </c>
      <c r="B488" t="s">
        <v>49</v>
      </c>
      <c r="C488">
        <v>6</v>
      </c>
      <c r="D488">
        <v>0</v>
      </c>
      <c r="E488">
        <v>6.9050462559086201E-2</v>
      </c>
      <c r="F488">
        <f t="shared" si="15"/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f t="shared" si="14"/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</row>
    <row r="489" spans="1:19" x14ac:dyDescent="0.25">
      <c r="A489">
        <v>18041</v>
      </c>
      <c r="B489" t="s">
        <v>49</v>
      </c>
      <c r="C489">
        <v>7</v>
      </c>
      <c r="D489">
        <v>0</v>
      </c>
      <c r="E489">
        <v>1.00123170710675</v>
      </c>
      <c r="F489">
        <f t="shared" si="15"/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f t="shared" si="14"/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</row>
    <row r="490" spans="1:19" x14ac:dyDescent="0.25">
      <c r="A490">
        <v>18041</v>
      </c>
      <c r="B490" t="s">
        <v>49</v>
      </c>
      <c r="C490">
        <v>8</v>
      </c>
      <c r="D490">
        <v>0</v>
      </c>
      <c r="E490">
        <v>2.9691698900407002</v>
      </c>
      <c r="F490">
        <f t="shared" si="15"/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f t="shared" si="14"/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</row>
    <row r="491" spans="1:19" x14ac:dyDescent="0.25">
      <c r="A491">
        <v>18041</v>
      </c>
      <c r="B491" t="s">
        <v>49</v>
      </c>
      <c r="C491">
        <v>9</v>
      </c>
      <c r="D491">
        <v>0</v>
      </c>
      <c r="E491">
        <v>1.3464840199021799</v>
      </c>
      <c r="F491">
        <f t="shared" si="15"/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f t="shared" si="14"/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</row>
    <row r="492" spans="1:19" x14ac:dyDescent="0.25">
      <c r="A492">
        <v>18041</v>
      </c>
      <c r="B492" t="s">
        <v>49</v>
      </c>
      <c r="C492">
        <v>10</v>
      </c>
      <c r="D492">
        <v>0</v>
      </c>
      <c r="E492">
        <v>1.3464840199021799</v>
      </c>
      <c r="F492">
        <f t="shared" si="15"/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f t="shared" si="14"/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</row>
    <row r="493" spans="1:19" x14ac:dyDescent="0.25">
      <c r="A493">
        <v>18041</v>
      </c>
      <c r="B493" t="s">
        <v>49</v>
      </c>
      <c r="C493">
        <v>11</v>
      </c>
      <c r="D493">
        <v>0</v>
      </c>
      <c r="E493">
        <v>1.13933263222492</v>
      </c>
      <c r="F493">
        <f t="shared" si="15"/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f t="shared" si="14"/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</row>
    <row r="494" spans="1:19" x14ac:dyDescent="0.25">
      <c r="A494">
        <v>18041</v>
      </c>
      <c r="B494" t="s">
        <v>49</v>
      </c>
      <c r="C494">
        <v>12</v>
      </c>
      <c r="D494">
        <v>0</v>
      </c>
      <c r="E494">
        <v>0.93218124454766405</v>
      </c>
      <c r="F494">
        <f t="shared" si="15"/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f t="shared" si="14"/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</row>
    <row r="495" spans="1:19" x14ac:dyDescent="0.25">
      <c r="A495">
        <v>18041</v>
      </c>
      <c r="B495" t="s">
        <v>49</v>
      </c>
      <c r="C495">
        <v>13</v>
      </c>
      <c r="D495">
        <v>0</v>
      </c>
      <c r="E495">
        <v>0.31072708151588802</v>
      </c>
      <c r="F495">
        <f t="shared" si="15"/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f t="shared" si="14"/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</row>
    <row r="496" spans="1:19" x14ac:dyDescent="0.25">
      <c r="A496">
        <v>18041</v>
      </c>
      <c r="B496" t="s">
        <v>49</v>
      </c>
      <c r="C496">
        <v>14</v>
      </c>
      <c r="D496">
        <v>0</v>
      </c>
      <c r="E496">
        <v>0</v>
      </c>
      <c r="F496">
        <f t="shared" si="15"/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f t="shared" si="14"/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</row>
    <row r="497" spans="1:19" x14ac:dyDescent="0.25">
      <c r="A497">
        <v>18041</v>
      </c>
      <c r="B497" t="s">
        <v>49</v>
      </c>
      <c r="C497">
        <v>15</v>
      </c>
      <c r="D497">
        <v>0</v>
      </c>
      <c r="E497">
        <v>0</v>
      </c>
      <c r="F497">
        <f t="shared" si="15"/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f t="shared" si="14"/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</row>
    <row r="498" spans="1:19" x14ac:dyDescent="0.25">
      <c r="A498">
        <v>18041</v>
      </c>
      <c r="B498" t="s">
        <v>49</v>
      </c>
      <c r="C498">
        <v>16</v>
      </c>
      <c r="D498">
        <v>0</v>
      </c>
      <c r="E498">
        <v>0</v>
      </c>
      <c r="F498">
        <f t="shared" si="15"/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f t="shared" si="14"/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</row>
    <row r="499" spans="1:19" x14ac:dyDescent="0.25">
      <c r="A499">
        <v>18041</v>
      </c>
      <c r="B499" t="s">
        <v>49</v>
      </c>
      <c r="C499">
        <v>17</v>
      </c>
      <c r="D499">
        <v>0</v>
      </c>
      <c r="E499">
        <v>0</v>
      </c>
      <c r="F499">
        <f t="shared" si="15"/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f t="shared" si="14"/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</row>
    <row r="500" spans="1:19" x14ac:dyDescent="0.25">
      <c r="A500">
        <v>18041</v>
      </c>
      <c r="B500" t="s">
        <v>49</v>
      </c>
      <c r="C500">
        <v>18</v>
      </c>
      <c r="D500">
        <v>0</v>
      </c>
      <c r="E500">
        <v>0</v>
      </c>
      <c r="F500">
        <f t="shared" si="15"/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f t="shared" si="14"/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</row>
    <row r="501" spans="1:19" x14ac:dyDescent="0.25">
      <c r="A501">
        <v>18041</v>
      </c>
      <c r="B501" t="s">
        <v>49</v>
      </c>
      <c r="C501">
        <v>19</v>
      </c>
      <c r="D501">
        <v>0</v>
      </c>
      <c r="E501">
        <v>0</v>
      </c>
      <c r="F501">
        <f t="shared" si="15"/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f t="shared" si="14"/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</row>
    <row r="502" spans="1:19" x14ac:dyDescent="0.25">
      <c r="A502">
        <v>18041</v>
      </c>
      <c r="B502" t="s">
        <v>49</v>
      </c>
      <c r="C502">
        <v>20</v>
      </c>
      <c r="D502">
        <v>0</v>
      </c>
      <c r="E502">
        <v>0</v>
      </c>
      <c r="F502">
        <f t="shared" si="15"/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f t="shared" si="14"/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</row>
    <row r="503" spans="1:19" x14ac:dyDescent="0.25">
      <c r="A503">
        <v>18041</v>
      </c>
      <c r="B503" t="s">
        <v>49</v>
      </c>
      <c r="C503">
        <v>21</v>
      </c>
      <c r="D503">
        <v>0</v>
      </c>
      <c r="E503">
        <v>0</v>
      </c>
      <c r="F503">
        <f t="shared" si="15"/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f t="shared" si="14"/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</row>
    <row r="504" spans="1:19" x14ac:dyDescent="0.25">
      <c r="A504">
        <v>18041</v>
      </c>
      <c r="B504" t="s">
        <v>49</v>
      </c>
      <c r="C504">
        <v>22</v>
      </c>
      <c r="D504">
        <v>0</v>
      </c>
      <c r="E504">
        <v>0</v>
      </c>
      <c r="F504">
        <f t="shared" si="15"/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f t="shared" si="14"/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</row>
    <row r="505" spans="1:19" x14ac:dyDescent="0.25">
      <c r="A505">
        <v>18041</v>
      </c>
      <c r="B505" t="s">
        <v>49</v>
      </c>
      <c r="C505">
        <v>23</v>
      </c>
      <c r="D505">
        <v>0</v>
      </c>
      <c r="E505">
        <v>0</v>
      </c>
      <c r="F505">
        <f t="shared" si="15"/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f t="shared" si="14"/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</row>
    <row r="506" spans="1:19" x14ac:dyDescent="0.25">
      <c r="A506">
        <v>18043</v>
      </c>
      <c r="B506" t="s">
        <v>50</v>
      </c>
      <c r="C506">
        <v>0</v>
      </c>
      <c r="D506">
        <v>3.4056391073869601</v>
      </c>
      <c r="E506">
        <v>1.93953437954324</v>
      </c>
      <c r="F506">
        <f t="shared" si="15"/>
        <v>1</v>
      </c>
      <c r="G506">
        <v>0</v>
      </c>
      <c r="H506">
        <v>0</v>
      </c>
      <c r="I506">
        <v>1</v>
      </c>
      <c r="J506">
        <v>0</v>
      </c>
      <c r="K506">
        <v>0</v>
      </c>
      <c r="L506">
        <v>0</v>
      </c>
      <c r="M506">
        <f t="shared" si="14"/>
        <v>30</v>
      </c>
      <c r="N506">
        <v>0</v>
      </c>
      <c r="O506">
        <v>0</v>
      </c>
      <c r="P506">
        <v>30</v>
      </c>
      <c r="Q506">
        <v>0</v>
      </c>
      <c r="R506">
        <v>0</v>
      </c>
      <c r="S506">
        <v>0</v>
      </c>
    </row>
    <row r="507" spans="1:19" x14ac:dyDescent="0.25">
      <c r="A507">
        <v>18043</v>
      </c>
      <c r="B507" t="s">
        <v>50</v>
      </c>
      <c r="C507">
        <v>1</v>
      </c>
      <c r="D507">
        <v>3.46672680438044</v>
      </c>
      <c r="E507">
        <v>2.1686132432688199</v>
      </c>
      <c r="F507">
        <f t="shared" si="15"/>
        <v>1</v>
      </c>
      <c r="G507">
        <v>0</v>
      </c>
      <c r="H507">
        <v>0</v>
      </c>
      <c r="I507">
        <v>1</v>
      </c>
      <c r="J507">
        <v>0</v>
      </c>
      <c r="K507">
        <v>0</v>
      </c>
      <c r="L507">
        <v>0</v>
      </c>
      <c r="M507">
        <f t="shared" si="14"/>
        <v>30</v>
      </c>
      <c r="N507">
        <v>0</v>
      </c>
      <c r="O507">
        <v>0</v>
      </c>
      <c r="P507">
        <v>30</v>
      </c>
      <c r="Q507">
        <v>0</v>
      </c>
      <c r="R507">
        <v>0</v>
      </c>
      <c r="S507">
        <v>0</v>
      </c>
    </row>
    <row r="508" spans="1:19" x14ac:dyDescent="0.25">
      <c r="A508">
        <v>18043</v>
      </c>
      <c r="B508" t="s">
        <v>50</v>
      </c>
      <c r="C508">
        <v>2</v>
      </c>
      <c r="D508">
        <v>3.4819987286288199</v>
      </c>
      <c r="E508">
        <v>2.4282359554911501</v>
      </c>
      <c r="F508">
        <f t="shared" si="15"/>
        <v>1</v>
      </c>
      <c r="G508">
        <v>0</v>
      </c>
      <c r="H508">
        <v>0</v>
      </c>
      <c r="I508">
        <v>1</v>
      </c>
      <c r="J508">
        <v>0</v>
      </c>
      <c r="K508">
        <v>0</v>
      </c>
      <c r="L508">
        <v>0</v>
      </c>
      <c r="M508">
        <f t="shared" si="14"/>
        <v>30</v>
      </c>
      <c r="N508">
        <v>0</v>
      </c>
      <c r="O508">
        <v>0</v>
      </c>
      <c r="P508">
        <v>30</v>
      </c>
      <c r="Q508">
        <v>0</v>
      </c>
      <c r="R508">
        <v>0</v>
      </c>
      <c r="S508">
        <v>0</v>
      </c>
    </row>
    <row r="509" spans="1:19" x14ac:dyDescent="0.25">
      <c r="A509">
        <v>18043</v>
      </c>
      <c r="B509" t="s">
        <v>50</v>
      </c>
      <c r="C509">
        <v>3</v>
      </c>
      <c r="D509">
        <v>3.4514548801320699</v>
      </c>
      <c r="E509">
        <v>2.4129640312427698</v>
      </c>
      <c r="F509">
        <f t="shared" si="15"/>
        <v>1</v>
      </c>
      <c r="G509">
        <v>0</v>
      </c>
      <c r="H509">
        <v>0</v>
      </c>
      <c r="I509">
        <v>1</v>
      </c>
      <c r="J509">
        <v>0</v>
      </c>
      <c r="K509">
        <v>0</v>
      </c>
      <c r="L509">
        <v>0</v>
      </c>
      <c r="M509">
        <f t="shared" si="14"/>
        <v>30</v>
      </c>
      <c r="N509">
        <v>0</v>
      </c>
      <c r="O509">
        <v>0</v>
      </c>
      <c r="P509">
        <v>30</v>
      </c>
      <c r="Q509">
        <v>0</v>
      </c>
      <c r="R509">
        <v>0</v>
      </c>
      <c r="S509">
        <v>0</v>
      </c>
    </row>
    <row r="510" spans="1:19" x14ac:dyDescent="0.25">
      <c r="A510">
        <v>18043</v>
      </c>
      <c r="B510" t="s">
        <v>50</v>
      </c>
      <c r="C510">
        <v>4</v>
      </c>
      <c r="D510">
        <v>4.1845072440539299</v>
      </c>
      <c r="E510">
        <v>2.8558498344455598</v>
      </c>
      <c r="F510">
        <f t="shared" si="15"/>
        <v>1</v>
      </c>
      <c r="G510">
        <v>0</v>
      </c>
      <c r="H510">
        <v>0</v>
      </c>
      <c r="I510">
        <v>1</v>
      </c>
      <c r="J510">
        <v>0</v>
      </c>
      <c r="K510">
        <v>0</v>
      </c>
      <c r="L510">
        <v>0</v>
      </c>
      <c r="M510">
        <f t="shared" si="14"/>
        <v>30</v>
      </c>
      <c r="N510">
        <v>0</v>
      </c>
      <c r="O510">
        <v>0</v>
      </c>
      <c r="P510">
        <v>30</v>
      </c>
      <c r="Q510">
        <v>0</v>
      </c>
      <c r="R510">
        <v>0</v>
      </c>
      <c r="S510">
        <v>0</v>
      </c>
    </row>
    <row r="511" spans="1:19" x14ac:dyDescent="0.25">
      <c r="A511">
        <v>18043</v>
      </c>
      <c r="B511" t="s">
        <v>50</v>
      </c>
      <c r="C511">
        <v>5</v>
      </c>
      <c r="D511">
        <v>4.3983141835311397</v>
      </c>
      <c r="E511">
        <v>3.3750952588902101</v>
      </c>
      <c r="F511">
        <f t="shared" si="15"/>
        <v>1</v>
      </c>
      <c r="G511">
        <v>0</v>
      </c>
      <c r="H511">
        <v>0</v>
      </c>
      <c r="I511">
        <v>1</v>
      </c>
      <c r="J511">
        <v>0</v>
      </c>
      <c r="K511">
        <v>0</v>
      </c>
      <c r="L511">
        <v>0</v>
      </c>
      <c r="M511">
        <f t="shared" si="14"/>
        <v>30</v>
      </c>
      <c r="N511">
        <v>0</v>
      </c>
      <c r="O511">
        <v>0</v>
      </c>
      <c r="P511">
        <v>30</v>
      </c>
      <c r="Q511">
        <v>0</v>
      </c>
      <c r="R511">
        <v>0</v>
      </c>
      <c r="S511">
        <v>0</v>
      </c>
    </row>
    <row r="512" spans="1:19" x14ac:dyDescent="0.25">
      <c r="A512">
        <v>18043</v>
      </c>
      <c r="B512" t="s">
        <v>50</v>
      </c>
      <c r="C512">
        <v>6</v>
      </c>
      <c r="D512">
        <v>3.5736302741190502</v>
      </c>
      <c r="E512">
        <v>3.20710409215812</v>
      </c>
      <c r="F512">
        <f t="shared" si="15"/>
        <v>1</v>
      </c>
      <c r="G512">
        <v>0</v>
      </c>
      <c r="H512">
        <v>0</v>
      </c>
      <c r="I512">
        <v>1</v>
      </c>
      <c r="J512">
        <v>0</v>
      </c>
      <c r="K512">
        <v>0</v>
      </c>
      <c r="L512">
        <v>0</v>
      </c>
      <c r="M512">
        <f t="shared" si="14"/>
        <v>30</v>
      </c>
      <c r="N512">
        <v>0</v>
      </c>
      <c r="O512">
        <v>0</v>
      </c>
      <c r="P512">
        <v>30</v>
      </c>
      <c r="Q512">
        <v>0</v>
      </c>
      <c r="R512">
        <v>0</v>
      </c>
      <c r="S512">
        <v>0</v>
      </c>
    </row>
    <row r="513" spans="1:19" x14ac:dyDescent="0.25">
      <c r="A513">
        <v>18043</v>
      </c>
      <c r="B513" t="s">
        <v>50</v>
      </c>
      <c r="C513">
        <v>7</v>
      </c>
      <c r="D513">
        <v>3.4514548801320699</v>
      </c>
      <c r="E513">
        <v>2.9474813799357902</v>
      </c>
      <c r="F513">
        <f t="shared" si="15"/>
        <v>1</v>
      </c>
      <c r="G513">
        <v>0</v>
      </c>
      <c r="H513">
        <v>0</v>
      </c>
      <c r="I513">
        <v>1</v>
      </c>
      <c r="J513">
        <v>0</v>
      </c>
      <c r="K513">
        <v>0</v>
      </c>
      <c r="L513">
        <v>0</v>
      </c>
      <c r="M513">
        <f t="shared" si="14"/>
        <v>30</v>
      </c>
      <c r="N513">
        <v>0</v>
      </c>
      <c r="O513">
        <v>0</v>
      </c>
      <c r="P513">
        <v>30</v>
      </c>
      <c r="Q513">
        <v>0</v>
      </c>
      <c r="R513">
        <v>0</v>
      </c>
      <c r="S513">
        <v>0</v>
      </c>
    </row>
    <row r="514" spans="1:19" x14ac:dyDescent="0.25">
      <c r="A514">
        <v>18043</v>
      </c>
      <c r="B514" t="s">
        <v>50</v>
      </c>
      <c r="C514">
        <v>8</v>
      </c>
      <c r="D514">
        <v>3.1307444709162602</v>
      </c>
      <c r="E514">
        <v>3.0543848496743999</v>
      </c>
      <c r="F514">
        <f t="shared" si="15"/>
        <v>1</v>
      </c>
      <c r="G514">
        <v>0</v>
      </c>
      <c r="H514">
        <v>0</v>
      </c>
      <c r="I514">
        <v>1</v>
      </c>
      <c r="J514">
        <v>0</v>
      </c>
      <c r="K514">
        <v>0</v>
      </c>
      <c r="L514">
        <v>0</v>
      </c>
      <c r="M514">
        <f t="shared" ref="M514:M577" si="16">SUM(N514:S514)</f>
        <v>30</v>
      </c>
      <c r="N514">
        <v>0</v>
      </c>
      <c r="O514">
        <v>0</v>
      </c>
      <c r="P514">
        <v>30</v>
      </c>
      <c r="Q514">
        <v>0</v>
      </c>
      <c r="R514">
        <v>0</v>
      </c>
      <c r="S514">
        <v>0</v>
      </c>
    </row>
    <row r="515" spans="1:19" x14ac:dyDescent="0.25">
      <c r="A515">
        <v>18043</v>
      </c>
      <c r="B515" t="s">
        <v>50</v>
      </c>
      <c r="C515">
        <v>9</v>
      </c>
      <c r="D515">
        <v>2.5351394252297501</v>
      </c>
      <c r="E515">
        <v>2.8863936829423098</v>
      </c>
      <c r="F515">
        <f t="shared" ref="F515:F578" si="17">SUM(G515:L515)</f>
        <v>1</v>
      </c>
      <c r="G515">
        <v>0</v>
      </c>
      <c r="H515">
        <v>0</v>
      </c>
      <c r="I515">
        <v>1</v>
      </c>
      <c r="J515">
        <v>0</v>
      </c>
      <c r="K515">
        <v>0</v>
      </c>
      <c r="L515">
        <v>0</v>
      </c>
      <c r="M515">
        <f t="shared" si="16"/>
        <v>30</v>
      </c>
      <c r="N515">
        <v>0</v>
      </c>
      <c r="O515">
        <v>0</v>
      </c>
      <c r="P515">
        <v>30</v>
      </c>
      <c r="Q515">
        <v>0</v>
      </c>
      <c r="R515">
        <v>0</v>
      </c>
      <c r="S515">
        <v>0</v>
      </c>
    </row>
    <row r="516" spans="1:19" x14ac:dyDescent="0.25">
      <c r="A516">
        <v>18043</v>
      </c>
      <c r="B516" t="s">
        <v>50</v>
      </c>
      <c r="C516">
        <v>10</v>
      </c>
      <c r="D516">
        <v>1.9089905310465001</v>
      </c>
      <c r="E516">
        <v>2.3976921069944002</v>
      </c>
      <c r="F516">
        <f t="shared" si="17"/>
        <v>1</v>
      </c>
      <c r="G516">
        <v>0</v>
      </c>
      <c r="H516">
        <v>0</v>
      </c>
      <c r="I516">
        <v>1</v>
      </c>
      <c r="J516">
        <v>0</v>
      </c>
      <c r="K516">
        <v>0</v>
      </c>
      <c r="L516">
        <v>0</v>
      </c>
      <c r="M516">
        <f t="shared" si="16"/>
        <v>30</v>
      </c>
      <c r="N516">
        <v>0</v>
      </c>
      <c r="O516">
        <v>0</v>
      </c>
      <c r="P516">
        <v>30</v>
      </c>
      <c r="Q516">
        <v>0</v>
      </c>
      <c r="R516">
        <v>0</v>
      </c>
      <c r="S516">
        <v>0</v>
      </c>
    </row>
    <row r="517" spans="1:19" x14ac:dyDescent="0.25">
      <c r="A517">
        <v>18043</v>
      </c>
      <c r="B517" t="s">
        <v>50</v>
      </c>
      <c r="C517">
        <v>11</v>
      </c>
      <c r="D517">
        <v>1.71045551581766</v>
      </c>
      <c r="E517">
        <v>2.3824201827460301</v>
      </c>
      <c r="F517">
        <f t="shared" si="17"/>
        <v>1</v>
      </c>
      <c r="G517">
        <v>0</v>
      </c>
      <c r="H517">
        <v>0</v>
      </c>
      <c r="I517">
        <v>1</v>
      </c>
      <c r="J517">
        <v>0</v>
      </c>
      <c r="K517">
        <v>0</v>
      </c>
      <c r="L517">
        <v>0</v>
      </c>
      <c r="M517">
        <f t="shared" si="16"/>
        <v>30</v>
      </c>
      <c r="N517">
        <v>0</v>
      </c>
      <c r="O517">
        <v>0</v>
      </c>
      <c r="P517">
        <v>30</v>
      </c>
      <c r="Q517">
        <v>0</v>
      </c>
      <c r="R517">
        <v>0</v>
      </c>
      <c r="S517">
        <v>0</v>
      </c>
    </row>
    <row r="518" spans="1:19" x14ac:dyDescent="0.25">
      <c r="A518">
        <v>18043</v>
      </c>
      <c r="B518" t="s">
        <v>50</v>
      </c>
      <c r="C518">
        <v>12</v>
      </c>
      <c r="D518">
        <v>1.81735898555627</v>
      </c>
      <c r="E518">
        <v>2.8711217586939299</v>
      </c>
      <c r="F518">
        <f t="shared" si="17"/>
        <v>1</v>
      </c>
      <c r="G518">
        <v>0</v>
      </c>
      <c r="H518">
        <v>0</v>
      </c>
      <c r="I518">
        <v>1</v>
      </c>
      <c r="J518">
        <v>0</v>
      </c>
      <c r="K518">
        <v>0</v>
      </c>
      <c r="L518">
        <v>0</v>
      </c>
      <c r="M518">
        <f t="shared" si="16"/>
        <v>30</v>
      </c>
      <c r="N518">
        <v>0</v>
      </c>
      <c r="O518">
        <v>0</v>
      </c>
      <c r="P518">
        <v>30</v>
      </c>
      <c r="Q518">
        <v>0</v>
      </c>
      <c r="R518">
        <v>0</v>
      </c>
      <c r="S518">
        <v>0</v>
      </c>
    </row>
    <row r="519" spans="1:19" x14ac:dyDescent="0.25">
      <c r="A519">
        <v>18043</v>
      </c>
      <c r="B519" t="s">
        <v>50</v>
      </c>
      <c r="C519">
        <v>13</v>
      </c>
      <c r="D519">
        <v>1.7409993643144099</v>
      </c>
      <c r="E519">
        <v>2.3976921069944002</v>
      </c>
      <c r="F519">
        <f t="shared" si="17"/>
        <v>1</v>
      </c>
      <c r="G519">
        <v>0</v>
      </c>
      <c r="H519">
        <v>0</v>
      </c>
      <c r="I519">
        <v>1</v>
      </c>
      <c r="J519">
        <v>0</v>
      </c>
      <c r="K519">
        <v>0</v>
      </c>
      <c r="L519">
        <v>0</v>
      </c>
      <c r="M519">
        <f t="shared" si="16"/>
        <v>30</v>
      </c>
      <c r="N519">
        <v>0</v>
      </c>
      <c r="O519">
        <v>0</v>
      </c>
      <c r="P519">
        <v>30</v>
      </c>
      <c r="Q519">
        <v>0</v>
      </c>
      <c r="R519">
        <v>0</v>
      </c>
      <c r="S519">
        <v>0</v>
      </c>
    </row>
    <row r="520" spans="1:19" x14ac:dyDescent="0.25">
      <c r="A520">
        <v>18043</v>
      </c>
      <c r="B520" t="s">
        <v>50</v>
      </c>
      <c r="C520">
        <v>14</v>
      </c>
      <c r="D520">
        <v>1.81735898555627</v>
      </c>
      <c r="E520">
        <v>1.86317475830138</v>
      </c>
      <c r="F520">
        <f t="shared" si="17"/>
        <v>1</v>
      </c>
      <c r="G520">
        <v>0</v>
      </c>
      <c r="H520">
        <v>0</v>
      </c>
      <c r="I520">
        <v>1</v>
      </c>
      <c r="J520">
        <v>0</v>
      </c>
      <c r="K520">
        <v>0</v>
      </c>
      <c r="L520">
        <v>0</v>
      </c>
      <c r="M520">
        <f t="shared" si="16"/>
        <v>30</v>
      </c>
      <c r="N520">
        <v>0</v>
      </c>
      <c r="O520">
        <v>0</v>
      </c>
      <c r="P520">
        <v>30</v>
      </c>
      <c r="Q520">
        <v>0</v>
      </c>
      <c r="R520">
        <v>0</v>
      </c>
      <c r="S520">
        <v>0</v>
      </c>
    </row>
    <row r="521" spans="1:19" x14ac:dyDescent="0.25">
      <c r="A521">
        <v>18043</v>
      </c>
      <c r="B521" t="s">
        <v>50</v>
      </c>
      <c r="C521">
        <v>15</v>
      </c>
      <c r="D521">
        <v>2.07698169777859</v>
      </c>
      <c r="E521">
        <v>1.6646397430725499</v>
      </c>
      <c r="F521">
        <f t="shared" si="17"/>
        <v>1</v>
      </c>
      <c r="G521">
        <v>0</v>
      </c>
      <c r="H521">
        <v>0</v>
      </c>
      <c r="I521">
        <v>1</v>
      </c>
      <c r="J521">
        <v>0</v>
      </c>
      <c r="K521">
        <v>0</v>
      </c>
      <c r="L521">
        <v>0</v>
      </c>
      <c r="M521">
        <f t="shared" si="16"/>
        <v>30</v>
      </c>
      <c r="N521">
        <v>0</v>
      </c>
      <c r="O521">
        <v>0</v>
      </c>
      <c r="P521">
        <v>30</v>
      </c>
      <c r="Q521">
        <v>0</v>
      </c>
      <c r="R521">
        <v>0</v>
      </c>
      <c r="S521">
        <v>0</v>
      </c>
    </row>
    <row r="522" spans="1:19" x14ac:dyDescent="0.25">
      <c r="A522">
        <v>18043</v>
      </c>
      <c r="B522" t="s">
        <v>50</v>
      </c>
      <c r="C522">
        <v>16</v>
      </c>
      <c r="D522">
        <v>2.3976921069944002</v>
      </c>
      <c r="E522">
        <v>1.2675697126148699</v>
      </c>
      <c r="F522">
        <f t="shared" si="17"/>
        <v>1</v>
      </c>
      <c r="G522">
        <v>0</v>
      </c>
      <c r="H522">
        <v>0</v>
      </c>
      <c r="I522">
        <v>1</v>
      </c>
      <c r="J522">
        <v>0</v>
      </c>
      <c r="K522">
        <v>0</v>
      </c>
      <c r="L522">
        <v>0</v>
      </c>
      <c r="M522">
        <f t="shared" si="16"/>
        <v>30</v>
      </c>
      <c r="N522">
        <v>0</v>
      </c>
      <c r="O522">
        <v>0</v>
      </c>
      <c r="P522">
        <v>30</v>
      </c>
      <c r="Q522">
        <v>0</v>
      </c>
      <c r="R522">
        <v>0</v>
      </c>
      <c r="S522">
        <v>0</v>
      </c>
    </row>
    <row r="523" spans="1:19" x14ac:dyDescent="0.25">
      <c r="A523">
        <v>18043</v>
      </c>
      <c r="B523" t="s">
        <v>50</v>
      </c>
      <c r="C523">
        <v>17</v>
      </c>
      <c r="D523">
        <v>2.7184025162102099</v>
      </c>
      <c r="E523">
        <v>1.1759381671246401</v>
      </c>
      <c r="F523">
        <f t="shared" si="17"/>
        <v>1</v>
      </c>
      <c r="G523">
        <v>0</v>
      </c>
      <c r="H523">
        <v>0</v>
      </c>
      <c r="I523">
        <v>1</v>
      </c>
      <c r="J523">
        <v>0</v>
      </c>
      <c r="K523">
        <v>0</v>
      </c>
      <c r="L523">
        <v>0</v>
      </c>
      <c r="M523">
        <f t="shared" si="16"/>
        <v>30</v>
      </c>
      <c r="N523">
        <v>0</v>
      </c>
      <c r="O523">
        <v>0</v>
      </c>
      <c r="P523">
        <v>30</v>
      </c>
      <c r="Q523">
        <v>0</v>
      </c>
      <c r="R523">
        <v>0</v>
      </c>
      <c r="S523">
        <v>0</v>
      </c>
    </row>
    <row r="524" spans="1:19" x14ac:dyDescent="0.25">
      <c r="A524">
        <v>18043</v>
      </c>
      <c r="B524" t="s">
        <v>50</v>
      </c>
      <c r="C524">
        <v>18</v>
      </c>
      <c r="D524">
        <v>2.8863936829423098</v>
      </c>
      <c r="E524">
        <v>1.23702586411813</v>
      </c>
      <c r="F524">
        <f t="shared" si="17"/>
        <v>1</v>
      </c>
      <c r="G524">
        <v>0</v>
      </c>
      <c r="H524">
        <v>0</v>
      </c>
      <c r="I524">
        <v>1</v>
      </c>
      <c r="J524">
        <v>0</v>
      </c>
      <c r="K524">
        <v>0</v>
      </c>
      <c r="L524">
        <v>0</v>
      </c>
      <c r="M524">
        <f t="shared" si="16"/>
        <v>30</v>
      </c>
      <c r="N524">
        <v>0</v>
      </c>
      <c r="O524">
        <v>0</v>
      </c>
      <c r="P524">
        <v>30</v>
      </c>
      <c r="Q524">
        <v>0</v>
      </c>
      <c r="R524">
        <v>0</v>
      </c>
      <c r="S524">
        <v>0</v>
      </c>
    </row>
    <row r="525" spans="1:19" x14ac:dyDescent="0.25">
      <c r="A525">
        <v>18043</v>
      </c>
      <c r="B525" t="s">
        <v>50</v>
      </c>
      <c r="C525">
        <v>19</v>
      </c>
      <c r="D525">
        <v>2.96275330418417</v>
      </c>
      <c r="E525">
        <v>1.2522977883665001</v>
      </c>
      <c r="F525">
        <f t="shared" si="17"/>
        <v>1</v>
      </c>
      <c r="G525">
        <v>0</v>
      </c>
      <c r="H525">
        <v>0</v>
      </c>
      <c r="I525">
        <v>1</v>
      </c>
      <c r="J525">
        <v>0</v>
      </c>
      <c r="K525">
        <v>0</v>
      </c>
      <c r="L525">
        <v>0</v>
      </c>
      <c r="M525">
        <f t="shared" si="16"/>
        <v>30</v>
      </c>
      <c r="N525">
        <v>0</v>
      </c>
      <c r="O525">
        <v>0</v>
      </c>
      <c r="P525">
        <v>30</v>
      </c>
      <c r="Q525">
        <v>0</v>
      </c>
      <c r="R525">
        <v>0</v>
      </c>
      <c r="S525">
        <v>0</v>
      </c>
    </row>
    <row r="526" spans="1:19" x14ac:dyDescent="0.25">
      <c r="A526">
        <v>18043</v>
      </c>
      <c r="B526" t="s">
        <v>50</v>
      </c>
      <c r="C526">
        <v>20</v>
      </c>
      <c r="D526">
        <v>3.0543848496743999</v>
      </c>
      <c r="E526">
        <v>1.2522977883665001</v>
      </c>
      <c r="F526">
        <f t="shared" si="17"/>
        <v>1</v>
      </c>
      <c r="G526">
        <v>0</v>
      </c>
      <c r="H526">
        <v>0</v>
      </c>
      <c r="I526">
        <v>1</v>
      </c>
      <c r="J526">
        <v>0</v>
      </c>
      <c r="K526">
        <v>0</v>
      </c>
      <c r="L526">
        <v>0</v>
      </c>
      <c r="M526">
        <f t="shared" si="16"/>
        <v>30</v>
      </c>
      <c r="N526">
        <v>0</v>
      </c>
      <c r="O526">
        <v>0</v>
      </c>
      <c r="P526">
        <v>30</v>
      </c>
      <c r="Q526">
        <v>0</v>
      </c>
      <c r="R526">
        <v>0</v>
      </c>
      <c r="S526">
        <v>0</v>
      </c>
    </row>
    <row r="527" spans="1:19" x14ac:dyDescent="0.25">
      <c r="A527">
        <v>18043</v>
      </c>
      <c r="B527" t="s">
        <v>50</v>
      </c>
      <c r="C527">
        <v>21</v>
      </c>
      <c r="D527">
        <v>3.1765602436613798</v>
      </c>
      <c r="E527">
        <v>1.3286574096083601</v>
      </c>
      <c r="F527">
        <f t="shared" si="17"/>
        <v>1</v>
      </c>
      <c r="G527">
        <v>0</v>
      </c>
      <c r="H527">
        <v>0</v>
      </c>
      <c r="I527">
        <v>1</v>
      </c>
      <c r="J527">
        <v>0</v>
      </c>
      <c r="K527">
        <v>0</v>
      </c>
      <c r="L527">
        <v>0</v>
      </c>
      <c r="M527">
        <f t="shared" si="16"/>
        <v>30</v>
      </c>
      <c r="N527">
        <v>0</v>
      </c>
      <c r="O527">
        <v>0</v>
      </c>
      <c r="P527">
        <v>30</v>
      </c>
      <c r="Q527">
        <v>0</v>
      </c>
      <c r="R527">
        <v>0</v>
      </c>
      <c r="S527">
        <v>0</v>
      </c>
    </row>
    <row r="528" spans="1:19" x14ac:dyDescent="0.25">
      <c r="A528">
        <v>18043</v>
      </c>
      <c r="B528" t="s">
        <v>50</v>
      </c>
      <c r="C528">
        <v>22</v>
      </c>
      <c r="D528">
        <v>3.2987356376483499</v>
      </c>
      <c r="E528">
        <v>1.4355608793469601</v>
      </c>
      <c r="F528">
        <f t="shared" si="17"/>
        <v>1</v>
      </c>
      <c r="G528">
        <v>0</v>
      </c>
      <c r="H528">
        <v>0</v>
      </c>
      <c r="I528">
        <v>1</v>
      </c>
      <c r="J528">
        <v>0</v>
      </c>
      <c r="K528">
        <v>0</v>
      </c>
      <c r="L528">
        <v>0</v>
      </c>
      <c r="M528">
        <f t="shared" si="16"/>
        <v>30</v>
      </c>
      <c r="N528">
        <v>0</v>
      </c>
      <c r="O528">
        <v>0</v>
      </c>
      <c r="P528">
        <v>30</v>
      </c>
      <c r="Q528">
        <v>0</v>
      </c>
      <c r="R528">
        <v>0</v>
      </c>
      <c r="S528">
        <v>0</v>
      </c>
    </row>
    <row r="529" spans="1:19" x14ac:dyDescent="0.25">
      <c r="A529">
        <v>18043</v>
      </c>
      <c r="B529" t="s">
        <v>50</v>
      </c>
      <c r="C529">
        <v>23</v>
      </c>
      <c r="D529">
        <v>3.3445514103934699</v>
      </c>
      <c r="E529">
        <v>1.67991166732092</v>
      </c>
      <c r="F529">
        <f t="shared" si="17"/>
        <v>1</v>
      </c>
      <c r="G529">
        <v>0</v>
      </c>
      <c r="H529">
        <v>0</v>
      </c>
      <c r="I529">
        <v>1</v>
      </c>
      <c r="J529">
        <v>0</v>
      </c>
      <c r="K529">
        <v>0</v>
      </c>
      <c r="L529">
        <v>0</v>
      </c>
      <c r="M529">
        <f t="shared" si="16"/>
        <v>30</v>
      </c>
      <c r="N529">
        <v>0</v>
      </c>
      <c r="O529">
        <v>0</v>
      </c>
      <c r="P529">
        <v>30</v>
      </c>
      <c r="Q529">
        <v>0</v>
      </c>
      <c r="R529">
        <v>0</v>
      </c>
      <c r="S529">
        <v>0</v>
      </c>
    </row>
    <row r="530" spans="1:19" x14ac:dyDescent="0.25">
      <c r="A530">
        <v>18045</v>
      </c>
      <c r="B530" t="s">
        <v>51</v>
      </c>
      <c r="C530">
        <v>0</v>
      </c>
      <c r="D530">
        <v>0</v>
      </c>
      <c r="E530">
        <v>1.4400510113829299</v>
      </c>
      <c r="F530">
        <f t="shared" si="17"/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f t="shared" si="16"/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</row>
    <row r="531" spans="1:19" x14ac:dyDescent="0.25">
      <c r="A531">
        <v>18045</v>
      </c>
      <c r="B531" t="s">
        <v>51</v>
      </c>
      <c r="C531">
        <v>1</v>
      </c>
      <c r="D531">
        <v>0</v>
      </c>
      <c r="E531">
        <v>1.38862061811925</v>
      </c>
      <c r="F531">
        <f t="shared" si="17"/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f t="shared" si="16"/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</row>
    <row r="532" spans="1:19" x14ac:dyDescent="0.25">
      <c r="A532">
        <v>18045</v>
      </c>
      <c r="B532" t="s">
        <v>51</v>
      </c>
      <c r="C532">
        <v>2</v>
      </c>
      <c r="D532">
        <v>0</v>
      </c>
      <c r="E532">
        <v>1.90292455075602</v>
      </c>
      <c r="F532">
        <f t="shared" si="17"/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f t="shared" si="16"/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</row>
    <row r="533" spans="1:19" x14ac:dyDescent="0.25">
      <c r="A533">
        <v>18045</v>
      </c>
      <c r="B533" t="s">
        <v>51</v>
      </c>
      <c r="C533">
        <v>3</v>
      </c>
      <c r="D533">
        <v>0</v>
      </c>
      <c r="E533">
        <v>2.4172284833927802</v>
      </c>
      <c r="F533">
        <f t="shared" si="17"/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f t="shared" si="16"/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</row>
    <row r="534" spans="1:19" x14ac:dyDescent="0.25">
      <c r="A534">
        <v>18045</v>
      </c>
      <c r="B534" t="s">
        <v>51</v>
      </c>
      <c r="C534">
        <v>4</v>
      </c>
      <c r="D534">
        <v>0</v>
      </c>
      <c r="E534">
        <v>2.8286716295021899</v>
      </c>
      <c r="F534">
        <f t="shared" si="17"/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f t="shared" si="16"/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</row>
    <row r="535" spans="1:19" x14ac:dyDescent="0.25">
      <c r="A535">
        <v>18045</v>
      </c>
      <c r="B535" t="s">
        <v>51</v>
      </c>
      <c r="C535">
        <v>5</v>
      </c>
      <c r="D535">
        <v>0</v>
      </c>
      <c r="E535">
        <v>3.9601402813030702</v>
      </c>
      <c r="F535">
        <f t="shared" si="17"/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f t="shared" si="16"/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</row>
    <row r="536" spans="1:19" x14ac:dyDescent="0.25">
      <c r="A536">
        <v>18045</v>
      </c>
      <c r="B536" t="s">
        <v>51</v>
      </c>
      <c r="C536">
        <v>6</v>
      </c>
      <c r="D536">
        <v>0</v>
      </c>
      <c r="E536">
        <v>3.4972667419299799</v>
      </c>
      <c r="F536">
        <f t="shared" si="17"/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f t="shared" si="16"/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</row>
    <row r="537" spans="1:19" x14ac:dyDescent="0.25">
      <c r="A537">
        <v>18045</v>
      </c>
      <c r="B537" t="s">
        <v>51</v>
      </c>
      <c r="C537">
        <v>7</v>
      </c>
      <c r="D537">
        <v>0</v>
      </c>
      <c r="E537">
        <v>5.76020404553174</v>
      </c>
      <c r="F537">
        <f t="shared" si="17"/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f t="shared" si="16"/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</row>
    <row r="538" spans="1:19" x14ac:dyDescent="0.25">
      <c r="A538">
        <v>18045</v>
      </c>
      <c r="B538" t="s">
        <v>51</v>
      </c>
      <c r="C538">
        <v>8</v>
      </c>
      <c r="D538">
        <v>0</v>
      </c>
      <c r="E538">
        <v>8.9488884278796696</v>
      </c>
      <c r="F538">
        <f t="shared" si="17"/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f t="shared" si="16"/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</row>
    <row r="539" spans="1:19" x14ac:dyDescent="0.25">
      <c r="A539">
        <v>18045</v>
      </c>
      <c r="B539" t="s">
        <v>51</v>
      </c>
      <c r="C539">
        <v>9</v>
      </c>
      <c r="D539">
        <v>0</v>
      </c>
      <c r="E539">
        <v>10.8518129786356</v>
      </c>
      <c r="F539">
        <f t="shared" si="17"/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f t="shared" si="16"/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</row>
    <row r="540" spans="1:19" x14ac:dyDescent="0.25">
      <c r="A540">
        <v>18045</v>
      </c>
      <c r="B540" t="s">
        <v>51</v>
      </c>
      <c r="C540">
        <v>10</v>
      </c>
      <c r="D540">
        <v>0</v>
      </c>
      <c r="E540">
        <v>8.7431668548249597</v>
      </c>
      <c r="F540">
        <f t="shared" si="17"/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f t="shared" si="16"/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</row>
    <row r="541" spans="1:19" x14ac:dyDescent="0.25">
      <c r="A541">
        <v>18045</v>
      </c>
      <c r="B541" t="s">
        <v>51</v>
      </c>
      <c r="C541">
        <v>11</v>
      </c>
      <c r="D541">
        <v>0</v>
      </c>
      <c r="E541">
        <v>6.12021679837747</v>
      </c>
      <c r="F541">
        <f t="shared" si="17"/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f t="shared" si="16"/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</row>
    <row r="542" spans="1:19" x14ac:dyDescent="0.25">
      <c r="A542">
        <v>18045</v>
      </c>
      <c r="B542" t="s">
        <v>51</v>
      </c>
      <c r="C542">
        <v>12</v>
      </c>
      <c r="D542">
        <v>0</v>
      </c>
      <c r="E542">
        <v>4.3715834274124798</v>
      </c>
      <c r="F542">
        <f t="shared" si="17"/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f t="shared" si="16"/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</row>
    <row r="543" spans="1:19" x14ac:dyDescent="0.25">
      <c r="A543">
        <v>18045</v>
      </c>
      <c r="B543" t="s">
        <v>51</v>
      </c>
      <c r="C543">
        <v>13</v>
      </c>
      <c r="D543">
        <v>0</v>
      </c>
      <c r="E543">
        <v>3.9601402813030702</v>
      </c>
      <c r="F543">
        <f t="shared" si="17"/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f t="shared" si="16"/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</row>
    <row r="544" spans="1:19" x14ac:dyDescent="0.25">
      <c r="A544">
        <v>18045</v>
      </c>
      <c r="B544" t="s">
        <v>51</v>
      </c>
      <c r="C544">
        <v>14</v>
      </c>
      <c r="D544">
        <v>0</v>
      </c>
      <c r="E544">
        <v>3.1886843823479301</v>
      </c>
      <c r="F544">
        <f t="shared" si="17"/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f t="shared" si="16"/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</row>
    <row r="545" spans="1:19" x14ac:dyDescent="0.25">
      <c r="A545">
        <v>18045</v>
      </c>
      <c r="B545" t="s">
        <v>51</v>
      </c>
      <c r="C545">
        <v>15</v>
      </c>
      <c r="D545">
        <v>0</v>
      </c>
      <c r="E545">
        <v>2.1086461238107201</v>
      </c>
      <c r="F545">
        <f t="shared" si="17"/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f t="shared" si="16"/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</row>
    <row r="546" spans="1:19" x14ac:dyDescent="0.25">
      <c r="A546">
        <v>18045</v>
      </c>
      <c r="B546" t="s">
        <v>51</v>
      </c>
      <c r="C546">
        <v>16</v>
      </c>
      <c r="D546">
        <v>0</v>
      </c>
      <c r="E546">
        <v>1.69720297770131</v>
      </c>
      <c r="F546">
        <f t="shared" si="17"/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f t="shared" si="16"/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</row>
    <row r="547" spans="1:19" x14ac:dyDescent="0.25">
      <c r="A547">
        <v>18045</v>
      </c>
      <c r="B547" t="s">
        <v>51</v>
      </c>
      <c r="C547">
        <v>17</v>
      </c>
      <c r="D547">
        <v>0</v>
      </c>
      <c r="E547">
        <v>1.33719022485558</v>
      </c>
      <c r="F547">
        <f t="shared" si="17"/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f t="shared" si="16"/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</row>
    <row r="548" spans="1:19" x14ac:dyDescent="0.25">
      <c r="A548">
        <v>18045</v>
      </c>
      <c r="B548" t="s">
        <v>51</v>
      </c>
      <c r="C548">
        <v>18</v>
      </c>
      <c r="D548">
        <v>0</v>
      </c>
      <c r="E548">
        <v>1.2857598315919001</v>
      </c>
      <c r="F548">
        <f t="shared" si="17"/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f t="shared" si="16"/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</row>
    <row r="549" spans="1:19" x14ac:dyDescent="0.25">
      <c r="A549">
        <v>18045</v>
      </c>
      <c r="B549" t="s">
        <v>51</v>
      </c>
      <c r="C549">
        <v>19</v>
      </c>
      <c r="D549">
        <v>0</v>
      </c>
      <c r="E549">
        <v>1.38862061811925</v>
      </c>
      <c r="F549">
        <f t="shared" si="17"/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f t="shared" si="16"/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</row>
    <row r="550" spans="1:19" x14ac:dyDescent="0.25">
      <c r="A550">
        <v>18045</v>
      </c>
      <c r="B550" t="s">
        <v>51</v>
      </c>
      <c r="C550">
        <v>20</v>
      </c>
      <c r="D550">
        <v>0</v>
      </c>
      <c r="E550">
        <v>0.77145589895514399</v>
      </c>
      <c r="F550">
        <f t="shared" si="17"/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f t="shared" si="16"/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</row>
    <row r="551" spans="1:19" x14ac:dyDescent="0.25">
      <c r="A551">
        <v>18045</v>
      </c>
      <c r="B551" t="s">
        <v>51</v>
      </c>
      <c r="C551">
        <v>21</v>
      </c>
      <c r="D551">
        <v>0</v>
      </c>
      <c r="E551">
        <v>0.72002550569146795</v>
      </c>
      <c r="F551">
        <f t="shared" si="17"/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f t="shared" si="16"/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</row>
    <row r="552" spans="1:19" x14ac:dyDescent="0.25">
      <c r="A552">
        <v>18045</v>
      </c>
      <c r="B552" t="s">
        <v>51</v>
      </c>
      <c r="C552">
        <v>22</v>
      </c>
      <c r="D552">
        <v>0</v>
      </c>
      <c r="E552">
        <v>0.87431668548249697</v>
      </c>
      <c r="F552">
        <f t="shared" si="17"/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f t="shared" si="16"/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</row>
    <row r="553" spans="1:19" x14ac:dyDescent="0.25">
      <c r="A553">
        <v>18045</v>
      </c>
      <c r="B553" t="s">
        <v>51</v>
      </c>
      <c r="C553">
        <v>23</v>
      </c>
      <c r="D553">
        <v>0</v>
      </c>
      <c r="E553">
        <v>1.2343294383282299</v>
      </c>
      <c r="F553">
        <f t="shared" si="17"/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f t="shared" si="16"/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</row>
    <row r="554" spans="1:19" x14ac:dyDescent="0.25">
      <c r="A554">
        <v>18047</v>
      </c>
      <c r="B554" t="s">
        <v>52</v>
      </c>
      <c r="C554">
        <v>0</v>
      </c>
      <c r="D554">
        <v>0.364074264938268</v>
      </c>
      <c r="E554">
        <v>5.6011425375118197E-2</v>
      </c>
      <c r="F554">
        <f t="shared" si="17"/>
        <v>1</v>
      </c>
      <c r="G554">
        <v>0</v>
      </c>
      <c r="H554">
        <v>0</v>
      </c>
      <c r="I554">
        <v>1</v>
      </c>
      <c r="J554">
        <v>0</v>
      </c>
      <c r="K554">
        <v>0</v>
      </c>
      <c r="L554">
        <v>0</v>
      </c>
      <c r="M554">
        <f t="shared" si="16"/>
        <v>15</v>
      </c>
      <c r="N554">
        <v>0</v>
      </c>
      <c r="O554">
        <v>0</v>
      </c>
      <c r="P554">
        <v>15</v>
      </c>
      <c r="Q554">
        <v>0</v>
      </c>
      <c r="R554">
        <v>0</v>
      </c>
      <c r="S554">
        <v>0</v>
      </c>
    </row>
    <row r="555" spans="1:19" x14ac:dyDescent="0.25">
      <c r="A555">
        <v>18047</v>
      </c>
      <c r="B555" t="s">
        <v>52</v>
      </c>
      <c r="C555">
        <v>1</v>
      </c>
      <c r="D555">
        <v>0.39207997762582703</v>
      </c>
      <c r="E555">
        <v>0.11202285075023601</v>
      </c>
      <c r="F555">
        <f t="shared" si="17"/>
        <v>1</v>
      </c>
      <c r="G555">
        <v>0</v>
      </c>
      <c r="H555">
        <v>0</v>
      </c>
      <c r="I555">
        <v>1</v>
      </c>
      <c r="J555">
        <v>0</v>
      </c>
      <c r="K555">
        <v>0</v>
      </c>
      <c r="L555">
        <v>0</v>
      </c>
      <c r="M555">
        <f t="shared" si="16"/>
        <v>15</v>
      </c>
      <c r="N555">
        <v>0</v>
      </c>
      <c r="O555">
        <v>0</v>
      </c>
      <c r="P555">
        <v>15</v>
      </c>
      <c r="Q555">
        <v>0</v>
      </c>
      <c r="R555">
        <v>0</v>
      </c>
      <c r="S555">
        <v>0</v>
      </c>
    </row>
    <row r="556" spans="1:19" x14ac:dyDescent="0.25">
      <c r="A556">
        <v>18047</v>
      </c>
      <c r="B556" t="s">
        <v>52</v>
      </c>
      <c r="C556">
        <v>2</v>
      </c>
      <c r="D556">
        <v>0.39207997762582703</v>
      </c>
      <c r="E556">
        <v>0.16803427612535399</v>
      </c>
      <c r="F556">
        <f t="shared" si="17"/>
        <v>1</v>
      </c>
      <c r="G556">
        <v>0</v>
      </c>
      <c r="H556">
        <v>0</v>
      </c>
      <c r="I556">
        <v>1</v>
      </c>
      <c r="J556">
        <v>0</v>
      </c>
      <c r="K556">
        <v>0</v>
      </c>
      <c r="L556">
        <v>0</v>
      </c>
      <c r="M556">
        <f t="shared" si="16"/>
        <v>15</v>
      </c>
      <c r="N556">
        <v>0</v>
      </c>
      <c r="O556">
        <v>0</v>
      </c>
      <c r="P556">
        <v>15</v>
      </c>
      <c r="Q556">
        <v>0</v>
      </c>
      <c r="R556">
        <v>0</v>
      </c>
      <c r="S556">
        <v>0</v>
      </c>
    </row>
    <row r="557" spans="1:19" x14ac:dyDescent="0.25">
      <c r="A557">
        <v>18047</v>
      </c>
      <c r="B557" t="s">
        <v>52</v>
      </c>
      <c r="C557">
        <v>3</v>
      </c>
      <c r="D557">
        <v>0.39207997762582703</v>
      </c>
      <c r="E557">
        <v>0.11202285075023601</v>
      </c>
      <c r="F557">
        <f t="shared" si="17"/>
        <v>1</v>
      </c>
      <c r="G557">
        <v>0</v>
      </c>
      <c r="H557">
        <v>0</v>
      </c>
      <c r="I557">
        <v>1</v>
      </c>
      <c r="J557">
        <v>0</v>
      </c>
      <c r="K557">
        <v>0</v>
      </c>
      <c r="L557">
        <v>0</v>
      </c>
      <c r="M557">
        <f t="shared" si="16"/>
        <v>15</v>
      </c>
      <c r="N557">
        <v>0</v>
      </c>
      <c r="O557">
        <v>0</v>
      </c>
      <c r="P557">
        <v>15</v>
      </c>
      <c r="Q557">
        <v>0</v>
      </c>
      <c r="R557">
        <v>0</v>
      </c>
      <c r="S557">
        <v>0</v>
      </c>
    </row>
    <row r="558" spans="1:19" x14ac:dyDescent="0.25">
      <c r="A558">
        <v>18047</v>
      </c>
      <c r="B558" t="s">
        <v>52</v>
      </c>
      <c r="C558">
        <v>4</v>
      </c>
      <c r="D558">
        <v>0.39207997762582703</v>
      </c>
      <c r="E558">
        <v>0.19603998881291301</v>
      </c>
      <c r="F558">
        <f t="shared" si="17"/>
        <v>1</v>
      </c>
      <c r="G558">
        <v>0</v>
      </c>
      <c r="H558">
        <v>0</v>
      </c>
      <c r="I558">
        <v>1</v>
      </c>
      <c r="J558">
        <v>0</v>
      </c>
      <c r="K558">
        <v>0</v>
      </c>
      <c r="L558">
        <v>0</v>
      </c>
      <c r="M558">
        <f t="shared" si="16"/>
        <v>15</v>
      </c>
      <c r="N558">
        <v>0</v>
      </c>
      <c r="O558">
        <v>0</v>
      </c>
      <c r="P558">
        <v>15</v>
      </c>
      <c r="Q558">
        <v>0</v>
      </c>
      <c r="R558">
        <v>0</v>
      </c>
      <c r="S558">
        <v>0</v>
      </c>
    </row>
    <row r="559" spans="1:19" x14ac:dyDescent="0.25">
      <c r="A559">
        <v>18047</v>
      </c>
      <c r="B559" t="s">
        <v>52</v>
      </c>
      <c r="C559">
        <v>5</v>
      </c>
      <c r="D559">
        <v>0.364074264938268</v>
      </c>
      <c r="E559">
        <v>0.16803427612535399</v>
      </c>
      <c r="F559">
        <f t="shared" si="17"/>
        <v>1</v>
      </c>
      <c r="G559">
        <v>0</v>
      </c>
      <c r="H559">
        <v>0</v>
      </c>
      <c r="I559">
        <v>1</v>
      </c>
      <c r="J559">
        <v>0</v>
      </c>
      <c r="K559">
        <v>0</v>
      </c>
      <c r="L559">
        <v>0</v>
      </c>
      <c r="M559">
        <f t="shared" si="16"/>
        <v>15</v>
      </c>
      <c r="N559">
        <v>0</v>
      </c>
      <c r="O559">
        <v>0</v>
      </c>
      <c r="P559">
        <v>15</v>
      </c>
      <c r="Q559">
        <v>0</v>
      </c>
      <c r="R559">
        <v>0</v>
      </c>
      <c r="S559">
        <v>0</v>
      </c>
    </row>
    <row r="560" spans="1:19" x14ac:dyDescent="0.25">
      <c r="A560">
        <v>18047</v>
      </c>
      <c r="B560" t="s">
        <v>52</v>
      </c>
      <c r="C560">
        <v>6</v>
      </c>
      <c r="D560">
        <v>0.364074264938268</v>
      </c>
      <c r="E560">
        <v>0.14002856343779499</v>
      </c>
      <c r="F560">
        <f t="shared" si="17"/>
        <v>1</v>
      </c>
      <c r="G560">
        <v>0</v>
      </c>
      <c r="H560">
        <v>0</v>
      </c>
      <c r="I560">
        <v>1</v>
      </c>
      <c r="J560">
        <v>0</v>
      </c>
      <c r="K560">
        <v>0</v>
      </c>
      <c r="L560">
        <v>0</v>
      </c>
      <c r="M560">
        <f t="shared" si="16"/>
        <v>15</v>
      </c>
      <c r="N560">
        <v>0</v>
      </c>
      <c r="O560">
        <v>0</v>
      </c>
      <c r="P560">
        <v>15</v>
      </c>
      <c r="Q560">
        <v>0</v>
      </c>
      <c r="R560">
        <v>0</v>
      </c>
      <c r="S560">
        <v>0</v>
      </c>
    </row>
    <row r="561" spans="1:19" x14ac:dyDescent="0.25">
      <c r="A561">
        <v>18047</v>
      </c>
      <c r="B561" t="s">
        <v>52</v>
      </c>
      <c r="C561">
        <v>7</v>
      </c>
      <c r="D561">
        <v>0.39207997762582703</v>
      </c>
      <c r="E561">
        <v>0.19603998881291301</v>
      </c>
      <c r="F561">
        <f t="shared" si="17"/>
        <v>1</v>
      </c>
      <c r="G561">
        <v>0</v>
      </c>
      <c r="H561">
        <v>0</v>
      </c>
      <c r="I561">
        <v>1</v>
      </c>
      <c r="J561">
        <v>0</v>
      </c>
      <c r="K561">
        <v>0</v>
      </c>
      <c r="L561">
        <v>0</v>
      </c>
      <c r="M561">
        <f t="shared" si="16"/>
        <v>15</v>
      </c>
      <c r="N561">
        <v>0</v>
      </c>
      <c r="O561">
        <v>0</v>
      </c>
      <c r="P561">
        <v>15</v>
      </c>
      <c r="Q561">
        <v>0</v>
      </c>
      <c r="R561">
        <v>0</v>
      </c>
      <c r="S561">
        <v>0</v>
      </c>
    </row>
    <row r="562" spans="1:19" x14ac:dyDescent="0.25">
      <c r="A562">
        <v>18047</v>
      </c>
      <c r="B562" t="s">
        <v>52</v>
      </c>
      <c r="C562">
        <v>8</v>
      </c>
      <c r="D562">
        <v>0.89618280600189204</v>
      </c>
      <c r="E562">
        <v>0.67213710450141895</v>
      </c>
      <c r="F562">
        <f t="shared" si="17"/>
        <v>1</v>
      </c>
      <c r="G562">
        <v>0</v>
      </c>
      <c r="H562">
        <v>0</v>
      </c>
      <c r="I562">
        <v>1</v>
      </c>
      <c r="J562">
        <v>0</v>
      </c>
      <c r="K562">
        <v>0</v>
      </c>
      <c r="L562">
        <v>0</v>
      </c>
      <c r="M562">
        <f t="shared" si="16"/>
        <v>15</v>
      </c>
      <c r="N562">
        <v>0</v>
      </c>
      <c r="O562">
        <v>0</v>
      </c>
      <c r="P562">
        <v>15</v>
      </c>
      <c r="Q562">
        <v>0</v>
      </c>
      <c r="R562">
        <v>0</v>
      </c>
      <c r="S562">
        <v>0</v>
      </c>
    </row>
    <row r="563" spans="1:19" x14ac:dyDescent="0.25">
      <c r="A563">
        <v>18047</v>
      </c>
      <c r="B563" t="s">
        <v>52</v>
      </c>
      <c r="C563">
        <v>9</v>
      </c>
      <c r="D563">
        <v>1.0922227948148</v>
      </c>
      <c r="E563">
        <v>1.2602570709401599</v>
      </c>
      <c r="F563">
        <f t="shared" si="17"/>
        <v>1</v>
      </c>
      <c r="G563">
        <v>0</v>
      </c>
      <c r="H563">
        <v>0</v>
      </c>
      <c r="I563">
        <v>1</v>
      </c>
      <c r="J563">
        <v>0</v>
      </c>
      <c r="K563">
        <v>0</v>
      </c>
      <c r="L563">
        <v>0</v>
      </c>
      <c r="M563">
        <f t="shared" si="16"/>
        <v>15</v>
      </c>
      <c r="N563">
        <v>0</v>
      </c>
      <c r="O563">
        <v>0</v>
      </c>
      <c r="P563">
        <v>15</v>
      </c>
      <c r="Q563">
        <v>0</v>
      </c>
      <c r="R563">
        <v>0</v>
      </c>
      <c r="S563">
        <v>0</v>
      </c>
    </row>
    <row r="564" spans="1:19" x14ac:dyDescent="0.25">
      <c r="A564">
        <v>18047</v>
      </c>
      <c r="B564" t="s">
        <v>52</v>
      </c>
      <c r="C564">
        <v>10</v>
      </c>
      <c r="D564">
        <v>1.0922227948148</v>
      </c>
      <c r="E564">
        <v>2.1844455896296102</v>
      </c>
      <c r="F564">
        <f t="shared" si="17"/>
        <v>1</v>
      </c>
      <c r="G564">
        <v>0</v>
      </c>
      <c r="H564">
        <v>0</v>
      </c>
      <c r="I564">
        <v>1</v>
      </c>
      <c r="J564">
        <v>0</v>
      </c>
      <c r="K564">
        <v>0</v>
      </c>
      <c r="L564">
        <v>0</v>
      </c>
      <c r="M564">
        <f t="shared" si="16"/>
        <v>15</v>
      </c>
      <c r="N564">
        <v>0</v>
      </c>
      <c r="O564">
        <v>0</v>
      </c>
      <c r="P564">
        <v>15</v>
      </c>
      <c r="Q564">
        <v>0</v>
      </c>
      <c r="R564">
        <v>0</v>
      </c>
      <c r="S564">
        <v>0</v>
      </c>
    </row>
    <row r="565" spans="1:19" x14ac:dyDescent="0.25">
      <c r="A565">
        <v>18047</v>
      </c>
      <c r="B565" t="s">
        <v>52</v>
      </c>
      <c r="C565">
        <v>11</v>
      </c>
      <c r="D565">
        <v>1.40028563437795</v>
      </c>
      <c r="E565">
        <v>2.9966112575688202</v>
      </c>
      <c r="F565">
        <f t="shared" si="17"/>
        <v>1</v>
      </c>
      <c r="G565">
        <v>0</v>
      </c>
      <c r="H565">
        <v>0</v>
      </c>
      <c r="I565">
        <v>1</v>
      </c>
      <c r="J565">
        <v>0</v>
      </c>
      <c r="K565">
        <v>0</v>
      </c>
      <c r="L565">
        <v>0</v>
      </c>
      <c r="M565">
        <f t="shared" si="16"/>
        <v>15</v>
      </c>
      <c r="N565">
        <v>0</v>
      </c>
      <c r="O565">
        <v>0</v>
      </c>
      <c r="P565">
        <v>15</v>
      </c>
      <c r="Q565">
        <v>0</v>
      </c>
      <c r="R565">
        <v>0</v>
      </c>
      <c r="S565">
        <v>0</v>
      </c>
    </row>
    <row r="566" spans="1:19" x14ac:dyDescent="0.25">
      <c r="A566">
        <v>18047</v>
      </c>
      <c r="B566" t="s">
        <v>52</v>
      </c>
      <c r="C566">
        <v>12</v>
      </c>
      <c r="D566">
        <v>1.37227992169039</v>
      </c>
      <c r="E566">
        <v>2.0444170261918102</v>
      </c>
      <c r="F566">
        <f t="shared" si="17"/>
        <v>1</v>
      </c>
      <c r="G566">
        <v>0</v>
      </c>
      <c r="H566">
        <v>0</v>
      </c>
      <c r="I566">
        <v>1</v>
      </c>
      <c r="J566">
        <v>0</v>
      </c>
      <c r="K566">
        <v>0</v>
      </c>
      <c r="L566">
        <v>0</v>
      </c>
      <c r="M566">
        <f t="shared" si="16"/>
        <v>15</v>
      </c>
      <c r="N566">
        <v>0</v>
      </c>
      <c r="O566">
        <v>0</v>
      </c>
      <c r="P566">
        <v>15</v>
      </c>
      <c r="Q566">
        <v>0</v>
      </c>
      <c r="R566">
        <v>0</v>
      </c>
      <c r="S566">
        <v>0</v>
      </c>
    </row>
    <row r="567" spans="1:19" x14ac:dyDescent="0.25">
      <c r="A567">
        <v>18047</v>
      </c>
      <c r="B567" t="s">
        <v>52</v>
      </c>
      <c r="C567">
        <v>13</v>
      </c>
      <c r="D567">
        <v>0.61612567912630001</v>
      </c>
      <c r="E567">
        <v>1.1482342201899201</v>
      </c>
      <c r="F567">
        <f t="shared" si="17"/>
        <v>1</v>
      </c>
      <c r="G567">
        <v>0</v>
      </c>
      <c r="H567">
        <v>0</v>
      </c>
      <c r="I567">
        <v>1</v>
      </c>
      <c r="J567">
        <v>0</v>
      </c>
      <c r="K567">
        <v>0</v>
      </c>
      <c r="L567">
        <v>0</v>
      </c>
      <c r="M567">
        <f t="shared" si="16"/>
        <v>15</v>
      </c>
      <c r="N567">
        <v>0</v>
      </c>
      <c r="O567">
        <v>0</v>
      </c>
      <c r="P567">
        <v>15</v>
      </c>
      <c r="Q567">
        <v>0</v>
      </c>
      <c r="R567">
        <v>0</v>
      </c>
      <c r="S567">
        <v>0</v>
      </c>
    </row>
    <row r="568" spans="1:19" x14ac:dyDescent="0.25">
      <c r="A568">
        <v>18047</v>
      </c>
      <c r="B568" t="s">
        <v>52</v>
      </c>
      <c r="C568">
        <v>14</v>
      </c>
      <c r="D568">
        <v>0.364074264938268</v>
      </c>
      <c r="E568">
        <v>8.4017138062677299E-2</v>
      </c>
      <c r="F568">
        <f t="shared" si="17"/>
        <v>1</v>
      </c>
      <c r="G568">
        <v>0</v>
      </c>
      <c r="H568">
        <v>0</v>
      </c>
      <c r="I568">
        <v>1</v>
      </c>
      <c r="J568">
        <v>0</v>
      </c>
      <c r="K568">
        <v>0</v>
      </c>
      <c r="L568">
        <v>0</v>
      </c>
      <c r="M568">
        <f t="shared" si="16"/>
        <v>15</v>
      </c>
      <c r="N568">
        <v>0</v>
      </c>
      <c r="O568">
        <v>0</v>
      </c>
      <c r="P568">
        <v>15</v>
      </c>
      <c r="Q568">
        <v>0</v>
      </c>
      <c r="R568">
        <v>0</v>
      </c>
      <c r="S568">
        <v>0</v>
      </c>
    </row>
    <row r="569" spans="1:19" x14ac:dyDescent="0.25">
      <c r="A569">
        <v>18047</v>
      </c>
      <c r="B569" t="s">
        <v>52</v>
      </c>
      <c r="C569">
        <v>15</v>
      </c>
      <c r="D569">
        <v>0.25205141418803201</v>
      </c>
      <c r="E569">
        <v>0</v>
      </c>
      <c r="F569">
        <f t="shared" si="17"/>
        <v>1</v>
      </c>
      <c r="G569">
        <v>0</v>
      </c>
      <c r="H569">
        <v>0</v>
      </c>
      <c r="I569">
        <v>1</v>
      </c>
      <c r="J569">
        <v>0</v>
      </c>
      <c r="K569">
        <v>0</v>
      </c>
      <c r="L569">
        <v>0</v>
      </c>
      <c r="M569">
        <f t="shared" si="16"/>
        <v>15</v>
      </c>
      <c r="N569">
        <v>0</v>
      </c>
      <c r="O569">
        <v>0</v>
      </c>
      <c r="P569">
        <v>15</v>
      </c>
      <c r="Q569">
        <v>0</v>
      </c>
      <c r="R569">
        <v>0</v>
      </c>
      <c r="S569">
        <v>0</v>
      </c>
    </row>
    <row r="570" spans="1:19" x14ac:dyDescent="0.25">
      <c r="A570">
        <v>18047</v>
      </c>
      <c r="B570" t="s">
        <v>52</v>
      </c>
      <c r="C570">
        <v>16</v>
      </c>
      <c r="D570">
        <v>0.19603998881291301</v>
      </c>
      <c r="E570">
        <v>0</v>
      </c>
      <c r="F570">
        <f t="shared" si="17"/>
        <v>1</v>
      </c>
      <c r="G570">
        <v>0</v>
      </c>
      <c r="H570">
        <v>0</v>
      </c>
      <c r="I570">
        <v>1</v>
      </c>
      <c r="J570">
        <v>0</v>
      </c>
      <c r="K570">
        <v>0</v>
      </c>
      <c r="L570">
        <v>0</v>
      </c>
      <c r="M570">
        <f t="shared" si="16"/>
        <v>15</v>
      </c>
      <c r="N570">
        <v>0</v>
      </c>
      <c r="O570">
        <v>0</v>
      </c>
      <c r="P570">
        <v>15</v>
      </c>
      <c r="Q570">
        <v>0</v>
      </c>
      <c r="R570">
        <v>0</v>
      </c>
      <c r="S570">
        <v>0</v>
      </c>
    </row>
    <row r="571" spans="1:19" x14ac:dyDescent="0.25">
      <c r="A571">
        <v>18047</v>
      </c>
      <c r="B571" t="s">
        <v>52</v>
      </c>
      <c r="C571">
        <v>17</v>
      </c>
      <c r="D571">
        <v>0.25205141418803201</v>
      </c>
      <c r="E571">
        <v>0</v>
      </c>
      <c r="F571">
        <f t="shared" si="17"/>
        <v>1</v>
      </c>
      <c r="G571">
        <v>0</v>
      </c>
      <c r="H571">
        <v>0</v>
      </c>
      <c r="I571">
        <v>1</v>
      </c>
      <c r="J571">
        <v>0</v>
      </c>
      <c r="K571">
        <v>0</v>
      </c>
      <c r="L571">
        <v>0</v>
      </c>
      <c r="M571">
        <f t="shared" si="16"/>
        <v>15</v>
      </c>
      <c r="N571">
        <v>0</v>
      </c>
      <c r="O571">
        <v>0</v>
      </c>
      <c r="P571">
        <v>15</v>
      </c>
      <c r="Q571">
        <v>0</v>
      </c>
      <c r="R571">
        <v>0</v>
      </c>
      <c r="S571">
        <v>0</v>
      </c>
    </row>
    <row r="572" spans="1:19" x14ac:dyDescent="0.25">
      <c r="A572">
        <v>18047</v>
      </c>
      <c r="B572" t="s">
        <v>52</v>
      </c>
      <c r="C572">
        <v>18</v>
      </c>
      <c r="D572">
        <v>0.16803427612535399</v>
      </c>
      <c r="E572">
        <v>0</v>
      </c>
      <c r="F572">
        <f t="shared" si="17"/>
        <v>1</v>
      </c>
      <c r="G572">
        <v>0</v>
      </c>
      <c r="H572">
        <v>0</v>
      </c>
      <c r="I572">
        <v>1</v>
      </c>
      <c r="J572">
        <v>0</v>
      </c>
      <c r="K572">
        <v>0</v>
      </c>
      <c r="L572">
        <v>0</v>
      </c>
      <c r="M572">
        <f t="shared" si="16"/>
        <v>15</v>
      </c>
      <c r="N572">
        <v>0</v>
      </c>
      <c r="O572">
        <v>0</v>
      </c>
      <c r="P572">
        <v>15</v>
      </c>
      <c r="Q572">
        <v>0</v>
      </c>
      <c r="R572">
        <v>0</v>
      </c>
      <c r="S572">
        <v>0</v>
      </c>
    </row>
    <row r="573" spans="1:19" x14ac:dyDescent="0.25">
      <c r="A573">
        <v>18047</v>
      </c>
      <c r="B573" t="s">
        <v>52</v>
      </c>
      <c r="C573">
        <v>19</v>
      </c>
      <c r="D573">
        <v>0.25205141418803201</v>
      </c>
      <c r="E573">
        <v>0</v>
      </c>
      <c r="F573">
        <f t="shared" si="17"/>
        <v>1</v>
      </c>
      <c r="G573">
        <v>0</v>
      </c>
      <c r="H573">
        <v>0</v>
      </c>
      <c r="I573">
        <v>1</v>
      </c>
      <c r="J573">
        <v>0</v>
      </c>
      <c r="K573">
        <v>0</v>
      </c>
      <c r="L573">
        <v>0</v>
      </c>
      <c r="M573">
        <f t="shared" si="16"/>
        <v>15</v>
      </c>
      <c r="N573">
        <v>0</v>
      </c>
      <c r="O573">
        <v>0</v>
      </c>
      <c r="P573">
        <v>15</v>
      </c>
      <c r="Q573">
        <v>0</v>
      </c>
      <c r="R573">
        <v>0</v>
      </c>
      <c r="S573">
        <v>0</v>
      </c>
    </row>
    <row r="574" spans="1:19" x14ac:dyDescent="0.25">
      <c r="A574">
        <v>18047</v>
      </c>
      <c r="B574" t="s">
        <v>52</v>
      </c>
      <c r="C574">
        <v>20</v>
      </c>
      <c r="D574">
        <v>0.28005712687559098</v>
      </c>
      <c r="E574">
        <v>0</v>
      </c>
      <c r="F574">
        <f t="shared" si="17"/>
        <v>1</v>
      </c>
      <c r="G574">
        <v>0</v>
      </c>
      <c r="H574">
        <v>0</v>
      </c>
      <c r="I574">
        <v>1</v>
      </c>
      <c r="J574">
        <v>0</v>
      </c>
      <c r="K574">
        <v>0</v>
      </c>
      <c r="L574">
        <v>0</v>
      </c>
      <c r="M574">
        <f t="shared" si="16"/>
        <v>15</v>
      </c>
      <c r="N574">
        <v>0</v>
      </c>
      <c r="O574">
        <v>0</v>
      </c>
      <c r="P574">
        <v>15</v>
      </c>
      <c r="Q574">
        <v>0</v>
      </c>
      <c r="R574">
        <v>0</v>
      </c>
      <c r="S574">
        <v>0</v>
      </c>
    </row>
    <row r="575" spans="1:19" x14ac:dyDescent="0.25">
      <c r="A575">
        <v>18047</v>
      </c>
      <c r="B575" t="s">
        <v>52</v>
      </c>
      <c r="C575">
        <v>21</v>
      </c>
      <c r="D575">
        <v>0.33606855225070897</v>
      </c>
      <c r="E575">
        <v>0</v>
      </c>
      <c r="F575">
        <f t="shared" si="17"/>
        <v>1</v>
      </c>
      <c r="G575">
        <v>0</v>
      </c>
      <c r="H575">
        <v>0</v>
      </c>
      <c r="I575">
        <v>1</v>
      </c>
      <c r="J575">
        <v>0</v>
      </c>
      <c r="K575">
        <v>0</v>
      </c>
      <c r="L575">
        <v>0</v>
      </c>
      <c r="M575">
        <f t="shared" si="16"/>
        <v>15</v>
      </c>
      <c r="N575">
        <v>0</v>
      </c>
      <c r="O575">
        <v>0</v>
      </c>
      <c r="P575">
        <v>15</v>
      </c>
      <c r="Q575">
        <v>0</v>
      </c>
      <c r="R575">
        <v>0</v>
      </c>
      <c r="S575">
        <v>0</v>
      </c>
    </row>
    <row r="576" spans="1:19" x14ac:dyDescent="0.25">
      <c r="A576">
        <v>18047</v>
      </c>
      <c r="B576" t="s">
        <v>52</v>
      </c>
      <c r="C576">
        <v>22</v>
      </c>
      <c r="D576">
        <v>0.33606855225070897</v>
      </c>
      <c r="E576">
        <v>0</v>
      </c>
      <c r="F576">
        <f t="shared" si="17"/>
        <v>1</v>
      </c>
      <c r="G576">
        <v>0</v>
      </c>
      <c r="H576">
        <v>0</v>
      </c>
      <c r="I576">
        <v>1</v>
      </c>
      <c r="J576">
        <v>0</v>
      </c>
      <c r="K576">
        <v>0</v>
      </c>
      <c r="L576">
        <v>0</v>
      </c>
      <c r="M576">
        <f t="shared" si="16"/>
        <v>15</v>
      </c>
      <c r="N576">
        <v>0</v>
      </c>
      <c r="O576">
        <v>0</v>
      </c>
      <c r="P576">
        <v>15</v>
      </c>
      <c r="Q576">
        <v>0</v>
      </c>
      <c r="R576">
        <v>0</v>
      </c>
      <c r="S576">
        <v>0</v>
      </c>
    </row>
    <row r="577" spans="1:19" x14ac:dyDescent="0.25">
      <c r="A577">
        <v>18047</v>
      </c>
      <c r="B577" t="s">
        <v>52</v>
      </c>
      <c r="C577">
        <v>23</v>
      </c>
      <c r="D577">
        <v>0.33606855225070897</v>
      </c>
      <c r="E577">
        <v>5.6011425375118197E-2</v>
      </c>
      <c r="F577">
        <f t="shared" si="17"/>
        <v>1</v>
      </c>
      <c r="G577">
        <v>0</v>
      </c>
      <c r="H577">
        <v>0</v>
      </c>
      <c r="I577">
        <v>1</v>
      </c>
      <c r="J577">
        <v>0</v>
      </c>
      <c r="K577">
        <v>0</v>
      </c>
      <c r="L577">
        <v>0</v>
      </c>
      <c r="M577">
        <f t="shared" si="16"/>
        <v>15</v>
      </c>
      <c r="N577">
        <v>0</v>
      </c>
      <c r="O577">
        <v>0</v>
      </c>
      <c r="P577">
        <v>15</v>
      </c>
      <c r="Q577">
        <v>0</v>
      </c>
      <c r="R577">
        <v>0</v>
      </c>
      <c r="S577">
        <v>0</v>
      </c>
    </row>
    <row r="578" spans="1:19" x14ac:dyDescent="0.25">
      <c r="A578">
        <v>18049</v>
      </c>
      <c r="B578" t="s">
        <v>53</v>
      </c>
      <c r="C578">
        <v>0</v>
      </c>
      <c r="D578">
        <v>13.9137050389641</v>
      </c>
      <c r="E578">
        <v>0.24268090184239699</v>
      </c>
      <c r="F578">
        <f t="shared" si="17"/>
        <v>1</v>
      </c>
      <c r="G578">
        <v>0</v>
      </c>
      <c r="H578">
        <v>1</v>
      </c>
      <c r="I578">
        <v>0</v>
      </c>
      <c r="J578">
        <v>0</v>
      </c>
      <c r="K578">
        <v>0</v>
      </c>
      <c r="L578">
        <v>0</v>
      </c>
      <c r="M578">
        <f t="shared" ref="M578:M641" si="18">SUM(N578:S578)</f>
        <v>50</v>
      </c>
      <c r="N578">
        <v>0</v>
      </c>
      <c r="O578">
        <v>50</v>
      </c>
      <c r="P578">
        <v>0</v>
      </c>
      <c r="Q578">
        <v>0</v>
      </c>
      <c r="R578">
        <v>0</v>
      </c>
      <c r="S578">
        <v>0</v>
      </c>
    </row>
    <row r="579" spans="1:19" x14ac:dyDescent="0.25">
      <c r="A579">
        <v>18049</v>
      </c>
      <c r="B579" t="s">
        <v>53</v>
      </c>
      <c r="C579">
        <v>1</v>
      </c>
      <c r="D579">
        <v>14.4799604765963</v>
      </c>
      <c r="E579">
        <v>0.24268090184239699</v>
      </c>
      <c r="F579">
        <f t="shared" ref="F579:F642" si="19">SUM(G579:L579)</f>
        <v>1</v>
      </c>
      <c r="G579">
        <v>0</v>
      </c>
      <c r="H579">
        <v>1</v>
      </c>
      <c r="I579">
        <v>0</v>
      </c>
      <c r="J579">
        <v>0</v>
      </c>
      <c r="K579">
        <v>0</v>
      </c>
      <c r="L579">
        <v>0</v>
      </c>
      <c r="M579">
        <f t="shared" si="18"/>
        <v>50</v>
      </c>
      <c r="N579">
        <v>0</v>
      </c>
      <c r="O579">
        <v>50</v>
      </c>
      <c r="P579">
        <v>0</v>
      </c>
      <c r="Q579">
        <v>0</v>
      </c>
      <c r="R579">
        <v>0</v>
      </c>
      <c r="S579">
        <v>0</v>
      </c>
    </row>
    <row r="580" spans="1:19" x14ac:dyDescent="0.25">
      <c r="A580">
        <v>18049</v>
      </c>
      <c r="B580" t="s">
        <v>53</v>
      </c>
      <c r="C580">
        <v>2</v>
      </c>
      <c r="D580">
        <v>14.3586200256751</v>
      </c>
      <c r="E580">
        <v>0.20223408486866401</v>
      </c>
      <c r="F580">
        <f t="shared" si="19"/>
        <v>1</v>
      </c>
      <c r="G580">
        <v>0</v>
      </c>
      <c r="H580">
        <v>1</v>
      </c>
      <c r="I580">
        <v>0</v>
      </c>
      <c r="J580">
        <v>0</v>
      </c>
      <c r="K580">
        <v>0</v>
      </c>
      <c r="L580">
        <v>0</v>
      </c>
      <c r="M580">
        <f t="shared" si="18"/>
        <v>50</v>
      </c>
      <c r="N580">
        <v>0</v>
      </c>
      <c r="O580">
        <v>50</v>
      </c>
      <c r="P580">
        <v>0</v>
      </c>
      <c r="Q580">
        <v>0</v>
      </c>
      <c r="R580">
        <v>0</v>
      </c>
      <c r="S580">
        <v>0</v>
      </c>
    </row>
    <row r="581" spans="1:19" x14ac:dyDescent="0.25">
      <c r="A581">
        <v>18049</v>
      </c>
      <c r="B581" t="s">
        <v>53</v>
      </c>
      <c r="C581">
        <v>3</v>
      </c>
      <c r="D581">
        <v>14.5204072935701</v>
      </c>
      <c r="E581">
        <v>0.20223408486866401</v>
      </c>
      <c r="F581">
        <f t="shared" si="19"/>
        <v>1</v>
      </c>
      <c r="G581">
        <v>0</v>
      </c>
      <c r="H581">
        <v>1</v>
      </c>
      <c r="I581">
        <v>0</v>
      </c>
      <c r="J581">
        <v>0</v>
      </c>
      <c r="K581">
        <v>0</v>
      </c>
      <c r="L581">
        <v>0</v>
      </c>
      <c r="M581">
        <f t="shared" si="18"/>
        <v>50</v>
      </c>
      <c r="N581">
        <v>0</v>
      </c>
      <c r="O581">
        <v>50</v>
      </c>
      <c r="P581">
        <v>0</v>
      </c>
      <c r="Q581">
        <v>0</v>
      </c>
      <c r="R581">
        <v>0</v>
      </c>
      <c r="S581">
        <v>0</v>
      </c>
    </row>
    <row r="582" spans="1:19" x14ac:dyDescent="0.25">
      <c r="A582">
        <v>18049</v>
      </c>
      <c r="B582" t="s">
        <v>53</v>
      </c>
      <c r="C582">
        <v>4</v>
      </c>
      <c r="D582">
        <v>14.399066842648899</v>
      </c>
      <c r="E582">
        <v>0.889829973422124</v>
      </c>
      <c r="F582">
        <f t="shared" si="19"/>
        <v>1</v>
      </c>
      <c r="G582">
        <v>0</v>
      </c>
      <c r="H582">
        <v>1</v>
      </c>
      <c r="I582">
        <v>0</v>
      </c>
      <c r="J582">
        <v>0</v>
      </c>
      <c r="K582">
        <v>0</v>
      </c>
      <c r="L582">
        <v>0</v>
      </c>
      <c r="M582">
        <f t="shared" si="18"/>
        <v>50</v>
      </c>
      <c r="N582">
        <v>0</v>
      </c>
      <c r="O582">
        <v>50</v>
      </c>
      <c r="P582">
        <v>0</v>
      </c>
      <c r="Q582">
        <v>0</v>
      </c>
      <c r="R582">
        <v>0</v>
      </c>
      <c r="S582">
        <v>0</v>
      </c>
    </row>
    <row r="583" spans="1:19" x14ac:dyDescent="0.25">
      <c r="A583">
        <v>18049</v>
      </c>
      <c r="B583" t="s">
        <v>53</v>
      </c>
      <c r="C583">
        <v>5</v>
      </c>
      <c r="D583">
        <v>13.549683686200501</v>
      </c>
      <c r="E583">
        <v>1.0516172413170499</v>
      </c>
      <c r="F583">
        <f t="shared" si="19"/>
        <v>1</v>
      </c>
      <c r="G583">
        <v>0</v>
      </c>
      <c r="H583">
        <v>1</v>
      </c>
      <c r="I583">
        <v>0</v>
      </c>
      <c r="J583">
        <v>0</v>
      </c>
      <c r="K583">
        <v>0</v>
      </c>
      <c r="L583">
        <v>0</v>
      </c>
      <c r="M583">
        <f t="shared" si="18"/>
        <v>50</v>
      </c>
      <c r="N583">
        <v>0</v>
      </c>
      <c r="O583">
        <v>50</v>
      </c>
      <c r="P583">
        <v>0</v>
      </c>
      <c r="Q583">
        <v>0</v>
      </c>
      <c r="R583">
        <v>0</v>
      </c>
      <c r="S583">
        <v>0</v>
      </c>
    </row>
    <row r="584" spans="1:19" x14ac:dyDescent="0.25">
      <c r="A584">
        <v>18049</v>
      </c>
      <c r="B584" t="s">
        <v>53</v>
      </c>
      <c r="C584">
        <v>6</v>
      </c>
      <c r="D584">
        <v>12.4576196279097</v>
      </c>
      <c r="E584">
        <v>0.76848952250092495</v>
      </c>
      <c r="F584">
        <f t="shared" si="19"/>
        <v>1</v>
      </c>
      <c r="G584">
        <v>0</v>
      </c>
      <c r="H584">
        <v>1</v>
      </c>
      <c r="I584">
        <v>0</v>
      </c>
      <c r="J584">
        <v>0</v>
      </c>
      <c r="K584">
        <v>0</v>
      </c>
      <c r="L584">
        <v>0</v>
      </c>
      <c r="M584">
        <f t="shared" si="18"/>
        <v>50</v>
      </c>
      <c r="N584">
        <v>0</v>
      </c>
      <c r="O584">
        <v>50</v>
      </c>
      <c r="P584">
        <v>0</v>
      </c>
      <c r="Q584">
        <v>0</v>
      </c>
      <c r="R584">
        <v>0</v>
      </c>
      <c r="S584">
        <v>0</v>
      </c>
    </row>
    <row r="585" spans="1:19" x14ac:dyDescent="0.25">
      <c r="A585">
        <v>18049</v>
      </c>
      <c r="B585" t="s">
        <v>53</v>
      </c>
      <c r="C585">
        <v>7</v>
      </c>
      <c r="D585">
        <v>9.5454488058009606</v>
      </c>
      <c r="E585">
        <v>1.25385132618572</v>
      </c>
      <c r="F585">
        <f t="shared" si="19"/>
        <v>1</v>
      </c>
      <c r="G585">
        <v>0</v>
      </c>
      <c r="H585">
        <v>1</v>
      </c>
      <c r="I585">
        <v>0</v>
      </c>
      <c r="J585">
        <v>0</v>
      </c>
      <c r="K585">
        <v>0</v>
      </c>
      <c r="L585">
        <v>0</v>
      </c>
      <c r="M585">
        <f t="shared" si="18"/>
        <v>50</v>
      </c>
      <c r="N585">
        <v>0</v>
      </c>
      <c r="O585">
        <v>50</v>
      </c>
      <c r="P585">
        <v>0</v>
      </c>
      <c r="Q585">
        <v>0</v>
      </c>
      <c r="R585">
        <v>0</v>
      </c>
      <c r="S585">
        <v>0</v>
      </c>
    </row>
    <row r="586" spans="1:19" x14ac:dyDescent="0.25">
      <c r="A586">
        <v>18049</v>
      </c>
      <c r="B586" t="s">
        <v>53</v>
      </c>
      <c r="C586">
        <v>8</v>
      </c>
      <c r="D586">
        <v>6.7141716176396598</v>
      </c>
      <c r="E586">
        <v>2.22457493355531</v>
      </c>
      <c r="F586">
        <f t="shared" si="19"/>
        <v>1</v>
      </c>
      <c r="G586">
        <v>0</v>
      </c>
      <c r="H586">
        <v>1</v>
      </c>
      <c r="I586">
        <v>0</v>
      </c>
      <c r="J586">
        <v>0</v>
      </c>
      <c r="K586">
        <v>0</v>
      </c>
      <c r="L586">
        <v>0</v>
      </c>
      <c r="M586">
        <f t="shared" si="18"/>
        <v>50</v>
      </c>
      <c r="N586">
        <v>0</v>
      </c>
      <c r="O586">
        <v>50</v>
      </c>
      <c r="P586">
        <v>0</v>
      </c>
      <c r="Q586">
        <v>0</v>
      </c>
      <c r="R586">
        <v>0</v>
      </c>
      <c r="S586">
        <v>0</v>
      </c>
    </row>
    <row r="587" spans="1:19" x14ac:dyDescent="0.25">
      <c r="A587">
        <v>18049</v>
      </c>
      <c r="B587" t="s">
        <v>53</v>
      </c>
      <c r="C587">
        <v>9</v>
      </c>
      <c r="D587">
        <v>4.81317121987421</v>
      </c>
      <c r="E587">
        <v>4.81317121987421</v>
      </c>
      <c r="F587">
        <f t="shared" si="19"/>
        <v>1</v>
      </c>
      <c r="G587">
        <v>0</v>
      </c>
      <c r="H587">
        <v>1</v>
      </c>
      <c r="I587">
        <v>0</v>
      </c>
      <c r="J587">
        <v>0</v>
      </c>
      <c r="K587">
        <v>0</v>
      </c>
      <c r="L587">
        <v>0</v>
      </c>
      <c r="M587">
        <f t="shared" si="18"/>
        <v>50</v>
      </c>
      <c r="N587">
        <v>0</v>
      </c>
      <c r="O587">
        <v>50</v>
      </c>
      <c r="P587">
        <v>0</v>
      </c>
      <c r="Q587">
        <v>0</v>
      </c>
      <c r="R587">
        <v>0</v>
      </c>
      <c r="S587">
        <v>0</v>
      </c>
    </row>
    <row r="588" spans="1:19" x14ac:dyDescent="0.25">
      <c r="A588">
        <v>18049</v>
      </c>
      <c r="B588" t="s">
        <v>53</v>
      </c>
      <c r="C588">
        <v>10</v>
      </c>
      <c r="D588">
        <v>3.7211071615834199</v>
      </c>
      <c r="E588">
        <v>3.8020007955308901</v>
      </c>
      <c r="F588">
        <f t="shared" si="19"/>
        <v>1</v>
      </c>
      <c r="G588">
        <v>0</v>
      </c>
      <c r="H588">
        <v>1</v>
      </c>
      <c r="I588">
        <v>0</v>
      </c>
      <c r="J588">
        <v>0</v>
      </c>
      <c r="K588">
        <v>0</v>
      </c>
      <c r="L588">
        <v>0</v>
      </c>
      <c r="M588">
        <f t="shared" si="18"/>
        <v>50</v>
      </c>
      <c r="N588">
        <v>0</v>
      </c>
      <c r="O588">
        <v>50</v>
      </c>
      <c r="P588">
        <v>0</v>
      </c>
      <c r="Q588">
        <v>0</v>
      </c>
      <c r="R588">
        <v>0</v>
      </c>
      <c r="S588">
        <v>0</v>
      </c>
    </row>
    <row r="589" spans="1:19" x14ac:dyDescent="0.25">
      <c r="A589">
        <v>18049</v>
      </c>
      <c r="B589" t="s">
        <v>53</v>
      </c>
      <c r="C589">
        <v>11</v>
      </c>
      <c r="D589">
        <v>3.3166389918460899</v>
      </c>
      <c r="E589">
        <v>2.1436812996078398</v>
      </c>
      <c r="F589">
        <f t="shared" si="19"/>
        <v>1</v>
      </c>
      <c r="G589">
        <v>0</v>
      </c>
      <c r="H589">
        <v>1</v>
      </c>
      <c r="I589">
        <v>0</v>
      </c>
      <c r="J589">
        <v>0</v>
      </c>
      <c r="K589">
        <v>0</v>
      </c>
      <c r="L589">
        <v>0</v>
      </c>
      <c r="M589">
        <f t="shared" si="18"/>
        <v>50</v>
      </c>
      <c r="N589">
        <v>0</v>
      </c>
      <c r="O589">
        <v>50</v>
      </c>
      <c r="P589">
        <v>0</v>
      </c>
      <c r="Q589">
        <v>0</v>
      </c>
      <c r="R589">
        <v>0</v>
      </c>
      <c r="S589">
        <v>0</v>
      </c>
    </row>
    <row r="590" spans="1:19" x14ac:dyDescent="0.25">
      <c r="A590">
        <v>18049</v>
      </c>
      <c r="B590" t="s">
        <v>53</v>
      </c>
      <c r="C590">
        <v>12</v>
      </c>
      <c r="D590">
        <v>3.7211071615834199</v>
      </c>
      <c r="E590">
        <v>1.33474496013318</v>
      </c>
      <c r="F590">
        <f t="shared" si="19"/>
        <v>1</v>
      </c>
      <c r="G590">
        <v>0</v>
      </c>
      <c r="H590">
        <v>1</v>
      </c>
      <c r="I590">
        <v>0</v>
      </c>
      <c r="J590">
        <v>0</v>
      </c>
      <c r="K590">
        <v>0</v>
      </c>
      <c r="L590">
        <v>0</v>
      </c>
      <c r="M590">
        <f t="shared" si="18"/>
        <v>50</v>
      </c>
      <c r="N590">
        <v>0</v>
      </c>
      <c r="O590">
        <v>50</v>
      </c>
      <c r="P590">
        <v>0</v>
      </c>
      <c r="Q590">
        <v>0</v>
      </c>
      <c r="R590">
        <v>0</v>
      </c>
      <c r="S590">
        <v>0</v>
      </c>
    </row>
    <row r="591" spans="1:19" x14ac:dyDescent="0.25">
      <c r="A591">
        <v>18049</v>
      </c>
      <c r="B591" t="s">
        <v>53</v>
      </c>
      <c r="C591">
        <v>13</v>
      </c>
      <c r="D591">
        <v>3.3166389918460899</v>
      </c>
      <c r="E591">
        <v>1.0920640582907799</v>
      </c>
      <c r="F591">
        <f t="shared" si="19"/>
        <v>1</v>
      </c>
      <c r="G591">
        <v>0</v>
      </c>
      <c r="H591">
        <v>1</v>
      </c>
      <c r="I591">
        <v>0</v>
      </c>
      <c r="J591">
        <v>0</v>
      </c>
      <c r="K591">
        <v>0</v>
      </c>
      <c r="L591">
        <v>0</v>
      </c>
      <c r="M591">
        <f t="shared" si="18"/>
        <v>50</v>
      </c>
      <c r="N591">
        <v>0</v>
      </c>
      <c r="O591">
        <v>50</v>
      </c>
      <c r="P591">
        <v>0</v>
      </c>
      <c r="Q591">
        <v>0</v>
      </c>
      <c r="R591">
        <v>0</v>
      </c>
      <c r="S591">
        <v>0</v>
      </c>
    </row>
    <row r="592" spans="1:19" x14ac:dyDescent="0.25">
      <c r="A592">
        <v>18049</v>
      </c>
      <c r="B592" t="s">
        <v>53</v>
      </c>
      <c r="C592">
        <v>14</v>
      </c>
      <c r="D592">
        <v>3.3975326257935601</v>
      </c>
      <c r="E592">
        <v>0.60670225460599303</v>
      </c>
      <c r="F592">
        <f t="shared" si="19"/>
        <v>1</v>
      </c>
      <c r="G592">
        <v>0</v>
      </c>
      <c r="H592">
        <v>1</v>
      </c>
      <c r="I592">
        <v>0</v>
      </c>
      <c r="J592">
        <v>0</v>
      </c>
      <c r="K592">
        <v>0</v>
      </c>
      <c r="L592">
        <v>0</v>
      </c>
      <c r="M592">
        <f t="shared" si="18"/>
        <v>50</v>
      </c>
      <c r="N592">
        <v>0</v>
      </c>
      <c r="O592">
        <v>50</v>
      </c>
      <c r="P592">
        <v>0</v>
      </c>
      <c r="Q592">
        <v>0</v>
      </c>
      <c r="R592">
        <v>0</v>
      </c>
      <c r="S592">
        <v>0</v>
      </c>
    </row>
    <row r="593" spans="1:19" x14ac:dyDescent="0.25">
      <c r="A593">
        <v>18049</v>
      </c>
      <c r="B593" t="s">
        <v>53</v>
      </c>
      <c r="C593">
        <v>15</v>
      </c>
      <c r="D593">
        <v>3.8424476125046199</v>
      </c>
      <c r="E593">
        <v>0.48536180368479498</v>
      </c>
      <c r="F593">
        <f t="shared" si="19"/>
        <v>1</v>
      </c>
      <c r="G593">
        <v>0</v>
      </c>
      <c r="H593">
        <v>1</v>
      </c>
      <c r="I593">
        <v>0</v>
      </c>
      <c r="J593">
        <v>0</v>
      </c>
      <c r="K593">
        <v>0</v>
      </c>
      <c r="L593">
        <v>0</v>
      </c>
      <c r="M593">
        <f t="shared" si="18"/>
        <v>50</v>
      </c>
      <c r="N593">
        <v>0</v>
      </c>
      <c r="O593">
        <v>50</v>
      </c>
      <c r="P593">
        <v>0</v>
      </c>
      <c r="Q593">
        <v>0</v>
      </c>
      <c r="R593">
        <v>0</v>
      </c>
      <c r="S593">
        <v>0</v>
      </c>
    </row>
    <row r="594" spans="1:19" x14ac:dyDescent="0.25">
      <c r="A594">
        <v>18049</v>
      </c>
      <c r="B594" t="s">
        <v>53</v>
      </c>
      <c r="C594">
        <v>16</v>
      </c>
      <c r="D594">
        <v>3.9637880634258198</v>
      </c>
      <c r="E594">
        <v>0.28312771881613003</v>
      </c>
      <c r="F594">
        <f t="shared" si="19"/>
        <v>1</v>
      </c>
      <c r="G594">
        <v>0</v>
      </c>
      <c r="H594">
        <v>1</v>
      </c>
      <c r="I594">
        <v>0</v>
      </c>
      <c r="J594">
        <v>0</v>
      </c>
      <c r="K594">
        <v>0</v>
      </c>
      <c r="L594">
        <v>0</v>
      </c>
      <c r="M594">
        <f t="shared" si="18"/>
        <v>50</v>
      </c>
      <c r="N594">
        <v>0</v>
      </c>
      <c r="O594">
        <v>50</v>
      </c>
      <c r="P594">
        <v>0</v>
      </c>
      <c r="Q594">
        <v>0</v>
      </c>
      <c r="R594">
        <v>0</v>
      </c>
      <c r="S594">
        <v>0</v>
      </c>
    </row>
    <row r="595" spans="1:19" x14ac:dyDescent="0.25">
      <c r="A595">
        <v>18049</v>
      </c>
      <c r="B595" t="s">
        <v>53</v>
      </c>
      <c r="C595">
        <v>17</v>
      </c>
      <c r="D595">
        <v>4.8940648538216802</v>
      </c>
      <c r="E595">
        <v>0.24268090184239699</v>
      </c>
      <c r="F595">
        <f t="shared" si="19"/>
        <v>1</v>
      </c>
      <c r="G595">
        <v>0</v>
      </c>
      <c r="H595">
        <v>1</v>
      </c>
      <c r="I595">
        <v>0</v>
      </c>
      <c r="J595">
        <v>0</v>
      </c>
      <c r="K595">
        <v>0</v>
      </c>
      <c r="L595">
        <v>0</v>
      </c>
      <c r="M595">
        <f t="shared" si="18"/>
        <v>50</v>
      </c>
      <c r="N595">
        <v>0</v>
      </c>
      <c r="O595">
        <v>50</v>
      </c>
      <c r="P595">
        <v>0</v>
      </c>
      <c r="Q595">
        <v>0</v>
      </c>
      <c r="R595">
        <v>0</v>
      </c>
      <c r="S595">
        <v>0</v>
      </c>
    </row>
    <row r="596" spans="1:19" x14ac:dyDescent="0.25">
      <c r="A596">
        <v>18049</v>
      </c>
      <c r="B596" t="s">
        <v>53</v>
      </c>
      <c r="C596">
        <v>18</v>
      </c>
      <c r="D596">
        <v>6.2692566309286004</v>
      </c>
      <c r="E596">
        <v>0.24268090184239699</v>
      </c>
      <c r="F596">
        <f t="shared" si="19"/>
        <v>1</v>
      </c>
      <c r="G596">
        <v>0</v>
      </c>
      <c r="H596">
        <v>1</v>
      </c>
      <c r="I596">
        <v>0</v>
      </c>
      <c r="J596">
        <v>0</v>
      </c>
      <c r="K596">
        <v>0</v>
      </c>
      <c r="L596">
        <v>0</v>
      </c>
      <c r="M596">
        <f t="shared" si="18"/>
        <v>50</v>
      </c>
      <c r="N596">
        <v>0</v>
      </c>
      <c r="O596">
        <v>50</v>
      </c>
      <c r="P596">
        <v>0</v>
      </c>
      <c r="Q596">
        <v>0</v>
      </c>
      <c r="R596">
        <v>0</v>
      </c>
      <c r="S596">
        <v>0</v>
      </c>
    </row>
    <row r="597" spans="1:19" x14ac:dyDescent="0.25">
      <c r="A597">
        <v>18049</v>
      </c>
      <c r="B597" t="s">
        <v>53</v>
      </c>
      <c r="C597">
        <v>19</v>
      </c>
      <c r="D597">
        <v>7.6848952250092504</v>
      </c>
      <c r="E597">
        <v>0.24268090184239699</v>
      </c>
      <c r="F597">
        <f t="shared" si="19"/>
        <v>1</v>
      </c>
      <c r="G597">
        <v>0</v>
      </c>
      <c r="H597">
        <v>1</v>
      </c>
      <c r="I597">
        <v>0</v>
      </c>
      <c r="J597">
        <v>0</v>
      </c>
      <c r="K597">
        <v>0</v>
      </c>
      <c r="L597">
        <v>0</v>
      </c>
      <c r="M597">
        <f t="shared" si="18"/>
        <v>50</v>
      </c>
      <c r="N597">
        <v>0</v>
      </c>
      <c r="O597">
        <v>50</v>
      </c>
      <c r="P597">
        <v>0</v>
      </c>
      <c r="Q597">
        <v>0</v>
      </c>
      <c r="R597">
        <v>0</v>
      </c>
      <c r="S597">
        <v>0</v>
      </c>
    </row>
    <row r="598" spans="1:19" x14ac:dyDescent="0.25">
      <c r="A598">
        <v>18049</v>
      </c>
      <c r="B598" t="s">
        <v>53</v>
      </c>
      <c r="C598">
        <v>20</v>
      </c>
      <c r="D598">
        <v>9.1005338190899003</v>
      </c>
      <c r="E598">
        <v>0.24268090184239699</v>
      </c>
      <c r="F598">
        <f t="shared" si="19"/>
        <v>1</v>
      </c>
      <c r="G598">
        <v>0</v>
      </c>
      <c r="H598">
        <v>1</v>
      </c>
      <c r="I598">
        <v>0</v>
      </c>
      <c r="J598">
        <v>0</v>
      </c>
      <c r="K598">
        <v>0</v>
      </c>
      <c r="L598">
        <v>0</v>
      </c>
      <c r="M598">
        <f t="shared" si="18"/>
        <v>50</v>
      </c>
      <c r="N598">
        <v>0</v>
      </c>
      <c r="O598">
        <v>50</v>
      </c>
      <c r="P598">
        <v>0</v>
      </c>
      <c r="Q598">
        <v>0</v>
      </c>
      <c r="R598">
        <v>0</v>
      </c>
      <c r="S598">
        <v>0</v>
      </c>
    </row>
    <row r="599" spans="1:19" x14ac:dyDescent="0.25">
      <c r="A599">
        <v>18049</v>
      </c>
      <c r="B599" t="s">
        <v>53</v>
      </c>
      <c r="C599">
        <v>21</v>
      </c>
      <c r="D599">
        <v>10.6375128640917</v>
      </c>
      <c r="E599">
        <v>0.24268090184239699</v>
      </c>
      <c r="F599">
        <f t="shared" si="19"/>
        <v>1</v>
      </c>
      <c r="G599">
        <v>0</v>
      </c>
      <c r="H599">
        <v>1</v>
      </c>
      <c r="I599">
        <v>0</v>
      </c>
      <c r="J599">
        <v>0</v>
      </c>
      <c r="K599">
        <v>0</v>
      </c>
      <c r="L599">
        <v>0</v>
      </c>
      <c r="M599">
        <f t="shared" si="18"/>
        <v>50</v>
      </c>
      <c r="N599">
        <v>0</v>
      </c>
      <c r="O599">
        <v>50</v>
      </c>
      <c r="P599">
        <v>0</v>
      </c>
      <c r="Q599">
        <v>0</v>
      </c>
      <c r="R599">
        <v>0</v>
      </c>
      <c r="S599">
        <v>0</v>
      </c>
    </row>
    <row r="600" spans="1:19" x14ac:dyDescent="0.25">
      <c r="A600">
        <v>18049</v>
      </c>
      <c r="B600" t="s">
        <v>53</v>
      </c>
      <c r="C600">
        <v>22</v>
      </c>
      <c r="D600">
        <v>11.972257824224901</v>
      </c>
      <c r="E600">
        <v>0.24268090184239699</v>
      </c>
      <c r="F600">
        <f t="shared" si="19"/>
        <v>1</v>
      </c>
      <c r="G600">
        <v>0</v>
      </c>
      <c r="H600">
        <v>1</v>
      </c>
      <c r="I600">
        <v>0</v>
      </c>
      <c r="J600">
        <v>0</v>
      </c>
      <c r="K600">
        <v>0</v>
      </c>
      <c r="L600">
        <v>0</v>
      </c>
      <c r="M600">
        <f t="shared" si="18"/>
        <v>50</v>
      </c>
      <c r="N600">
        <v>0</v>
      </c>
      <c r="O600">
        <v>50</v>
      </c>
      <c r="P600">
        <v>0</v>
      </c>
      <c r="Q600">
        <v>0</v>
      </c>
      <c r="R600">
        <v>0</v>
      </c>
      <c r="S600">
        <v>0</v>
      </c>
    </row>
    <row r="601" spans="1:19" x14ac:dyDescent="0.25">
      <c r="A601">
        <v>18049</v>
      </c>
      <c r="B601" t="s">
        <v>53</v>
      </c>
      <c r="C601">
        <v>23</v>
      </c>
      <c r="D601">
        <v>13.1047686994894</v>
      </c>
      <c r="E601">
        <v>0.24268090184239699</v>
      </c>
      <c r="F601">
        <f t="shared" si="19"/>
        <v>1</v>
      </c>
      <c r="G601">
        <v>0</v>
      </c>
      <c r="H601">
        <v>1</v>
      </c>
      <c r="I601">
        <v>0</v>
      </c>
      <c r="J601">
        <v>0</v>
      </c>
      <c r="K601">
        <v>0</v>
      </c>
      <c r="L601">
        <v>0</v>
      </c>
      <c r="M601">
        <f t="shared" si="18"/>
        <v>50</v>
      </c>
      <c r="N601">
        <v>0</v>
      </c>
      <c r="O601">
        <v>50</v>
      </c>
      <c r="P601">
        <v>0</v>
      </c>
      <c r="Q601">
        <v>0</v>
      </c>
      <c r="R601">
        <v>0</v>
      </c>
      <c r="S601">
        <v>0</v>
      </c>
    </row>
    <row r="602" spans="1:19" x14ac:dyDescent="0.25">
      <c r="A602">
        <v>18051</v>
      </c>
      <c r="B602" t="s">
        <v>54</v>
      </c>
      <c r="C602">
        <v>0</v>
      </c>
      <c r="D602">
        <v>253</v>
      </c>
      <c r="E602">
        <v>1.68373842592592</v>
      </c>
      <c r="F602">
        <f t="shared" si="19"/>
        <v>3</v>
      </c>
      <c r="G602">
        <v>1</v>
      </c>
      <c r="H602">
        <v>2</v>
      </c>
      <c r="I602">
        <v>0</v>
      </c>
      <c r="J602">
        <v>0</v>
      </c>
      <c r="K602">
        <v>0</v>
      </c>
      <c r="L602">
        <v>0</v>
      </c>
      <c r="M602">
        <f t="shared" si="18"/>
        <v>220</v>
      </c>
      <c r="N602">
        <v>100</v>
      </c>
      <c r="O602">
        <v>120</v>
      </c>
      <c r="P602">
        <v>0</v>
      </c>
      <c r="Q602">
        <v>0</v>
      </c>
      <c r="R602">
        <v>0</v>
      </c>
      <c r="S602">
        <v>0</v>
      </c>
    </row>
    <row r="603" spans="1:19" x14ac:dyDescent="0.25">
      <c r="A603">
        <v>18051</v>
      </c>
      <c r="B603" t="s">
        <v>54</v>
      </c>
      <c r="C603">
        <v>1</v>
      </c>
      <c r="D603">
        <v>251.145447530864</v>
      </c>
      <c r="E603">
        <v>1.68373842592592</v>
      </c>
      <c r="F603">
        <f t="shared" si="19"/>
        <v>3</v>
      </c>
      <c r="G603">
        <v>1</v>
      </c>
      <c r="H603">
        <v>2</v>
      </c>
      <c r="I603">
        <v>0</v>
      </c>
      <c r="J603">
        <v>0</v>
      </c>
      <c r="K603">
        <v>0</v>
      </c>
      <c r="L603">
        <v>0</v>
      </c>
      <c r="M603">
        <f t="shared" si="18"/>
        <v>220</v>
      </c>
      <c r="N603">
        <v>100</v>
      </c>
      <c r="O603">
        <v>120</v>
      </c>
      <c r="P603">
        <v>0</v>
      </c>
      <c r="Q603">
        <v>0</v>
      </c>
      <c r="R603">
        <v>0</v>
      </c>
      <c r="S603">
        <v>0</v>
      </c>
    </row>
    <row r="604" spans="1:19" x14ac:dyDescent="0.25">
      <c r="A604">
        <v>18051</v>
      </c>
      <c r="B604" t="s">
        <v>54</v>
      </c>
      <c r="C604">
        <v>2</v>
      </c>
      <c r="D604">
        <v>247.509548611111</v>
      </c>
      <c r="E604">
        <v>1.87895447530864</v>
      </c>
      <c r="F604">
        <f t="shared" si="19"/>
        <v>3</v>
      </c>
      <c r="G604">
        <v>1</v>
      </c>
      <c r="H604">
        <v>2</v>
      </c>
      <c r="I604">
        <v>0</v>
      </c>
      <c r="J604">
        <v>0</v>
      </c>
      <c r="K604">
        <v>0</v>
      </c>
      <c r="L604">
        <v>0</v>
      </c>
      <c r="M604">
        <f t="shared" si="18"/>
        <v>220</v>
      </c>
      <c r="N604">
        <v>100</v>
      </c>
      <c r="O604">
        <v>120</v>
      </c>
      <c r="P604">
        <v>0</v>
      </c>
      <c r="Q604">
        <v>0</v>
      </c>
      <c r="R604">
        <v>0</v>
      </c>
      <c r="S604">
        <v>0</v>
      </c>
    </row>
    <row r="605" spans="1:19" x14ac:dyDescent="0.25">
      <c r="A605">
        <v>18051</v>
      </c>
      <c r="B605" t="s">
        <v>54</v>
      </c>
      <c r="C605">
        <v>3</v>
      </c>
      <c r="D605">
        <v>241.04301697530801</v>
      </c>
      <c r="E605">
        <v>1.9521604938271599</v>
      </c>
      <c r="F605">
        <f t="shared" si="19"/>
        <v>3</v>
      </c>
      <c r="G605">
        <v>1</v>
      </c>
      <c r="H605">
        <v>2</v>
      </c>
      <c r="I605">
        <v>0</v>
      </c>
      <c r="J605">
        <v>0</v>
      </c>
      <c r="K605">
        <v>0</v>
      </c>
      <c r="L605">
        <v>0</v>
      </c>
      <c r="M605">
        <f t="shared" si="18"/>
        <v>220</v>
      </c>
      <c r="N605">
        <v>100</v>
      </c>
      <c r="O605">
        <v>120</v>
      </c>
      <c r="P605">
        <v>0</v>
      </c>
      <c r="Q605">
        <v>0</v>
      </c>
      <c r="R605">
        <v>0</v>
      </c>
      <c r="S605">
        <v>0</v>
      </c>
    </row>
    <row r="606" spans="1:19" x14ac:dyDescent="0.25">
      <c r="A606">
        <v>18051</v>
      </c>
      <c r="B606" t="s">
        <v>54</v>
      </c>
      <c r="C606">
        <v>4</v>
      </c>
      <c r="D606">
        <v>229.696084104938</v>
      </c>
      <c r="E606">
        <v>2.3425925925925899</v>
      </c>
      <c r="F606">
        <f t="shared" si="19"/>
        <v>3</v>
      </c>
      <c r="G606">
        <v>1</v>
      </c>
      <c r="H606">
        <v>2</v>
      </c>
      <c r="I606">
        <v>0</v>
      </c>
      <c r="J606">
        <v>0</v>
      </c>
      <c r="K606">
        <v>0</v>
      </c>
      <c r="L606">
        <v>0</v>
      </c>
      <c r="M606">
        <f t="shared" si="18"/>
        <v>220</v>
      </c>
      <c r="N606">
        <v>100</v>
      </c>
      <c r="O606">
        <v>120</v>
      </c>
      <c r="P606">
        <v>0</v>
      </c>
      <c r="Q606">
        <v>0</v>
      </c>
      <c r="R606">
        <v>0</v>
      </c>
      <c r="S606">
        <v>0</v>
      </c>
    </row>
    <row r="607" spans="1:19" x14ac:dyDescent="0.25">
      <c r="A607">
        <v>18051</v>
      </c>
      <c r="B607" t="s">
        <v>54</v>
      </c>
      <c r="C607">
        <v>5</v>
      </c>
      <c r="D607">
        <v>213.95679012345599</v>
      </c>
      <c r="E607">
        <v>2.6354166666666599</v>
      </c>
      <c r="F607">
        <f t="shared" si="19"/>
        <v>3</v>
      </c>
      <c r="G607">
        <v>1</v>
      </c>
      <c r="H607">
        <v>2</v>
      </c>
      <c r="I607">
        <v>0</v>
      </c>
      <c r="J607">
        <v>0</v>
      </c>
      <c r="K607">
        <v>0</v>
      </c>
      <c r="L607">
        <v>0</v>
      </c>
      <c r="M607">
        <f t="shared" si="18"/>
        <v>220</v>
      </c>
      <c r="N607">
        <v>100</v>
      </c>
      <c r="O607">
        <v>120</v>
      </c>
      <c r="P607">
        <v>0</v>
      </c>
      <c r="Q607">
        <v>0</v>
      </c>
      <c r="R607">
        <v>0</v>
      </c>
      <c r="S607">
        <v>0</v>
      </c>
    </row>
    <row r="608" spans="1:19" x14ac:dyDescent="0.25">
      <c r="A608">
        <v>18051</v>
      </c>
      <c r="B608" t="s">
        <v>54</v>
      </c>
      <c r="C608">
        <v>6</v>
      </c>
      <c r="D608">
        <v>190.45765817901199</v>
      </c>
      <c r="E608">
        <v>2.80623070987654</v>
      </c>
      <c r="F608">
        <f t="shared" si="19"/>
        <v>3</v>
      </c>
      <c r="G608">
        <v>1</v>
      </c>
      <c r="H608">
        <v>2</v>
      </c>
      <c r="I608">
        <v>0</v>
      </c>
      <c r="J608">
        <v>0</v>
      </c>
      <c r="K608">
        <v>0</v>
      </c>
      <c r="L608">
        <v>0</v>
      </c>
      <c r="M608">
        <f t="shared" si="18"/>
        <v>220</v>
      </c>
      <c r="N608">
        <v>100</v>
      </c>
      <c r="O608">
        <v>120</v>
      </c>
      <c r="P608">
        <v>0</v>
      </c>
      <c r="Q608">
        <v>0</v>
      </c>
      <c r="R608">
        <v>0</v>
      </c>
      <c r="S608">
        <v>0</v>
      </c>
    </row>
    <row r="609" spans="1:19" x14ac:dyDescent="0.25">
      <c r="A609">
        <v>18051</v>
      </c>
      <c r="B609" t="s">
        <v>54</v>
      </c>
      <c r="C609">
        <v>7</v>
      </c>
      <c r="D609">
        <v>159.662326388888</v>
      </c>
      <c r="E609">
        <v>3.41628086419753</v>
      </c>
      <c r="F609">
        <f t="shared" si="19"/>
        <v>3</v>
      </c>
      <c r="G609">
        <v>1</v>
      </c>
      <c r="H609">
        <v>2</v>
      </c>
      <c r="I609">
        <v>0</v>
      </c>
      <c r="J609">
        <v>0</v>
      </c>
      <c r="K609">
        <v>0</v>
      </c>
      <c r="L609">
        <v>0</v>
      </c>
      <c r="M609">
        <f t="shared" si="18"/>
        <v>220</v>
      </c>
      <c r="N609">
        <v>100</v>
      </c>
      <c r="O609">
        <v>120</v>
      </c>
      <c r="P609">
        <v>0</v>
      </c>
      <c r="Q609">
        <v>0</v>
      </c>
      <c r="R609">
        <v>0</v>
      </c>
      <c r="S609">
        <v>0</v>
      </c>
    </row>
    <row r="610" spans="1:19" x14ac:dyDescent="0.25">
      <c r="A610">
        <v>18051</v>
      </c>
      <c r="B610" t="s">
        <v>54</v>
      </c>
      <c r="C610">
        <v>8</v>
      </c>
      <c r="D610">
        <v>126.939236111111</v>
      </c>
      <c r="E610">
        <v>4.4167631172839501</v>
      </c>
      <c r="F610">
        <f t="shared" si="19"/>
        <v>3</v>
      </c>
      <c r="G610">
        <v>1</v>
      </c>
      <c r="H610">
        <v>2</v>
      </c>
      <c r="I610">
        <v>0</v>
      </c>
      <c r="J610">
        <v>0</v>
      </c>
      <c r="K610">
        <v>0</v>
      </c>
      <c r="L610">
        <v>0</v>
      </c>
      <c r="M610">
        <f t="shared" si="18"/>
        <v>220</v>
      </c>
      <c r="N610">
        <v>100</v>
      </c>
      <c r="O610">
        <v>120</v>
      </c>
      <c r="P610">
        <v>0</v>
      </c>
      <c r="Q610">
        <v>0</v>
      </c>
      <c r="R610">
        <v>0</v>
      </c>
      <c r="S610">
        <v>0</v>
      </c>
    </row>
    <row r="611" spans="1:19" x14ac:dyDescent="0.25">
      <c r="A611">
        <v>18051</v>
      </c>
      <c r="B611" t="s">
        <v>54</v>
      </c>
      <c r="C611">
        <v>9</v>
      </c>
      <c r="D611">
        <v>108.78414351851799</v>
      </c>
      <c r="E611">
        <v>5.8076774691358004</v>
      </c>
      <c r="F611">
        <f t="shared" si="19"/>
        <v>3</v>
      </c>
      <c r="G611">
        <v>1</v>
      </c>
      <c r="H611">
        <v>2</v>
      </c>
      <c r="I611">
        <v>0</v>
      </c>
      <c r="J611">
        <v>0</v>
      </c>
      <c r="K611">
        <v>0</v>
      </c>
      <c r="L611">
        <v>0</v>
      </c>
      <c r="M611">
        <f t="shared" si="18"/>
        <v>220</v>
      </c>
      <c r="N611">
        <v>100</v>
      </c>
      <c r="O611">
        <v>120</v>
      </c>
      <c r="P611">
        <v>0</v>
      </c>
      <c r="Q611">
        <v>0</v>
      </c>
      <c r="R611">
        <v>0</v>
      </c>
      <c r="S611">
        <v>0</v>
      </c>
    </row>
    <row r="612" spans="1:19" x14ac:dyDescent="0.25">
      <c r="A612">
        <v>18051</v>
      </c>
      <c r="B612" t="s">
        <v>54</v>
      </c>
      <c r="C612">
        <v>10</v>
      </c>
      <c r="D612">
        <v>104.098958333333</v>
      </c>
      <c r="E612">
        <v>5.00241126543209</v>
      </c>
      <c r="F612">
        <f t="shared" si="19"/>
        <v>3</v>
      </c>
      <c r="G612">
        <v>1</v>
      </c>
      <c r="H612">
        <v>2</v>
      </c>
      <c r="I612">
        <v>0</v>
      </c>
      <c r="J612">
        <v>0</v>
      </c>
      <c r="K612">
        <v>0</v>
      </c>
      <c r="L612">
        <v>0</v>
      </c>
      <c r="M612">
        <f t="shared" si="18"/>
        <v>220</v>
      </c>
      <c r="N612">
        <v>100</v>
      </c>
      <c r="O612">
        <v>120</v>
      </c>
      <c r="P612">
        <v>0</v>
      </c>
      <c r="Q612">
        <v>0</v>
      </c>
      <c r="R612">
        <v>0</v>
      </c>
      <c r="S612">
        <v>0</v>
      </c>
    </row>
    <row r="613" spans="1:19" x14ac:dyDescent="0.25">
      <c r="A613">
        <v>18051</v>
      </c>
      <c r="B613" t="s">
        <v>54</v>
      </c>
      <c r="C613">
        <v>11</v>
      </c>
      <c r="D613">
        <v>109.418595679012</v>
      </c>
      <c r="E613">
        <v>5.2952353395061698</v>
      </c>
      <c r="F613">
        <f t="shared" si="19"/>
        <v>3</v>
      </c>
      <c r="G613">
        <v>1</v>
      </c>
      <c r="H613">
        <v>2</v>
      </c>
      <c r="I613">
        <v>0</v>
      </c>
      <c r="J613">
        <v>0</v>
      </c>
      <c r="K613">
        <v>0</v>
      </c>
      <c r="L613">
        <v>0</v>
      </c>
      <c r="M613">
        <f t="shared" si="18"/>
        <v>220</v>
      </c>
      <c r="N613">
        <v>100</v>
      </c>
      <c r="O613">
        <v>120</v>
      </c>
      <c r="P613">
        <v>0</v>
      </c>
      <c r="Q613">
        <v>0</v>
      </c>
      <c r="R613">
        <v>0</v>
      </c>
      <c r="S613">
        <v>0</v>
      </c>
    </row>
    <row r="614" spans="1:19" x14ac:dyDescent="0.25">
      <c r="A614">
        <v>18051</v>
      </c>
      <c r="B614" t="s">
        <v>54</v>
      </c>
      <c r="C614">
        <v>12</v>
      </c>
      <c r="D614">
        <v>111.541570216049</v>
      </c>
      <c r="E614">
        <v>3.75790895061728</v>
      </c>
      <c r="F614">
        <f t="shared" si="19"/>
        <v>3</v>
      </c>
      <c r="G614">
        <v>1</v>
      </c>
      <c r="H614">
        <v>2</v>
      </c>
      <c r="I614">
        <v>0</v>
      </c>
      <c r="J614">
        <v>0</v>
      </c>
      <c r="K614">
        <v>0</v>
      </c>
      <c r="L614">
        <v>0</v>
      </c>
      <c r="M614">
        <f t="shared" si="18"/>
        <v>220</v>
      </c>
      <c r="N614">
        <v>100</v>
      </c>
      <c r="O614">
        <v>120</v>
      </c>
      <c r="P614">
        <v>0</v>
      </c>
      <c r="Q614">
        <v>0</v>
      </c>
      <c r="R614">
        <v>0</v>
      </c>
      <c r="S614">
        <v>0</v>
      </c>
    </row>
    <row r="615" spans="1:19" x14ac:dyDescent="0.25">
      <c r="A615">
        <v>18051</v>
      </c>
      <c r="B615" t="s">
        <v>54</v>
      </c>
      <c r="C615">
        <v>13</v>
      </c>
      <c r="D615">
        <v>114.250192901234</v>
      </c>
      <c r="E615">
        <v>2.7086226851851798</v>
      </c>
      <c r="F615">
        <f t="shared" si="19"/>
        <v>3</v>
      </c>
      <c r="G615">
        <v>1</v>
      </c>
      <c r="H615">
        <v>2</v>
      </c>
      <c r="I615">
        <v>0</v>
      </c>
      <c r="J615">
        <v>0</v>
      </c>
      <c r="K615">
        <v>0</v>
      </c>
      <c r="L615">
        <v>0</v>
      </c>
      <c r="M615">
        <f t="shared" si="18"/>
        <v>220</v>
      </c>
      <c r="N615">
        <v>100</v>
      </c>
      <c r="O615">
        <v>120</v>
      </c>
      <c r="P615">
        <v>0</v>
      </c>
      <c r="Q615">
        <v>0</v>
      </c>
      <c r="R615">
        <v>0</v>
      </c>
      <c r="S615">
        <v>0</v>
      </c>
    </row>
    <row r="616" spans="1:19" x14ac:dyDescent="0.25">
      <c r="A616">
        <v>18051</v>
      </c>
      <c r="B616" t="s">
        <v>54</v>
      </c>
      <c r="C616">
        <v>14</v>
      </c>
      <c r="D616">
        <v>121.326774691358</v>
      </c>
      <c r="E616">
        <v>1.68373842592592</v>
      </c>
      <c r="F616">
        <f t="shared" si="19"/>
        <v>3</v>
      </c>
      <c r="G616">
        <v>1</v>
      </c>
      <c r="H616">
        <v>2</v>
      </c>
      <c r="I616">
        <v>0</v>
      </c>
      <c r="J616">
        <v>0</v>
      </c>
      <c r="K616">
        <v>0</v>
      </c>
      <c r="L616">
        <v>0</v>
      </c>
      <c r="M616">
        <f t="shared" si="18"/>
        <v>220</v>
      </c>
      <c r="N616">
        <v>100</v>
      </c>
      <c r="O616">
        <v>120</v>
      </c>
      <c r="P616">
        <v>0</v>
      </c>
      <c r="Q616">
        <v>0</v>
      </c>
      <c r="R616">
        <v>0</v>
      </c>
      <c r="S616">
        <v>0</v>
      </c>
    </row>
    <row r="617" spans="1:19" x14ac:dyDescent="0.25">
      <c r="A617">
        <v>18051</v>
      </c>
      <c r="B617" t="s">
        <v>54</v>
      </c>
      <c r="C617">
        <v>15</v>
      </c>
      <c r="D617">
        <v>130.42872299382699</v>
      </c>
      <c r="E617">
        <v>0.90287422839506104</v>
      </c>
      <c r="F617">
        <f t="shared" si="19"/>
        <v>3</v>
      </c>
      <c r="G617">
        <v>1</v>
      </c>
      <c r="H617">
        <v>2</v>
      </c>
      <c r="I617">
        <v>0</v>
      </c>
      <c r="J617">
        <v>0</v>
      </c>
      <c r="K617">
        <v>0</v>
      </c>
      <c r="L617">
        <v>0</v>
      </c>
      <c r="M617">
        <f t="shared" si="18"/>
        <v>220</v>
      </c>
      <c r="N617">
        <v>100</v>
      </c>
      <c r="O617">
        <v>120</v>
      </c>
      <c r="P617">
        <v>0</v>
      </c>
      <c r="Q617">
        <v>0</v>
      </c>
      <c r="R617">
        <v>0</v>
      </c>
      <c r="S617">
        <v>0</v>
      </c>
    </row>
    <row r="618" spans="1:19" x14ac:dyDescent="0.25">
      <c r="A618">
        <v>18051</v>
      </c>
      <c r="B618" t="s">
        <v>54</v>
      </c>
      <c r="C618">
        <v>16</v>
      </c>
      <c r="D618">
        <v>146.97328317901199</v>
      </c>
      <c r="E618">
        <v>0.87847222222222199</v>
      </c>
      <c r="F618">
        <f t="shared" si="19"/>
        <v>3</v>
      </c>
      <c r="G618">
        <v>1</v>
      </c>
      <c r="H618">
        <v>2</v>
      </c>
      <c r="I618">
        <v>0</v>
      </c>
      <c r="J618">
        <v>0</v>
      </c>
      <c r="K618">
        <v>0</v>
      </c>
      <c r="L618">
        <v>0</v>
      </c>
      <c r="M618">
        <f t="shared" si="18"/>
        <v>220</v>
      </c>
      <c r="N618">
        <v>100</v>
      </c>
      <c r="O618">
        <v>120</v>
      </c>
      <c r="P618">
        <v>0</v>
      </c>
      <c r="Q618">
        <v>0</v>
      </c>
      <c r="R618">
        <v>0</v>
      </c>
      <c r="S618">
        <v>0</v>
      </c>
    </row>
    <row r="619" spans="1:19" x14ac:dyDescent="0.25">
      <c r="A619">
        <v>18051</v>
      </c>
      <c r="B619" t="s">
        <v>54</v>
      </c>
      <c r="C619">
        <v>17</v>
      </c>
      <c r="D619">
        <v>170.03317901234499</v>
      </c>
      <c r="E619">
        <v>0.82966820987654299</v>
      </c>
      <c r="F619">
        <f t="shared" si="19"/>
        <v>3</v>
      </c>
      <c r="G619">
        <v>1</v>
      </c>
      <c r="H619">
        <v>2</v>
      </c>
      <c r="I619">
        <v>0</v>
      </c>
      <c r="J619">
        <v>0</v>
      </c>
      <c r="K619">
        <v>0</v>
      </c>
      <c r="L619">
        <v>0</v>
      </c>
      <c r="M619">
        <f t="shared" si="18"/>
        <v>220</v>
      </c>
      <c r="N619">
        <v>100</v>
      </c>
      <c r="O619">
        <v>120</v>
      </c>
      <c r="P619">
        <v>0</v>
      </c>
      <c r="Q619">
        <v>0</v>
      </c>
      <c r="R619">
        <v>0</v>
      </c>
      <c r="S619">
        <v>0</v>
      </c>
    </row>
    <row r="620" spans="1:19" x14ac:dyDescent="0.25">
      <c r="A620">
        <v>18051</v>
      </c>
      <c r="B620" t="s">
        <v>54</v>
      </c>
      <c r="C620">
        <v>18</v>
      </c>
      <c r="D620">
        <v>192.84905478395001</v>
      </c>
      <c r="E620">
        <v>0.82966820987654299</v>
      </c>
      <c r="F620">
        <f t="shared" si="19"/>
        <v>3</v>
      </c>
      <c r="G620">
        <v>1</v>
      </c>
      <c r="H620">
        <v>2</v>
      </c>
      <c r="I620">
        <v>0</v>
      </c>
      <c r="J620">
        <v>0</v>
      </c>
      <c r="K620">
        <v>0</v>
      </c>
      <c r="L620">
        <v>0</v>
      </c>
      <c r="M620">
        <f t="shared" si="18"/>
        <v>220</v>
      </c>
      <c r="N620">
        <v>100</v>
      </c>
      <c r="O620">
        <v>120</v>
      </c>
      <c r="P620">
        <v>0</v>
      </c>
      <c r="Q620">
        <v>0</v>
      </c>
      <c r="R620">
        <v>0</v>
      </c>
      <c r="S620">
        <v>0</v>
      </c>
    </row>
    <row r="621" spans="1:19" x14ac:dyDescent="0.25">
      <c r="A621">
        <v>18051</v>
      </c>
      <c r="B621" t="s">
        <v>54</v>
      </c>
      <c r="C621">
        <v>19</v>
      </c>
      <c r="D621">
        <v>213.249131944444</v>
      </c>
      <c r="E621">
        <v>0.75646219135802395</v>
      </c>
      <c r="F621">
        <f t="shared" si="19"/>
        <v>3</v>
      </c>
      <c r="G621">
        <v>1</v>
      </c>
      <c r="H621">
        <v>2</v>
      </c>
      <c r="I621">
        <v>0</v>
      </c>
      <c r="J621">
        <v>0</v>
      </c>
      <c r="K621">
        <v>0</v>
      </c>
      <c r="L621">
        <v>0</v>
      </c>
      <c r="M621">
        <f t="shared" si="18"/>
        <v>220</v>
      </c>
      <c r="N621">
        <v>100</v>
      </c>
      <c r="O621">
        <v>120</v>
      </c>
      <c r="P621">
        <v>0</v>
      </c>
      <c r="Q621">
        <v>0</v>
      </c>
      <c r="R621">
        <v>0</v>
      </c>
      <c r="S621">
        <v>0</v>
      </c>
    </row>
    <row r="622" spans="1:19" x14ac:dyDescent="0.25">
      <c r="A622">
        <v>18051</v>
      </c>
      <c r="B622" t="s">
        <v>54</v>
      </c>
      <c r="C622">
        <v>20</v>
      </c>
      <c r="D622">
        <v>228.842013888888</v>
      </c>
      <c r="E622">
        <v>0.87847222222222199</v>
      </c>
      <c r="F622">
        <f t="shared" si="19"/>
        <v>3</v>
      </c>
      <c r="G622">
        <v>1</v>
      </c>
      <c r="H622">
        <v>2</v>
      </c>
      <c r="I622">
        <v>0</v>
      </c>
      <c r="J622">
        <v>0</v>
      </c>
      <c r="K622">
        <v>0</v>
      </c>
      <c r="L622">
        <v>0</v>
      </c>
      <c r="M622">
        <f t="shared" si="18"/>
        <v>220</v>
      </c>
      <c r="N622">
        <v>100</v>
      </c>
      <c r="O622">
        <v>120</v>
      </c>
      <c r="P622">
        <v>0</v>
      </c>
      <c r="Q622">
        <v>0</v>
      </c>
      <c r="R622">
        <v>0</v>
      </c>
      <c r="S622">
        <v>0</v>
      </c>
    </row>
    <row r="623" spans="1:19" x14ac:dyDescent="0.25">
      <c r="A623">
        <v>18051</v>
      </c>
      <c r="B623" t="s">
        <v>54</v>
      </c>
      <c r="C623">
        <v>21</v>
      </c>
      <c r="D623">
        <v>240.60378086419701</v>
      </c>
      <c r="E623">
        <v>1.4153163580246899</v>
      </c>
      <c r="F623">
        <f t="shared" si="19"/>
        <v>3</v>
      </c>
      <c r="G623">
        <v>1</v>
      </c>
      <c r="H623">
        <v>2</v>
      </c>
      <c r="I623">
        <v>0</v>
      </c>
      <c r="J623">
        <v>0</v>
      </c>
      <c r="K623">
        <v>0</v>
      </c>
      <c r="L623">
        <v>0</v>
      </c>
      <c r="M623">
        <f t="shared" si="18"/>
        <v>220</v>
      </c>
      <c r="N623">
        <v>100</v>
      </c>
      <c r="O623">
        <v>120</v>
      </c>
      <c r="P623">
        <v>0</v>
      </c>
      <c r="Q623">
        <v>0</v>
      </c>
      <c r="R623">
        <v>0</v>
      </c>
      <c r="S623">
        <v>0</v>
      </c>
    </row>
    <row r="624" spans="1:19" x14ac:dyDescent="0.25">
      <c r="A624">
        <v>18051</v>
      </c>
      <c r="B624" t="s">
        <v>54</v>
      </c>
      <c r="C624">
        <v>22</v>
      </c>
      <c r="D624">
        <v>246.43586033950601</v>
      </c>
      <c r="E624">
        <v>1.53732638888888</v>
      </c>
      <c r="F624">
        <f t="shared" si="19"/>
        <v>3</v>
      </c>
      <c r="G624">
        <v>1</v>
      </c>
      <c r="H624">
        <v>2</v>
      </c>
      <c r="I624">
        <v>0</v>
      </c>
      <c r="J624">
        <v>0</v>
      </c>
      <c r="K624">
        <v>0</v>
      </c>
      <c r="L624">
        <v>0</v>
      </c>
      <c r="M624">
        <f t="shared" si="18"/>
        <v>220</v>
      </c>
      <c r="N624">
        <v>100</v>
      </c>
      <c r="O624">
        <v>120</v>
      </c>
      <c r="P624">
        <v>0</v>
      </c>
      <c r="Q624">
        <v>0</v>
      </c>
      <c r="R624">
        <v>0</v>
      </c>
      <c r="S624">
        <v>0</v>
      </c>
    </row>
    <row r="625" spans="1:19" x14ac:dyDescent="0.25">
      <c r="A625">
        <v>18051</v>
      </c>
      <c r="B625" t="s">
        <v>54</v>
      </c>
      <c r="C625">
        <v>23</v>
      </c>
      <c r="D625">
        <v>250.51099537037001</v>
      </c>
      <c r="E625">
        <v>1.5861304012345601</v>
      </c>
      <c r="F625">
        <f t="shared" si="19"/>
        <v>3</v>
      </c>
      <c r="G625">
        <v>1</v>
      </c>
      <c r="H625">
        <v>2</v>
      </c>
      <c r="I625">
        <v>0</v>
      </c>
      <c r="J625">
        <v>0</v>
      </c>
      <c r="K625">
        <v>0</v>
      </c>
      <c r="L625">
        <v>0</v>
      </c>
      <c r="M625">
        <f t="shared" si="18"/>
        <v>220</v>
      </c>
      <c r="N625">
        <v>100</v>
      </c>
      <c r="O625">
        <v>120</v>
      </c>
      <c r="P625">
        <v>0</v>
      </c>
      <c r="Q625">
        <v>0</v>
      </c>
      <c r="R625">
        <v>0</v>
      </c>
      <c r="S625">
        <v>0</v>
      </c>
    </row>
    <row r="626" spans="1:19" x14ac:dyDescent="0.25">
      <c r="A626">
        <v>18053</v>
      </c>
      <c r="B626" t="s">
        <v>55</v>
      </c>
      <c r="C626">
        <v>0</v>
      </c>
      <c r="D626">
        <v>131.65601954966101</v>
      </c>
      <c r="E626">
        <v>4.7610413900430002</v>
      </c>
      <c r="F626">
        <f t="shared" si="19"/>
        <v>6</v>
      </c>
      <c r="G626">
        <v>0</v>
      </c>
      <c r="H626">
        <v>1</v>
      </c>
      <c r="I626">
        <v>5</v>
      </c>
      <c r="J626">
        <v>0</v>
      </c>
      <c r="K626">
        <v>0</v>
      </c>
      <c r="L626">
        <v>0</v>
      </c>
      <c r="M626">
        <f t="shared" si="18"/>
        <v>149</v>
      </c>
      <c r="N626">
        <v>0</v>
      </c>
      <c r="O626">
        <v>64</v>
      </c>
      <c r="P626">
        <v>85</v>
      </c>
      <c r="Q626">
        <v>0</v>
      </c>
      <c r="R626">
        <v>0</v>
      </c>
      <c r="S626">
        <v>0</v>
      </c>
    </row>
    <row r="627" spans="1:19" x14ac:dyDescent="0.25">
      <c r="A627">
        <v>18053</v>
      </c>
      <c r="B627" t="s">
        <v>55</v>
      </c>
      <c r="C627">
        <v>1</v>
      </c>
      <c r="D627">
        <v>134.76392156816101</v>
      </c>
      <c r="E627">
        <v>5.5214855009526502</v>
      </c>
      <c r="F627">
        <f t="shared" si="19"/>
        <v>6</v>
      </c>
      <c r="G627">
        <v>0</v>
      </c>
      <c r="H627">
        <v>1</v>
      </c>
      <c r="I627">
        <v>5</v>
      </c>
      <c r="J627">
        <v>0</v>
      </c>
      <c r="K627">
        <v>0</v>
      </c>
      <c r="L627">
        <v>0</v>
      </c>
      <c r="M627">
        <f t="shared" si="18"/>
        <v>149</v>
      </c>
      <c r="N627">
        <v>0</v>
      </c>
      <c r="O627">
        <v>64</v>
      </c>
      <c r="P627">
        <v>85</v>
      </c>
      <c r="Q627">
        <v>0</v>
      </c>
      <c r="R627">
        <v>0</v>
      </c>
      <c r="S627">
        <v>0</v>
      </c>
    </row>
    <row r="628" spans="1:19" x14ac:dyDescent="0.25">
      <c r="A628">
        <v>18053</v>
      </c>
      <c r="B628" t="s">
        <v>55</v>
      </c>
      <c r="C628">
        <v>2</v>
      </c>
      <c r="D628">
        <v>137.177505050614</v>
      </c>
      <c r="E628">
        <v>5.8851761626920496</v>
      </c>
      <c r="F628">
        <f t="shared" si="19"/>
        <v>6</v>
      </c>
      <c r="G628">
        <v>0</v>
      </c>
      <c r="H628">
        <v>1</v>
      </c>
      <c r="I628">
        <v>5</v>
      </c>
      <c r="J628">
        <v>0</v>
      </c>
      <c r="K628">
        <v>0</v>
      </c>
      <c r="L628">
        <v>0</v>
      </c>
      <c r="M628">
        <f t="shared" si="18"/>
        <v>149</v>
      </c>
      <c r="N628">
        <v>0</v>
      </c>
      <c r="O628">
        <v>64</v>
      </c>
      <c r="P628">
        <v>85</v>
      </c>
      <c r="Q628">
        <v>0</v>
      </c>
      <c r="R628">
        <v>0</v>
      </c>
      <c r="S628">
        <v>0</v>
      </c>
    </row>
    <row r="629" spans="1:19" x14ac:dyDescent="0.25">
      <c r="A629">
        <v>18053</v>
      </c>
      <c r="B629" t="s">
        <v>55</v>
      </c>
      <c r="C629">
        <v>3</v>
      </c>
      <c r="D629">
        <v>133.30915892120399</v>
      </c>
      <c r="E629">
        <v>6.18274124956974</v>
      </c>
      <c r="F629">
        <f t="shared" si="19"/>
        <v>6</v>
      </c>
      <c r="G629">
        <v>0</v>
      </c>
      <c r="H629">
        <v>1</v>
      </c>
      <c r="I629">
        <v>5</v>
      </c>
      <c r="J629">
        <v>0</v>
      </c>
      <c r="K629">
        <v>0</v>
      </c>
      <c r="L629">
        <v>0</v>
      </c>
      <c r="M629">
        <f t="shared" si="18"/>
        <v>149</v>
      </c>
      <c r="N629">
        <v>0</v>
      </c>
      <c r="O629">
        <v>64</v>
      </c>
      <c r="P629">
        <v>85</v>
      </c>
      <c r="Q629">
        <v>0</v>
      </c>
      <c r="R629">
        <v>0</v>
      </c>
      <c r="S629">
        <v>0</v>
      </c>
    </row>
    <row r="630" spans="1:19" x14ac:dyDescent="0.25">
      <c r="A630">
        <v>18053</v>
      </c>
      <c r="B630" t="s">
        <v>55</v>
      </c>
      <c r="C630">
        <v>4</v>
      </c>
      <c r="D630">
        <v>127.457045545943</v>
      </c>
      <c r="E630">
        <v>6.0504900998463196</v>
      </c>
      <c r="F630">
        <f t="shared" si="19"/>
        <v>6</v>
      </c>
      <c r="G630">
        <v>0</v>
      </c>
      <c r="H630">
        <v>1</v>
      </c>
      <c r="I630">
        <v>5</v>
      </c>
      <c r="J630">
        <v>0</v>
      </c>
      <c r="K630">
        <v>0</v>
      </c>
      <c r="L630">
        <v>0</v>
      </c>
      <c r="M630">
        <f t="shared" si="18"/>
        <v>149</v>
      </c>
      <c r="N630">
        <v>0</v>
      </c>
      <c r="O630">
        <v>64</v>
      </c>
      <c r="P630">
        <v>85</v>
      </c>
      <c r="Q630">
        <v>0</v>
      </c>
      <c r="R630">
        <v>0</v>
      </c>
      <c r="S630">
        <v>0</v>
      </c>
    </row>
    <row r="631" spans="1:19" x14ac:dyDescent="0.25">
      <c r="A631">
        <v>18053</v>
      </c>
      <c r="B631" t="s">
        <v>55</v>
      </c>
      <c r="C631">
        <v>5</v>
      </c>
      <c r="D631">
        <v>125.109587638352</v>
      </c>
      <c r="E631">
        <v>5.9182389501229</v>
      </c>
      <c r="F631">
        <f t="shared" si="19"/>
        <v>6</v>
      </c>
      <c r="G631">
        <v>0</v>
      </c>
      <c r="H631">
        <v>1</v>
      </c>
      <c r="I631">
        <v>5</v>
      </c>
      <c r="J631">
        <v>0</v>
      </c>
      <c r="K631">
        <v>0</v>
      </c>
      <c r="L631">
        <v>0</v>
      </c>
      <c r="M631">
        <f t="shared" si="18"/>
        <v>149</v>
      </c>
      <c r="N631">
        <v>0</v>
      </c>
      <c r="O631">
        <v>64</v>
      </c>
      <c r="P631">
        <v>85</v>
      </c>
      <c r="Q631">
        <v>0</v>
      </c>
      <c r="R631">
        <v>0</v>
      </c>
      <c r="S631">
        <v>0</v>
      </c>
    </row>
    <row r="632" spans="1:19" x14ac:dyDescent="0.25">
      <c r="A632">
        <v>18053</v>
      </c>
      <c r="B632" t="s">
        <v>55</v>
      </c>
      <c r="C632">
        <v>6</v>
      </c>
      <c r="D632">
        <v>119.687290499692</v>
      </c>
      <c r="E632">
        <v>5.9513017375537602</v>
      </c>
      <c r="F632">
        <f t="shared" si="19"/>
        <v>6</v>
      </c>
      <c r="G632">
        <v>0</v>
      </c>
      <c r="H632">
        <v>1</v>
      </c>
      <c r="I632">
        <v>5</v>
      </c>
      <c r="J632">
        <v>0</v>
      </c>
      <c r="K632">
        <v>0</v>
      </c>
      <c r="L632">
        <v>0</v>
      </c>
      <c r="M632">
        <f t="shared" si="18"/>
        <v>149</v>
      </c>
      <c r="N632">
        <v>0</v>
      </c>
      <c r="O632">
        <v>64</v>
      </c>
      <c r="P632">
        <v>85</v>
      </c>
      <c r="Q632">
        <v>0</v>
      </c>
      <c r="R632">
        <v>0</v>
      </c>
      <c r="S632">
        <v>0</v>
      </c>
    </row>
    <row r="633" spans="1:19" x14ac:dyDescent="0.25">
      <c r="A633">
        <v>18053</v>
      </c>
      <c r="B633" t="s">
        <v>55</v>
      </c>
      <c r="C633">
        <v>7</v>
      </c>
      <c r="D633">
        <v>107.156494063398</v>
      </c>
      <c r="E633">
        <v>7.4391271719422001</v>
      </c>
      <c r="F633">
        <f t="shared" si="19"/>
        <v>6</v>
      </c>
      <c r="G633">
        <v>0</v>
      </c>
      <c r="H633">
        <v>1</v>
      </c>
      <c r="I633">
        <v>5</v>
      </c>
      <c r="J633">
        <v>0</v>
      </c>
      <c r="K633">
        <v>0</v>
      </c>
      <c r="L633">
        <v>0</v>
      </c>
      <c r="M633">
        <f t="shared" si="18"/>
        <v>149</v>
      </c>
      <c r="N633">
        <v>0</v>
      </c>
      <c r="O633">
        <v>64</v>
      </c>
      <c r="P633">
        <v>85</v>
      </c>
      <c r="Q633">
        <v>0</v>
      </c>
      <c r="R633">
        <v>0</v>
      </c>
      <c r="S633">
        <v>0</v>
      </c>
    </row>
    <row r="634" spans="1:19" x14ac:dyDescent="0.25">
      <c r="A634">
        <v>18053</v>
      </c>
      <c r="B634" t="s">
        <v>55</v>
      </c>
      <c r="C634">
        <v>8</v>
      </c>
      <c r="D634">
        <v>90.658163135402305</v>
      </c>
      <c r="E634">
        <v>6.34805518672401</v>
      </c>
      <c r="F634">
        <f t="shared" si="19"/>
        <v>6</v>
      </c>
      <c r="G634">
        <v>0</v>
      </c>
      <c r="H634">
        <v>1</v>
      </c>
      <c r="I634">
        <v>5</v>
      </c>
      <c r="J634">
        <v>0</v>
      </c>
      <c r="K634">
        <v>0</v>
      </c>
      <c r="L634">
        <v>0</v>
      </c>
      <c r="M634">
        <f t="shared" si="18"/>
        <v>149</v>
      </c>
      <c r="N634">
        <v>0</v>
      </c>
      <c r="O634">
        <v>64</v>
      </c>
      <c r="P634">
        <v>85</v>
      </c>
      <c r="Q634">
        <v>0</v>
      </c>
      <c r="R634">
        <v>0</v>
      </c>
      <c r="S634">
        <v>0</v>
      </c>
    </row>
    <row r="635" spans="1:19" x14ac:dyDescent="0.25">
      <c r="A635">
        <v>18053</v>
      </c>
      <c r="B635" t="s">
        <v>55</v>
      </c>
      <c r="C635">
        <v>9</v>
      </c>
      <c r="D635">
        <v>83.185973176029194</v>
      </c>
      <c r="E635">
        <v>5.8521133752611902</v>
      </c>
      <c r="F635">
        <f t="shared" si="19"/>
        <v>6</v>
      </c>
      <c r="G635">
        <v>0</v>
      </c>
      <c r="H635">
        <v>1</v>
      </c>
      <c r="I635">
        <v>5</v>
      </c>
      <c r="J635">
        <v>0</v>
      </c>
      <c r="K635">
        <v>0</v>
      </c>
      <c r="L635">
        <v>0</v>
      </c>
      <c r="M635">
        <f t="shared" si="18"/>
        <v>149</v>
      </c>
      <c r="N635">
        <v>0</v>
      </c>
      <c r="O635">
        <v>64</v>
      </c>
      <c r="P635">
        <v>85</v>
      </c>
      <c r="Q635">
        <v>0</v>
      </c>
      <c r="R635">
        <v>0</v>
      </c>
      <c r="S635">
        <v>0</v>
      </c>
    </row>
    <row r="636" spans="1:19" x14ac:dyDescent="0.25">
      <c r="A636">
        <v>18053</v>
      </c>
      <c r="B636" t="s">
        <v>55</v>
      </c>
      <c r="C636">
        <v>10</v>
      </c>
      <c r="D636">
        <v>76.242787815549804</v>
      </c>
      <c r="E636">
        <v>4.7941041774738604</v>
      </c>
      <c r="F636">
        <f t="shared" si="19"/>
        <v>6</v>
      </c>
      <c r="G636">
        <v>0</v>
      </c>
      <c r="H636">
        <v>1</v>
      </c>
      <c r="I636">
        <v>5</v>
      </c>
      <c r="J636">
        <v>0</v>
      </c>
      <c r="K636">
        <v>0</v>
      </c>
      <c r="L636">
        <v>0</v>
      </c>
      <c r="M636">
        <f t="shared" si="18"/>
        <v>149</v>
      </c>
      <c r="N636">
        <v>0</v>
      </c>
      <c r="O636">
        <v>64</v>
      </c>
      <c r="P636">
        <v>85</v>
      </c>
      <c r="Q636">
        <v>0</v>
      </c>
      <c r="R636">
        <v>0</v>
      </c>
      <c r="S636">
        <v>0</v>
      </c>
    </row>
    <row r="637" spans="1:19" x14ac:dyDescent="0.25">
      <c r="A637">
        <v>18053</v>
      </c>
      <c r="B637" t="s">
        <v>55</v>
      </c>
      <c r="C637">
        <v>11</v>
      </c>
      <c r="D637">
        <v>75.945222728672107</v>
      </c>
      <c r="E637">
        <v>4.1659112162876299</v>
      </c>
      <c r="F637">
        <f t="shared" si="19"/>
        <v>6</v>
      </c>
      <c r="G637">
        <v>0</v>
      </c>
      <c r="H637">
        <v>1</v>
      </c>
      <c r="I637">
        <v>5</v>
      </c>
      <c r="J637">
        <v>0</v>
      </c>
      <c r="K637">
        <v>0</v>
      </c>
      <c r="L637">
        <v>0</v>
      </c>
      <c r="M637">
        <f t="shared" si="18"/>
        <v>149</v>
      </c>
      <c r="N637">
        <v>0</v>
      </c>
      <c r="O637">
        <v>64</v>
      </c>
      <c r="P637">
        <v>85</v>
      </c>
      <c r="Q637">
        <v>0</v>
      </c>
      <c r="R637">
        <v>0</v>
      </c>
      <c r="S637">
        <v>0</v>
      </c>
    </row>
    <row r="638" spans="1:19" x14ac:dyDescent="0.25">
      <c r="A638">
        <v>18053</v>
      </c>
      <c r="B638" t="s">
        <v>55</v>
      </c>
      <c r="C638">
        <v>12</v>
      </c>
      <c r="D638">
        <v>78.292680636262801</v>
      </c>
      <c r="E638">
        <v>4.0667228539950697</v>
      </c>
      <c r="F638">
        <f t="shared" si="19"/>
        <v>6</v>
      </c>
      <c r="G638">
        <v>0</v>
      </c>
      <c r="H638">
        <v>1</v>
      </c>
      <c r="I638">
        <v>5</v>
      </c>
      <c r="J638">
        <v>0</v>
      </c>
      <c r="K638">
        <v>0</v>
      </c>
      <c r="L638">
        <v>0</v>
      </c>
      <c r="M638">
        <f t="shared" si="18"/>
        <v>149</v>
      </c>
      <c r="N638">
        <v>0</v>
      </c>
      <c r="O638">
        <v>64</v>
      </c>
      <c r="P638">
        <v>85</v>
      </c>
      <c r="Q638">
        <v>0</v>
      </c>
      <c r="R638">
        <v>0</v>
      </c>
      <c r="S638">
        <v>0</v>
      </c>
    </row>
    <row r="639" spans="1:19" x14ac:dyDescent="0.25">
      <c r="A639">
        <v>18053</v>
      </c>
      <c r="B639" t="s">
        <v>55</v>
      </c>
      <c r="C639">
        <v>13</v>
      </c>
      <c r="D639">
        <v>79.317627046619293</v>
      </c>
      <c r="E639">
        <v>2.3474579075906501</v>
      </c>
      <c r="F639">
        <f t="shared" si="19"/>
        <v>6</v>
      </c>
      <c r="G639">
        <v>0</v>
      </c>
      <c r="H639">
        <v>1</v>
      </c>
      <c r="I639">
        <v>5</v>
      </c>
      <c r="J639">
        <v>0</v>
      </c>
      <c r="K639">
        <v>0</v>
      </c>
      <c r="L639">
        <v>0</v>
      </c>
      <c r="M639">
        <f t="shared" si="18"/>
        <v>149</v>
      </c>
      <c r="N639">
        <v>0</v>
      </c>
      <c r="O639">
        <v>64</v>
      </c>
      <c r="P639">
        <v>85</v>
      </c>
      <c r="Q639">
        <v>0</v>
      </c>
      <c r="R639">
        <v>0</v>
      </c>
      <c r="S639">
        <v>0</v>
      </c>
    </row>
    <row r="640" spans="1:19" x14ac:dyDescent="0.25">
      <c r="A640">
        <v>18053</v>
      </c>
      <c r="B640" t="s">
        <v>55</v>
      </c>
      <c r="C640">
        <v>14</v>
      </c>
      <c r="D640">
        <v>81.202205930177996</v>
      </c>
      <c r="E640">
        <v>2.0498928207129601</v>
      </c>
      <c r="F640">
        <f t="shared" si="19"/>
        <v>6</v>
      </c>
      <c r="G640">
        <v>0</v>
      </c>
      <c r="H640">
        <v>1</v>
      </c>
      <c r="I640">
        <v>5</v>
      </c>
      <c r="J640">
        <v>0</v>
      </c>
      <c r="K640">
        <v>0</v>
      </c>
      <c r="L640">
        <v>0</v>
      </c>
      <c r="M640">
        <f t="shared" si="18"/>
        <v>149</v>
      </c>
      <c r="N640">
        <v>0</v>
      </c>
      <c r="O640">
        <v>64</v>
      </c>
      <c r="P640">
        <v>85</v>
      </c>
      <c r="Q640">
        <v>0</v>
      </c>
      <c r="R640">
        <v>0</v>
      </c>
      <c r="S640">
        <v>0</v>
      </c>
    </row>
    <row r="641" spans="1:19" x14ac:dyDescent="0.25">
      <c r="A641">
        <v>18053</v>
      </c>
      <c r="B641" t="s">
        <v>55</v>
      </c>
      <c r="C641">
        <v>15</v>
      </c>
      <c r="D641">
        <v>88.442956377534998</v>
      </c>
      <c r="E641">
        <v>2.8103369316225999</v>
      </c>
      <c r="F641">
        <f t="shared" si="19"/>
        <v>6</v>
      </c>
      <c r="G641">
        <v>0</v>
      </c>
      <c r="H641">
        <v>1</v>
      </c>
      <c r="I641">
        <v>5</v>
      </c>
      <c r="J641">
        <v>0</v>
      </c>
      <c r="K641">
        <v>0</v>
      </c>
      <c r="L641">
        <v>0</v>
      </c>
      <c r="M641">
        <f t="shared" si="18"/>
        <v>149</v>
      </c>
      <c r="N641">
        <v>0</v>
      </c>
      <c r="O641">
        <v>64</v>
      </c>
      <c r="P641">
        <v>85</v>
      </c>
      <c r="Q641">
        <v>0</v>
      </c>
      <c r="R641">
        <v>0</v>
      </c>
      <c r="S641">
        <v>0</v>
      </c>
    </row>
    <row r="642" spans="1:19" x14ac:dyDescent="0.25">
      <c r="A642">
        <v>18053</v>
      </c>
      <c r="B642" t="s">
        <v>55</v>
      </c>
      <c r="C642">
        <v>16</v>
      </c>
      <c r="D642">
        <v>94.1297558156419</v>
      </c>
      <c r="E642">
        <v>2.6780857818991901</v>
      </c>
      <c r="F642">
        <f t="shared" si="19"/>
        <v>6</v>
      </c>
      <c r="G642">
        <v>0</v>
      </c>
      <c r="H642">
        <v>1</v>
      </c>
      <c r="I642">
        <v>5</v>
      </c>
      <c r="J642">
        <v>0</v>
      </c>
      <c r="K642">
        <v>0</v>
      </c>
      <c r="L642">
        <v>0</v>
      </c>
      <c r="M642">
        <f t="shared" ref="M642:M705" si="20">SUM(N642:S642)</f>
        <v>149</v>
      </c>
      <c r="N642">
        <v>0</v>
      </c>
      <c r="O642">
        <v>64</v>
      </c>
      <c r="P642">
        <v>85</v>
      </c>
      <c r="Q642">
        <v>0</v>
      </c>
      <c r="R642">
        <v>0</v>
      </c>
      <c r="S642">
        <v>0</v>
      </c>
    </row>
    <row r="643" spans="1:19" x14ac:dyDescent="0.25">
      <c r="A643">
        <v>18053</v>
      </c>
      <c r="B643" t="s">
        <v>55</v>
      </c>
      <c r="C643">
        <v>17</v>
      </c>
      <c r="D643">
        <v>97.634411283312502</v>
      </c>
      <c r="E643">
        <v>1.9837672458512501</v>
      </c>
      <c r="F643">
        <f t="shared" ref="F643:F706" si="21">SUM(G643:L643)</f>
        <v>6</v>
      </c>
      <c r="G643">
        <v>0</v>
      </c>
      <c r="H643">
        <v>1</v>
      </c>
      <c r="I643">
        <v>5</v>
      </c>
      <c r="J643">
        <v>0</v>
      </c>
      <c r="K643">
        <v>0</v>
      </c>
      <c r="L643">
        <v>0</v>
      </c>
      <c r="M643">
        <f t="shared" si="20"/>
        <v>149</v>
      </c>
      <c r="N643">
        <v>0</v>
      </c>
      <c r="O643">
        <v>64</v>
      </c>
      <c r="P643">
        <v>85</v>
      </c>
      <c r="Q643">
        <v>0</v>
      </c>
      <c r="R643">
        <v>0</v>
      </c>
      <c r="S643">
        <v>0</v>
      </c>
    </row>
    <row r="644" spans="1:19" x14ac:dyDescent="0.25">
      <c r="A644">
        <v>18053</v>
      </c>
      <c r="B644" t="s">
        <v>55</v>
      </c>
      <c r="C644">
        <v>18</v>
      </c>
      <c r="D644">
        <v>104.213905982052</v>
      </c>
      <c r="E644">
        <v>1.9176416709895401</v>
      </c>
      <c r="F644">
        <f t="shared" si="21"/>
        <v>6</v>
      </c>
      <c r="G644">
        <v>0</v>
      </c>
      <c r="H644">
        <v>1</v>
      </c>
      <c r="I644">
        <v>5</v>
      </c>
      <c r="J644">
        <v>0</v>
      </c>
      <c r="K644">
        <v>0</v>
      </c>
      <c r="L644">
        <v>0</v>
      </c>
      <c r="M644">
        <f t="shared" si="20"/>
        <v>149</v>
      </c>
      <c r="N644">
        <v>0</v>
      </c>
      <c r="O644">
        <v>64</v>
      </c>
      <c r="P644">
        <v>85</v>
      </c>
      <c r="Q644">
        <v>0</v>
      </c>
      <c r="R644">
        <v>0</v>
      </c>
      <c r="S644">
        <v>0</v>
      </c>
    </row>
    <row r="645" spans="1:19" x14ac:dyDescent="0.25">
      <c r="A645">
        <v>18053</v>
      </c>
      <c r="B645" t="s">
        <v>55</v>
      </c>
      <c r="C645">
        <v>19</v>
      </c>
      <c r="D645">
        <v>107.751624237153</v>
      </c>
      <c r="E645">
        <v>2.0168300332820999</v>
      </c>
      <c r="F645">
        <f t="shared" si="21"/>
        <v>6</v>
      </c>
      <c r="G645">
        <v>0</v>
      </c>
      <c r="H645">
        <v>1</v>
      </c>
      <c r="I645">
        <v>5</v>
      </c>
      <c r="J645">
        <v>0</v>
      </c>
      <c r="K645">
        <v>0</v>
      </c>
      <c r="L645">
        <v>0</v>
      </c>
      <c r="M645">
        <f t="shared" si="20"/>
        <v>149</v>
      </c>
      <c r="N645">
        <v>0</v>
      </c>
      <c r="O645">
        <v>64</v>
      </c>
      <c r="P645">
        <v>85</v>
      </c>
      <c r="Q645">
        <v>0</v>
      </c>
      <c r="R645">
        <v>0</v>
      </c>
      <c r="S645">
        <v>0</v>
      </c>
    </row>
    <row r="646" spans="1:19" x14ac:dyDescent="0.25">
      <c r="A646">
        <v>18053</v>
      </c>
      <c r="B646" t="s">
        <v>55</v>
      </c>
      <c r="C646">
        <v>20</v>
      </c>
      <c r="D646">
        <v>116.05038388229799</v>
      </c>
      <c r="E646">
        <v>2.6119602070374799</v>
      </c>
      <c r="F646">
        <f t="shared" si="21"/>
        <v>6</v>
      </c>
      <c r="G646">
        <v>0</v>
      </c>
      <c r="H646">
        <v>1</v>
      </c>
      <c r="I646">
        <v>5</v>
      </c>
      <c r="J646">
        <v>0</v>
      </c>
      <c r="K646">
        <v>0</v>
      </c>
      <c r="L646">
        <v>0</v>
      </c>
      <c r="M646">
        <f t="shared" si="20"/>
        <v>149</v>
      </c>
      <c r="N646">
        <v>0</v>
      </c>
      <c r="O646">
        <v>64</v>
      </c>
      <c r="P646">
        <v>85</v>
      </c>
      <c r="Q646">
        <v>0</v>
      </c>
      <c r="R646">
        <v>0</v>
      </c>
      <c r="S646">
        <v>0</v>
      </c>
    </row>
    <row r="647" spans="1:19" x14ac:dyDescent="0.25">
      <c r="A647">
        <v>18053</v>
      </c>
      <c r="B647" t="s">
        <v>55</v>
      </c>
      <c r="C647">
        <v>21</v>
      </c>
      <c r="D647">
        <v>122.299250706729</v>
      </c>
      <c r="E647">
        <v>2.8764625064843101</v>
      </c>
      <c r="F647">
        <f t="shared" si="21"/>
        <v>6</v>
      </c>
      <c r="G647">
        <v>0</v>
      </c>
      <c r="H647">
        <v>1</v>
      </c>
      <c r="I647">
        <v>5</v>
      </c>
      <c r="J647">
        <v>0</v>
      </c>
      <c r="K647">
        <v>0</v>
      </c>
      <c r="L647">
        <v>0</v>
      </c>
      <c r="M647">
        <f t="shared" si="20"/>
        <v>149</v>
      </c>
      <c r="N647">
        <v>0</v>
      </c>
      <c r="O647">
        <v>64</v>
      </c>
      <c r="P647">
        <v>85</v>
      </c>
      <c r="Q647">
        <v>0</v>
      </c>
      <c r="R647">
        <v>0</v>
      </c>
      <c r="S647">
        <v>0</v>
      </c>
    </row>
    <row r="648" spans="1:19" x14ac:dyDescent="0.25">
      <c r="A648">
        <v>18053</v>
      </c>
      <c r="B648" t="s">
        <v>55</v>
      </c>
      <c r="C648">
        <v>22</v>
      </c>
      <c r="D648">
        <v>125.44021551266</v>
      </c>
      <c r="E648">
        <v>3.5377182551013999</v>
      </c>
      <c r="F648">
        <f t="shared" si="21"/>
        <v>6</v>
      </c>
      <c r="G648">
        <v>0</v>
      </c>
      <c r="H648">
        <v>1</v>
      </c>
      <c r="I648">
        <v>5</v>
      </c>
      <c r="J648">
        <v>0</v>
      </c>
      <c r="K648">
        <v>0</v>
      </c>
      <c r="L648">
        <v>0</v>
      </c>
      <c r="M648">
        <f t="shared" si="20"/>
        <v>149</v>
      </c>
      <c r="N648">
        <v>0</v>
      </c>
      <c r="O648">
        <v>64</v>
      </c>
      <c r="P648">
        <v>85</v>
      </c>
      <c r="Q648">
        <v>0</v>
      </c>
      <c r="R648">
        <v>0</v>
      </c>
      <c r="S648">
        <v>0</v>
      </c>
    </row>
    <row r="649" spans="1:19" x14ac:dyDescent="0.25">
      <c r="A649">
        <v>18053</v>
      </c>
      <c r="B649" t="s">
        <v>55</v>
      </c>
      <c r="C649">
        <v>23</v>
      </c>
      <c r="D649">
        <v>128.71343146831501</v>
      </c>
      <c r="E649">
        <v>4.1659112162876299</v>
      </c>
      <c r="F649">
        <f t="shared" si="21"/>
        <v>6</v>
      </c>
      <c r="G649">
        <v>0</v>
      </c>
      <c r="H649">
        <v>1</v>
      </c>
      <c r="I649">
        <v>5</v>
      </c>
      <c r="J649">
        <v>0</v>
      </c>
      <c r="K649">
        <v>0</v>
      </c>
      <c r="L649">
        <v>0</v>
      </c>
      <c r="M649">
        <f t="shared" si="20"/>
        <v>149</v>
      </c>
      <c r="N649">
        <v>0</v>
      </c>
      <c r="O649">
        <v>64</v>
      </c>
      <c r="P649">
        <v>85</v>
      </c>
      <c r="Q649">
        <v>0</v>
      </c>
      <c r="R649">
        <v>0</v>
      </c>
      <c r="S649">
        <v>0</v>
      </c>
    </row>
    <row r="650" spans="1:19" x14ac:dyDescent="0.25">
      <c r="A650">
        <v>18055</v>
      </c>
      <c r="B650" t="s">
        <v>56</v>
      </c>
      <c r="C650">
        <v>0</v>
      </c>
      <c r="D650">
        <v>1.06092200108448</v>
      </c>
      <c r="E650">
        <v>5.7214007915627798</v>
      </c>
      <c r="F650">
        <f t="shared" si="21"/>
        <v>1</v>
      </c>
      <c r="G650">
        <v>0</v>
      </c>
      <c r="H650">
        <v>0</v>
      </c>
      <c r="I650">
        <v>1</v>
      </c>
      <c r="J650">
        <v>0</v>
      </c>
      <c r="K650">
        <v>0</v>
      </c>
      <c r="L650">
        <v>0</v>
      </c>
      <c r="M650">
        <f t="shared" si="20"/>
        <v>18</v>
      </c>
      <c r="N650">
        <v>0</v>
      </c>
      <c r="O650">
        <v>0</v>
      </c>
      <c r="P650">
        <v>18</v>
      </c>
      <c r="Q650">
        <v>0</v>
      </c>
      <c r="R650">
        <v>0</v>
      </c>
      <c r="S650">
        <v>0</v>
      </c>
    </row>
    <row r="651" spans="1:19" x14ac:dyDescent="0.25">
      <c r="A651">
        <v>18055</v>
      </c>
      <c r="B651" t="s">
        <v>56</v>
      </c>
      <c r="C651">
        <v>1</v>
      </c>
      <c r="D651">
        <v>1.1367021440190901</v>
      </c>
      <c r="E651">
        <v>6.0624114347685101</v>
      </c>
      <c r="F651">
        <f t="shared" si="21"/>
        <v>1</v>
      </c>
      <c r="G651">
        <v>0</v>
      </c>
      <c r="H651">
        <v>0</v>
      </c>
      <c r="I651">
        <v>1</v>
      </c>
      <c r="J651">
        <v>0</v>
      </c>
      <c r="K651">
        <v>0</v>
      </c>
      <c r="L651">
        <v>0</v>
      </c>
      <c r="M651">
        <f t="shared" si="20"/>
        <v>18</v>
      </c>
      <c r="N651">
        <v>0</v>
      </c>
      <c r="O651">
        <v>0</v>
      </c>
      <c r="P651">
        <v>18</v>
      </c>
      <c r="Q651">
        <v>0</v>
      </c>
      <c r="R651">
        <v>0</v>
      </c>
      <c r="S651">
        <v>0</v>
      </c>
    </row>
    <row r="652" spans="1:19" x14ac:dyDescent="0.25">
      <c r="A652">
        <v>18055</v>
      </c>
      <c r="B652" t="s">
        <v>56</v>
      </c>
      <c r="C652">
        <v>2</v>
      </c>
      <c r="D652">
        <v>1.2882624298883001</v>
      </c>
      <c r="E652">
        <v>7.1612235073203001</v>
      </c>
      <c r="F652">
        <f t="shared" si="21"/>
        <v>1</v>
      </c>
      <c r="G652">
        <v>0</v>
      </c>
      <c r="H652">
        <v>0</v>
      </c>
      <c r="I652">
        <v>1</v>
      </c>
      <c r="J652">
        <v>0</v>
      </c>
      <c r="K652">
        <v>0</v>
      </c>
      <c r="L652">
        <v>0</v>
      </c>
      <c r="M652">
        <f t="shared" si="20"/>
        <v>18</v>
      </c>
      <c r="N652">
        <v>0</v>
      </c>
      <c r="O652">
        <v>0</v>
      </c>
      <c r="P652">
        <v>18</v>
      </c>
      <c r="Q652">
        <v>0</v>
      </c>
      <c r="R652">
        <v>0</v>
      </c>
      <c r="S652">
        <v>0</v>
      </c>
    </row>
    <row r="653" spans="1:19" x14ac:dyDescent="0.25">
      <c r="A653">
        <v>18055</v>
      </c>
      <c r="B653" t="s">
        <v>56</v>
      </c>
      <c r="C653">
        <v>3</v>
      </c>
      <c r="D653">
        <v>1.3261525013556099</v>
      </c>
      <c r="E653">
        <v>8.7147164374797299</v>
      </c>
      <c r="F653">
        <f t="shared" si="21"/>
        <v>1</v>
      </c>
      <c r="G653">
        <v>0</v>
      </c>
      <c r="H653">
        <v>0</v>
      </c>
      <c r="I653">
        <v>1</v>
      </c>
      <c r="J653">
        <v>0</v>
      </c>
      <c r="K653">
        <v>0</v>
      </c>
      <c r="L653">
        <v>0</v>
      </c>
      <c r="M653">
        <f t="shared" si="20"/>
        <v>18</v>
      </c>
      <c r="N653">
        <v>0</v>
      </c>
      <c r="O653">
        <v>0</v>
      </c>
      <c r="P653">
        <v>18</v>
      </c>
      <c r="Q653">
        <v>0</v>
      </c>
      <c r="R653">
        <v>0</v>
      </c>
      <c r="S653">
        <v>0</v>
      </c>
    </row>
    <row r="654" spans="1:19" x14ac:dyDescent="0.25">
      <c r="A654">
        <v>18055</v>
      </c>
      <c r="B654" t="s">
        <v>56</v>
      </c>
      <c r="C654">
        <v>4</v>
      </c>
      <c r="D654">
        <v>1.36404257282291</v>
      </c>
      <c r="E654">
        <v>9.9650887959007406</v>
      </c>
      <c r="F654">
        <f t="shared" si="21"/>
        <v>1</v>
      </c>
      <c r="G654">
        <v>0</v>
      </c>
      <c r="H654">
        <v>0</v>
      </c>
      <c r="I654">
        <v>1</v>
      </c>
      <c r="J654">
        <v>0</v>
      </c>
      <c r="K654">
        <v>0</v>
      </c>
      <c r="L654">
        <v>0</v>
      </c>
      <c r="M654">
        <f t="shared" si="20"/>
        <v>18</v>
      </c>
      <c r="N654">
        <v>0</v>
      </c>
      <c r="O654">
        <v>0</v>
      </c>
      <c r="P654">
        <v>18</v>
      </c>
      <c r="Q654">
        <v>0</v>
      </c>
      <c r="R654">
        <v>0</v>
      </c>
      <c r="S654">
        <v>0</v>
      </c>
    </row>
    <row r="655" spans="1:19" x14ac:dyDescent="0.25">
      <c r="A655">
        <v>18055</v>
      </c>
      <c r="B655" t="s">
        <v>56</v>
      </c>
      <c r="C655">
        <v>5</v>
      </c>
      <c r="D655">
        <v>1.4777127872248199</v>
      </c>
      <c r="E655">
        <v>10.040868938835301</v>
      </c>
      <c r="F655">
        <f t="shared" si="21"/>
        <v>1</v>
      </c>
      <c r="G655">
        <v>0</v>
      </c>
      <c r="H655">
        <v>0</v>
      </c>
      <c r="I655">
        <v>1</v>
      </c>
      <c r="J655">
        <v>0</v>
      </c>
      <c r="K655">
        <v>0</v>
      </c>
      <c r="L655">
        <v>0</v>
      </c>
      <c r="M655">
        <f t="shared" si="20"/>
        <v>18</v>
      </c>
      <c r="N655">
        <v>0</v>
      </c>
      <c r="O655">
        <v>0</v>
      </c>
      <c r="P655">
        <v>18</v>
      </c>
      <c r="Q655">
        <v>0</v>
      </c>
      <c r="R655">
        <v>0</v>
      </c>
      <c r="S655">
        <v>0</v>
      </c>
    </row>
    <row r="656" spans="1:19" x14ac:dyDescent="0.25">
      <c r="A656">
        <v>18055</v>
      </c>
      <c r="B656" t="s">
        <v>56</v>
      </c>
      <c r="C656">
        <v>6</v>
      </c>
      <c r="D656">
        <v>1.36404257282291</v>
      </c>
      <c r="E656">
        <v>10.8365604396487</v>
      </c>
      <c r="F656">
        <f t="shared" si="21"/>
        <v>1</v>
      </c>
      <c r="G656">
        <v>0</v>
      </c>
      <c r="H656">
        <v>0</v>
      </c>
      <c r="I656">
        <v>1</v>
      </c>
      <c r="J656">
        <v>0</v>
      </c>
      <c r="K656">
        <v>0</v>
      </c>
      <c r="L656">
        <v>0</v>
      </c>
      <c r="M656">
        <f t="shared" si="20"/>
        <v>18</v>
      </c>
      <c r="N656">
        <v>0</v>
      </c>
      <c r="O656">
        <v>0</v>
      </c>
      <c r="P656">
        <v>18</v>
      </c>
      <c r="Q656">
        <v>0</v>
      </c>
      <c r="R656">
        <v>0</v>
      </c>
      <c r="S656">
        <v>0</v>
      </c>
    </row>
    <row r="657" spans="1:19" x14ac:dyDescent="0.25">
      <c r="A657">
        <v>18055</v>
      </c>
      <c r="B657" t="s">
        <v>56</v>
      </c>
      <c r="C657">
        <v>7</v>
      </c>
      <c r="D657">
        <v>1.7808333589632499</v>
      </c>
      <c r="E657">
        <v>9.3209575809565806</v>
      </c>
      <c r="F657">
        <f t="shared" si="21"/>
        <v>1</v>
      </c>
      <c r="G657">
        <v>0</v>
      </c>
      <c r="H657">
        <v>0</v>
      </c>
      <c r="I657">
        <v>1</v>
      </c>
      <c r="J657">
        <v>0</v>
      </c>
      <c r="K657">
        <v>0</v>
      </c>
      <c r="L657">
        <v>0</v>
      </c>
      <c r="M657">
        <f t="shared" si="20"/>
        <v>18</v>
      </c>
      <c r="N657">
        <v>0</v>
      </c>
      <c r="O657">
        <v>0</v>
      </c>
      <c r="P657">
        <v>18</v>
      </c>
      <c r="Q657">
        <v>0</v>
      </c>
      <c r="R657">
        <v>0</v>
      </c>
      <c r="S657">
        <v>0</v>
      </c>
    </row>
    <row r="658" spans="1:19" x14ac:dyDescent="0.25">
      <c r="A658">
        <v>18055</v>
      </c>
      <c r="B658" t="s">
        <v>56</v>
      </c>
      <c r="C658">
        <v>8</v>
      </c>
      <c r="D658">
        <v>2.2734042880381899</v>
      </c>
      <c r="E658">
        <v>6.7444327211799697</v>
      </c>
      <c r="F658">
        <f t="shared" si="21"/>
        <v>1</v>
      </c>
      <c r="G658">
        <v>0</v>
      </c>
      <c r="H658">
        <v>0</v>
      </c>
      <c r="I658">
        <v>1</v>
      </c>
      <c r="J658">
        <v>0</v>
      </c>
      <c r="K658">
        <v>0</v>
      </c>
      <c r="L658">
        <v>0</v>
      </c>
      <c r="M658">
        <f t="shared" si="20"/>
        <v>18</v>
      </c>
      <c r="N658">
        <v>0</v>
      </c>
      <c r="O658">
        <v>0</v>
      </c>
      <c r="P658">
        <v>18</v>
      </c>
      <c r="Q658">
        <v>0</v>
      </c>
      <c r="R658">
        <v>0</v>
      </c>
      <c r="S658">
        <v>0</v>
      </c>
    </row>
    <row r="659" spans="1:19" x14ac:dyDescent="0.25">
      <c r="A659">
        <v>18055</v>
      </c>
      <c r="B659" t="s">
        <v>56</v>
      </c>
      <c r="C659">
        <v>9</v>
      </c>
      <c r="D659">
        <v>2.31129435950549</v>
      </c>
      <c r="E659">
        <v>6.8202128641145698</v>
      </c>
      <c r="F659">
        <f t="shared" si="21"/>
        <v>1</v>
      </c>
      <c r="G659">
        <v>0</v>
      </c>
      <c r="H659">
        <v>0</v>
      </c>
      <c r="I659">
        <v>1</v>
      </c>
      <c r="J659">
        <v>0</v>
      </c>
      <c r="K659">
        <v>0</v>
      </c>
      <c r="L659">
        <v>0</v>
      </c>
      <c r="M659">
        <f t="shared" si="20"/>
        <v>18</v>
      </c>
      <c r="N659">
        <v>0</v>
      </c>
      <c r="O659">
        <v>0</v>
      </c>
      <c r="P659">
        <v>18</v>
      </c>
      <c r="Q659">
        <v>0</v>
      </c>
      <c r="R659">
        <v>0</v>
      </c>
      <c r="S659">
        <v>0</v>
      </c>
    </row>
    <row r="660" spans="1:19" x14ac:dyDescent="0.25">
      <c r="A660">
        <v>18055</v>
      </c>
      <c r="B660" t="s">
        <v>56</v>
      </c>
      <c r="C660">
        <v>10</v>
      </c>
      <c r="D660">
        <v>2.6523050027112198</v>
      </c>
      <c r="E660">
        <v>7.0854433643856902</v>
      </c>
      <c r="F660">
        <f t="shared" si="21"/>
        <v>1</v>
      </c>
      <c r="G660">
        <v>0</v>
      </c>
      <c r="H660">
        <v>0</v>
      </c>
      <c r="I660">
        <v>1</v>
      </c>
      <c r="J660">
        <v>0</v>
      </c>
      <c r="K660">
        <v>0</v>
      </c>
      <c r="L660">
        <v>0</v>
      </c>
      <c r="M660">
        <f t="shared" si="20"/>
        <v>18</v>
      </c>
      <c r="N660">
        <v>0</v>
      </c>
      <c r="O660">
        <v>0</v>
      </c>
      <c r="P660">
        <v>18</v>
      </c>
      <c r="Q660">
        <v>0</v>
      </c>
      <c r="R660">
        <v>0</v>
      </c>
      <c r="S660">
        <v>0</v>
      </c>
    </row>
    <row r="661" spans="1:19" x14ac:dyDescent="0.25">
      <c r="A661">
        <v>18055</v>
      </c>
      <c r="B661" t="s">
        <v>56</v>
      </c>
      <c r="C661">
        <v>11</v>
      </c>
      <c r="D661">
        <v>4.8878192192821102</v>
      </c>
      <c r="E661">
        <v>7.0854433643856902</v>
      </c>
      <c r="F661">
        <f t="shared" si="21"/>
        <v>1</v>
      </c>
      <c r="G661">
        <v>0</v>
      </c>
      <c r="H661">
        <v>0</v>
      </c>
      <c r="I661">
        <v>1</v>
      </c>
      <c r="J661">
        <v>0</v>
      </c>
      <c r="K661">
        <v>0</v>
      </c>
      <c r="L661">
        <v>0</v>
      </c>
      <c r="M661">
        <f t="shared" si="20"/>
        <v>18</v>
      </c>
      <c r="N661">
        <v>0</v>
      </c>
      <c r="O661">
        <v>0</v>
      </c>
      <c r="P661">
        <v>18</v>
      </c>
      <c r="Q661">
        <v>0</v>
      </c>
      <c r="R661">
        <v>0</v>
      </c>
      <c r="S661">
        <v>0</v>
      </c>
    </row>
    <row r="662" spans="1:19" x14ac:dyDescent="0.25">
      <c r="A662">
        <v>18055</v>
      </c>
      <c r="B662" t="s">
        <v>56</v>
      </c>
      <c r="C662">
        <v>12</v>
      </c>
      <c r="D662">
        <v>4.2815780758052604</v>
      </c>
      <c r="E662">
        <v>7.1991135787875997</v>
      </c>
      <c r="F662">
        <f t="shared" si="21"/>
        <v>1</v>
      </c>
      <c r="G662">
        <v>0</v>
      </c>
      <c r="H662">
        <v>0</v>
      </c>
      <c r="I662">
        <v>1</v>
      </c>
      <c r="J662">
        <v>0</v>
      </c>
      <c r="K662">
        <v>0</v>
      </c>
      <c r="L662">
        <v>0</v>
      </c>
      <c r="M662">
        <f t="shared" si="20"/>
        <v>18</v>
      </c>
      <c r="N662">
        <v>0</v>
      </c>
      <c r="O662">
        <v>0</v>
      </c>
      <c r="P662">
        <v>18</v>
      </c>
      <c r="Q662">
        <v>0</v>
      </c>
      <c r="R662">
        <v>0</v>
      </c>
      <c r="S662">
        <v>0</v>
      </c>
    </row>
    <row r="663" spans="1:19" x14ac:dyDescent="0.25">
      <c r="A663">
        <v>18055</v>
      </c>
      <c r="B663" t="s">
        <v>56</v>
      </c>
      <c r="C663">
        <v>13</v>
      </c>
      <c r="D663">
        <v>2.2355142165708801</v>
      </c>
      <c r="E663">
        <v>5.5698405056935698</v>
      </c>
      <c r="F663">
        <f t="shared" si="21"/>
        <v>1</v>
      </c>
      <c r="G663">
        <v>0</v>
      </c>
      <c r="H663">
        <v>0</v>
      </c>
      <c r="I663">
        <v>1</v>
      </c>
      <c r="J663">
        <v>0</v>
      </c>
      <c r="K663">
        <v>0</v>
      </c>
      <c r="L663">
        <v>0</v>
      </c>
      <c r="M663">
        <f t="shared" si="20"/>
        <v>18</v>
      </c>
      <c r="N663">
        <v>0</v>
      </c>
      <c r="O663">
        <v>0</v>
      </c>
      <c r="P663">
        <v>18</v>
      </c>
      <c r="Q663">
        <v>0</v>
      </c>
      <c r="R663">
        <v>0</v>
      </c>
      <c r="S663">
        <v>0</v>
      </c>
    </row>
    <row r="664" spans="1:19" x14ac:dyDescent="0.25">
      <c r="A664">
        <v>18055</v>
      </c>
      <c r="B664" t="s">
        <v>56</v>
      </c>
      <c r="C664">
        <v>14</v>
      </c>
      <c r="D664">
        <v>1.4777127872248199</v>
      </c>
      <c r="E664">
        <v>3.4479965035245899</v>
      </c>
      <c r="F664">
        <f t="shared" si="21"/>
        <v>1</v>
      </c>
      <c r="G664">
        <v>0</v>
      </c>
      <c r="H664">
        <v>0</v>
      </c>
      <c r="I664">
        <v>1</v>
      </c>
      <c r="J664">
        <v>0</v>
      </c>
      <c r="K664">
        <v>0</v>
      </c>
      <c r="L664">
        <v>0</v>
      </c>
      <c r="M664">
        <f t="shared" si="20"/>
        <v>18</v>
      </c>
      <c r="N664">
        <v>0</v>
      </c>
      <c r="O664">
        <v>0</v>
      </c>
      <c r="P664">
        <v>18</v>
      </c>
      <c r="Q664">
        <v>0</v>
      </c>
      <c r="R664">
        <v>0</v>
      </c>
      <c r="S664">
        <v>0</v>
      </c>
    </row>
    <row r="665" spans="1:19" x14ac:dyDescent="0.25">
      <c r="A665">
        <v>18055</v>
      </c>
      <c r="B665" t="s">
        <v>56</v>
      </c>
      <c r="C665">
        <v>15</v>
      </c>
      <c r="D665">
        <v>1.06092200108448</v>
      </c>
      <c r="E665">
        <v>2.15973407363628</v>
      </c>
      <c r="F665">
        <f t="shared" si="21"/>
        <v>1</v>
      </c>
      <c r="G665">
        <v>0</v>
      </c>
      <c r="H665">
        <v>0</v>
      </c>
      <c r="I665">
        <v>1</v>
      </c>
      <c r="J665">
        <v>0</v>
      </c>
      <c r="K665">
        <v>0</v>
      </c>
      <c r="L665">
        <v>0</v>
      </c>
      <c r="M665">
        <f t="shared" si="20"/>
        <v>18</v>
      </c>
      <c r="N665">
        <v>0</v>
      </c>
      <c r="O665">
        <v>0</v>
      </c>
      <c r="P665">
        <v>18</v>
      </c>
      <c r="Q665">
        <v>0</v>
      </c>
      <c r="R665">
        <v>0</v>
      </c>
      <c r="S665">
        <v>0</v>
      </c>
    </row>
    <row r="666" spans="1:19" x14ac:dyDescent="0.25">
      <c r="A666">
        <v>18055</v>
      </c>
      <c r="B666" t="s">
        <v>56</v>
      </c>
      <c r="C666">
        <v>16</v>
      </c>
      <c r="D666">
        <v>0.56835107200954804</v>
      </c>
      <c r="E666">
        <v>2.2734042880381899</v>
      </c>
      <c r="F666">
        <f t="shared" si="21"/>
        <v>1</v>
      </c>
      <c r="G666">
        <v>0</v>
      </c>
      <c r="H666">
        <v>0</v>
      </c>
      <c r="I666">
        <v>1</v>
      </c>
      <c r="J666">
        <v>0</v>
      </c>
      <c r="K666">
        <v>0</v>
      </c>
      <c r="L666">
        <v>0</v>
      </c>
      <c r="M666">
        <f t="shared" si="20"/>
        <v>18</v>
      </c>
      <c r="N666">
        <v>0</v>
      </c>
      <c r="O666">
        <v>0</v>
      </c>
      <c r="P666">
        <v>18</v>
      </c>
      <c r="Q666">
        <v>0</v>
      </c>
      <c r="R666">
        <v>0</v>
      </c>
      <c r="S666">
        <v>0</v>
      </c>
    </row>
    <row r="667" spans="1:19" x14ac:dyDescent="0.25">
      <c r="A667">
        <v>18055</v>
      </c>
      <c r="B667" t="s">
        <v>56</v>
      </c>
      <c r="C667">
        <v>17</v>
      </c>
      <c r="D667">
        <v>0.49257092907494099</v>
      </c>
      <c r="E667">
        <v>2.3491844309727901</v>
      </c>
      <c r="F667">
        <f t="shared" si="21"/>
        <v>1</v>
      </c>
      <c r="G667">
        <v>0</v>
      </c>
      <c r="H667">
        <v>0</v>
      </c>
      <c r="I667">
        <v>1</v>
      </c>
      <c r="J667">
        <v>0</v>
      </c>
      <c r="K667">
        <v>0</v>
      </c>
      <c r="L667">
        <v>0</v>
      </c>
      <c r="M667">
        <f t="shared" si="20"/>
        <v>18</v>
      </c>
      <c r="N667">
        <v>0</v>
      </c>
      <c r="O667">
        <v>0</v>
      </c>
      <c r="P667">
        <v>18</v>
      </c>
      <c r="Q667">
        <v>0</v>
      </c>
      <c r="R667">
        <v>0</v>
      </c>
      <c r="S667">
        <v>0</v>
      </c>
    </row>
    <row r="668" spans="1:19" x14ac:dyDescent="0.25">
      <c r="A668">
        <v>18055</v>
      </c>
      <c r="B668" t="s">
        <v>56</v>
      </c>
      <c r="C668">
        <v>18</v>
      </c>
      <c r="D668">
        <v>0.64413121494415404</v>
      </c>
      <c r="E668">
        <v>2.7659752171131302</v>
      </c>
      <c r="F668">
        <f t="shared" si="21"/>
        <v>1</v>
      </c>
      <c r="G668">
        <v>0</v>
      </c>
      <c r="H668">
        <v>0</v>
      </c>
      <c r="I668">
        <v>1</v>
      </c>
      <c r="J668">
        <v>0</v>
      </c>
      <c r="K668">
        <v>0</v>
      </c>
      <c r="L668">
        <v>0</v>
      </c>
      <c r="M668">
        <f t="shared" si="20"/>
        <v>18</v>
      </c>
      <c r="N668">
        <v>0</v>
      </c>
      <c r="O668">
        <v>0</v>
      </c>
      <c r="P668">
        <v>18</v>
      </c>
      <c r="Q668">
        <v>0</v>
      </c>
      <c r="R668">
        <v>0</v>
      </c>
      <c r="S668">
        <v>0</v>
      </c>
    </row>
    <row r="669" spans="1:19" x14ac:dyDescent="0.25">
      <c r="A669">
        <v>18055</v>
      </c>
      <c r="B669" t="s">
        <v>56</v>
      </c>
      <c r="C669">
        <v>19</v>
      </c>
      <c r="D669">
        <v>0.60624114347685099</v>
      </c>
      <c r="E669">
        <v>2.1976241451035801</v>
      </c>
      <c r="F669">
        <f t="shared" si="21"/>
        <v>1</v>
      </c>
      <c r="G669">
        <v>0</v>
      </c>
      <c r="H669">
        <v>0</v>
      </c>
      <c r="I669">
        <v>1</v>
      </c>
      <c r="J669">
        <v>0</v>
      </c>
      <c r="K669">
        <v>0</v>
      </c>
      <c r="L669">
        <v>0</v>
      </c>
      <c r="M669">
        <f t="shared" si="20"/>
        <v>18</v>
      </c>
      <c r="N669">
        <v>0</v>
      </c>
      <c r="O669">
        <v>0</v>
      </c>
      <c r="P669">
        <v>18</v>
      </c>
      <c r="Q669">
        <v>0</v>
      </c>
      <c r="R669">
        <v>0</v>
      </c>
      <c r="S669">
        <v>0</v>
      </c>
    </row>
    <row r="670" spans="1:19" x14ac:dyDescent="0.25">
      <c r="A670">
        <v>18055</v>
      </c>
      <c r="B670" t="s">
        <v>56</v>
      </c>
      <c r="C670">
        <v>20</v>
      </c>
      <c r="D670">
        <v>0.68202128641145698</v>
      </c>
      <c r="E670">
        <v>2.3491844309727901</v>
      </c>
      <c r="F670">
        <f t="shared" si="21"/>
        <v>1</v>
      </c>
      <c r="G670">
        <v>0</v>
      </c>
      <c r="H670">
        <v>0</v>
      </c>
      <c r="I670">
        <v>1</v>
      </c>
      <c r="J670">
        <v>0</v>
      </c>
      <c r="K670">
        <v>0</v>
      </c>
      <c r="L670">
        <v>0</v>
      </c>
      <c r="M670">
        <f t="shared" si="20"/>
        <v>18</v>
      </c>
      <c r="N670">
        <v>0</v>
      </c>
      <c r="O670">
        <v>0</v>
      </c>
      <c r="P670">
        <v>18</v>
      </c>
      <c r="Q670">
        <v>0</v>
      </c>
      <c r="R670">
        <v>0</v>
      </c>
      <c r="S670">
        <v>0</v>
      </c>
    </row>
    <row r="671" spans="1:19" x14ac:dyDescent="0.25">
      <c r="A671">
        <v>18055</v>
      </c>
      <c r="B671" t="s">
        <v>56</v>
      </c>
      <c r="C671">
        <v>21</v>
      </c>
      <c r="D671">
        <v>0.71991135787876004</v>
      </c>
      <c r="E671">
        <v>3.1827660032534602</v>
      </c>
      <c r="F671">
        <f t="shared" si="21"/>
        <v>1</v>
      </c>
      <c r="G671">
        <v>0</v>
      </c>
      <c r="H671">
        <v>0</v>
      </c>
      <c r="I671">
        <v>1</v>
      </c>
      <c r="J671">
        <v>0</v>
      </c>
      <c r="K671">
        <v>0</v>
      </c>
      <c r="L671">
        <v>0</v>
      </c>
      <c r="M671">
        <f t="shared" si="20"/>
        <v>18</v>
      </c>
      <c r="N671">
        <v>0</v>
      </c>
      <c r="O671">
        <v>0</v>
      </c>
      <c r="P671">
        <v>18</v>
      </c>
      <c r="Q671">
        <v>0</v>
      </c>
      <c r="R671">
        <v>0</v>
      </c>
      <c r="S671">
        <v>0</v>
      </c>
    </row>
    <row r="672" spans="1:19" x14ac:dyDescent="0.25">
      <c r="A672">
        <v>18055</v>
      </c>
      <c r="B672" t="s">
        <v>56</v>
      </c>
      <c r="C672">
        <v>22</v>
      </c>
      <c r="D672">
        <v>0.75780142934606398</v>
      </c>
      <c r="E672">
        <v>3.7890071467303099</v>
      </c>
      <c r="F672">
        <f t="shared" si="21"/>
        <v>1</v>
      </c>
      <c r="G672">
        <v>0</v>
      </c>
      <c r="H672">
        <v>0</v>
      </c>
      <c r="I672">
        <v>1</v>
      </c>
      <c r="J672">
        <v>0</v>
      </c>
      <c r="K672">
        <v>0</v>
      </c>
      <c r="L672">
        <v>0</v>
      </c>
      <c r="M672">
        <f t="shared" si="20"/>
        <v>18</v>
      </c>
      <c r="N672">
        <v>0</v>
      </c>
      <c r="O672">
        <v>0</v>
      </c>
      <c r="P672">
        <v>18</v>
      </c>
      <c r="Q672">
        <v>0</v>
      </c>
      <c r="R672">
        <v>0</v>
      </c>
      <c r="S672">
        <v>0</v>
      </c>
    </row>
    <row r="673" spans="1:19" x14ac:dyDescent="0.25">
      <c r="A673">
        <v>18055</v>
      </c>
      <c r="B673" t="s">
        <v>56</v>
      </c>
      <c r="C673">
        <v>23</v>
      </c>
      <c r="D673">
        <v>1.0230319296171799</v>
      </c>
      <c r="E673">
        <v>5.1530497195532297</v>
      </c>
      <c r="F673">
        <f t="shared" si="21"/>
        <v>1</v>
      </c>
      <c r="G673">
        <v>0</v>
      </c>
      <c r="H673">
        <v>0</v>
      </c>
      <c r="I673">
        <v>1</v>
      </c>
      <c r="J673">
        <v>0</v>
      </c>
      <c r="K673">
        <v>0</v>
      </c>
      <c r="L673">
        <v>0</v>
      </c>
      <c r="M673">
        <f t="shared" si="20"/>
        <v>18</v>
      </c>
      <c r="N673">
        <v>0</v>
      </c>
      <c r="O673">
        <v>0</v>
      </c>
      <c r="P673">
        <v>18</v>
      </c>
      <c r="Q673">
        <v>0</v>
      </c>
      <c r="R673">
        <v>0</v>
      </c>
      <c r="S673">
        <v>0</v>
      </c>
    </row>
    <row r="674" spans="1:19" x14ac:dyDescent="0.25">
      <c r="A674">
        <v>18057</v>
      </c>
      <c r="B674" t="s">
        <v>57</v>
      </c>
      <c r="C674">
        <v>0</v>
      </c>
      <c r="D674">
        <v>10.3426027483425</v>
      </c>
      <c r="E674">
        <v>4.6963859418494103</v>
      </c>
      <c r="F674">
        <f t="shared" si="21"/>
        <v>1</v>
      </c>
      <c r="G674">
        <v>0</v>
      </c>
      <c r="H674">
        <v>0</v>
      </c>
      <c r="I674">
        <v>1</v>
      </c>
      <c r="J674">
        <v>0</v>
      </c>
      <c r="K674">
        <v>0</v>
      </c>
      <c r="L674">
        <v>0</v>
      </c>
      <c r="M674">
        <f t="shared" si="20"/>
        <v>20</v>
      </c>
      <c r="N674">
        <v>0</v>
      </c>
      <c r="O674">
        <v>0</v>
      </c>
      <c r="P674">
        <v>20</v>
      </c>
      <c r="Q674">
        <v>0</v>
      </c>
      <c r="R674">
        <v>0</v>
      </c>
      <c r="S674">
        <v>0</v>
      </c>
    </row>
    <row r="675" spans="1:19" x14ac:dyDescent="0.25">
      <c r="A675">
        <v>18057</v>
      </c>
      <c r="B675" t="s">
        <v>57</v>
      </c>
      <c r="C675">
        <v>1</v>
      </c>
      <c r="D675">
        <v>10.6592130365571</v>
      </c>
      <c r="E675">
        <v>4.4853124163730396</v>
      </c>
      <c r="F675">
        <f t="shared" si="21"/>
        <v>1</v>
      </c>
      <c r="G675">
        <v>0</v>
      </c>
      <c r="H675">
        <v>0</v>
      </c>
      <c r="I675">
        <v>1</v>
      </c>
      <c r="J675">
        <v>0</v>
      </c>
      <c r="K675">
        <v>0</v>
      </c>
      <c r="L675">
        <v>0</v>
      </c>
      <c r="M675">
        <f t="shared" si="20"/>
        <v>20</v>
      </c>
      <c r="N675">
        <v>0</v>
      </c>
      <c r="O675">
        <v>0</v>
      </c>
      <c r="P675">
        <v>20</v>
      </c>
      <c r="Q675">
        <v>0</v>
      </c>
      <c r="R675">
        <v>0</v>
      </c>
      <c r="S675">
        <v>0</v>
      </c>
    </row>
    <row r="676" spans="1:19" x14ac:dyDescent="0.25">
      <c r="A676">
        <v>18057</v>
      </c>
      <c r="B676" t="s">
        <v>57</v>
      </c>
      <c r="C676">
        <v>2</v>
      </c>
      <c r="D676">
        <v>10.553676273818899</v>
      </c>
      <c r="E676">
        <v>4.4853124163730396</v>
      </c>
      <c r="F676">
        <f t="shared" si="21"/>
        <v>1</v>
      </c>
      <c r="G676">
        <v>0</v>
      </c>
      <c r="H676">
        <v>0</v>
      </c>
      <c r="I676">
        <v>1</v>
      </c>
      <c r="J676">
        <v>0</v>
      </c>
      <c r="K676">
        <v>0</v>
      </c>
      <c r="L676">
        <v>0</v>
      </c>
      <c r="M676">
        <f t="shared" si="20"/>
        <v>20</v>
      </c>
      <c r="N676">
        <v>0</v>
      </c>
      <c r="O676">
        <v>0</v>
      </c>
      <c r="P676">
        <v>20</v>
      </c>
      <c r="Q676">
        <v>0</v>
      </c>
      <c r="R676">
        <v>0</v>
      </c>
      <c r="S676">
        <v>0</v>
      </c>
    </row>
    <row r="677" spans="1:19" x14ac:dyDescent="0.25">
      <c r="A677">
        <v>18057</v>
      </c>
      <c r="B677" t="s">
        <v>57</v>
      </c>
      <c r="C677">
        <v>3</v>
      </c>
      <c r="D677">
        <v>10.7119814179262</v>
      </c>
      <c r="E677">
        <v>4.7491543232185096</v>
      </c>
      <c r="F677">
        <f t="shared" si="21"/>
        <v>1</v>
      </c>
      <c r="G677">
        <v>0</v>
      </c>
      <c r="H677">
        <v>0</v>
      </c>
      <c r="I677">
        <v>1</v>
      </c>
      <c r="J677">
        <v>0</v>
      </c>
      <c r="K677">
        <v>0</v>
      </c>
      <c r="L677">
        <v>0</v>
      </c>
      <c r="M677">
        <f t="shared" si="20"/>
        <v>20</v>
      </c>
      <c r="N677">
        <v>0</v>
      </c>
      <c r="O677">
        <v>0</v>
      </c>
      <c r="P677">
        <v>20</v>
      </c>
      <c r="Q677">
        <v>0</v>
      </c>
      <c r="R677">
        <v>0</v>
      </c>
      <c r="S677">
        <v>0</v>
      </c>
    </row>
    <row r="678" spans="1:19" x14ac:dyDescent="0.25">
      <c r="A678">
        <v>18057</v>
      </c>
      <c r="B678" t="s">
        <v>57</v>
      </c>
      <c r="C678">
        <v>4</v>
      </c>
      <c r="D678">
        <v>10.817518180664299</v>
      </c>
      <c r="E678">
        <v>5.4879116623858302</v>
      </c>
      <c r="F678">
        <f t="shared" si="21"/>
        <v>1</v>
      </c>
      <c r="G678">
        <v>0</v>
      </c>
      <c r="H678">
        <v>0</v>
      </c>
      <c r="I678">
        <v>1</v>
      </c>
      <c r="J678">
        <v>0</v>
      </c>
      <c r="K678">
        <v>0</v>
      </c>
      <c r="L678">
        <v>0</v>
      </c>
      <c r="M678">
        <f t="shared" si="20"/>
        <v>20</v>
      </c>
      <c r="N678">
        <v>0</v>
      </c>
      <c r="O678">
        <v>0</v>
      </c>
      <c r="P678">
        <v>20</v>
      </c>
      <c r="Q678">
        <v>0</v>
      </c>
      <c r="R678">
        <v>0</v>
      </c>
      <c r="S678">
        <v>0</v>
      </c>
    </row>
    <row r="679" spans="1:19" x14ac:dyDescent="0.25">
      <c r="A679">
        <v>18057</v>
      </c>
      <c r="B679" t="s">
        <v>57</v>
      </c>
      <c r="C679">
        <v>5</v>
      </c>
      <c r="D679">
        <v>10.817518180664299</v>
      </c>
      <c r="E679">
        <v>6.3322057642913503</v>
      </c>
      <c r="F679">
        <f t="shared" si="21"/>
        <v>1</v>
      </c>
      <c r="G679">
        <v>0</v>
      </c>
      <c r="H679">
        <v>0</v>
      </c>
      <c r="I679">
        <v>1</v>
      </c>
      <c r="J679">
        <v>0</v>
      </c>
      <c r="K679">
        <v>0</v>
      </c>
      <c r="L679">
        <v>0</v>
      </c>
      <c r="M679">
        <f t="shared" si="20"/>
        <v>20</v>
      </c>
      <c r="N679">
        <v>0</v>
      </c>
      <c r="O679">
        <v>0</v>
      </c>
      <c r="P679">
        <v>20</v>
      </c>
      <c r="Q679">
        <v>0</v>
      </c>
      <c r="R679">
        <v>0</v>
      </c>
      <c r="S679">
        <v>0</v>
      </c>
    </row>
    <row r="680" spans="1:19" x14ac:dyDescent="0.25">
      <c r="A680">
        <v>18057</v>
      </c>
      <c r="B680" t="s">
        <v>57</v>
      </c>
      <c r="C680">
        <v>6</v>
      </c>
      <c r="D680">
        <v>10.7647497992953</v>
      </c>
      <c r="E680">
        <v>7.1764998661968598</v>
      </c>
      <c r="F680">
        <f t="shared" si="21"/>
        <v>1</v>
      </c>
      <c r="G680">
        <v>0</v>
      </c>
      <c r="H680">
        <v>0</v>
      </c>
      <c r="I680">
        <v>1</v>
      </c>
      <c r="J680">
        <v>0</v>
      </c>
      <c r="K680">
        <v>0</v>
      </c>
      <c r="L680">
        <v>0</v>
      </c>
      <c r="M680">
        <f t="shared" si="20"/>
        <v>20</v>
      </c>
      <c r="N680">
        <v>0</v>
      </c>
      <c r="O680">
        <v>0</v>
      </c>
      <c r="P680">
        <v>20</v>
      </c>
      <c r="Q680">
        <v>0</v>
      </c>
      <c r="R680">
        <v>0</v>
      </c>
      <c r="S680">
        <v>0</v>
      </c>
    </row>
    <row r="681" spans="1:19" x14ac:dyDescent="0.25">
      <c r="A681">
        <v>18057</v>
      </c>
      <c r="B681" t="s">
        <v>57</v>
      </c>
      <c r="C681">
        <v>7</v>
      </c>
      <c r="D681">
        <v>9.3400035023297399</v>
      </c>
      <c r="E681">
        <v>6.9654263407204802</v>
      </c>
      <c r="F681">
        <f t="shared" si="21"/>
        <v>1</v>
      </c>
      <c r="G681">
        <v>0</v>
      </c>
      <c r="H681">
        <v>0</v>
      </c>
      <c r="I681">
        <v>1</v>
      </c>
      <c r="J681">
        <v>0</v>
      </c>
      <c r="K681">
        <v>0</v>
      </c>
      <c r="L681">
        <v>0</v>
      </c>
      <c r="M681">
        <f t="shared" si="20"/>
        <v>20</v>
      </c>
      <c r="N681">
        <v>0</v>
      </c>
      <c r="O681">
        <v>0</v>
      </c>
      <c r="P681">
        <v>20</v>
      </c>
      <c r="Q681">
        <v>0</v>
      </c>
      <c r="R681">
        <v>0</v>
      </c>
      <c r="S681">
        <v>0</v>
      </c>
    </row>
    <row r="682" spans="1:19" x14ac:dyDescent="0.25">
      <c r="A682">
        <v>18057</v>
      </c>
      <c r="B682" t="s">
        <v>57</v>
      </c>
      <c r="C682">
        <v>8</v>
      </c>
      <c r="D682">
        <v>7.1764998661968598</v>
      </c>
      <c r="E682">
        <v>7.5986469171496198</v>
      </c>
      <c r="F682">
        <f t="shared" si="21"/>
        <v>1</v>
      </c>
      <c r="G682">
        <v>0</v>
      </c>
      <c r="H682">
        <v>0</v>
      </c>
      <c r="I682">
        <v>1</v>
      </c>
      <c r="J682">
        <v>0</v>
      </c>
      <c r="K682">
        <v>0</v>
      </c>
      <c r="L682">
        <v>0</v>
      </c>
      <c r="M682">
        <f t="shared" si="20"/>
        <v>20</v>
      </c>
      <c r="N682">
        <v>0</v>
      </c>
      <c r="O682">
        <v>0</v>
      </c>
      <c r="P682">
        <v>20</v>
      </c>
      <c r="Q682">
        <v>0</v>
      </c>
      <c r="R682">
        <v>0</v>
      </c>
      <c r="S682">
        <v>0</v>
      </c>
    </row>
    <row r="683" spans="1:19" x14ac:dyDescent="0.25">
      <c r="A683">
        <v>18057</v>
      </c>
      <c r="B683" t="s">
        <v>57</v>
      </c>
      <c r="C683">
        <v>9</v>
      </c>
      <c r="D683">
        <v>4.9074594673257899</v>
      </c>
      <c r="E683">
        <v>9.3927718836988294</v>
      </c>
      <c r="F683">
        <f t="shared" si="21"/>
        <v>1</v>
      </c>
      <c r="G683">
        <v>0</v>
      </c>
      <c r="H683">
        <v>0</v>
      </c>
      <c r="I683">
        <v>1</v>
      </c>
      <c r="J683">
        <v>0</v>
      </c>
      <c r="K683">
        <v>0</v>
      </c>
      <c r="L683">
        <v>0</v>
      </c>
      <c r="M683">
        <f t="shared" si="20"/>
        <v>20</v>
      </c>
      <c r="N683">
        <v>0</v>
      </c>
      <c r="O683">
        <v>0</v>
      </c>
      <c r="P683">
        <v>20</v>
      </c>
      <c r="Q683">
        <v>0</v>
      </c>
      <c r="R683">
        <v>0</v>
      </c>
      <c r="S683">
        <v>0</v>
      </c>
    </row>
    <row r="684" spans="1:19" x14ac:dyDescent="0.25">
      <c r="A684">
        <v>18057</v>
      </c>
      <c r="B684" t="s">
        <v>57</v>
      </c>
      <c r="C684">
        <v>10</v>
      </c>
      <c r="D684">
        <v>3.8520918399438999</v>
      </c>
      <c r="E684">
        <v>15.988819554835599</v>
      </c>
      <c r="F684">
        <f t="shared" si="21"/>
        <v>1</v>
      </c>
      <c r="G684">
        <v>0</v>
      </c>
      <c r="H684">
        <v>0</v>
      </c>
      <c r="I684">
        <v>1</v>
      </c>
      <c r="J684">
        <v>0</v>
      </c>
      <c r="K684">
        <v>0</v>
      </c>
      <c r="L684">
        <v>0</v>
      </c>
      <c r="M684">
        <f t="shared" si="20"/>
        <v>20</v>
      </c>
      <c r="N684">
        <v>0</v>
      </c>
      <c r="O684">
        <v>0</v>
      </c>
      <c r="P684">
        <v>20</v>
      </c>
      <c r="Q684">
        <v>0</v>
      </c>
      <c r="R684">
        <v>0</v>
      </c>
      <c r="S684">
        <v>0</v>
      </c>
    </row>
    <row r="685" spans="1:19" x14ac:dyDescent="0.25">
      <c r="A685">
        <v>18057</v>
      </c>
      <c r="B685" t="s">
        <v>57</v>
      </c>
      <c r="C685">
        <v>11</v>
      </c>
      <c r="D685">
        <v>2.7439558311929102</v>
      </c>
      <c r="E685">
        <v>10.870286562033399</v>
      </c>
      <c r="F685">
        <f t="shared" si="21"/>
        <v>1</v>
      </c>
      <c r="G685">
        <v>0</v>
      </c>
      <c r="H685">
        <v>0</v>
      </c>
      <c r="I685">
        <v>1</v>
      </c>
      <c r="J685">
        <v>0</v>
      </c>
      <c r="K685">
        <v>0</v>
      </c>
      <c r="L685">
        <v>0</v>
      </c>
      <c r="M685">
        <f t="shared" si="20"/>
        <v>20</v>
      </c>
      <c r="N685">
        <v>0</v>
      </c>
      <c r="O685">
        <v>0</v>
      </c>
      <c r="P685">
        <v>20</v>
      </c>
      <c r="Q685">
        <v>0</v>
      </c>
      <c r="R685">
        <v>0</v>
      </c>
      <c r="S685">
        <v>0</v>
      </c>
    </row>
    <row r="686" spans="1:19" x14ac:dyDescent="0.25">
      <c r="A686">
        <v>18057</v>
      </c>
      <c r="B686" t="s">
        <v>57</v>
      </c>
      <c r="C686">
        <v>12</v>
      </c>
      <c r="D686">
        <v>2.2162720175019701</v>
      </c>
      <c r="E686">
        <v>9.9204556973897802</v>
      </c>
      <c r="F686">
        <f t="shared" si="21"/>
        <v>1</v>
      </c>
      <c r="G686">
        <v>0</v>
      </c>
      <c r="H686">
        <v>0</v>
      </c>
      <c r="I686">
        <v>1</v>
      </c>
      <c r="J686">
        <v>0</v>
      </c>
      <c r="K686">
        <v>0</v>
      </c>
      <c r="L686">
        <v>0</v>
      </c>
      <c r="M686">
        <f t="shared" si="20"/>
        <v>20</v>
      </c>
      <c r="N686">
        <v>0</v>
      </c>
      <c r="O686">
        <v>0</v>
      </c>
      <c r="P686">
        <v>20</v>
      </c>
      <c r="Q686">
        <v>0</v>
      </c>
      <c r="R686">
        <v>0</v>
      </c>
      <c r="S686">
        <v>0</v>
      </c>
    </row>
    <row r="687" spans="1:19" x14ac:dyDescent="0.25">
      <c r="A687">
        <v>18057</v>
      </c>
      <c r="B687" t="s">
        <v>57</v>
      </c>
      <c r="C687">
        <v>13</v>
      </c>
      <c r="D687">
        <v>2.0579668733946801</v>
      </c>
      <c r="E687">
        <v>8.7067829259005993</v>
      </c>
      <c r="F687">
        <f t="shared" si="21"/>
        <v>1</v>
      </c>
      <c r="G687">
        <v>0</v>
      </c>
      <c r="H687">
        <v>0</v>
      </c>
      <c r="I687">
        <v>1</v>
      </c>
      <c r="J687">
        <v>0</v>
      </c>
      <c r="K687">
        <v>0</v>
      </c>
      <c r="L687">
        <v>0</v>
      </c>
      <c r="M687">
        <f t="shared" si="20"/>
        <v>20</v>
      </c>
      <c r="N687">
        <v>0</v>
      </c>
      <c r="O687">
        <v>0</v>
      </c>
      <c r="P687">
        <v>20</v>
      </c>
      <c r="Q687">
        <v>0</v>
      </c>
      <c r="R687">
        <v>0</v>
      </c>
      <c r="S687">
        <v>0</v>
      </c>
    </row>
    <row r="688" spans="1:19" x14ac:dyDescent="0.25">
      <c r="A688">
        <v>18057</v>
      </c>
      <c r="B688" t="s">
        <v>57</v>
      </c>
      <c r="C688">
        <v>14</v>
      </c>
      <c r="D688">
        <v>2.3218087802401599</v>
      </c>
      <c r="E688">
        <v>5.5406800437549304</v>
      </c>
      <c r="F688">
        <f t="shared" si="21"/>
        <v>1</v>
      </c>
      <c r="G688">
        <v>0</v>
      </c>
      <c r="H688">
        <v>0</v>
      </c>
      <c r="I688">
        <v>1</v>
      </c>
      <c r="J688">
        <v>0</v>
      </c>
      <c r="K688">
        <v>0</v>
      </c>
      <c r="L688">
        <v>0</v>
      </c>
      <c r="M688">
        <f t="shared" si="20"/>
        <v>20</v>
      </c>
      <c r="N688">
        <v>0</v>
      </c>
      <c r="O688">
        <v>0</v>
      </c>
      <c r="P688">
        <v>20</v>
      </c>
      <c r="Q688">
        <v>0</v>
      </c>
      <c r="R688">
        <v>0</v>
      </c>
      <c r="S688">
        <v>0</v>
      </c>
    </row>
    <row r="689" spans="1:19" x14ac:dyDescent="0.25">
      <c r="A689">
        <v>18057</v>
      </c>
      <c r="B689" t="s">
        <v>57</v>
      </c>
      <c r="C689">
        <v>15</v>
      </c>
      <c r="D689">
        <v>2.3745771616092499</v>
      </c>
      <c r="E689">
        <v>3.4827131703602401</v>
      </c>
      <c r="F689">
        <f t="shared" si="21"/>
        <v>1</v>
      </c>
      <c r="G689">
        <v>0</v>
      </c>
      <c r="H689">
        <v>0</v>
      </c>
      <c r="I689">
        <v>1</v>
      </c>
      <c r="J689">
        <v>0</v>
      </c>
      <c r="K689">
        <v>0</v>
      </c>
      <c r="L689">
        <v>0</v>
      </c>
      <c r="M689">
        <f t="shared" si="20"/>
        <v>20</v>
      </c>
      <c r="N689">
        <v>0</v>
      </c>
      <c r="O689">
        <v>0</v>
      </c>
      <c r="P689">
        <v>20</v>
      </c>
      <c r="Q689">
        <v>0</v>
      </c>
      <c r="R689">
        <v>0</v>
      </c>
      <c r="S689">
        <v>0</v>
      </c>
    </row>
    <row r="690" spans="1:19" x14ac:dyDescent="0.25">
      <c r="A690">
        <v>18057</v>
      </c>
      <c r="B690" t="s">
        <v>57</v>
      </c>
      <c r="C690">
        <v>16</v>
      </c>
      <c r="D690">
        <v>3.4299447889911399</v>
      </c>
      <c r="E690">
        <v>1.8468933479183101</v>
      </c>
      <c r="F690">
        <f t="shared" si="21"/>
        <v>1</v>
      </c>
      <c r="G690">
        <v>0</v>
      </c>
      <c r="H690">
        <v>0</v>
      </c>
      <c r="I690">
        <v>1</v>
      </c>
      <c r="J690">
        <v>0</v>
      </c>
      <c r="K690">
        <v>0</v>
      </c>
      <c r="L690">
        <v>0</v>
      </c>
      <c r="M690">
        <f t="shared" si="20"/>
        <v>20</v>
      </c>
      <c r="N690">
        <v>0</v>
      </c>
      <c r="O690">
        <v>0</v>
      </c>
      <c r="P690">
        <v>20</v>
      </c>
      <c r="Q690">
        <v>0</v>
      </c>
      <c r="R690">
        <v>0</v>
      </c>
      <c r="S690">
        <v>0</v>
      </c>
    </row>
    <row r="691" spans="1:19" x14ac:dyDescent="0.25">
      <c r="A691">
        <v>18057</v>
      </c>
      <c r="B691" t="s">
        <v>57</v>
      </c>
      <c r="C691">
        <v>17</v>
      </c>
      <c r="D691">
        <v>3.9576286026820902</v>
      </c>
      <c r="E691">
        <v>1.53028305970374</v>
      </c>
      <c r="F691">
        <f t="shared" si="21"/>
        <v>1</v>
      </c>
      <c r="G691">
        <v>0</v>
      </c>
      <c r="H691">
        <v>0</v>
      </c>
      <c r="I691">
        <v>1</v>
      </c>
      <c r="J691">
        <v>0</v>
      </c>
      <c r="K691">
        <v>0</v>
      </c>
      <c r="L691">
        <v>0</v>
      </c>
      <c r="M691">
        <f t="shared" si="20"/>
        <v>20</v>
      </c>
      <c r="N691">
        <v>0</v>
      </c>
      <c r="O691">
        <v>0</v>
      </c>
      <c r="P691">
        <v>20</v>
      </c>
      <c r="Q691">
        <v>0</v>
      </c>
      <c r="R691">
        <v>0</v>
      </c>
      <c r="S691">
        <v>0</v>
      </c>
    </row>
    <row r="692" spans="1:19" x14ac:dyDescent="0.25">
      <c r="A692">
        <v>18057</v>
      </c>
      <c r="B692" t="s">
        <v>57</v>
      </c>
      <c r="C692">
        <v>18</v>
      </c>
      <c r="D692">
        <v>4.6436175604803198</v>
      </c>
      <c r="E692">
        <v>1.68858820381102</v>
      </c>
      <c r="F692">
        <f t="shared" si="21"/>
        <v>1</v>
      </c>
      <c r="G692">
        <v>0</v>
      </c>
      <c r="H692">
        <v>0</v>
      </c>
      <c r="I692">
        <v>1</v>
      </c>
      <c r="J692">
        <v>0</v>
      </c>
      <c r="K692">
        <v>0</v>
      </c>
      <c r="L692">
        <v>0</v>
      </c>
      <c r="M692">
        <f t="shared" si="20"/>
        <v>20</v>
      </c>
      <c r="N692">
        <v>0</v>
      </c>
      <c r="O692">
        <v>0</v>
      </c>
      <c r="P692">
        <v>20</v>
      </c>
      <c r="Q692">
        <v>0</v>
      </c>
      <c r="R692">
        <v>0</v>
      </c>
      <c r="S692">
        <v>0</v>
      </c>
    </row>
    <row r="693" spans="1:19" x14ac:dyDescent="0.25">
      <c r="A693">
        <v>18057</v>
      </c>
      <c r="B693" t="s">
        <v>57</v>
      </c>
      <c r="C693">
        <v>19</v>
      </c>
      <c r="D693">
        <v>5.1713013741712697</v>
      </c>
      <c r="E693">
        <v>1.10813600875098</v>
      </c>
      <c r="F693">
        <f t="shared" si="21"/>
        <v>1</v>
      </c>
      <c r="G693">
        <v>0</v>
      </c>
      <c r="H693">
        <v>0</v>
      </c>
      <c r="I693">
        <v>1</v>
      </c>
      <c r="J693">
        <v>0</v>
      </c>
      <c r="K693">
        <v>0</v>
      </c>
      <c r="L693">
        <v>0</v>
      </c>
      <c r="M693">
        <f t="shared" si="20"/>
        <v>20</v>
      </c>
      <c r="N693">
        <v>0</v>
      </c>
      <c r="O693">
        <v>0</v>
      </c>
      <c r="P693">
        <v>20</v>
      </c>
      <c r="Q693">
        <v>0</v>
      </c>
      <c r="R693">
        <v>0</v>
      </c>
      <c r="S693">
        <v>0</v>
      </c>
    </row>
    <row r="694" spans="1:19" x14ac:dyDescent="0.25">
      <c r="A694">
        <v>18057</v>
      </c>
      <c r="B694" t="s">
        <v>57</v>
      </c>
      <c r="C694">
        <v>20</v>
      </c>
      <c r="D694">
        <v>6.2266690015531596</v>
      </c>
      <c r="E694">
        <v>0.94983086464370203</v>
      </c>
      <c r="F694">
        <f t="shared" si="21"/>
        <v>1</v>
      </c>
      <c r="G694">
        <v>0</v>
      </c>
      <c r="H694">
        <v>0</v>
      </c>
      <c r="I694">
        <v>1</v>
      </c>
      <c r="J694">
        <v>0</v>
      </c>
      <c r="K694">
        <v>0</v>
      </c>
      <c r="L694">
        <v>0</v>
      </c>
      <c r="M694">
        <f t="shared" si="20"/>
        <v>20</v>
      </c>
      <c r="N694">
        <v>0</v>
      </c>
      <c r="O694">
        <v>0</v>
      </c>
      <c r="P694">
        <v>20</v>
      </c>
      <c r="Q694">
        <v>0</v>
      </c>
      <c r="R694">
        <v>0</v>
      </c>
      <c r="S694">
        <v>0</v>
      </c>
    </row>
    <row r="695" spans="1:19" x14ac:dyDescent="0.25">
      <c r="A695">
        <v>18057</v>
      </c>
      <c r="B695" t="s">
        <v>57</v>
      </c>
      <c r="C695">
        <v>21</v>
      </c>
      <c r="D695">
        <v>7.7569520612569001</v>
      </c>
      <c r="E695">
        <v>0.94983086464370203</v>
      </c>
      <c r="F695">
        <f t="shared" si="21"/>
        <v>1</v>
      </c>
      <c r="G695">
        <v>0</v>
      </c>
      <c r="H695">
        <v>0</v>
      </c>
      <c r="I695">
        <v>1</v>
      </c>
      <c r="J695">
        <v>0</v>
      </c>
      <c r="K695">
        <v>0</v>
      </c>
      <c r="L695">
        <v>0</v>
      </c>
      <c r="M695">
        <f t="shared" si="20"/>
        <v>20</v>
      </c>
      <c r="N695">
        <v>0</v>
      </c>
      <c r="O695">
        <v>0</v>
      </c>
      <c r="P695">
        <v>20</v>
      </c>
      <c r="Q695">
        <v>0</v>
      </c>
      <c r="R695">
        <v>0</v>
      </c>
      <c r="S695">
        <v>0</v>
      </c>
    </row>
    <row r="696" spans="1:19" x14ac:dyDescent="0.25">
      <c r="A696">
        <v>18057</v>
      </c>
      <c r="B696" t="s">
        <v>57</v>
      </c>
      <c r="C696">
        <v>22</v>
      </c>
      <c r="D696">
        <v>9.1816983582224605</v>
      </c>
      <c r="E696">
        <v>1.68858820381102</v>
      </c>
      <c r="F696">
        <f t="shared" si="21"/>
        <v>1</v>
      </c>
      <c r="G696">
        <v>0</v>
      </c>
      <c r="H696">
        <v>0</v>
      </c>
      <c r="I696">
        <v>1</v>
      </c>
      <c r="J696">
        <v>0</v>
      </c>
      <c r="K696">
        <v>0</v>
      </c>
      <c r="L696">
        <v>0</v>
      </c>
      <c r="M696">
        <f t="shared" si="20"/>
        <v>20</v>
      </c>
      <c r="N696">
        <v>0</v>
      </c>
      <c r="O696">
        <v>0</v>
      </c>
      <c r="P696">
        <v>20</v>
      </c>
      <c r="Q696">
        <v>0</v>
      </c>
      <c r="R696">
        <v>0</v>
      </c>
      <c r="S696">
        <v>0</v>
      </c>
    </row>
    <row r="697" spans="1:19" x14ac:dyDescent="0.25">
      <c r="A697">
        <v>18057</v>
      </c>
      <c r="B697" t="s">
        <v>57</v>
      </c>
      <c r="C697">
        <v>23</v>
      </c>
      <c r="D697">
        <v>9.8676873160206906</v>
      </c>
      <c r="E697">
        <v>4.6963859418494103</v>
      </c>
      <c r="F697">
        <f t="shared" si="21"/>
        <v>1</v>
      </c>
      <c r="G697">
        <v>0</v>
      </c>
      <c r="H697">
        <v>0</v>
      </c>
      <c r="I697">
        <v>1</v>
      </c>
      <c r="J697">
        <v>0</v>
      </c>
      <c r="K697">
        <v>0</v>
      </c>
      <c r="L697">
        <v>0</v>
      </c>
      <c r="M697">
        <f t="shared" si="20"/>
        <v>20</v>
      </c>
      <c r="N697">
        <v>0</v>
      </c>
      <c r="O697">
        <v>0</v>
      </c>
      <c r="P697">
        <v>20</v>
      </c>
      <c r="Q697">
        <v>0</v>
      </c>
      <c r="R697">
        <v>0</v>
      </c>
      <c r="S697">
        <v>0</v>
      </c>
    </row>
    <row r="698" spans="1:19" x14ac:dyDescent="0.25">
      <c r="A698">
        <v>18059</v>
      </c>
      <c r="B698" t="s">
        <v>58</v>
      </c>
      <c r="C698">
        <v>0</v>
      </c>
      <c r="D698">
        <v>422.61661502005097</v>
      </c>
      <c r="E698">
        <v>19.5083895370032</v>
      </c>
      <c r="F698">
        <f t="shared" si="21"/>
        <v>3</v>
      </c>
      <c r="G698">
        <v>0</v>
      </c>
      <c r="H698">
        <v>1</v>
      </c>
      <c r="I698">
        <v>0</v>
      </c>
      <c r="J698">
        <v>1</v>
      </c>
      <c r="K698">
        <v>1</v>
      </c>
      <c r="L698">
        <v>0</v>
      </c>
      <c r="M698">
        <f t="shared" si="20"/>
        <v>373</v>
      </c>
      <c r="N698">
        <v>0</v>
      </c>
      <c r="O698">
        <v>80</v>
      </c>
      <c r="P698">
        <v>0</v>
      </c>
      <c r="Q698">
        <v>198</v>
      </c>
      <c r="R698">
        <v>95</v>
      </c>
      <c r="S698">
        <v>0</v>
      </c>
    </row>
    <row r="699" spans="1:19" x14ac:dyDescent="0.25">
      <c r="A699">
        <v>18059</v>
      </c>
      <c r="B699" t="s">
        <v>58</v>
      </c>
      <c r="C699">
        <v>1</v>
      </c>
      <c r="D699">
        <v>428.94999999999902</v>
      </c>
      <c r="E699">
        <v>22.166847429821299</v>
      </c>
      <c r="F699">
        <f t="shared" si="21"/>
        <v>3</v>
      </c>
      <c r="G699">
        <v>0</v>
      </c>
      <c r="H699">
        <v>1</v>
      </c>
      <c r="I699">
        <v>0</v>
      </c>
      <c r="J699">
        <v>1</v>
      </c>
      <c r="K699">
        <v>1</v>
      </c>
      <c r="L699">
        <v>0</v>
      </c>
      <c r="M699">
        <f t="shared" si="20"/>
        <v>373</v>
      </c>
      <c r="N699">
        <v>0</v>
      </c>
      <c r="O699">
        <v>80</v>
      </c>
      <c r="P699">
        <v>0</v>
      </c>
      <c r="Q699">
        <v>198</v>
      </c>
      <c r="R699">
        <v>95</v>
      </c>
      <c r="S699">
        <v>0</v>
      </c>
    </row>
    <row r="700" spans="1:19" x14ac:dyDescent="0.25">
      <c r="A700">
        <v>18059</v>
      </c>
      <c r="B700" t="s">
        <v>58</v>
      </c>
      <c r="C700">
        <v>2</v>
      </c>
      <c r="D700">
        <v>428.168100619759</v>
      </c>
      <c r="E700">
        <v>23.652456252278501</v>
      </c>
      <c r="F700">
        <f t="shared" si="21"/>
        <v>3</v>
      </c>
      <c r="G700">
        <v>0</v>
      </c>
      <c r="H700">
        <v>1</v>
      </c>
      <c r="I700">
        <v>0</v>
      </c>
      <c r="J700">
        <v>1</v>
      </c>
      <c r="K700">
        <v>1</v>
      </c>
      <c r="L700">
        <v>0</v>
      </c>
      <c r="M700">
        <f t="shared" si="20"/>
        <v>373</v>
      </c>
      <c r="N700">
        <v>0</v>
      </c>
      <c r="O700">
        <v>80</v>
      </c>
      <c r="P700">
        <v>0</v>
      </c>
      <c r="Q700">
        <v>198</v>
      </c>
      <c r="R700">
        <v>95</v>
      </c>
      <c r="S700">
        <v>0</v>
      </c>
    </row>
    <row r="701" spans="1:19" x14ac:dyDescent="0.25">
      <c r="A701">
        <v>18059</v>
      </c>
      <c r="B701" t="s">
        <v>58</v>
      </c>
      <c r="C701">
        <v>3</v>
      </c>
      <c r="D701">
        <v>423.67217918337502</v>
      </c>
      <c r="E701">
        <v>24.551640539555201</v>
      </c>
      <c r="F701">
        <f t="shared" si="21"/>
        <v>3</v>
      </c>
      <c r="G701">
        <v>0</v>
      </c>
      <c r="H701">
        <v>1</v>
      </c>
      <c r="I701">
        <v>0</v>
      </c>
      <c r="J701">
        <v>1</v>
      </c>
      <c r="K701">
        <v>1</v>
      </c>
      <c r="L701">
        <v>0</v>
      </c>
      <c r="M701">
        <f t="shared" si="20"/>
        <v>373</v>
      </c>
      <c r="N701">
        <v>0</v>
      </c>
      <c r="O701">
        <v>80</v>
      </c>
      <c r="P701">
        <v>0</v>
      </c>
      <c r="Q701">
        <v>198</v>
      </c>
      <c r="R701">
        <v>95</v>
      </c>
      <c r="S701">
        <v>0</v>
      </c>
    </row>
    <row r="702" spans="1:19" x14ac:dyDescent="0.25">
      <c r="A702">
        <v>18059</v>
      </c>
      <c r="B702" t="s">
        <v>58</v>
      </c>
      <c r="C702">
        <v>4</v>
      </c>
      <c r="D702">
        <v>410.57536456434502</v>
      </c>
      <c r="E702">
        <v>25.607204702880001</v>
      </c>
      <c r="F702">
        <f t="shared" si="21"/>
        <v>3</v>
      </c>
      <c r="G702">
        <v>0</v>
      </c>
      <c r="H702">
        <v>1</v>
      </c>
      <c r="I702">
        <v>0</v>
      </c>
      <c r="J702">
        <v>1</v>
      </c>
      <c r="K702">
        <v>1</v>
      </c>
      <c r="L702">
        <v>0</v>
      </c>
      <c r="M702">
        <f t="shared" si="20"/>
        <v>373</v>
      </c>
      <c r="N702">
        <v>0</v>
      </c>
      <c r="O702">
        <v>80</v>
      </c>
      <c r="P702">
        <v>0</v>
      </c>
      <c r="Q702">
        <v>198</v>
      </c>
      <c r="R702">
        <v>95</v>
      </c>
      <c r="S702">
        <v>0</v>
      </c>
    </row>
    <row r="703" spans="1:19" x14ac:dyDescent="0.25">
      <c r="A703">
        <v>18059</v>
      </c>
      <c r="B703" t="s">
        <v>58</v>
      </c>
      <c r="C703">
        <v>5</v>
      </c>
      <c r="D703">
        <v>390.55874043018503</v>
      </c>
      <c r="E703">
        <v>25.880869485964201</v>
      </c>
      <c r="F703">
        <f t="shared" si="21"/>
        <v>3</v>
      </c>
      <c r="G703">
        <v>0</v>
      </c>
      <c r="H703">
        <v>1</v>
      </c>
      <c r="I703">
        <v>0</v>
      </c>
      <c r="J703">
        <v>1</v>
      </c>
      <c r="K703">
        <v>1</v>
      </c>
      <c r="L703">
        <v>0</v>
      </c>
      <c r="M703">
        <f t="shared" si="20"/>
        <v>373</v>
      </c>
      <c r="N703">
        <v>0</v>
      </c>
      <c r="O703">
        <v>80</v>
      </c>
      <c r="P703">
        <v>0</v>
      </c>
      <c r="Q703">
        <v>198</v>
      </c>
      <c r="R703">
        <v>95</v>
      </c>
      <c r="S703">
        <v>0</v>
      </c>
    </row>
    <row r="704" spans="1:19" x14ac:dyDescent="0.25">
      <c r="A704">
        <v>18059</v>
      </c>
      <c r="B704" t="s">
        <v>58</v>
      </c>
      <c r="C704">
        <v>6</v>
      </c>
      <c r="D704">
        <v>363.85687659496898</v>
      </c>
      <c r="E704">
        <v>24.121595880422799</v>
      </c>
      <c r="F704">
        <f t="shared" si="21"/>
        <v>3</v>
      </c>
      <c r="G704">
        <v>0</v>
      </c>
      <c r="H704">
        <v>1</v>
      </c>
      <c r="I704">
        <v>0</v>
      </c>
      <c r="J704">
        <v>1</v>
      </c>
      <c r="K704">
        <v>1</v>
      </c>
      <c r="L704">
        <v>0</v>
      </c>
      <c r="M704">
        <f t="shared" si="20"/>
        <v>373</v>
      </c>
      <c r="N704">
        <v>0</v>
      </c>
      <c r="O704">
        <v>80</v>
      </c>
      <c r="P704">
        <v>0</v>
      </c>
      <c r="Q704">
        <v>198</v>
      </c>
      <c r="R704">
        <v>95</v>
      </c>
      <c r="S704">
        <v>0</v>
      </c>
    </row>
    <row r="705" spans="1:19" x14ac:dyDescent="0.25">
      <c r="A705">
        <v>18059</v>
      </c>
      <c r="B705" t="s">
        <v>58</v>
      </c>
      <c r="C705">
        <v>7</v>
      </c>
      <c r="D705">
        <v>317.17748359460398</v>
      </c>
      <c r="E705">
        <v>20.2120989792198</v>
      </c>
      <c r="F705">
        <f t="shared" si="21"/>
        <v>3</v>
      </c>
      <c r="G705">
        <v>0</v>
      </c>
      <c r="H705">
        <v>1</v>
      </c>
      <c r="I705">
        <v>0</v>
      </c>
      <c r="J705">
        <v>1</v>
      </c>
      <c r="K705">
        <v>1</v>
      </c>
      <c r="L705">
        <v>0</v>
      </c>
      <c r="M705">
        <f t="shared" si="20"/>
        <v>373</v>
      </c>
      <c r="N705">
        <v>0</v>
      </c>
      <c r="O705">
        <v>80</v>
      </c>
      <c r="P705">
        <v>0</v>
      </c>
      <c r="Q705">
        <v>198</v>
      </c>
      <c r="R705">
        <v>95</v>
      </c>
      <c r="S705">
        <v>0</v>
      </c>
    </row>
    <row r="706" spans="1:19" x14ac:dyDescent="0.25">
      <c r="A706">
        <v>18059</v>
      </c>
      <c r="B706" t="s">
        <v>58</v>
      </c>
      <c r="C706">
        <v>8</v>
      </c>
      <c r="D706">
        <v>265.14207983959102</v>
      </c>
      <c r="E706">
        <v>16.889026613197199</v>
      </c>
      <c r="F706">
        <f t="shared" si="21"/>
        <v>3</v>
      </c>
      <c r="G706">
        <v>0</v>
      </c>
      <c r="H706">
        <v>1</v>
      </c>
      <c r="I706">
        <v>0</v>
      </c>
      <c r="J706">
        <v>1</v>
      </c>
      <c r="K706">
        <v>1</v>
      </c>
      <c r="L706">
        <v>0</v>
      </c>
      <c r="M706">
        <f t="shared" ref="M706:M769" si="22">SUM(N706:S706)</f>
        <v>373</v>
      </c>
      <c r="N706">
        <v>0</v>
      </c>
      <c r="O706">
        <v>80</v>
      </c>
      <c r="P706">
        <v>0</v>
      </c>
      <c r="Q706">
        <v>198</v>
      </c>
      <c r="R706">
        <v>95</v>
      </c>
      <c r="S706">
        <v>0</v>
      </c>
    </row>
    <row r="707" spans="1:19" x14ac:dyDescent="0.25">
      <c r="A707">
        <v>18059</v>
      </c>
      <c r="B707" t="s">
        <v>58</v>
      </c>
      <c r="C707">
        <v>9</v>
      </c>
      <c r="D707">
        <v>218.110832118118</v>
      </c>
      <c r="E707">
        <v>15.637987604812199</v>
      </c>
      <c r="F707">
        <f t="shared" ref="F707:F770" si="23">SUM(G707:L707)</f>
        <v>3</v>
      </c>
      <c r="G707">
        <v>0</v>
      </c>
      <c r="H707">
        <v>1</v>
      </c>
      <c r="I707">
        <v>0</v>
      </c>
      <c r="J707">
        <v>1</v>
      </c>
      <c r="K707">
        <v>1</v>
      </c>
      <c r="L707">
        <v>0</v>
      </c>
      <c r="M707">
        <f t="shared" si="22"/>
        <v>373</v>
      </c>
      <c r="N707">
        <v>0</v>
      </c>
      <c r="O707">
        <v>80</v>
      </c>
      <c r="P707">
        <v>0</v>
      </c>
      <c r="Q707">
        <v>198</v>
      </c>
      <c r="R707">
        <v>95</v>
      </c>
      <c r="S707">
        <v>0</v>
      </c>
    </row>
    <row r="708" spans="1:19" x14ac:dyDescent="0.25">
      <c r="A708">
        <v>18059</v>
      </c>
      <c r="B708" t="s">
        <v>58</v>
      </c>
      <c r="C708">
        <v>10</v>
      </c>
      <c r="D708">
        <v>186.40481224936099</v>
      </c>
      <c r="E708">
        <v>12.354010207801601</v>
      </c>
      <c r="F708">
        <f t="shared" si="23"/>
        <v>3</v>
      </c>
      <c r="G708">
        <v>0</v>
      </c>
      <c r="H708">
        <v>1</v>
      </c>
      <c r="I708">
        <v>0</v>
      </c>
      <c r="J708">
        <v>1</v>
      </c>
      <c r="K708">
        <v>1</v>
      </c>
      <c r="L708">
        <v>0</v>
      </c>
      <c r="M708">
        <f t="shared" si="22"/>
        <v>373</v>
      </c>
      <c r="N708">
        <v>0</v>
      </c>
      <c r="O708">
        <v>80</v>
      </c>
      <c r="P708">
        <v>0</v>
      </c>
      <c r="Q708">
        <v>198</v>
      </c>
      <c r="R708">
        <v>95</v>
      </c>
      <c r="S708">
        <v>0</v>
      </c>
    </row>
    <row r="709" spans="1:19" x14ac:dyDescent="0.25">
      <c r="A709">
        <v>18059</v>
      </c>
      <c r="B709" t="s">
        <v>58</v>
      </c>
      <c r="C709">
        <v>11</v>
      </c>
      <c r="D709">
        <v>175.49731589500499</v>
      </c>
      <c r="E709">
        <v>7.1934742982136299</v>
      </c>
      <c r="F709">
        <f t="shared" si="23"/>
        <v>3</v>
      </c>
      <c r="G709">
        <v>0</v>
      </c>
      <c r="H709">
        <v>1</v>
      </c>
      <c r="I709">
        <v>0</v>
      </c>
      <c r="J709">
        <v>1</v>
      </c>
      <c r="K709">
        <v>1</v>
      </c>
      <c r="L709">
        <v>0</v>
      </c>
      <c r="M709">
        <f t="shared" si="22"/>
        <v>373</v>
      </c>
      <c r="N709">
        <v>0</v>
      </c>
      <c r="O709">
        <v>80</v>
      </c>
      <c r="P709">
        <v>0</v>
      </c>
      <c r="Q709">
        <v>198</v>
      </c>
      <c r="R709">
        <v>95</v>
      </c>
      <c r="S709">
        <v>0</v>
      </c>
    </row>
    <row r="710" spans="1:19" x14ac:dyDescent="0.25">
      <c r="A710">
        <v>18059</v>
      </c>
      <c r="B710" t="s">
        <v>58</v>
      </c>
      <c r="C710">
        <v>12</v>
      </c>
      <c r="D710">
        <v>177.68663415967899</v>
      </c>
      <c r="E710">
        <v>8.1317535545023691</v>
      </c>
      <c r="F710">
        <f t="shared" si="23"/>
        <v>3</v>
      </c>
      <c r="G710">
        <v>0</v>
      </c>
      <c r="H710">
        <v>1</v>
      </c>
      <c r="I710">
        <v>0</v>
      </c>
      <c r="J710">
        <v>1</v>
      </c>
      <c r="K710">
        <v>1</v>
      </c>
      <c r="L710">
        <v>0</v>
      </c>
      <c r="M710">
        <f t="shared" si="22"/>
        <v>373</v>
      </c>
      <c r="N710">
        <v>0</v>
      </c>
      <c r="O710">
        <v>80</v>
      </c>
      <c r="P710">
        <v>0</v>
      </c>
      <c r="Q710">
        <v>198</v>
      </c>
      <c r="R710">
        <v>95</v>
      </c>
      <c r="S710">
        <v>0</v>
      </c>
    </row>
    <row r="711" spans="1:19" x14ac:dyDescent="0.25">
      <c r="A711">
        <v>18059</v>
      </c>
      <c r="B711" t="s">
        <v>58</v>
      </c>
      <c r="C711">
        <v>13</v>
      </c>
      <c r="D711">
        <v>186.28752734232501</v>
      </c>
      <c r="E711">
        <v>7.3498541742617496</v>
      </c>
      <c r="F711">
        <f t="shared" si="23"/>
        <v>3</v>
      </c>
      <c r="G711">
        <v>0</v>
      </c>
      <c r="H711">
        <v>1</v>
      </c>
      <c r="I711">
        <v>0</v>
      </c>
      <c r="J711">
        <v>1</v>
      </c>
      <c r="K711">
        <v>1</v>
      </c>
      <c r="L711">
        <v>0</v>
      </c>
      <c r="M711">
        <f t="shared" si="22"/>
        <v>373</v>
      </c>
      <c r="N711">
        <v>0</v>
      </c>
      <c r="O711">
        <v>80</v>
      </c>
      <c r="P711">
        <v>0</v>
      </c>
      <c r="Q711">
        <v>198</v>
      </c>
      <c r="R711">
        <v>95</v>
      </c>
      <c r="S711">
        <v>0</v>
      </c>
    </row>
    <row r="712" spans="1:19" x14ac:dyDescent="0.25">
      <c r="A712">
        <v>18059</v>
      </c>
      <c r="B712" t="s">
        <v>58</v>
      </c>
      <c r="C712">
        <v>14</v>
      </c>
      <c r="D712">
        <v>198.32877779803101</v>
      </c>
      <c r="E712">
        <v>5.4342006926722499</v>
      </c>
      <c r="F712">
        <f t="shared" si="23"/>
        <v>3</v>
      </c>
      <c r="G712">
        <v>0</v>
      </c>
      <c r="H712">
        <v>1</v>
      </c>
      <c r="I712">
        <v>0</v>
      </c>
      <c r="J712">
        <v>1</v>
      </c>
      <c r="K712">
        <v>1</v>
      </c>
      <c r="L712">
        <v>0</v>
      </c>
      <c r="M712">
        <f t="shared" si="22"/>
        <v>373</v>
      </c>
      <c r="N712">
        <v>0</v>
      </c>
      <c r="O712">
        <v>80</v>
      </c>
      <c r="P712">
        <v>0</v>
      </c>
      <c r="Q712">
        <v>198</v>
      </c>
      <c r="R712">
        <v>95</v>
      </c>
      <c r="S712">
        <v>0</v>
      </c>
    </row>
    <row r="713" spans="1:19" x14ac:dyDescent="0.25">
      <c r="A713">
        <v>18059</v>
      </c>
      <c r="B713" t="s">
        <v>58</v>
      </c>
      <c r="C713">
        <v>15</v>
      </c>
      <c r="D713">
        <v>206.49962632154501</v>
      </c>
      <c r="E713">
        <v>4.5741113744075799</v>
      </c>
      <c r="F713">
        <f t="shared" si="23"/>
        <v>3</v>
      </c>
      <c r="G713">
        <v>0</v>
      </c>
      <c r="H713">
        <v>1</v>
      </c>
      <c r="I713">
        <v>0</v>
      </c>
      <c r="J713">
        <v>1</v>
      </c>
      <c r="K713">
        <v>1</v>
      </c>
      <c r="L713">
        <v>0</v>
      </c>
      <c r="M713">
        <f t="shared" si="22"/>
        <v>373</v>
      </c>
      <c r="N713">
        <v>0</v>
      </c>
      <c r="O713">
        <v>80</v>
      </c>
      <c r="P713">
        <v>0</v>
      </c>
      <c r="Q713">
        <v>198</v>
      </c>
      <c r="R713">
        <v>95</v>
      </c>
      <c r="S713">
        <v>0</v>
      </c>
    </row>
    <row r="714" spans="1:19" x14ac:dyDescent="0.25">
      <c r="A714">
        <v>18059</v>
      </c>
      <c r="B714" t="s">
        <v>58</v>
      </c>
      <c r="C714">
        <v>16</v>
      </c>
      <c r="D714">
        <v>215.960608822457</v>
      </c>
      <c r="E714">
        <v>5.9815302588406798</v>
      </c>
      <c r="F714">
        <f t="shared" si="23"/>
        <v>3</v>
      </c>
      <c r="G714">
        <v>0</v>
      </c>
      <c r="H714">
        <v>1</v>
      </c>
      <c r="I714">
        <v>0</v>
      </c>
      <c r="J714">
        <v>1</v>
      </c>
      <c r="K714">
        <v>1</v>
      </c>
      <c r="L714">
        <v>0</v>
      </c>
      <c r="M714">
        <f t="shared" si="22"/>
        <v>373</v>
      </c>
      <c r="N714">
        <v>0</v>
      </c>
      <c r="O714">
        <v>80</v>
      </c>
      <c r="P714">
        <v>0</v>
      </c>
      <c r="Q714">
        <v>198</v>
      </c>
      <c r="R714">
        <v>95</v>
      </c>
      <c r="S714">
        <v>0</v>
      </c>
    </row>
    <row r="715" spans="1:19" x14ac:dyDescent="0.25">
      <c r="A715">
        <v>18059</v>
      </c>
      <c r="B715" t="s">
        <v>58</v>
      </c>
      <c r="C715">
        <v>17</v>
      </c>
      <c r="D715">
        <v>234.37433922712299</v>
      </c>
      <c r="E715">
        <v>6.37247994896099</v>
      </c>
      <c r="F715">
        <f t="shared" si="23"/>
        <v>3</v>
      </c>
      <c r="G715">
        <v>0</v>
      </c>
      <c r="H715">
        <v>1</v>
      </c>
      <c r="I715">
        <v>0</v>
      </c>
      <c r="J715">
        <v>1</v>
      </c>
      <c r="K715">
        <v>1</v>
      </c>
      <c r="L715">
        <v>0</v>
      </c>
      <c r="M715">
        <f t="shared" si="22"/>
        <v>373</v>
      </c>
      <c r="N715">
        <v>0</v>
      </c>
      <c r="O715">
        <v>80</v>
      </c>
      <c r="P715">
        <v>0</v>
      </c>
      <c r="Q715">
        <v>198</v>
      </c>
      <c r="R715">
        <v>95</v>
      </c>
      <c r="S715">
        <v>0</v>
      </c>
    </row>
    <row r="716" spans="1:19" x14ac:dyDescent="0.25">
      <c r="A716">
        <v>18059</v>
      </c>
      <c r="B716" t="s">
        <v>58</v>
      </c>
      <c r="C716">
        <v>18</v>
      </c>
      <c r="D716">
        <v>261.70172256653302</v>
      </c>
      <c r="E716">
        <v>8.4054183375865801</v>
      </c>
      <c r="F716">
        <f t="shared" si="23"/>
        <v>3</v>
      </c>
      <c r="G716">
        <v>0</v>
      </c>
      <c r="H716">
        <v>1</v>
      </c>
      <c r="I716">
        <v>0</v>
      </c>
      <c r="J716">
        <v>1</v>
      </c>
      <c r="K716">
        <v>1</v>
      </c>
      <c r="L716">
        <v>0</v>
      </c>
      <c r="M716">
        <f t="shared" si="22"/>
        <v>373</v>
      </c>
      <c r="N716">
        <v>0</v>
      </c>
      <c r="O716">
        <v>80</v>
      </c>
      <c r="P716">
        <v>0</v>
      </c>
      <c r="Q716">
        <v>198</v>
      </c>
      <c r="R716">
        <v>95</v>
      </c>
      <c r="S716">
        <v>0</v>
      </c>
    </row>
    <row r="717" spans="1:19" x14ac:dyDescent="0.25">
      <c r="A717">
        <v>18059</v>
      </c>
      <c r="B717" t="s">
        <v>58</v>
      </c>
      <c r="C717">
        <v>19</v>
      </c>
      <c r="D717">
        <v>297.62999908858899</v>
      </c>
      <c r="E717">
        <v>9.0309378417790693</v>
      </c>
      <c r="F717">
        <f t="shared" si="23"/>
        <v>3</v>
      </c>
      <c r="G717">
        <v>0</v>
      </c>
      <c r="H717">
        <v>1</v>
      </c>
      <c r="I717">
        <v>0</v>
      </c>
      <c r="J717">
        <v>1</v>
      </c>
      <c r="K717">
        <v>1</v>
      </c>
      <c r="L717">
        <v>0</v>
      </c>
      <c r="M717">
        <f t="shared" si="22"/>
        <v>373</v>
      </c>
      <c r="N717">
        <v>0</v>
      </c>
      <c r="O717">
        <v>80</v>
      </c>
      <c r="P717">
        <v>0</v>
      </c>
      <c r="Q717">
        <v>198</v>
      </c>
      <c r="R717">
        <v>95</v>
      </c>
      <c r="S717">
        <v>0</v>
      </c>
    </row>
    <row r="718" spans="1:19" x14ac:dyDescent="0.25">
      <c r="A718">
        <v>18059</v>
      </c>
      <c r="B718" t="s">
        <v>58</v>
      </c>
      <c r="C718">
        <v>20</v>
      </c>
      <c r="D718">
        <v>334.45745989792198</v>
      </c>
      <c r="E718">
        <v>10.360166788188099</v>
      </c>
      <c r="F718">
        <f t="shared" si="23"/>
        <v>3</v>
      </c>
      <c r="G718">
        <v>0</v>
      </c>
      <c r="H718">
        <v>1</v>
      </c>
      <c r="I718">
        <v>0</v>
      </c>
      <c r="J718">
        <v>1</v>
      </c>
      <c r="K718">
        <v>1</v>
      </c>
      <c r="L718">
        <v>0</v>
      </c>
      <c r="M718">
        <f t="shared" si="22"/>
        <v>373</v>
      </c>
      <c r="N718">
        <v>0</v>
      </c>
      <c r="O718">
        <v>80</v>
      </c>
      <c r="P718">
        <v>0</v>
      </c>
      <c r="Q718">
        <v>198</v>
      </c>
      <c r="R718">
        <v>95</v>
      </c>
      <c r="S718">
        <v>0</v>
      </c>
    </row>
    <row r="719" spans="1:19" x14ac:dyDescent="0.25">
      <c r="A719">
        <v>18059</v>
      </c>
      <c r="B719" t="s">
        <v>58</v>
      </c>
      <c r="C719">
        <v>21</v>
      </c>
      <c r="D719">
        <v>363.50502187386002</v>
      </c>
      <c r="E719">
        <v>10.633831571272299</v>
      </c>
      <c r="F719">
        <f t="shared" si="23"/>
        <v>3</v>
      </c>
      <c r="G719">
        <v>0</v>
      </c>
      <c r="H719">
        <v>1</v>
      </c>
      <c r="I719">
        <v>0</v>
      </c>
      <c r="J719">
        <v>1</v>
      </c>
      <c r="K719">
        <v>1</v>
      </c>
      <c r="L719">
        <v>0</v>
      </c>
      <c r="M719">
        <f t="shared" si="22"/>
        <v>373</v>
      </c>
      <c r="N719">
        <v>0</v>
      </c>
      <c r="O719">
        <v>80</v>
      </c>
      <c r="P719">
        <v>0</v>
      </c>
      <c r="Q719">
        <v>198</v>
      </c>
      <c r="R719">
        <v>95</v>
      </c>
      <c r="S719">
        <v>0</v>
      </c>
    </row>
    <row r="720" spans="1:19" x14ac:dyDescent="0.25">
      <c r="A720">
        <v>18059</v>
      </c>
      <c r="B720" t="s">
        <v>58</v>
      </c>
      <c r="C720">
        <v>22</v>
      </c>
      <c r="D720">
        <v>386.92290831206702</v>
      </c>
      <c r="E720">
        <v>14.113283813342999</v>
      </c>
      <c r="F720">
        <f t="shared" si="23"/>
        <v>3</v>
      </c>
      <c r="G720">
        <v>0</v>
      </c>
      <c r="H720">
        <v>1</v>
      </c>
      <c r="I720">
        <v>0</v>
      </c>
      <c r="J720">
        <v>1</v>
      </c>
      <c r="K720">
        <v>1</v>
      </c>
      <c r="L720">
        <v>0</v>
      </c>
      <c r="M720">
        <f t="shared" si="22"/>
        <v>373</v>
      </c>
      <c r="N720">
        <v>0</v>
      </c>
      <c r="O720">
        <v>80</v>
      </c>
      <c r="P720">
        <v>0</v>
      </c>
      <c r="Q720">
        <v>198</v>
      </c>
      <c r="R720">
        <v>95</v>
      </c>
      <c r="S720">
        <v>0</v>
      </c>
    </row>
    <row r="721" spans="1:19" x14ac:dyDescent="0.25">
      <c r="A721">
        <v>18059</v>
      </c>
      <c r="B721" t="s">
        <v>58</v>
      </c>
      <c r="C721">
        <v>23</v>
      </c>
      <c r="D721">
        <v>407.52595698140698</v>
      </c>
      <c r="E721">
        <v>17.475451148377601</v>
      </c>
      <c r="F721">
        <f t="shared" si="23"/>
        <v>3</v>
      </c>
      <c r="G721">
        <v>0</v>
      </c>
      <c r="H721">
        <v>1</v>
      </c>
      <c r="I721">
        <v>0</v>
      </c>
      <c r="J721">
        <v>1</v>
      </c>
      <c r="K721">
        <v>1</v>
      </c>
      <c r="L721">
        <v>0</v>
      </c>
      <c r="M721">
        <f t="shared" si="22"/>
        <v>373</v>
      </c>
      <c r="N721">
        <v>0</v>
      </c>
      <c r="O721">
        <v>80</v>
      </c>
      <c r="P721">
        <v>0</v>
      </c>
      <c r="Q721">
        <v>198</v>
      </c>
      <c r="R721">
        <v>95</v>
      </c>
      <c r="S721">
        <v>0</v>
      </c>
    </row>
    <row r="722" spans="1:19" x14ac:dyDescent="0.25">
      <c r="A722">
        <v>18061</v>
      </c>
      <c r="B722" t="s">
        <v>59</v>
      </c>
      <c r="C722">
        <v>0</v>
      </c>
      <c r="D722">
        <v>0</v>
      </c>
      <c r="E722">
        <v>2.6556716944460601</v>
      </c>
      <c r="F722">
        <f t="shared" si="23"/>
        <v>0</v>
      </c>
      <c r="G722">
        <v>0</v>
      </c>
      <c r="H722">
        <v>0</v>
      </c>
      <c r="I722">
        <v>0</v>
      </c>
      <c r="J722">
        <v>0</v>
      </c>
      <c r="K722">
        <v>0</v>
      </c>
      <c r="L722">
        <v>0</v>
      </c>
      <c r="M722">
        <f t="shared" si="22"/>
        <v>0</v>
      </c>
      <c r="N722">
        <v>0</v>
      </c>
      <c r="O722">
        <v>0</v>
      </c>
      <c r="P722">
        <v>0</v>
      </c>
      <c r="Q722">
        <v>0</v>
      </c>
      <c r="R722">
        <v>0</v>
      </c>
      <c r="S722">
        <v>0</v>
      </c>
    </row>
    <row r="723" spans="1:19" x14ac:dyDescent="0.25">
      <c r="A723">
        <v>18061</v>
      </c>
      <c r="B723" t="s">
        <v>59</v>
      </c>
      <c r="C723">
        <v>1</v>
      </c>
      <c r="D723">
        <v>0</v>
      </c>
      <c r="E723">
        <v>3.0268946194761601</v>
      </c>
      <c r="F723">
        <f t="shared" si="23"/>
        <v>0</v>
      </c>
      <c r="G723">
        <v>0</v>
      </c>
      <c r="H723">
        <v>0</v>
      </c>
      <c r="I723">
        <v>0</v>
      </c>
      <c r="J723">
        <v>0</v>
      </c>
      <c r="K723">
        <v>0</v>
      </c>
      <c r="L723">
        <v>0</v>
      </c>
      <c r="M723">
        <f t="shared" si="22"/>
        <v>0</v>
      </c>
      <c r="N723">
        <v>0</v>
      </c>
      <c r="O723">
        <v>0</v>
      </c>
      <c r="P723">
        <v>0</v>
      </c>
      <c r="Q723">
        <v>0</v>
      </c>
      <c r="R723">
        <v>0</v>
      </c>
      <c r="S723">
        <v>0</v>
      </c>
    </row>
    <row r="724" spans="1:19" x14ac:dyDescent="0.25">
      <c r="A724">
        <v>18061</v>
      </c>
      <c r="B724" t="s">
        <v>59</v>
      </c>
      <c r="C724">
        <v>2</v>
      </c>
      <c r="D724">
        <v>0</v>
      </c>
      <c r="E724">
        <v>2.9412277906230599</v>
      </c>
      <c r="F724">
        <f t="shared" si="23"/>
        <v>0</v>
      </c>
      <c r="G724">
        <v>0</v>
      </c>
      <c r="H724">
        <v>0</v>
      </c>
      <c r="I724">
        <v>0</v>
      </c>
      <c r="J724">
        <v>0</v>
      </c>
      <c r="K724">
        <v>0</v>
      </c>
      <c r="L724">
        <v>0</v>
      </c>
      <c r="M724">
        <f t="shared" si="22"/>
        <v>0</v>
      </c>
      <c r="N724">
        <v>0</v>
      </c>
      <c r="O724">
        <v>0</v>
      </c>
      <c r="P724">
        <v>0</v>
      </c>
      <c r="Q724">
        <v>0</v>
      </c>
      <c r="R724">
        <v>0</v>
      </c>
      <c r="S724">
        <v>0</v>
      </c>
    </row>
    <row r="725" spans="1:19" x14ac:dyDescent="0.25">
      <c r="A725">
        <v>18061</v>
      </c>
      <c r="B725" t="s">
        <v>59</v>
      </c>
      <c r="C725">
        <v>3</v>
      </c>
      <c r="D725">
        <v>0</v>
      </c>
      <c r="E725">
        <v>2.9697834002407602</v>
      </c>
      <c r="F725">
        <f t="shared" si="23"/>
        <v>0</v>
      </c>
      <c r="G725">
        <v>0</v>
      </c>
      <c r="H725">
        <v>0</v>
      </c>
      <c r="I725">
        <v>0</v>
      </c>
      <c r="J725">
        <v>0</v>
      </c>
      <c r="K725">
        <v>0</v>
      </c>
      <c r="L725">
        <v>0</v>
      </c>
      <c r="M725">
        <f t="shared" si="22"/>
        <v>0</v>
      </c>
      <c r="N725">
        <v>0</v>
      </c>
      <c r="O725">
        <v>0</v>
      </c>
      <c r="P725">
        <v>0</v>
      </c>
      <c r="Q725">
        <v>0</v>
      </c>
      <c r="R725">
        <v>0</v>
      </c>
      <c r="S725">
        <v>0</v>
      </c>
    </row>
    <row r="726" spans="1:19" x14ac:dyDescent="0.25">
      <c r="A726">
        <v>18061</v>
      </c>
      <c r="B726" t="s">
        <v>59</v>
      </c>
      <c r="C726">
        <v>4</v>
      </c>
      <c r="D726">
        <v>0</v>
      </c>
      <c r="E726">
        <v>4.2547858330372401</v>
      </c>
      <c r="F726">
        <f t="shared" si="23"/>
        <v>0</v>
      </c>
      <c r="G726">
        <v>0</v>
      </c>
      <c r="H726">
        <v>0</v>
      </c>
      <c r="I726">
        <v>0</v>
      </c>
      <c r="J726">
        <v>0</v>
      </c>
      <c r="K726">
        <v>0</v>
      </c>
      <c r="L726">
        <v>0</v>
      </c>
      <c r="M726">
        <f t="shared" si="22"/>
        <v>0</v>
      </c>
      <c r="N726">
        <v>0</v>
      </c>
      <c r="O726">
        <v>0</v>
      </c>
      <c r="P726">
        <v>0</v>
      </c>
      <c r="Q726">
        <v>0</v>
      </c>
      <c r="R726">
        <v>0</v>
      </c>
      <c r="S726">
        <v>0</v>
      </c>
    </row>
    <row r="727" spans="1:19" x14ac:dyDescent="0.25">
      <c r="A727">
        <v>18061</v>
      </c>
      <c r="B727" t="s">
        <v>59</v>
      </c>
      <c r="C727">
        <v>5</v>
      </c>
      <c r="D727">
        <v>0</v>
      </c>
      <c r="E727">
        <v>6.2251228966585197</v>
      </c>
      <c r="F727">
        <f t="shared" si="23"/>
        <v>0</v>
      </c>
      <c r="G727">
        <v>0</v>
      </c>
      <c r="H727">
        <v>0</v>
      </c>
      <c r="I727">
        <v>0</v>
      </c>
      <c r="J727">
        <v>0</v>
      </c>
      <c r="K727">
        <v>0</v>
      </c>
      <c r="L727">
        <v>0</v>
      </c>
      <c r="M727">
        <f t="shared" si="22"/>
        <v>0</v>
      </c>
      <c r="N727">
        <v>0</v>
      </c>
      <c r="O727">
        <v>0</v>
      </c>
      <c r="P727">
        <v>0</v>
      </c>
      <c r="Q727">
        <v>0</v>
      </c>
      <c r="R727">
        <v>0</v>
      </c>
      <c r="S727">
        <v>0</v>
      </c>
    </row>
    <row r="728" spans="1:19" x14ac:dyDescent="0.25">
      <c r="A728">
        <v>18061</v>
      </c>
      <c r="B728" t="s">
        <v>59</v>
      </c>
      <c r="C728">
        <v>6</v>
      </c>
      <c r="D728">
        <v>0</v>
      </c>
      <c r="E728">
        <v>5.9395668004815203</v>
      </c>
      <c r="F728">
        <f t="shared" si="23"/>
        <v>0</v>
      </c>
      <c r="G728">
        <v>0</v>
      </c>
      <c r="H728">
        <v>0</v>
      </c>
      <c r="I728">
        <v>0</v>
      </c>
      <c r="J728">
        <v>0</v>
      </c>
      <c r="K728">
        <v>0</v>
      </c>
      <c r="L728">
        <v>0</v>
      </c>
      <c r="M728">
        <f t="shared" si="22"/>
        <v>0</v>
      </c>
      <c r="N728">
        <v>0</v>
      </c>
      <c r="O728">
        <v>0</v>
      </c>
      <c r="P728">
        <v>0</v>
      </c>
      <c r="Q728">
        <v>0</v>
      </c>
      <c r="R728">
        <v>0</v>
      </c>
      <c r="S728">
        <v>0</v>
      </c>
    </row>
    <row r="729" spans="1:19" x14ac:dyDescent="0.25">
      <c r="A729">
        <v>18061</v>
      </c>
      <c r="B729" t="s">
        <v>59</v>
      </c>
      <c r="C729">
        <v>7</v>
      </c>
      <c r="D729">
        <v>0</v>
      </c>
      <c r="E729">
        <v>7.0532355755718097</v>
      </c>
      <c r="F729">
        <f t="shared" si="23"/>
        <v>0</v>
      </c>
      <c r="G729">
        <v>0</v>
      </c>
      <c r="H729">
        <v>0</v>
      </c>
      <c r="I729">
        <v>0</v>
      </c>
      <c r="J729">
        <v>0</v>
      </c>
      <c r="K729">
        <v>0</v>
      </c>
      <c r="L729">
        <v>0</v>
      </c>
      <c r="M729">
        <f t="shared" si="22"/>
        <v>0</v>
      </c>
      <c r="N729">
        <v>0</v>
      </c>
      <c r="O729">
        <v>0</v>
      </c>
      <c r="P729">
        <v>0</v>
      </c>
      <c r="Q729">
        <v>0</v>
      </c>
      <c r="R729">
        <v>0</v>
      </c>
      <c r="S729">
        <v>0</v>
      </c>
    </row>
    <row r="730" spans="1:19" x14ac:dyDescent="0.25">
      <c r="A730">
        <v>18061</v>
      </c>
      <c r="B730" t="s">
        <v>59</v>
      </c>
      <c r="C730">
        <v>8</v>
      </c>
      <c r="D730">
        <v>0</v>
      </c>
      <c r="E730">
        <v>5.9966780197169198</v>
      </c>
      <c r="F730">
        <f t="shared" si="23"/>
        <v>0</v>
      </c>
      <c r="G730">
        <v>0</v>
      </c>
      <c r="H730">
        <v>0</v>
      </c>
      <c r="I730">
        <v>0</v>
      </c>
      <c r="J730">
        <v>0</v>
      </c>
      <c r="K730">
        <v>0</v>
      </c>
      <c r="L730">
        <v>0</v>
      </c>
      <c r="M730">
        <f t="shared" si="22"/>
        <v>0</v>
      </c>
      <c r="N730">
        <v>0</v>
      </c>
      <c r="O730">
        <v>0</v>
      </c>
      <c r="P730">
        <v>0</v>
      </c>
      <c r="Q730">
        <v>0</v>
      </c>
      <c r="R730">
        <v>0</v>
      </c>
      <c r="S730">
        <v>0</v>
      </c>
    </row>
    <row r="731" spans="1:19" x14ac:dyDescent="0.25">
      <c r="A731">
        <v>18061</v>
      </c>
      <c r="B731" t="s">
        <v>59</v>
      </c>
      <c r="C731">
        <v>9</v>
      </c>
      <c r="D731">
        <v>0</v>
      </c>
      <c r="E731">
        <v>3.6836736406832502</v>
      </c>
      <c r="F731">
        <f t="shared" si="23"/>
        <v>0</v>
      </c>
      <c r="G731">
        <v>0</v>
      </c>
      <c r="H731">
        <v>0</v>
      </c>
      <c r="I731">
        <v>0</v>
      </c>
      <c r="J731">
        <v>0</v>
      </c>
      <c r="K731">
        <v>0</v>
      </c>
      <c r="L731">
        <v>0</v>
      </c>
      <c r="M731">
        <f t="shared" si="22"/>
        <v>0</v>
      </c>
      <c r="N731">
        <v>0</v>
      </c>
      <c r="O731">
        <v>0</v>
      </c>
      <c r="P731">
        <v>0</v>
      </c>
      <c r="Q731">
        <v>0</v>
      </c>
      <c r="R731">
        <v>0</v>
      </c>
      <c r="S731">
        <v>0</v>
      </c>
    </row>
    <row r="732" spans="1:19" x14ac:dyDescent="0.25">
      <c r="A732">
        <v>18061</v>
      </c>
      <c r="B732" t="s">
        <v>59</v>
      </c>
      <c r="C732">
        <v>10</v>
      </c>
      <c r="D732">
        <v>0</v>
      </c>
      <c r="E732">
        <v>1.9132258443858701</v>
      </c>
      <c r="F732">
        <f t="shared" si="23"/>
        <v>0</v>
      </c>
      <c r="G732">
        <v>0</v>
      </c>
      <c r="H732">
        <v>0</v>
      </c>
      <c r="I732">
        <v>0</v>
      </c>
      <c r="J732">
        <v>0</v>
      </c>
      <c r="K732">
        <v>0</v>
      </c>
      <c r="L732">
        <v>0</v>
      </c>
      <c r="M732">
        <f t="shared" si="22"/>
        <v>0</v>
      </c>
      <c r="N732">
        <v>0</v>
      </c>
      <c r="O732">
        <v>0</v>
      </c>
      <c r="P732">
        <v>0</v>
      </c>
      <c r="Q732">
        <v>0</v>
      </c>
      <c r="R732">
        <v>0</v>
      </c>
      <c r="S732">
        <v>0</v>
      </c>
    </row>
    <row r="733" spans="1:19" x14ac:dyDescent="0.25">
      <c r="A733">
        <v>18061</v>
      </c>
      <c r="B733" t="s">
        <v>59</v>
      </c>
      <c r="C733">
        <v>11</v>
      </c>
      <c r="D733">
        <v>0</v>
      </c>
      <c r="E733">
        <v>2.1987819405628701</v>
      </c>
      <c r="F733">
        <f t="shared" si="23"/>
        <v>0</v>
      </c>
      <c r="G733">
        <v>0</v>
      </c>
      <c r="H733">
        <v>0</v>
      </c>
      <c r="I733">
        <v>0</v>
      </c>
      <c r="J733">
        <v>0</v>
      </c>
      <c r="K733">
        <v>0</v>
      </c>
      <c r="L733">
        <v>0</v>
      </c>
      <c r="M733">
        <f t="shared" si="22"/>
        <v>0</v>
      </c>
      <c r="N733">
        <v>0</v>
      </c>
      <c r="O733">
        <v>0</v>
      </c>
      <c r="P733">
        <v>0</v>
      </c>
      <c r="Q733">
        <v>0</v>
      </c>
      <c r="R733">
        <v>0</v>
      </c>
      <c r="S733">
        <v>0</v>
      </c>
    </row>
    <row r="734" spans="1:19" x14ac:dyDescent="0.25">
      <c r="A734">
        <v>18061</v>
      </c>
      <c r="B734" t="s">
        <v>59</v>
      </c>
      <c r="C734">
        <v>12</v>
      </c>
      <c r="D734">
        <v>0</v>
      </c>
      <c r="E734">
        <v>2.1416707213274702</v>
      </c>
      <c r="F734">
        <f t="shared" si="23"/>
        <v>0</v>
      </c>
      <c r="G734">
        <v>0</v>
      </c>
      <c r="H734">
        <v>0</v>
      </c>
      <c r="I734">
        <v>0</v>
      </c>
      <c r="J734">
        <v>0</v>
      </c>
      <c r="K734">
        <v>0</v>
      </c>
      <c r="L734">
        <v>0</v>
      </c>
      <c r="M734">
        <f t="shared" si="22"/>
        <v>0</v>
      </c>
      <c r="N734">
        <v>0</v>
      </c>
      <c r="O734">
        <v>0</v>
      </c>
      <c r="P734">
        <v>0</v>
      </c>
      <c r="Q734">
        <v>0</v>
      </c>
      <c r="R734">
        <v>0</v>
      </c>
      <c r="S734">
        <v>0</v>
      </c>
    </row>
    <row r="735" spans="1:19" x14ac:dyDescent="0.25">
      <c r="A735">
        <v>18061</v>
      </c>
      <c r="B735" t="s">
        <v>59</v>
      </c>
      <c r="C735">
        <v>13</v>
      </c>
      <c r="D735">
        <v>0</v>
      </c>
      <c r="E735">
        <v>1.62766974820887</v>
      </c>
      <c r="F735">
        <f t="shared" si="23"/>
        <v>0</v>
      </c>
      <c r="G735">
        <v>0</v>
      </c>
      <c r="H735">
        <v>0</v>
      </c>
      <c r="I735">
        <v>0</v>
      </c>
      <c r="J735">
        <v>0</v>
      </c>
      <c r="K735">
        <v>0</v>
      </c>
      <c r="L735">
        <v>0</v>
      </c>
      <c r="M735">
        <f t="shared" si="22"/>
        <v>0</v>
      </c>
      <c r="N735">
        <v>0</v>
      </c>
      <c r="O735">
        <v>0</v>
      </c>
      <c r="P735">
        <v>0</v>
      </c>
      <c r="Q735">
        <v>0</v>
      </c>
      <c r="R735">
        <v>0</v>
      </c>
      <c r="S735">
        <v>0</v>
      </c>
    </row>
    <row r="736" spans="1:19" x14ac:dyDescent="0.25">
      <c r="A736">
        <v>18061</v>
      </c>
      <c r="B736" t="s">
        <v>59</v>
      </c>
      <c r="C736">
        <v>14</v>
      </c>
      <c r="D736">
        <v>0</v>
      </c>
      <c r="E736">
        <v>1.4277804808849801</v>
      </c>
      <c r="F736">
        <f t="shared" si="23"/>
        <v>0</v>
      </c>
      <c r="G736">
        <v>0</v>
      </c>
      <c r="H736">
        <v>0</v>
      </c>
      <c r="I736">
        <v>0</v>
      </c>
      <c r="J736">
        <v>0</v>
      </c>
      <c r="K736">
        <v>0</v>
      </c>
      <c r="L736">
        <v>0</v>
      </c>
      <c r="M736">
        <f t="shared" si="22"/>
        <v>0</v>
      </c>
      <c r="N736">
        <v>0</v>
      </c>
      <c r="O736">
        <v>0</v>
      </c>
      <c r="P736">
        <v>0</v>
      </c>
      <c r="Q736">
        <v>0</v>
      </c>
      <c r="R736">
        <v>0</v>
      </c>
      <c r="S736">
        <v>0</v>
      </c>
    </row>
    <row r="737" spans="1:19" x14ac:dyDescent="0.25">
      <c r="A737">
        <v>18061</v>
      </c>
      <c r="B737" t="s">
        <v>59</v>
      </c>
      <c r="C737">
        <v>15</v>
      </c>
      <c r="D737">
        <v>0</v>
      </c>
      <c r="E737">
        <v>1.19933560394338</v>
      </c>
      <c r="F737">
        <f t="shared" si="23"/>
        <v>0</v>
      </c>
      <c r="G737">
        <v>0</v>
      </c>
      <c r="H737">
        <v>0</v>
      </c>
      <c r="I737">
        <v>0</v>
      </c>
      <c r="J737">
        <v>0</v>
      </c>
      <c r="K737">
        <v>0</v>
      </c>
      <c r="L737">
        <v>0</v>
      </c>
      <c r="M737">
        <f t="shared" si="22"/>
        <v>0</v>
      </c>
      <c r="N737">
        <v>0</v>
      </c>
      <c r="O737">
        <v>0</v>
      </c>
      <c r="P737">
        <v>0</v>
      </c>
      <c r="Q737">
        <v>0</v>
      </c>
      <c r="R737">
        <v>0</v>
      </c>
      <c r="S737">
        <v>0</v>
      </c>
    </row>
    <row r="738" spans="1:19" x14ac:dyDescent="0.25">
      <c r="A738">
        <v>18061</v>
      </c>
      <c r="B738" t="s">
        <v>59</v>
      </c>
      <c r="C738">
        <v>16</v>
      </c>
      <c r="D738">
        <v>0</v>
      </c>
      <c r="E738">
        <v>0.82811267891328899</v>
      </c>
      <c r="F738">
        <f t="shared" si="23"/>
        <v>0</v>
      </c>
      <c r="G738">
        <v>0</v>
      </c>
      <c r="H738">
        <v>0</v>
      </c>
      <c r="I738">
        <v>0</v>
      </c>
      <c r="J738">
        <v>0</v>
      </c>
      <c r="K738">
        <v>0</v>
      </c>
      <c r="L738">
        <v>0</v>
      </c>
      <c r="M738">
        <f t="shared" si="22"/>
        <v>0</v>
      </c>
      <c r="N738">
        <v>0</v>
      </c>
      <c r="O738">
        <v>0</v>
      </c>
      <c r="P738">
        <v>0</v>
      </c>
      <c r="Q738">
        <v>0</v>
      </c>
      <c r="R738">
        <v>0</v>
      </c>
      <c r="S738">
        <v>0</v>
      </c>
    </row>
    <row r="739" spans="1:19" x14ac:dyDescent="0.25">
      <c r="A739">
        <v>18061</v>
      </c>
      <c r="B739" t="s">
        <v>59</v>
      </c>
      <c r="C739">
        <v>17</v>
      </c>
      <c r="D739">
        <v>0</v>
      </c>
      <c r="E739">
        <v>0.71389024044249105</v>
      </c>
      <c r="F739">
        <f t="shared" si="23"/>
        <v>0</v>
      </c>
      <c r="G739">
        <v>0</v>
      </c>
      <c r="H739">
        <v>0</v>
      </c>
      <c r="I739">
        <v>0</v>
      </c>
      <c r="J739">
        <v>0</v>
      </c>
      <c r="K739">
        <v>0</v>
      </c>
      <c r="L739">
        <v>0</v>
      </c>
      <c r="M739">
        <f t="shared" si="22"/>
        <v>0</v>
      </c>
      <c r="N739">
        <v>0</v>
      </c>
      <c r="O739">
        <v>0</v>
      </c>
      <c r="P739">
        <v>0</v>
      </c>
      <c r="Q739">
        <v>0</v>
      </c>
      <c r="R739">
        <v>0</v>
      </c>
      <c r="S739">
        <v>0</v>
      </c>
    </row>
    <row r="740" spans="1:19" x14ac:dyDescent="0.25">
      <c r="A740">
        <v>18061</v>
      </c>
      <c r="B740" t="s">
        <v>59</v>
      </c>
      <c r="C740">
        <v>18</v>
      </c>
      <c r="D740">
        <v>0</v>
      </c>
      <c r="E740">
        <v>0.74244585006019004</v>
      </c>
      <c r="F740">
        <f t="shared" si="23"/>
        <v>0</v>
      </c>
      <c r="G740">
        <v>0</v>
      </c>
      <c r="H740">
        <v>0</v>
      </c>
      <c r="I740">
        <v>0</v>
      </c>
      <c r="J740">
        <v>0</v>
      </c>
      <c r="K740">
        <v>0</v>
      </c>
      <c r="L740">
        <v>0</v>
      </c>
      <c r="M740">
        <f t="shared" si="22"/>
        <v>0</v>
      </c>
      <c r="N740">
        <v>0</v>
      </c>
      <c r="O740">
        <v>0</v>
      </c>
      <c r="P740">
        <v>0</v>
      </c>
      <c r="Q740">
        <v>0</v>
      </c>
      <c r="R740">
        <v>0</v>
      </c>
      <c r="S740">
        <v>0</v>
      </c>
    </row>
    <row r="741" spans="1:19" x14ac:dyDescent="0.25">
      <c r="A741">
        <v>18061</v>
      </c>
      <c r="B741" t="s">
        <v>59</v>
      </c>
      <c r="C741">
        <v>19</v>
      </c>
      <c r="D741">
        <v>0</v>
      </c>
      <c r="E741">
        <v>0.97089072700178702</v>
      </c>
      <c r="F741">
        <f t="shared" si="23"/>
        <v>0</v>
      </c>
      <c r="G741">
        <v>0</v>
      </c>
      <c r="H741">
        <v>0</v>
      </c>
      <c r="I741">
        <v>0</v>
      </c>
      <c r="J741">
        <v>0</v>
      </c>
      <c r="K741">
        <v>0</v>
      </c>
      <c r="L741">
        <v>0</v>
      </c>
      <c r="M741">
        <f t="shared" si="22"/>
        <v>0</v>
      </c>
      <c r="N741">
        <v>0</v>
      </c>
      <c r="O741">
        <v>0</v>
      </c>
      <c r="P741">
        <v>0</v>
      </c>
      <c r="Q741">
        <v>0</v>
      </c>
      <c r="R741">
        <v>0</v>
      </c>
      <c r="S741">
        <v>0</v>
      </c>
    </row>
    <row r="742" spans="1:19" x14ac:dyDescent="0.25">
      <c r="A742">
        <v>18061</v>
      </c>
      <c r="B742" t="s">
        <v>59</v>
      </c>
      <c r="C742">
        <v>20</v>
      </c>
      <c r="D742">
        <v>0</v>
      </c>
      <c r="E742">
        <v>0.79955706929559001</v>
      </c>
      <c r="F742">
        <f t="shared" si="23"/>
        <v>0</v>
      </c>
      <c r="G742">
        <v>0</v>
      </c>
      <c r="H742">
        <v>0</v>
      </c>
      <c r="I742">
        <v>0</v>
      </c>
      <c r="J742">
        <v>0</v>
      </c>
      <c r="K742">
        <v>0</v>
      </c>
      <c r="L742">
        <v>0</v>
      </c>
      <c r="M742">
        <f t="shared" si="22"/>
        <v>0</v>
      </c>
      <c r="N742">
        <v>0</v>
      </c>
      <c r="O742">
        <v>0</v>
      </c>
      <c r="P742">
        <v>0</v>
      </c>
      <c r="Q742">
        <v>0</v>
      </c>
      <c r="R742">
        <v>0</v>
      </c>
      <c r="S742">
        <v>0</v>
      </c>
    </row>
    <row r="743" spans="1:19" x14ac:dyDescent="0.25">
      <c r="A743">
        <v>18061</v>
      </c>
      <c r="B743" t="s">
        <v>59</v>
      </c>
      <c r="C743">
        <v>21</v>
      </c>
      <c r="D743">
        <v>0</v>
      </c>
      <c r="E743">
        <v>1.14222438470798</v>
      </c>
      <c r="F743">
        <f t="shared" si="23"/>
        <v>0</v>
      </c>
      <c r="G743">
        <v>0</v>
      </c>
      <c r="H743">
        <v>0</v>
      </c>
      <c r="I743">
        <v>0</v>
      </c>
      <c r="J743">
        <v>0</v>
      </c>
      <c r="K743">
        <v>0</v>
      </c>
      <c r="L743">
        <v>0</v>
      </c>
      <c r="M743">
        <f t="shared" si="22"/>
        <v>0</v>
      </c>
      <c r="N743">
        <v>0</v>
      </c>
      <c r="O743">
        <v>0</v>
      </c>
      <c r="P743">
        <v>0</v>
      </c>
      <c r="Q743">
        <v>0</v>
      </c>
      <c r="R743">
        <v>0</v>
      </c>
      <c r="S743">
        <v>0</v>
      </c>
    </row>
    <row r="744" spans="1:19" x14ac:dyDescent="0.25">
      <c r="A744">
        <v>18061</v>
      </c>
      <c r="B744" t="s">
        <v>59</v>
      </c>
      <c r="C744">
        <v>22</v>
      </c>
      <c r="D744">
        <v>0</v>
      </c>
      <c r="E744">
        <v>1.65622535782657</v>
      </c>
      <c r="F744">
        <f t="shared" si="23"/>
        <v>0</v>
      </c>
      <c r="G744">
        <v>0</v>
      </c>
      <c r="H744">
        <v>0</v>
      </c>
      <c r="I744">
        <v>0</v>
      </c>
      <c r="J744">
        <v>0</v>
      </c>
      <c r="K744">
        <v>0</v>
      </c>
      <c r="L744">
        <v>0</v>
      </c>
      <c r="M744">
        <f t="shared" si="22"/>
        <v>0</v>
      </c>
      <c r="N744">
        <v>0</v>
      </c>
      <c r="O744">
        <v>0</v>
      </c>
      <c r="P744">
        <v>0</v>
      </c>
      <c r="Q744">
        <v>0</v>
      </c>
      <c r="R744">
        <v>0</v>
      </c>
      <c r="S744">
        <v>0</v>
      </c>
    </row>
    <row r="745" spans="1:19" x14ac:dyDescent="0.25">
      <c r="A745">
        <v>18061</v>
      </c>
      <c r="B745" t="s">
        <v>59</v>
      </c>
      <c r="C745">
        <v>23</v>
      </c>
      <c r="D745">
        <v>0</v>
      </c>
      <c r="E745">
        <v>1.8846702347681701</v>
      </c>
      <c r="F745">
        <f t="shared" si="23"/>
        <v>0</v>
      </c>
      <c r="G745">
        <v>0</v>
      </c>
      <c r="H745">
        <v>0</v>
      </c>
      <c r="I745">
        <v>0</v>
      </c>
      <c r="J745">
        <v>0</v>
      </c>
      <c r="K745">
        <v>0</v>
      </c>
      <c r="L745">
        <v>0</v>
      </c>
      <c r="M745">
        <f t="shared" si="22"/>
        <v>0</v>
      </c>
      <c r="N745">
        <v>0</v>
      </c>
      <c r="O745">
        <v>0</v>
      </c>
      <c r="P745">
        <v>0</v>
      </c>
      <c r="Q745">
        <v>0</v>
      </c>
      <c r="R745">
        <v>0</v>
      </c>
      <c r="S745">
        <v>0</v>
      </c>
    </row>
    <row r="746" spans="1:19" x14ac:dyDescent="0.25">
      <c r="A746">
        <v>18063</v>
      </c>
      <c r="B746" t="s">
        <v>60</v>
      </c>
      <c r="C746">
        <v>0</v>
      </c>
      <c r="D746">
        <v>423.10886211512701</v>
      </c>
      <c r="E746">
        <v>77.714649709950905</v>
      </c>
      <c r="F746">
        <f t="shared" si="23"/>
        <v>7</v>
      </c>
      <c r="G746">
        <v>1</v>
      </c>
      <c r="H746">
        <v>2</v>
      </c>
      <c r="I746">
        <v>0</v>
      </c>
      <c r="J746">
        <v>0</v>
      </c>
      <c r="K746">
        <v>0</v>
      </c>
      <c r="L746">
        <v>4</v>
      </c>
      <c r="M746">
        <f t="shared" si="22"/>
        <v>371</v>
      </c>
      <c r="N746">
        <v>100</v>
      </c>
      <c r="O746">
        <v>150</v>
      </c>
      <c r="P746">
        <v>0</v>
      </c>
      <c r="Q746">
        <v>0</v>
      </c>
      <c r="R746">
        <v>0</v>
      </c>
      <c r="S746">
        <v>121</v>
      </c>
    </row>
    <row r="747" spans="1:19" x14ac:dyDescent="0.25">
      <c r="A747">
        <v>18063</v>
      </c>
      <c r="B747" t="s">
        <v>60</v>
      </c>
      <c r="C747">
        <v>1</v>
      </c>
      <c r="D747">
        <v>426.00269522534501</v>
      </c>
      <c r="E747">
        <v>81.903092369477903</v>
      </c>
      <c r="F747">
        <f t="shared" si="23"/>
        <v>7</v>
      </c>
      <c r="G747">
        <v>1</v>
      </c>
      <c r="H747">
        <v>2</v>
      </c>
      <c r="I747">
        <v>0</v>
      </c>
      <c r="J747">
        <v>0</v>
      </c>
      <c r="K747">
        <v>0</v>
      </c>
      <c r="L747">
        <v>4</v>
      </c>
      <c r="M747">
        <f t="shared" si="22"/>
        <v>371</v>
      </c>
      <c r="N747">
        <v>100</v>
      </c>
      <c r="O747">
        <v>150</v>
      </c>
      <c r="P747">
        <v>0</v>
      </c>
      <c r="Q747">
        <v>0</v>
      </c>
      <c r="R747">
        <v>0</v>
      </c>
      <c r="S747">
        <v>121</v>
      </c>
    </row>
    <row r="748" spans="1:19" x14ac:dyDescent="0.25">
      <c r="A748">
        <v>18063</v>
      </c>
      <c r="B748" t="s">
        <v>60</v>
      </c>
      <c r="C748">
        <v>2</v>
      </c>
      <c r="D748">
        <v>426.65</v>
      </c>
      <c r="E748">
        <v>85.824997768853194</v>
      </c>
      <c r="F748">
        <f t="shared" si="23"/>
        <v>7</v>
      </c>
      <c r="G748">
        <v>1</v>
      </c>
      <c r="H748">
        <v>2</v>
      </c>
      <c r="I748">
        <v>0</v>
      </c>
      <c r="J748">
        <v>0</v>
      </c>
      <c r="K748">
        <v>0</v>
      </c>
      <c r="L748">
        <v>4</v>
      </c>
      <c r="M748">
        <f t="shared" si="22"/>
        <v>371</v>
      </c>
      <c r="N748">
        <v>100</v>
      </c>
      <c r="O748">
        <v>150</v>
      </c>
      <c r="P748">
        <v>0</v>
      </c>
      <c r="Q748">
        <v>0</v>
      </c>
      <c r="R748">
        <v>0</v>
      </c>
      <c r="S748">
        <v>121</v>
      </c>
    </row>
    <row r="749" spans="1:19" x14ac:dyDescent="0.25">
      <c r="A749">
        <v>18063</v>
      </c>
      <c r="B749" t="s">
        <v>60</v>
      </c>
      <c r="C749">
        <v>3</v>
      </c>
      <c r="D749">
        <v>421.31925479696503</v>
      </c>
      <c r="E749">
        <v>88.604600624721101</v>
      </c>
      <c r="F749">
        <f t="shared" si="23"/>
        <v>7</v>
      </c>
      <c r="G749">
        <v>1</v>
      </c>
      <c r="H749">
        <v>2</v>
      </c>
      <c r="I749">
        <v>0</v>
      </c>
      <c r="J749">
        <v>0</v>
      </c>
      <c r="K749">
        <v>0</v>
      </c>
      <c r="L749">
        <v>4</v>
      </c>
      <c r="M749">
        <f t="shared" si="22"/>
        <v>371</v>
      </c>
      <c r="N749">
        <v>100</v>
      </c>
      <c r="O749">
        <v>150</v>
      </c>
      <c r="P749">
        <v>0</v>
      </c>
      <c r="Q749">
        <v>0</v>
      </c>
      <c r="R749">
        <v>0</v>
      </c>
      <c r="S749">
        <v>121</v>
      </c>
    </row>
    <row r="750" spans="1:19" x14ac:dyDescent="0.25">
      <c r="A750">
        <v>18063</v>
      </c>
      <c r="B750" t="s">
        <v>60</v>
      </c>
      <c r="C750">
        <v>4</v>
      </c>
      <c r="D750">
        <v>407.61162427487699</v>
      </c>
      <c r="E750">
        <v>87.957295850066899</v>
      </c>
      <c r="F750">
        <f t="shared" si="23"/>
        <v>7</v>
      </c>
      <c r="G750">
        <v>1</v>
      </c>
      <c r="H750">
        <v>2</v>
      </c>
      <c r="I750">
        <v>0</v>
      </c>
      <c r="J750">
        <v>0</v>
      </c>
      <c r="K750">
        <v>0</v>
      </c>
      <c r="L750">
        <v>4</v>
      </c>
      <c r="M750">
        <f t="shared" si="22"/>
        <v>371</v>
      </c>
      <c r="N750">
        <v>100</v>
      </c>
      <c r="O750">
        <v>150</v>
      </c>
      <c r="P750">
        <v>0</v>
      </c>
      <c r="Q750">
        <v>0</v>
      </c>
      <c r="R750">
        <v>0</v>
      </c>
      <c r="S750">
        <v>121</v>
      </c>
    </row>
    <row r="751" spans="1:19" x14ac:dyDescent="0.25">
      <c r="A751">
        <v>18063</v>
      </c>
      <c r="B751" t="s">
        <v>60</v>
      </c>
      <c r="C751">
        <v>5</v>
      </c>
      <c r="D751">
        <v>378.17829540383701</v>
      </c>
      <c r="E751">
        <v>85.33</v>
      </c>
      <c r="F751">
        <f t="shared" si="23"/>
        <v>7</v>
      </c>
      <c r="G751">
        <v>1</v>
      </c>
      <c r="H751">
        <v>2</v>
      </c>
      <c r="I751">
        <v>0</v>
      </c>
      <c r="J751">
        <v>0</v>
      </c>
      <c r="K751">
        <v>0</v>
      </c>
      <c r="L751">
        <v>4</v>
      </c>
      <c r="M751">
        <f t="shared" si="22"/>
        <v>371</v>
      </c>
      <c r="N751">
        <v>100</v>
      </c>
      <c r="O751">
        <v>150</v>
      </c>
      <c r="P751">
        <v>0</v>
      </c>
      <c r="Q751">
        <v>0</v>
      </c>
      <c r="R751">
        <v>0</v>
      </c>
      <c r="S751">
        <v>121</v>
      </c>
    </row>
    <row r="752" spans="1:19" x14ac:dyDescent="0.25">
      <c r="A752">
        <v>18063</v>
      </c>
      <c r="B752" t="s">
        <v>60</v>
      </c>
      <c r="C752">
        <v>6</v>
      </c>
      <c r="D752">
        <v>345.73690316822803</v>
      </c>
      <c r="E752">
        <v>79.237719767960698</v>
      </c>
      <c r="F752">
        <f t="shared" si="23"/>
        <v>7</v>
      </c>
      <c r="G752">
        <v>1</v>
      </c>
      <c r="H752">
        <v>2</v>
      </c>
      <c r="I752">
        <v>0</v>
      </c>
      <c r="J752">
        <v>0</v>
      </c>
      <c r="K752">
        <v>0</v>
      </c>
      <c r="L752">
        <v>4</v>
      </c>
      <c r="M752">
        <f t="shared" si="22"/>
        <v>371</v>
      </c>
      <c r="N752">
        <v>100</v>
      </c>
      <c r="O752">
        <v>150</v>
      </c>
      <c r="P752">
        <v>0</v>
      </c>
      <c r="Q752">
        <v>0</v>
      </c>
      <c r="R752">
        <v>0</v>
      </c>
      <c r="S752">
        <v>121</v>
      </c>
    </row>
    <row r="753" spans="1:19" x14ac:dyDescent="0.25">
      <c r="A753">
        <v>18063</v>
      </c>
      <c r="B753" t="s">
        <v>60</v>
      </c>
      <c r="C753">
        <v>7</v>
      </c>
      <c r="D753">
        <v>301.87248549754497</v>
      </c>
      <c r="E753">
        <v>64.806630968317705</v>
      </c>
      <c r="F753">
        <f t="shared" si="23"/>
        <v>7</v>
      </c>
      <c r="G753">
        <v>1</v>
      </c>
      <c r="H753">
        <v>2</v>
      </c>
      <c r="I753">
        <v>0</v>
      </c>
      <c r="J753">
        <v>0</v>
      </c>
      <c r="K753">
        <v>0</v>
      </c>
      <c r="L753">
        <v>4</v>
      </c>
      <c r="M753">
        <f t="shared" si="22"/>
        <v>371</v>
      </c>
      <c r="N753">
        <v>100</v>
      </c>
      <c r="O753">
        <v>150</v>
      </c>
      <c r="P753">
        <v>0</v>
      </c>
      <c r="Q753">
        <v>0</v>
      </c>
      <c r="R753">
        <v>0</v>
      </c>
      <c r="S753">
        <v>121</v>
      </c>
    </row>
    <row r="754" spans="1:19" x14ac:dyDescent="0.25">
      <c r="A754">
        <v>18063</v>
      </c>
      <c r="B754" t="s">
        <v>60</v>
      </c>
      <c r="C754">
        <v>8</v>
      </c>
      <c r="D754">
        <v>258.31268183846402</v>
      </c>
      <c r="E754">
        <v>49.65208389112</v>
      </c>
      <c r="F754">
        <f t="shared" si="23"/>
        <v>7</v>
      </c>
      <c r="G754">
        <v>1</v>
      </c>
      <c r="H754">
        <v>2</v>
      </c>
      <c r="I754">
        <v>0</v>
      </c>
      <c r="J754">
        <v>0</v>
      </c>
      <c r="K754">
        <v>0</v>
      </c>
      <c r="L754">
        <v>4</v>
      </c>
      <c r="M754">
        <f t="shared" si="22"/>
        <v>371</v>
      </c>
      <c r="N754">
        <v>100</v>
      </c>
      <c r="O754">
        <v>150</v>
      </c>
      <c r="P754">
        <v>0</v>
      </c>
      <c r="Q754">
        <v>0</v>
      </c>
      <c r="R754">
        <v>0</v>
      </c>
      <c r="S754">
        <v>121</v>
      </c>
    </row>
    <row r="755" spans="1:19" x14ac:dyDescent="0.25">
      <c r="A755">
        <v>18063</v>
      </c>
      <c r="B755" t="s">
        <v>60</v>
      </c>
      <c r="C755">
        <v>9</v>
      </c>
      <c r="D755">
        <v>231.735109326193</v>
      </c>
      <c r="E755">
        <v>40.399433288710398</v>
      </c>
      <c r="F755">
        <f t="shared" si="23"/>
        <v>7</v>
      </c>
      <c r="G755">
        <v>1</v>
      </c>
      <c r="H755">
        <v>2</v>
      </c>
      <c r="I755">
        <v>0</v>
      </c>
      <c r="J755">
        <v>0</v>
      </c>
      <c r="K755">
        <v>0</v>
      </c>
      <c r="L755">
        <v>4</v>
      </c>
      <c r="M755">
        <f t="shared" si="22"/>
        <v>371</v>
      </c>
      <c r="N755">
        <v>100</v>
      </c>
      <c r="O755">
        <v>150</v>
      </c>
      <c r="P755">
        <v>0</v>
      </c>
      <c r="Q755">
        <v>0</v>
      </c>
      <c r="R755">
        <v>0</v>
      </c>
      <c r="S755">
        <v>121</v>
      </c>
    </row>
    <row r="756" spans="1:19" x14ac:dyDescent="0.25">
      <c r="A756">
        <v>18063</v>
      </c>
      <c r="B756" t="s">
        <v>60</v>
      </c>
      <c r="C756">
        <v>10</v>
      </c>
      <c r="D756">
        <v>220.99746541722399</v>
      </c>
      <c r="E756">
        <v>32.136778224007102</v>
      </c>
      <c r="F756">
        <f t="shared" si="23"/>
        <v>7</v>
      </c>
      <c r="G756">
        <v>1</v>
      </c>
      <c r="H756">
        <v>2</v>
      </c>
      <c r="I756">
        <v>0</v>
      </c>
      <c r="J756">
        <v>0</v>
      </c>
      <c r="K756">
        <v>0</v>
      </c>
      <c r="L756">
        <v>4</v>
      </c>
      <c r="M756">
        <f t="shared" si="22"/>
        <v>371</v>
      </c>
      <c r="N756">
        <v>100</v>
      </c>
      <c r="O756">
        <v>150</v>
      </c>
      <c r="P756">
        <v>0</v>
      </c>
      <c r="Q756">
        <v>0</v>
      </c>
      <c r="R756">
        <v>0</v>
      </c>
      <c r="S756">
        <v>121</v>
      </c>
    </row>
    <row r="757" spans="1:19" x14ac:dyDescent="0.25">
      <c r="A757">
        <v>18063</v>
      </c>
      <c r="B757" t="s">
        <v>60</v>
      </c>
      <c r="C757">
        <v>11</v>
      </c>
      <c r="D757">
        <v>218.90324408746</v>
      </c>
      <c r="E757">
        <v>25.549500223114599</v>
      </c>
      <c r="F757">
        <f t="shared" si="23"/>
        <v>7</v>
      </c>
      <c r="G757">
        <v>1</v>
      </c>
      <c r="H757">
        <v>2</v>
      </c>
      <c r="I757">
        <v>0</v>
      </c>
      <c r="J757">
        <v>0</v>
      </c>
      <c r="K757">
        <v>0</v>
      </c>
      <c r="L757">
        <v>4</v>
      </c>
      <c r="M757">
        <f t="shared" si="22"/>
        <v>371</v>
      </c>
      <c r="N757">
        <v>100</v>
      </c>
      <c r="O757">
        <v>150</v>
      </c>
      <c r="P757">
        <v>0</v>
      </c>
      <c r="Q757">
        <v>0</v>
      </c>
      <c r="R757">
        <v>0</v>
      </c>
      <c r="S757">
        <v>121</v>
      </c>
    </row>
    <row r="758" spans="1:19" x14ac:dyDescent="0.25">
      <c r="A758">
        <v>18063</v>
      </c>
      <c r="B758" t="s">
        <v>60</v>
      </c>
      <c r="C758">
        <v>12</v>
      </c>
      <c r="D758">
        <v>217.532481035252</v>
      </c>
      <c r="E758">
        <v>25.359116465863401</v>
      </c>
      <c r="F758">
        <f t="shared" si="23"/>
        <v>7</v>
      </c>
      <c r="G758">
        <v>1</v>
      </c>
      <c r="H758">
        <v>2</v>
      </c>
      <c r="I758">
        <v>0</v>
      </c>
      <c r="J758">
        <v>0</v>
      </c>
      <c r="K758">
        <v>0</v>
      </c>
      <c r="L758">
        <v>4</v>
      </c>
      <c r="M758">
        <f t="shared" si="22"/>
        <v>371</v>
      </c>
      <c r="N758">
        <v>100</v>
      </c>
      <c r="O758">
        <v>150</v>
      </c>
      <c r="P758">
        <v>0</v>
      </c>
      <c r="Q758">
        <v>0</v>
      </c>
      <c r="R758">
        <v>0</v>
      </c>
      <c r="S758">
        <v>121</v>
      </c>
    </row>
    <row r="759" spans="1:19" x14ac:dyDescent="0.25">
      <c r="A759">
        <v>18063</v>
      </c>
      <c r="B759" t="s">
        <v>60</v>
      </c>
      <c r="C759">
        <v>13</v>
      </c>
      <c r="D759">
        <v>223.51053101293999</v>
      </c>
      <c r="E759">
        <v>25.054502454261399</v>
      </c>
      <c r="F759">
        <f t="shared" si="23"/>
        <v>7</v>
      </c>
      <c r="G759">
        <v>1</v>
      </c>
      <c r="H759">
        <v>2</v>
      </c>
      <c r="I759">
        <v>0</v>
      </c>
      <c r="J759">
        <v>0</v>
      </c>
      <c r="K759">
        <v>0</v>
      </c>
      <c r="L759">
        <v>4</v>
      </c>
      <c r="M759">
        <f t="shared" si="22"/>
        <v>371</v>
      </c>
      <c r="N759">
        <v>100</v>
      </c>
      <c r="O759">
        <v>150</v>
      </c>
      <c r="P759">
        <v>0</v>
      </c>
      <c r="Q759">
        <v>0</v>
      </c>
      <c r="R759">
        <v>0</v>
      </c>
      <c r="S759">
        <v>121</v>
      </c>
    </row>
    <row r="760" spans="1:19" x14ac:dyDescent="0.25">
      <c r="A760">
        <v>18063</v>
      </c>
      <c r="B760" t="s">
        <v>60</v>
      </c>
      <c r="C760">
        <v>14</v>
      </c>
      <c r="D760">
        <v>238.17008032128501</v>
      </c>
      <c r="E760">
        <v>22.503360107094998</v>
      </c>
      <c r="F760">
        <f t="shared" si="23"/>
        <v>7</v>
      </c>
      <c r="G760">
        <v>1</v>
      </c>
      <c r="H760">
        <v>2</v>
      </c>
      <c r="I760">
        <v>0</v>
      </c>
      <c r="J760">
        <v>0</v>
      </c>
      <c r="K760">
        <v>0</v>
      </c>
      <c r="L760">
        <v>4</v>
      </c>
      <c r="M760">
        <f t="shared" si="22"/>
        <v>371</v>
      </c>
      <c r="N760">
        <v>100</v>
      </c>
      <c r="O760">
        <v>150</v>
      </c>
      <c r="P760">
        <v>0</v>
      </c>
      <c r="Q760">
        <v>0</v>
      </c>
      <c r="R760">
        <v>0</v>
      </c>
      <c r="S760">
        <v>121</v>
      </c>
    </row>
    <row r="761" spans="1:19" x14ac:dyDescent="0.25">
      <c r="A761">
        <v>18063</v>
      </c>
      <c r="B761" t="s">
        <v>60</v>
      </c>
      <c r="C761">
        <v>15</v>
      </c>
      <c r="D761">
        <v>253.74347166443499</v>
      </c>
      <c r="E761">
        <v>20.5995225345827</v>
      </c>
      <c r="F761">
        <f t="shared" si="23"/>
        <v>7</v>
      </c>
      <c r="G761">
        <v>1</v>
      </c>
      <c r="H761">
        <v>2</v>
      </c>
      <c r="I761">
        <v>0</v>
      </c>
      <c r="J761">
        <v>0</v>
      </c>
      <c r="K761">
        <v>0</v>
      </c>
      <c r="L761">
        <v>4</v>
      </c>
      <c r="M761">
        <f t="shared" si="22"/>
        <v>371</v>
      </c>
      <c r="N761">
        <v>100</v>
      </c>
      <c r="O761">
        <v>150</v>
      </c>
      <c r="P761">
        <v>0</v>
      </c>
      <c r="Q761">
        <v>0</v>
      </c>
      <c r="R761">
        <v>0</v>
      </c>
      <c r="S761">
        <v>121</v>
      </c>
    </row>
    <row r="762" spans="1:19" x14ac:dyDescent="0.25">
      <c r="A762">
        <v>18063</v>
      </c>
      <c r="B762" t="s">
        <v>60</v>
      </c>
      <c r="C762">
        <v>16</v>
      </c>
      <c r="D762">
        <v>269.27878625613499</v>
      </c>
      <c r="E762">
        <v>21.132597054886201</v>
      </c>
      <c r="F762">
        <f t="shared" si="23"/>
        <v>7</v>
      </c>
      <c r="G762">
        <v>1</v>
      </c>
      <c r="H762">
        <v>2</v>
      </c>
      <c r="I762">
        <v>0</v>
      </c>
      <c r="J762">
        <v>0</v>
      </c>
      <c r="K762">
        <v>0</v>
      </c>
      <c r="L762">
        <v>4</v>
      </c>
      <c r="M762">
        <f t="shared" si="22"/>
        <v>371</v>
      </c>
      <c r="N762">
        <v>100</v>
      </c>
      <c r="O762">
        <v>150</v>
      </c>
      <c r="P762">
        <v>0</v>
      </c>
      <c r="Q762">
        <v>0</v>
      </c>
      <c r="R762">
        <v>0</v>
      </c>
      <c r="S762">
        <v>121</v>
      </c>
    </row>
    <row r="763" spans="1:19" x14ac:dyDescent="0.25">
      <c r="A763">
        <v>18063</v>
      </c>
      <c r="B763" t="s">
        <v>60</v>
      </c>
      <c r="C763">
        <v>17</v>
      </c>
      <c r="D763">
        <v>299.01672913877701</v>
      </c>
      <c r="E763">
        <v>22.807974118697</v>
      </c>
      <c r="F763">
        <f t="shared" si="23"/>
        <v>7</v>
      </c>
      <c r="G763">
        <v>1</v>
      </c>
      <c r="H763">
        <v>2</v>
      </c>
      <c r="I763">
        <v>0</v>
      </c>
      <c r="J763">
        <v>0</v>
      </c>
      <c r="K763">
        <v>0</v>
      </c>
      <c r="L763">
        <v>4</v>
      </c>
      <c r="M763">
        <f t="shared" si="22"/>
        <v>371</v>
      </c>
      <c r="N763">
        <v>100</v>
      </c>
      <c r="O763">
        <v>150</v>
      </c>
      <c r="P763">
        <v>0</v>
      </c>
      <c r="Q763">
        <v>0</v>
      </c>
      <c r="R763">
        <v>0</v>
      </c>
      <c r="S763">
        <v>121</v>
      </c>
    </row>
    <row r="764" spans="1:19" x14ac:dyDescent="0.25">
      <c r="A764">
        <v>18063</v>
      </c>
      <c r="B764" t="s">
        <v>60</v>
      </c>
      <c r="C764">
        <v>18</v>
      </c>
      <c r="D764">
        <v>330.92504685408301</v>
      </c>
      <c r="E764">
        <v>27.643721552878102</v>
      </c>
      <c r="F764">
        <f t="shared" si="23"/>
        <v>7</v>
      </c>
      <c r="G764">
        <v>1</v>
      </c>
      <c r="H764">
        <v>2</v>
      </c>
      <c r="I764">
        <v>0</v>
      </c>
      <c r="J764">
        <v>0</v>
      </c>
      <c r="K764">
        <v>0</v>
      </c>
      <c r="L764">
        <v>4</v>
      </c>
      <c r="M764">
        <f t="shared" si="22"/>
        <v>371</v>
      </c>
      <c r="N764">
        <v>100</v>
      </c>
      <c r="O764">
        <v>150</v>
      </c>
      <c r="P764">
        <v>0</v>
      </c>
      <c r="Q764">
        <v>0</v>
      </c>
      <c r="R764">
        <v>0</v>
      </c>
      <c r="S764">
        <v>121</v>
      </c>
    </row>
    <row r="765" spans="1:19" x14ac:dyDescent="0.25">
      <c r="A765">
        <v>18063</v>
      </c>
      <c r="B765" t="s">
        <v>60</v>
      </c>
      <c r="C765">
        <v>19</v>
      </c>
      <c r="D765">
        <v>355.97954930834402</v>
      </c>
      <c r="E765">
        <v>34.649843819723301</v>
      </c>
      <c r="F765">
        <f t="shared" si="23"/>
        <v>7</v>
      </c>
      <c r="G765">
        <v>1</v>
      </c>
      <c r="H765">
        <v>2</v>
      </c>
      <c r="I765">
        <v>0</v>
      </c>
      <c r="J765">
        <v>0</v>
      </c>
      <c r="K765">
        <v>0</v>
      </c>
      <c r="L765">
        <v>4</v>
      </c>
      <c r="M765">
        <f t="shared" si="22"/>
        <v>371</v>
      </c>
      <c r="N765">
        <v>100</v>
      </c>
      <c r="O765">
        <v>150</v>
      </c>
      <c r="P765">
        <v>0</v>
      </c>
      <c r="Q765">
        <v>0</v>
      </c>
      <c r="R765">
        <v>0</v>
      </c>
      <c r="S765">
        <v>121</v>
      </c>
    </row>
    <row r="766" spans="1:19" x14ac:dyDescent="0.25">
      <c r="A766">
        <v>18063</v>
      </c>
      <c r="B766" t="s">
        <v>60</v>
      </c>
      <c r="C766">
        <v>20</v>
      </c>
      <c r="D766">
        <v>382.86173583221699</v>
      </c>
      <c r="E766">
        <v>45.806331994645198</v>
      </c>
      <c r="F766">
        <f t="shared" si="23"/>
        <v>7</v>
      </c>
      <c r="G766">
        <v>1</v>
      </c>
      <c r="H766">
        <v>2</v>
      </c>
      <c r="I766">
        <v>0</v>
      </c>
      <c r="J766">
        <v>0</v>
      </c>
      <c r="K766">
        <v>0</v>
      </c>
      <c r="L766">
        <v>4</v>
      </c>
      <c r="M766">
        <f t="shared" si="22"/>
        <v>371</v>
      </c>
      <c r="N766">
        <v>100</v>
      </c>
      <c r="O766">
        <v>150</v>
      </c>
      <c r="P766">
        <v>0</v>
      </c>
      <c r="Q766">
        <v>0</v>
      </c>
      <c r="R766">
        <v>0</v>
      </c>
      <c r="S766">
        <v>121</v>
      </c>
    </row>
    <row r="767" spans="1:19" x14ac:dyDescent="0.25">
      <c r="A767">
        <v>18063</v>
      </c>
      <c r="B767" t="s">
        <v>60</v>
      </c>
      <c r="C767">
        <v>21</v>
      </c>
      <c r="D767">
        <v>401.13857652833502</v>
      </c>
      <c r="E767">
        <v>56.087054886211497</v>
      </c>
      <c r="F767">
        <f t="shared" si="23"/>
        <v>7</v>
      </c>
      <c r="G767">
        <v>1</v>
      </c>
      <c r="H767">
        <v>2</v>
      </c>
      <c r="I767">
        <v>0</v>
      </c>
      <c r="J767">
        <v>0</v>
      </c>
      <c r="K767">
        <v>0</v>
      </c>
      <c r="L767">
        <v>4</v>
      </c>
      <c r="M767">
        <f t="shared" si="22"/>
        <v>371</v>
      </c>
      <c r="N767">
        <v>100</v>
      </c>
      <c r="O767">
        <v>150</v>
      </c>
      <c r="P767">
        <v>0</v>
      </c>
      <c r="Q767">
        <v>0</v>
      </c>
      <c r="R767">
        <v>0</v>
      </c>
      <c r="S767">
        <v>121</v>
      </c>
    </row>
    <row r="768" spans="1:19" x14ac:dyDescent="0.25">
      <c r="A768">
        <v>18063</v>
      </c>
      <c r="B768" t="s">
        <v>60</v>
      </c>
      <c r="C768">
        <v>22</v>
      </c>
      <c r="D768">
        <v>412.14275769745598</v>
      </c>
      <c r="E768">
        <v>64.007019187862497</v>
      </c>
      <c r="F768">
        <f t="shared" si="23"/>
        <v>7</v>
      </c>
      <c r="G768">
        <v>1</v>
      </c>
      <c r="H768">
        <v>2</v>
      </c>
      <c r="I768">
        <v>0</v>
      </c>
      <c r="J768">
        <v>0</v>
      </c>
      <c r="K768">
        <v>0</v>
      </c>
      <c r="L768">
        <v>4</v>
      </c>
      <c r="M768">
        <f t="shared" si="22"/>
        <v>371</v>
      </c>
      <c r="N768">
        <v>100</v>
      </c>
      <c r="O768">
        <v>150</v>
      </c>
      <c r="P768">
        <v>0</v>
      </c>
      <c r="Q768">
        <v>0</v>
      </c>
      <c r="R768">
        <v>0</v>
      </c>
      <c r="S768">
        <v>121</v>
      </c>
    </row>
    <row r="769" spans="1:19" x14ac:dyDescent="0.25">
      <c r="A769">
        <v>18063</v>
      </c>
      <c r="B769" t="s">
        <v>60</v>
      </c>
      <c r="C769">
        <v>23</v>
      </c>
      <c r="D769">
        <v>419.11080321285101</v>
      </c>
      <c r="E769">
        <v>72.079290495314496</v>
      </c>
      <c r="F769">
        <f t="shared" si="23"/>
        <v>7</v>
      </c>
      <c r="G769">
        <v>1</v>
      </c>
      <c r="H769">
        <v>2</v>
      </c>
      <c r="I769">
        <v>0</v>
      </c>
      <c r="J769">
        <v>0</v>
      </c>
      <c r="K769">
        <v>0</v>
      </c>
      <c r="L769">
        <v>4</v>
      </c>
      <c r="M769">
        <f t="shared" si="22"/>
        <v>371</v>
      </c>
      <c r="N769">
        <v>100</v>
      </c>
      <c r="O769">
        <v>150</v>
      </c>
      <c r="P769">
        <v>0</v>
      </c>
      <c r="Q769">
        <v>0</v>
      </c>
      <c r="R769">
        <v>0</v>
      </c>
      <c r="S769">
        <v>121</v>
      </c>
    </row>
    <row r="770" spans="1:19" x14ac:dyDescent="0.25">
      <c r="A770">
        <v>18065</v>
      </c>
      <c r="B770" t="s">
        <v>61</v>
      </c>
      <c r="C770">
        <v>0</v>
      </c>
      <c r="D770">
        <v>383.41479386882003</v>
      </c>
      <c r="E770">
        <v>4.0544391314996897</v>
      </c>
      <c r="F770">
        <f t="shared" si="23"/>
        <v>6</v>
      </c>
      <c r="G770">
        <v>1</v>
      </c>
      <c r="H770">
        <v>2</v>
      </c>
      <c r="I770">
        <v>3</v>
      </c>
      <c r="J770">
        <v>0</v>
      </c>
      <c r="K770">
        <v>0</v>
      </c>
      <c r="L770">
        <v>0</v>
      </c>
      <c r="M770">
        <f t="shared" ref="M770:M833" si="24">SUM(N770:S770)</f>
        <v>399</v>
      </c>
      <c r="N770">
        <v>140</v>
      </c>
      <c r="O770">
        <v>139</v>
      </c>
      <c r="P770">
        <v>120</v>
      </c>
      <c r="Q770">
        <v>0</v>
      </c>
      <c r="R770">
        <v>0</v>
      </c>
      <c r="S770">
        <v>0</v>
      </c>
    </row>
    <row r="771" spans="1:19" x14ac:dyDescent="0.25">
      <c r="A771">
        <v>18065</v>
      </c>
      <c r="B771" t="s">
        <v>61</v>
      </c>
      <c r="C771">
        <v>1</v>
      </c>
      <c r="D771">
        <v>379.90094662152001</v>
      </c>
      <c r="E771">
        <v>5.1694098926620997</v>
      </c>
      <c r="F771">
        <f t="shared" ref="F771:F834" si="25">SUM(G771:L771)</f>
        <v>6</v>
      </c>
      <c r="G771">
        <v>1</v>
      </c>
      <c r="H771">
        <v>2</v>
      </c>
      <c r="I771">
        <v>3</v>
      </c>
      <c r="J771">
        <v>0</v>
      </c>
      <c r="K771">
        <v>0</v>
      </c>
      <c r="L771">
        <v>0</v>
      </c>
      <c r="M771">
        <f t="shared" si="24"/>
        <v>399</v>
      </c>
      <c r="N771">
        <v>140</v>
      </c>
      <c r="O771">
        <v>139</v>
      </c>
      <c r="P771">
        <v>120</v>
      </c>
      <c r="Q771">
        <v>0</v>
      </c>
      <c r="R771">
        <v>0</v>
      </c>
      <c r="S771">
        <v>0</v>
      </c>
    </row>
    <row r="772" spans="1:19" x14ac:dyDescent="0.25">
      <c r="A772">
        <v>18065</v>
      </c>
      <c r="B772" t="s">
        <v>61</v>
      </c>
      <c r="C772">
        <v>2</v>
      </c>
      <c r="D772">
        <v>376.89390426565802</v>
      </c>
      <c r="E772">
        <v>5.2369838781870897</v>
      </c>
      <c r="F772">
        <f t="shared" si="25"/>
        <v>6</v>
      </c>
      <c r="G772">
        <v>1</v>
      </c>
      <c r="H772">
        <v>2</v>
      </c>
      <c r="I772">
        <v>3</v>
      </c>
      <c r="J772">
        <v>0</v>
      </c>
      <c r="K772">
        <v>0</v>
      </c>
      <c r="L772">
        <v>0</v>
      </c>
      <c r="M772">
        <f t="shared" si="24"/>
        <v>399</v>
      </c>
      <c r="N772">
        <v>140</v>
      </c>
      <c r="O772">
        <v>139</v>
      </c>
      <c r="P772">
        <v>120</v>
      </c>
      <c r="Q772">
        <v>0</v>
      </c>
      <c r="R772">
        <v>0</v>
      </c>
      <c r="S772">
        <v>0</v>
      </c>
    </row>
    <row r="773" spans="1:19" x14ac:dyDescent="0.25">
      <c r="A773">
        <v>18065</v>
      </c>
      <c r="B773" t="s">
        <v>61</v>
      </c>
      <c r="C773">
        <v>3</v>
      </c>
      <c r="D773">
        <v>372.40023422824601</v>
      </c>
      <c r="E773">
        <v>5.1694098926620997</v>
      </c>
      <c r="F773">
        <f t="shared" si="25"/>
        <v>6</v>
      </c>
      <c r="G773">
        <v>1</v>
      </c>
      <c r="H773">
        <v>2</v>
      </c>
      <c r="I773">
        <v>3</v>
      </c>
      <c r="J773">
        <v>0</v>
      </c>
      <c r="K773">
        <v>0</v>
      </c>
      <c r="L773">
        <v>0</v>
      </c>
      <c r="M773">
        <f t="shared" si="24"/>
        <v>399</v>
      </c>
      <c r="N773">
        <v>140</v>
      </c>
      <c r="O773">
        <v>139</v>
      </c>
      <c r="P773">
        <v>120</v>
      </c>
      <c r="Q773">
        <v>0</v>
      </c>
      <c r="R773">
        <v>0</v>
      </c>
      <c r="S773">
        <v>0</v>
      </c>
    </row>
    <row r="774" spans="1:19" x14ac:dyDescent="0.25">
      <c r="A774">
        <v>18065</v>
      </c>
      <c r="B774" t="s">
        <v>61</v>
      </c>
      <c r="C774">
        <v>4</v>
      </c>
      <c r="D774">
        <v>356.25005168777199</v>
      </c>
      <c r="E774">
        <v>5.1694098926620997</v>
      </c>
      <c r="F774">
        <f t="shared" si="25"/>
        <v>6</v>
      </c>
      <c r="G774">
        <v>1</v>
      </c>
      <c r="H774">
        <v>2</v>
      </c>
      <c r="I774">
        <v>3</v>
      </c>
      <c r="J774">
        <v>0</v>
      </c>
      <c r="K774">
        <v>0</v>
      </c>
      <c r="L774">
        <v>0</v>
      </c>
      <c r="M774">
        <f t="shared" si="24"/>
        <v>399</v>
      </c>
      <c r="N774">
        <v>140</v>
      </c>
      <c r="O774">
        <v>139</v>
      </c>
      <c r="P774">
        <v>120</v>
      </c>
      <c r="Q774">
        <v>0</v>
      </c>
      <c r="R774">
        <v>0</v>
      </c>
      <c r="S774">
        <v>0</v>
      </c>
    </row>
    <row r="775" spans="1:19" x14ac:dyDescent="0.25">
      <c r="A775">
        <v>18065</v>
      </c>
      <c r="B775" t="s">
        <v>61</v>
      </c>
      <c r="C775">
        <v>5</v>
      </c>
      <c r="D775">
        <v>329.49075341987401</v>
      </c>
      <c r="E775">
        <v>5.6762147840995603</v>
      </c>
      <c r="F775">
        <f t="shared" si="25"/>
        <v>6</v>
      </c>
      <c r="G775">
        <v>1</v>
      </c>
      <c r="H775">
        <v>2</v>
      </c>
      <c r="I775">
        <v>3</v>
      </c>
      <c r="J775">
        <v>0</v>
      </c>
      <c r="K775">
        <v>0</v>
      </c>
      <c r="L775">
        <v>0</v>
      </c>
      <c r="M775">
        <f t="shared" si="24"/>
        <v>399</v>
      </c>
      <c r="N775">
        <v>140</v>
      </c>
      <c r="O775">
        <v>139</v>
      </c>
      <c r="P775">
        <v>120</v>
      </c>
      <c r="Q775">
        <v>0</v>
      </c>
      <c r="R775">
        <v>0</v>
      </c>
      <c r="S775">
        <v>0</v>
      </c>
    </row>
    <row r="776" spans="1:19" x14ac:dyDescent="0.25">
      <c r="A776">
        <v>18065</v>
      </c>
      <c r="B776" t="s">
        <v>61</v>
      </c>
      <c r="C776">
        <v>6</v>
      </c>
      <c r="D776">
        <v>295.70376065737702</v>
      </c>
      <c r="E776">
        <v>6.5546765959244997</v>
      </c>
      <c r="F776">
        <f t="shared" si="25"/>
        <v>6</v>
      </c>
      <c r="G776">
        <v>1</v>
      </c>
      <c r="H776">
        <v>2</v>
      </c>
      <c r="I776">
        <v>3</v>
      </c>
      <c r="J776">
        <v>0</v>
      </c>
      <c r="K776">
        <v>0</v>
      </c>
      <c r="L776">
        <v>0</v>
      </c>
      <c r="M776">
        <f t="shared" si="24"/>
        <v>399</v>
      </c>
      <c r="N776">
        <v>140</v>
      </c>
      <c r="O776">
        <v>139</v>
      </c>
      <c r="P776">
        <v>120</v>
      </c>
      <c r="Q776">
        <v>0</v>
      </c>
      <c r="R776">
        <v>0</v>
      </c>
      <c r="S776">
        <v>0</v>
      </c>
    </row>
    <row r="777" spans="1:19" x14ac:dyDescent="0.25">
      <c r="A777">
        <v>18065</v>
      </c>
      <c r="B777" t="s">
        <v>61</v>
      </c>
      <c r="C777">
        <v>7</v>
      </c>
      <c r="D777">
        <v>251.814457058893</v>
      </c>
      <c r="E777">
        <v>6.5208896031619998</v>
      </c>
      <c r="F777">
        <f t="shared" si="25"/>
        <v>6</v>
      </c>
      <c r="G777">
        <v>1</v>
      </c>
      <c r="H777">
        <v>2</v>
      </c>
      <c r="I777">
        <v>3</v>
      </c>
      <c r="J777">
        <v>0</v>
      </c>
      <c r="K777">
        <v>0</v>
      </c>
      <c r="L777">
        <v>0</v>
      </c>
      <c r="M777">
        <f t="shared" si="24"/>
        <v>399</v>
      </c>
      <c r="N777">
        <v>140</v>
      </c>
      <c r="O777">
        <v>139</v>
      </c>
      <c r="P777">
        <v>120</v>
      </c>
      <c r="Q777">
        <v>0</v>
      </c>
      <c r="R777">
        <v>0</v>
      </c>
      <c r="S777">
        <v>0</v>
      </c>
    </row>
    <row r="778" spans="1:19" x14ac:dyDescent="0.25">
      <c r="A778">
        <v>18065</v>
      </c>
      <c r="B778" t="s">
        <v>61</v>
      </c>
      <c r="C778">
        <v>8</v>
      </c>
      <c r="D778">
        <v>211.91201860638299</v>
      </c>
      <c r="E778">
        <v>7.4331384077494302</v>
      </c>
      <c r="F778">
        <f t="shared" si="25"/>
        <v>6</v>
      </c>
      <c r="G778">
        <v>1</v>
      </c>
      <c r="H778">
        <v>2</v>
      </c>
      <c r="I778">
        <v>3</v>
      </c>
      <c r="J778">
        <v>0</v>
      </c>
      <c r="K778">
        <v>0</v>
      </c>
      <c r="L778">
        <v>0</v>
      </c>
      <c r="M778">
        <f t="shared" si="24"/>
        <v>399</v>
      </c>
      <c r="N778">
        <v>140</v>
      </c>
      <c r="O778">
        <v>139</v>
      </c>
      <c r="P778">
        <v>120</v>
      </c>
      <c r="Q778">
        <v>0</v>
      </c>
      <c r="R778">
        <v>0</v>
      </c>
      <c r="S778">
        <v>0</v>
      </c>
    </row>
    <row r="779" spans="1:19" x14ac:dyDescent="0.25">
      <c r="A779">
        <v>18065</v>
      </c>
      <c r="B779" t="s">
        <v>61</v>
      </c>
      <c r="C779">
        <v>9</v>
      </c>
      <c r="D779">
        <v>181.87538204052299</v>
      </c>
      <c r="E779">
        <v>8.0413042774743797</v>
      </c>
      <c r="F779">
        <f t="shared" si="25"/>
        <v>6</v>
      </c>
      <c r="G779">
        <v>1</v>
      </c>
      <c r="H779">
        <v>2</v>
      </c>
      <c r="I779">
        <v>3</v>
      </c>
      <c r="J779">
        <v>0</v>
      </c>
      <c r="K779">
        <v>0</v>
      </c>
      <c r="L779">
        <v>0</v>
      </c>
      <c r="M779">
        <f t="shared" si="24"/>
        <v>399</v>
      </c>
      <c r="N779">
        <v>140</v>
      </c>
      <c r="O779">
        <v>139</v>
      </c>
      <c r="P779">
        <v>120</v>
      </c>
      <c r="Q779">
        <v>0</v>
      </c>
      <c r="R779">
        <v>0</v>
      </c>
      <c r="S779">
        <v>0</v>
      </c>
    </row>
    <row r="780" spans="1:19" x14ac:dyDescent="0.25">
      <c r="A780">
        <v>18065</v>
      </c>
      <c r="B780" t="s">
        <v>61</v>
      </c>
      <c r="C780">
        <v>10</v>
      </c>
      <c r="D780">
        <v>168.56330689209901</v>
      </c>
      <c r="E780">
        <v>6.8925465235494698</v>
      </c>
      <c r="F780">
        <f t="shared" si="25"/>
        <v>6</v>
      </c>
      <c r="G780">
        <v>1</v>
      </c>
      <c r="H780">
        <v>2</v>
      </c>
      <c r="I780">
        <v>3</v>
      </c>
      <c r="J780">
        <v>0</v>
      </c>
      <c r="K780">
        <v>0</v>
      </c>
      <c r="L780">
        <v>0</v>
      </c>
      <c r="M780">
        <f t="shared" si="24"/>
        <v>399</v>
      </c>
      <c r="N780">
        <v>140</v>
      </c>
      <c r="O780">
        <v>139</v>
      </c>
      <c r="P780">
        <v>120</v>
      </c>
      <c r="Q780">
        <v>0</v>
      </c>
      <c r="R780">
        <v>0</v>
      </c>
      <c r="S780">
        <v>0</v>
      </c>
    </row>
    <row r="781" spans="1:19" x14ac:dyDescent="0.25">
      <c r="A781">
        <v>18065</v>
      </c>
      <c r="B781" t="s">
        <v>61</v>
      </c>
      <c r="C781">
        <v>11</v>
      </c>
      <c r="D781">
        <v>165.38732957242399</v>
      </c>
      <c r="E781">
        <v>4.7639659795121299</v>
      </c>
      <c r="F781">
        <f t="shared" si="25"/>
        <v>6</v>
      </c>
      <c r="G781">
        <v>1</v>
      </c>
      <c r="H781">
        <v>2</v>
      </c>
      <c r="I781">
        <v>3</v>
      </c>
      <c r="J781">
        <v>0</v>
      </c>
      <c r="K781">
        <v>0</v>
      </c>
      <c r="L781">
        <v>0</v>
      </c>
      <c r="M781">
        <f t="shared" si="24"/>
        <v>399</v>
      </c>
      <c r="N781">
        <v>140</v>
      </c>
      <c r="O781">
        <v>139</v>
      </c>
      <c r="P781">
        <v>120</v>
      </c>
      <c r="Q781">
        <v>0</v>
      </c>
      <c r="R781">
        <v>0</v>
      </c>
      <c r="S781">
        <v>0</v>
      </c>
    </row>
    <row r="782" spans="1:19" x14ac:dyDescent="0.25">
      <c r="A782">
        <v>18065</v>
      </c>
      <c r="B782" t="s">
        <v>61</v>
      </c>
      <c r="C782">
        <v>12</v>
      </c>
      <c r="D782">
        <v>160.623363592912</v>
      </c>
      <c r="E782">
        <v>4.3923090591246599</v>
      </c>
      <c r="F782">
        <f t="shared" si="25"/>
        <v>6</v>
      </c>
      <c r="G782">
        <v>1</v>
      </c>
      <c r="H782">
        <v>2</v>
      </c>
      <c r="I782">
        <v>3</v>
      </c>
      <c r="J782">
        <v>0</v>
      </c>
      <c r="K782">
        <v>0</v>
      </c>
      <c r="L782">
        <v>0</v>
      </c>
      <c r="M782">
        <f t="shared" si="24"/>
        <v>399</v>
      </c>
      <c r="N782">
        <v>140</v>
      </c>
      <c r="O782">
        <v>139</v>
      </c>
      <c r="P782">
        <v>120</v>
      </c>
      <c r="Q782">
        <v>0</v>
      </c>
      <c r="R782">
        <v>0</v>
      </c>
      <c r="S782">
        <v>0</v>
      </c>
    </row>
    <row r="783" spans="1:19" x14ac:dyDescent="0.25">
      <c r="A783">
        <v>18065</v>
      </c>
      <c r="B783" t="s">
        <v>61</v>
      </c>
      <c r="C783">
        <v>13</v>
      </c>
      <c r="D783">
        <v>159.88004975213701</v>
      </c>
      <c r="E783">
        <v>4.2571610880746702</v>
      </c>
      <c r="F783">
        <f t="shared" si="25"/>
        <v>6</v>
      </c>
      <c r="G783">
        <v>1</v>
      </c>
      <c r="H783">
        <v>2</v>
      </c>
      <c r="I783">
        <v>3</v>
      </c>
      <c r="J783">
        <v>0</v>
      </c>
      <c r="K783">
        <v>0</v>
      </c>
      <c r="L783">
        <v>0</v>
      </c>
      <c r="M783">
        <f t="shared" si="24"/>
        <v>399</v>
      </c>
      <c r="N783">
        <v>140</v>
      </c>
      <c r="O783">
        <v>139</v>
      </c>
      <c r="P783">
        <v>120</v>
      </c>
      <c r="Q783">
        <v>0</v>
      </c>
      <c r="R783">
        <v>0</v>
      </c>
      <c r="S783">
        <v>0</v>
      </c>
    </row>
    <row r="784" spans="1:19" x14ac:dyDescent="0.25">
      <c r="A784">
        <v>18065</v>
      </c>
      <c r="B784" t="s">
        <v>61</v>
      </c>
      <c r="C784">
        <v>14</v>
      </c>
      <c r="D784">
        <v>170.995970370999</v>
      </c>
      <c r="E784">
        <v>3.5814212328247201</v>
      </c>
      <c r="F784">
        <f t="shared" si="25"/>
        <v>6</v>
      </c>
      <c r="G784">
        <v>1</v>
      </c>
      <c r="H784">
        <v>2</v>
      </c>
      <c r="I784">
        <v>3</v>
      </c>
      <c r="J784">
        <v>0</v>
      </c>
      <c r="K784">
        <v>0</v>
      </c>
      <c r="L784">
        <v>0</v>
      </c>
      <c r="M784">
        <f t="shared" si="24"/>
        <v>399</v>
      </c>
      <c r="N784">
        <v>140</v>
      </c>
      <c r="O784">
        <v>139</v>
      </c>
      <c r="P784">
        <v>120</v>
      </c>
      <c r="Q784">
        <v>0</v>
      </c>
      <c r="R784">
        <v>0</v>
      </c>
      <c r="S784">
        <v>0</v>
      </c>
    </row>
    <row r="785" spans="1:19" x14ac:dyDescent="0.25">
      <c r="A785">
        <v>18065</v>
      </c>
      <c r="B785" t="s">
        <v>61</v>
      </c>
      <c r="C785">
        <v>15</v>
      </c>
      <c r="D785">
        <v>191.26816602849701</v>
      </c>
      <c r="E785">
        <v>2.1961545295623299</v>
      </c>
      <c r="F785">
        <f t="shared" si="25"/>
        <v>6</v>
      </c>
      <c r="G785">
        <v>1</v>
      </c>
      <c r="H785">
        <v>2</v>
      </c>
      <c r="I785">
        <v>3</v>
      </c>
      <c r="J785">
        <v>0</v>
      </c>
      <c r="K785">
        <v>0</v>
      </c>
      <c r="L785">
        <v>0</v>
      </c>
      <c r="M785">
        <f t="shared" si="24"/>
        <v>399</v>
      </c>
      <c r="N785">
        <v>140</v>
      </c>
      <c r="O785">
        <v>139</v>
      </c>
      <c r="P785">
        <v>120</v>
      </c>
      <c r="Q785">
        <v>0</v>
      </c>
      <c r="R785">
        <v>0</v>
      </c>
      <c r="S785">
        <v>0</v>
      </c>
    </row>
    <row r="786" spans="1:19" x14ac:dyDescent="0.25">
      <c r="A786">
        <v>18065</v>
      </c>
      <c r="B786" t="s">
        <v>61</v>
      </c>
      <c r="C786">
        <v>16</v>
      </c>
      <c r="D786">
        <v>211.236278751133</v>
      </c>
      <c r="E786">
        <v>1.8244976091748599</v>
      </c>
      <c r="F786">
        <f t="shared" si="25"/>
        <v>6</v>
      </c>
      <c r="G786">
        <v>1</v>
      </c>
      <c r="H786">
        <v>2</v>
      </c>
      <c r="I786">
        <v>3</v>
      </c>
      <c r="J786">
        <v>0</v>
      </c>
      <c r="K786">
        <v>0</v>
      </c>
      <c r="L786">
        <v>0</v>
      </c>
      <c r="M786">
        <f t="shared" si="24"/>
        <v>399</v>
      </c>
      <c r="N786">
        <v>140</v>
      </c>
      <c r="O786">
        <v>139</v>
      </c>
      <c r="P786">
        <v>120</v>
      </c>
      <c r="Q786">
        <v>0</v>
      </c>
      <c r="R786">
        <v>0</v>
      </c>
      <c r="S786">
        <v>0</v>
      </c>
    </row>
    <row r="787" spans="1:19" x14ac:dyDescent="0.25">
      <c r="A787">
        <v>18065</v>
      </c>
      <c r="B787" t="s">
        <v>61</v>
      </c>
      <c r="C787">
        <v>17</v>
      </c>
      <c r="D787">
        <v>233.67084194543199</v>
      </c>
      <c r="E787">
        <v>1.8244976091748599</v>
      </c>
      <c r="F787">
        <f t="shared" si="25"/>
        <v>6</v>
      </c>
      <c r="G787">
        <v>1</v>
      </c>
      <c r="H787">
        <v>2</v>
      </c>
      <c r="I787">
        <v>3</v>
      </c>
      <c r="J787">
        <v>0</v>
      </c>
      <c r="K787">
        <v>0</v>
      </c>
      <c r="L787">
        <v>0</v>
      </c>
      <c r="M787">
        <f t="shared" si="24"/>
        <v>399</v>
      </c>
      <c r="N787">
        <v>140</v>
      </c>
      <c r="O787">
        <v>139</v>
      </c>
      <c r="P787">
        <v>120</v>
      </c>
      <c r="Q787">
        <v>0</v>
      </c>
      <c r="R787">
        <v>0</v>
      </c>
      <c r="S787">
        <v>0</v>
      </c>
    </row>
    <row r="788" spans="1:19" x14ac:dyDescent="0.25">
      <c r="A788">
        <v>18065</v>
      </c>
      <c r="B788" t="s">
        <v>61</v>
      </c>
      <c r="C788">
        <v>18</v>
      </c>
      <c r="D788">
        <v>266.88345583096702</v>
      </c>
      <c r="E788">
        <v>2.33130250061232</v>
      </c>
      <c r="F788">
        <f t="shared" si="25"/>
        <v>6</v>
      </c>
      <c r="G788">
        <v>1</v>
      </c>
      <c r="H788">
        <v>2</v>
      </c>
      <c r="I788">
        <v>3</v>
      </c>
      <c r="J788">
        <v>0</v>
      </c>
      <c r="K788">
        <v>0</v>
      </c>
      <c r="L788">
        <v>0</v>
      </c>
      <c r="M788">
        <f t="shared" si="24"/>
        <v>399</v>
      </c>
      <c r="N788">
        <v>140</v>
      </c>
      <c r="O788">
        <v>139</v>
      </c>
      <c r="P788">
        <v>120</v>
      </c>
      <c r="Q788">
        <v>0</v>
      </c>
      <c r="R788">
        <v>0</v>
      </c>
      <c r="S788">
        <v>0</v>
      </c>
    </row>
    <row r="789" spans="1:19" x14ac:dyDescent="0.25">
      <c r="A789">
        <v>18065</v>
      </c>
      <c r="B789" t="s">
        <v>61</v>
      </c>
      <c r="C789">
        <v>19</v>
      </c>
      <c r="D789">
        <v>300.06228272373897</v>
      </c>
      <c r="E789">
        <v>2.5002374644248002</v>
      </c>
      <c r="F789">
        <f t="shared" si="25"/>
        <v>6</v>
      </c>
      <c r="G789">
        <v>1</v>
      </c>
      <c r="H789">
        <v>2</v>
      </c>
      <c r="I789">
        <v>3</v>
      </c>
      <c r="J789">
        <v>0</v>
      </c>
      <c r="K789">
        <v>0</v>
      </c>
      <c r="L789">
        <v>0</v>
      </c>
      <c r="M789">
        <f t="shared" si="24"/>
        <v>399</v>
      </c>
      <c r="N789">
        <v>140</v>
      </c>
      <c r="O789">
        <v>139</v>
      </c>
      <c r="P789">
        <v>120</v>
      </c>
      <c r="Q789">
        <v>0</v>
      </c>
      <c r="R789">
        <v>0</v>
      </c>
      <c r="S789">
        <v>0</v>
      </c>
    </row>
    <row r="790" spans="1:19" x14ac:dyDescent="0.25">
      <c r="A790">
        <v>18065</v>
      </c>
      <c r="B790" t="s">
        <v>61</v>
      </c>
      <c r="C790">
        <v>20</v>
      </c>
      <c r="D790">
        <v>326.686433020587</v>
      </c>
      <c r="E790">
        <v>1.8920715946998501</v>
      </c>
      <c r="F790">
        <f t="shared" si="25"/>
        <v>6</v>
      </c>
      <c r="G790">
        <v>1</v>
      </c>
      <c r="H790">
        <v>2</v>
      </c>
      <c r="I790">
        <v>3</v>
      </c>
      <c r="J790">
        <v>0</v>
      </c>
      <c r="K790">
        <v>0</v>
      </c>
      <c r="L790">
        <v>0</v>
      </c>
      <c r="M790">
        <f t="shared" si="24"/>
        <v>399</v>
      </c>
      <c r="N790">
        <v>140</v>
      </c>
      <c r="O790">
        <v>139</v>
      </c>
      <c r="P790">
        <v>120</v>
      </c>
      <c r="Q790">
        <v>0</v>
      </c>
      <c r="R790">
        <v>0</v>
      </c>
      <c r="S790">
        <v>0</v>
      </c>
    </row>
    <row r="791" spans="1:19" x14ac:dyDescent="0.25">
      <c r="A791">
        <v>18065</v>
      </c>
      <c r="B791" t="s">
        <v>61</v>
      </c>
      <c r="C791">
        <v>21</v>
      </c>
      <c r="D791">
        <v>345.607148967586</v>
      </c>
      <c r="E791">
        <v>2.2637285150873199</v>
      </c>
      <c r="F791">
        <f t="shared" si="25"/>
        <v>6</v>
      </c>
      <c r="G791">
        <v>1</v>
      </c>
      <c r="H791">
        <v>2</v>
      </c>
      <c r="I791">
        <v>3</v>
      </c>
      <c r="J791">
        <v>0</v>
      </c>
      <c r="K791">
        <v>0</v>
      </c>
      <c r="L791">
        <v>0</v>
      </c>
      <c r="M791">
        <f t="shared" si="24"/>
        <v>399</v>
      </c>
      <c r="N791">
        <v>140</v>
      </c>
      <c r="O791">
        <v>139</v>
      </c>
      <c r="P791">
        <v>120</v>
      </c>
      <c r="Q791">
        <v>0</v>
      </c>
      <c r="R791">
        <v>0</v>
      </c>
      <c r="S791">
        <v>0</v>
      </c>
    </row>
    <row r="792" spans="1:19" x14ac:dyDescent="0.25">
      <c r="A792">
        <v>18065</v>
      </c>
      <c r="B792" t="s">
        <v>61</v>
      </c>
      <c r="C792">
        <v>22</v>
      </c>
      <c r="D792">
        <v>368.07549915464602</v>
      </c>
      <c r="E792">
        <v>2.8381073920497801</v>
      </c>
      <c r="F792">
        <f t="shared" si="25"/>
        <v>6</v>
      </c>
      <c r="G792">
        <v>1</v>
      </c>
      <c r="H792">
        <v>2</v>
      </c>
      <c r="I792">
        <v>3</v>
      </c>
      <c r="J792">
        <v>0</v>
      </c>
      <c r="K792">
        <v>0</v>
      </c>
      <c r="L792">
        <v>0</v>
      </c>
      <c r="M792">
        <f t="shared" si="24"/>
        <v>399</v>
      </c>
      <c r="N792">
        <v>140</v>
      </c>
      <c r="O792">
        <v>139</v>
      </c>
      <c r="P792">
        <v>120</v>
      </c>
      <c r="Q792">
        <v>0</v>
      </c>
      <c r="R792">
        <v>0</v>
      </c>
      <c r="S792">
        <v>0</v>
      </c>
    </row>
    <row r="793" spans="1:19" x14ac:dyDescent="0.25">
      <c r="A793">
        <v>18065</v>
      </c>
      <c r="B793" t="s">
        <v>61</v>
      </c>
      <c r="C793">
        <v>23</v>
      </c>
      <c r="D793">
        <v>383.95538575301998</v>
      </c>
      <c r="E793">
        <v>3.2097643124372501</v>
      </c>
      <c r="F793">
        <f t="shared" si="25"/>
        <v>6</v>
      </c>
      <c r="G793">
        <v>1</v>
      </c>
      <c r="H793">
        <v>2</v>
      </c>
      <c r="I793">
        <v>3</v>
      </c>
      <c r="J793">
        <v>0</v>
      </c>
      <c r="K793">
        <v>0</v>
      </c>
      <c r="L793">
        <v>0</v>
      </c>
      <c r="M793">
        <f t="shared" si="24"/>
        <v>399</v>
      </c>
      <c r="N793">
        <v>140</v>
      </c>
      <c r="O793">
        <v>139</v>
      </c>
      <c r="P793">
        <v>120</v>
      </c>
      <c r="Q793">
        <v>0</v>
      </c>
      <c r="R793">
        <v>0</v>
      </c>
      <c r="S793">
        <v>0</v>
      </c>
    </row>
    <row r="794" spans="1:19" x14ac:dyDescent="0.25">
      <c r="A794">
        <v>18067</v>
      </c>
      <c r="B794" t="s">
        <v>62</v>
      </c>
      <c r="C794">
        <v>0</v>
      </c>
      <c r="D794">
        <v>0</v>
      </c>
      <c r="E794">
        <v>1.5500849219797901</v>
      </c>
      <c r="F794">
        <f t="shared" si="25"/>
        <v>0</v>
      </c>
      <c r="G794">
        <v>0</v>
      </c>
      <c r="H794">
        <v>0</v>
      </c>
      <c r="I794">
        <v>0</v>
      </c>
      <c r="J794">
        <v>0</v>
      </c>
      <c r="K794">
        <v>0</v>
      </c>
      <c r="L794">
        <v>0</v>
      </c>
      <c r="M794">
        <f t="shared" si="24"/>
        <v>0</v>
      </c>
      <c r="N794">
        <v>0</v>
      </c>
      <c r="O794">
        <v>0</v>
      </c>
      <c r="P794">
        <v>0</v>
      </c>
      <c r="Q794">
        <v>0</v>
      </c>
      <c r="R794">
        <v>0</v>
      </c>
      <c r="S794">
        <v>0</v>
      </c>
    </row>
    <row r="795" spans="1:19" x14ac:dyDescent="0.25">
      <c r="A795">
        <v>18067</v>
      </c>
      <c r="B795" t="s">
        <v>62</v>
      </c>
      <c r="C795">
        <v>1</v>
      </c>
      <c r="D795">
        <v>0</v>
      </c>
      <c r="E795">
        <v>2.0845969640417898</v>
      </c>
      <c r="F795">
        <f t="shared" si="25"/>
        <v>0</v>
      </c>
      <c r="G795">
        <v>0</v>
      </c>
      <c r="H795">
        <v>0</v>
      </c>
      <c r="I795">
        <v>0</v>
      </c>
      <c r="J795">
        <v>0</v>
      </c>
      <c r="K795">
        <v>0</v>
      </c>
      <c r="L795">
        <v>0</v>
      </c>
      <c r="M795">
        <f t="shared" si="24"/>
        <v>0</v>
      </c>
      <c r="N795">
        <v>0</v>
      </c>
      <c r="O795">
        <v>0</v>
      </c>
      <c r="P795">
        <v>0</v>
      </c>
      <c r="Q795">
        <v>0</v>
      </c>
      <c r="R795">
        <v>0</v>
      </c>
      <c r="S795">
        <v>0</v>
      </c>
    </row>
    <row r="796" spans="1:19" x14ac:dyDescent="0.25">
      <c r="A796">
        <v>18067</v>
      </c>
      <c r="B796" t="s">
        <v>62</v>
      </c>
      <c r="C796">
        <v>2</v>
      </c>
      <c r="D796">
        <v>0</v>
      </c>
      <c r="E796">
        <v>2.1380481682479902</v>
      </c>
      <c r="F796">
        <f t="shared" si="25"/>
        <v>0</v>
      </c>
      <c r="G796">
        <v>0</v>
      </c>
      <c r="H796">
        <v>0</v>
      </c>
      <c r="I796">
        <v>0</v>
      </c>
      <c r="J796">
        <v>0</v>
      </c>
      <c r="K796">
        <v>0</v>
      </c>
      <c r="L796">
        <v>0</v>
      </c>
      <c r="M796">
        <f t="shared" si="24"/>
        <v>0</v>
      </c>
      <c r="N796">
        <v>0</v>
      </c>
      <c r="O796">
        <v>0</v>
      </c>
      <c r="P796">
        <v>0</v>
      </c>
      <c r="Q796">
        <v>0</v>
      </c>
      <c r="R796">
        <v>0</v>
      </c>
      <c r="S796">
        <v>0</v>
      </c>
    </row>
    <row r="797" spans="1:19" x14ac:dyDescent="0.25">
      <c r="A797">
        <v>18067</v>
      </c>
      <c r="B797" t="s">
        <v>62</v>
      </c>
      <c r="C797">
        <v>3</v>
      </c>
      <c r="D797">
        <v>0</v>
      </c>
      <c r="E797">
        <v>2.4053041892789899</v>
      </c>
      <c r="F797">
        <f t="shared" si="25"/>
        <v>0</v>
      </c>
      <c r="G797">
        <v>0</v>
      </c>
      <c r="H797">
        <v>0</v>
      </c>
      <c r="I797">
        <v>0</v>
      </c>
      <c r="J797">
        <v>0</v>
      </c>
      <c r="K797">
        <v>0</v>
      </c>
      <c r="L797">
        <v>0</v>
      </c>
      <c r="M797">
        <f t="shared" si="24"/>
        <v>0</v>
      </c>
      <c r="N797">
        <v>0</v>
      </c>
      <c r="O797">
        <v>0</v>
      </c>
      <c r="P797">
        <v>0</v>
      </c>
      <c r="Q797">
        <v>0</v>
      </c>
      <c r="R797">
        <v>0</v>
      </c>
      <c r="S797">
        <v>0</v>
      </c>
    </row>
    <row r="798" spans="1:19" x14ac:dyDescent="0.25">
      <c r="A798">
        <v>18067</v>
      </c>
      <c r="B798" t="s">
        <v>62</v>
      </c>
      <c r="C798">
        <v>4</v>
      </c>
      <c r="D798">
        <v>0</v>
      </c>
      <c r="E798">
        <v>4.0088403154649903</v>
      </c>
      <c r="F798">
        <f t="shared" si="25"/>
        <v>0</v>
      </c>
      <c r="G798">
        <v>0</v>
      </c>
      <c r="H798">
        <v>0</v>
      </c>
      <c r="I798">
        <v>0</v>
      </c>
      <c r="J798">
        <v>0</v>
      </c>
      <c r="K798">
        <v>0</v>
      </c>
      <c r="L798">
        <v>0</v>
      </c>
      <c r="M798">
        <f t="shared" si="24"/>
        <v>0</v>
      </c>
      <c r="N798">
        <v>0</v>
      </c>
      <c r="O798">
        <v>0</v>
      </c>
      <c r="P798">
        <v>0</v>
      </c>
      <c r="Q798">
        <v>0</v>
      </c>
      <c r="R798">
        <v>0</v>
      </c>
      <c r="S798">
        <v>0</v>
      </c>
    </row>
    <row r="799" spans="1:19" x14ac:dyDescent="0.25">
      <c r="A799">
        <v>18067</v>
      </c>
      <c r="B799" t="s">
        <v>62</v>
      </c>
      <c r="C799">
        <v>5</v>
      </c>
      <c r="D799">
        <v>0</v>
      </c>
      <c r="E799">
        <v>5.7727300542695898</v>
      </c>
      <c r="F799">
        <f t="shared" si="25"/>
        <v>0</v>
      </c>
      <c r="G799">
        <v>0</v>
      </c>
      <c r="H799">
        <v>0</v>
      </c>
      <c r="I799">
        <v>0</v>
      </c>
      <c r="J799">
        <v>0</v>
      </c>
      <c r="K799">
        <v>0</v>
      </c>
      <c r="L799">
        <v>0</v>
      </c>
      <c r="M799">
        <f t="shared" si="24"/>
        <v>0</v>
      </c>
      <c r="N799">
        <v>0</v>
      </c>
      <c r="O799">
        <v>0</v>
      </c>
      <c r="P799">
        <v>0</v>
      </c>
      <c r="Q799">
        <v>0</v>
      </c>
      <c r="R799">
        <v>0</v>
      </c>
      <c r="S799">
        <v>0</v>
      </c>
    </row>
    <row r="800" spans="1:19" x14ac:dyDescent="0.25">
      <c r="A800">
        <v>18067</v>
      </c>
      <c r="B800" t="s">
        <v>62</v>
      </c>
      <c r="C800">
        <v>6</v>
      </c>
      <c r="D800">
        <v>0</v>
      </c>
      <c r="E800">
        <v>9.3005095318787792</v>
      </c>
      <c r="F800">
        <f t="shared" si="25"/>
        <v>0</v>
      </c>
      <c r="G800">
        <v>0</v>
      </c>
      <c r="H800">
        <v>0</v>
      </c>
      <c r="I800">
        <v>0</v>
      </c>
      <c r="J800">
        <v>0</v>
      </c>
      <c r="K800">
        <v>0</v>
      </c>
      <c r="L800">
        <v>0</v>
      </c>
      <c r="M800">
        <f t="shared" si="24"/>
        <v>0</v>
      </c>
      <c r="N800">
        <v>0</v>
      </c>
      <c r="O800">
        <v>0</v>
      </c>
      <c r="P800">
        <v>0</v>
      </c>
      <c r="Q800">
        <v>0</v>
      </c>
      <c r="R800">
        <v>0</v>
      </c>
      <c r="S800">
        <v>0</v>
      </c>
    </row>
    <row r="801" spans="1:19" x14ac:dyDescent="0.25">
      <c r="A801">
        <v>18067</v>
      </c>
      <c r="B801" t="s">
        <v>62</v>
      </c>
      <c r="C801">
        <v>7</v>
      </c>
      <c r="D801">
        <v>0</v>
      </c>
      <c r="E801">
        <v>12.400679375838299</v>
      </c>
      <c r="F801">
        <f t="shared" si="25"/>
        <v>0</v>
      </c>
      <c r="G801">
        <v>0</v>
      </c>
      <c r="H801">
        <v>0</v>
      </c>
      <c r="I801">
        <v>0</v>
      </c>
      <c r="J801">
        <v>0</v>
      </c>
      <c r="K801">
        <v>0</v>
      </c>
      <c r="L801">
        <v>0</v>
      </c>
      <c r="M801">
        <f t="shared" si="24"/>
        <v>0</v>
      </c>
      <c r="N801">
        <v>0</v>
      </c>
      <c r="O801">
        <v>0</v>
      </c>
      <c r="P801">
        <v>0</v>
      </c>
      <c r="Q801">
        <v>0</v>
      </c>
      <c r="R801">
        <v>0</v>
      </c>
      <c r="S801">
        <v>0</v>
      </c>
    </row>
    <row r="802" spans="1:19" x14ac:dyDescent="0.25">
      <c r="A802">
        <v>18067</v>
      </c>
      <c r="B802" t="s">
        <v>62</v>
      </c>
      <c r="C802">
        <v>8</v>
      </c>
      <c r="D802">
        <v>0</v>
      </c>
      <c r="E802">
        <v>8.7659974898167796</v>
      </c>
      <c r="F802">
        <f t="shared" si="25"/>
        <v>0</v>
      </c>
      <c r="G802">
        <v>0</v>
      </c>
      <c r="H802">
        <v>0</v>
      </c>
      <c r="I802">
        <v>0</v>
      </c>
      <c r="J802">
        <v>0</v>
      </c>
      <c r="K802">
        <v>0</v>
      </c>
      <c r="L802">
        <v>0</v>
      </c>
      <c r="M802">
        <f t="shared" si="24"/>
        <v>0</v>
      </c>
      <c r="N802">
        <v>0</v>
      </c>
      <c r="O802">
        <v>0</v>
      </c>
      <c r="P802">
        <v>0</v>
      </c>
      <c r="Q802">
        <v>0</v>
      </c>
      <c r="R802">
        <v>0</v>
      </c>
      <c r="S802">
        <v>0</v>
      </c>
    </row>
    <row r="803" spans="1:19" x14ac:dyDescent="0.25">
      <c r="A803">
        <v>18067</v>
      </c>
      <c r="B803" t="s">
        <v>62</v>
      </c>
      <c r="C803">
        <v>9</v>
      </c>
      <c r="D803">
        <v>0</v>
      </c>
      <c r="E803">
        <v>8.7125462856105802</v>
      </c>
      <c r="F803">
        <f t="shared" si="25"/>
        <v>0</v>
      </c>
      <c r="G803">
        <v>0</v>
      </c>
      <c r="H803">
        <v>0</v>
      </c>
      <c r="I803">
        <v>0</v>
      </c>
      <c r="J803">
        <v>0</v>
      </c>
      <c r="K803">
        <v>0</v>
      </c>
      <c r="L803">
        <v>0</v>
      </c>
      <c r="M803">
        <f t="shared" si="24"/>
        <v>0</v>
      </c>
      <c r="N803">
        <v>0</v>
      </c>
      <c r="O803">
        <v>0</v>
      </c>
      <c r="P803">
        <v>0</v>
      </c>
      <c r="Q803">
        <v>0</v>
      </c>
      <c r="R803">
        <v>0</v>
      </c>
      <c r="S803">
        <v>0</v>
      </c>
    </row>
    <row r="804" spans="1:19" x14ac:dyDescent="0.25">
      <c r="A804">
        <v>18067</v>
      </c>
      <c r="B804" t="s">
        <v>62</v>
      </c>
      <c r="C804">
        <v>10</v>
      </c>
      <c r="D804">
        <v>0</v>
      </c>
      <c r="E804">
        <v>7.3762661804555902</v>
      </c>
      <c r="F804">
        <f t="shared" si="25"/>
        <v>0</v>
      </c>
      <c r="G804">
        <v>0</v>
      </c>
      <c r="H804">
        <v>0</v>
      </c>
      <c r="I804">
        <v>0</v>
      </c>
      <c r="J804">
        <v>0</v>
      </c>
      <c r="K804">
        <v>0</v>
      </c>
      <c r="L804">
        <v>0</v>
      </c>
      <c r="M804">
        <f t="shared" si="24"/>
        <v>0</v>
      </c>
      <c r="N804">
        <v>0</v>
      </c>
      <c r="O804">
        <v>0</v>
      </c>
      <c r="P804">
        <v>0</v>
      </c>
      <c r="Q804">
        <v>0</v>
      </c>
      <c r="R804">
        <v>0</v>
      </c>
      <c r="S804">
        <v>0</v>
      </c>
    </row>
    <row r="805" spans="1:19" x14ac:dyDescent="0.25">
      <c r="A805">
        <v>18067</v>
      </c>
      <c r="B805" t="s">
        <v>62</v>
      </c>
      <c r="C805">
        <v>11</v>
      </c>
      <c r="D805">
        <v>0</v>
      </c>
      <c r="E805">
        <v>8.07113183513618</v>
      </c>
      <c r="F805">
        <f t="shared" si="25"/>
        <v>0</v>
      </c>
      <c r="G805">
        <v>0</v>
      </c>
      <c r="H805">
        <v>0</v>
      </c>
      <c r="I805">
        <v>0</v>
      </c>
      <c r="J805">
        <v>0</v>
      </c>
      <c r="K805">
        <v>0</v>
      </c>
      <c r="L805">
        <v>0</v>
      </c>
      <c r="M805">
        <f t="shared" si="24"/>
        <v>0</v>
      </c>
      <c r="N805">
        <v>0</v>
      </c>
      <c r="O805">
        <v>0</v>
      </c>
      <c r="P805">
        <v>0</v>
      </c>
      <c r="Q805">
        <v>0</v>
      </c>
      <c r="R805">
        <v>0</v>
      </c>
      <c r="S805">
        <v>0</v>
      </c>
    </row>
    <row r="806" spans="1:19" x14ac:dyDescent="0.25">
      <c r="A806">
        <v>18067</v>
      </c>
      <c r="B806" t="s">
        <v>62</v>
      </c>
      <c r="C806">
        <v>12</v>
      </c>
      <c r="D806">
        <v>0</v>
      </c>
      <c r="E806">
        <v>6.3606933005377897</v>
      </c>
      <c r="F806">
        <f t="shared" si="25"/>
        <v>0</v>
      </c>
      <c r="G806">
        <v>0</v>
      </c>
      <c r="H806">
        <v>0</v>
      </c>
      <c r="I806">
        <v>0</v>
      </c>
      <c r="J806">
        <v>0</v>
      </c>
      <c r="K806">
        <v>0</v>
      </c>
      <c r="L806">
        <v>0</v>
      </c>
      <c r="M806">
        <f t="shared" si="24"/>
        <v>0</v>
      </c>
      <c r="N806">
        <v>0</v>
      </c>
      <c r="O806">
        <v>0</v>
      </c>
      <c r="P806">
        <v>0</v>
      </c>
      <c r="Q806">
        <v>0</v>
      </c>
      <c r="R806">
        <v>0</v>
      </c>
      <c r="S806">
        <v>0</v>
      </c>
    </row>
    <row r="807" spans="1:19" x14ac:dyDescent="0.25">
      <c r="A807">
        <v>18067</v>
      </c>
      <c r="B807" t="s">
        <v>62</v>
      </c>
      <c r="C807">
        <v>13</v>
      </c>
      <c r="D807">
        <v>0</v>
      </c>
      <c r="E807">
        <v>3.79503549864019</v>
      </c>
      <c r="F807">
        <f t="shared" si="25"/>
        <v>0</v>
      </c>
      <c r="G807">
        <v>0</v>
      </c>
      <c r="H807">
        <v>0</v>
      </c>
      <c r="I807">
        <v>0</v>
      </c>
      <c r="J807">
        <v>0</v>
      </c>
      <c r="K807">
        <v>0</v>
      </c>
      <c r="L807">
        <v>0</v>
      </c>
      <c r="M807">
        <f t="shared" si="24"/>
        <v>0</v>
      </c>
      <c r="N807">
        <v>0</v>
      </c>
      <c r="O807">
        <v>0</v>
      </c>
      <c r="P807">
        <v>0</v>
      </c>
      <c r="Q807">
        <v>0</v>
      </c>
      <c r="R807">
        <v>0</v>
      </c>
      <c r="S807">
        <v>0</v>
      </c>
    </row>
    <row r="808" spans="1:19" x14ac:dyDescent="0.25">
      <c r="A808">
        <v>18067</v>
      </c>
      <c r="B808" t="s">
        <v>62</v>
      </c>
      <c r="C808">
        <v>14</v>
      </c>
      <c r="D808">
        <v>0</v>
      </c>
      <c r="E808">
        <v>2.9398162313409899</v>
      </c>
      <c r="F808">
        <f t="shared" si="25"/>
        <v>0</v>
      </c>
      <c r="G808">
        <v>0</v>
      </c>
      <c r="H808">
        <v>0</v>
      </c>
      <c r="I808">
        <v>0</v>
      </c>
      <c r="J808">
        <v>0</v>
      </c>
      <c r="K808">
        <v>0</v>
      </c>
      <c r="L808">
        <v>0</v>
      </c>
      <c r="M808">
        <f t="shared" si="24"/>
        <v>0</v>
      </c>
      <c r="N808">
        <v>0</v>
      </c>
      <c r="O808">
        <v>0</v>
      </c>
      <c r="P808">
        <v>0</v>
      </c>
      <c r="Q808">
        <v>0</v>
      </c>
      <c r="R808">
        <v>0</v>
      </c>
      <c r="S808">
        <v>0</v>
      </c>
    </row>
    <row r="809" spans="1:19" x14ac:dyDescent="0.25">
      <c r="A809">
        <v>18067</v>
      </c>
      <c r="B809" t="s">
        <v>62</v>
      </c>
      <c r="C809">
        <v>15</v>
      </c>
      <c r="D809">
        <v>0</v>
      </c>
      <c r="E809">
        <v>1.33628010515499</v>
      </c>
      <c r="F809">
        <f t="shared" si="25"/>
        <v>0</v>
      </c>
      <c r="G809">
        <v>0</v>
      </c>
      <c r="H809">
        <v>0</v>
      </c>
      <c r="I809">
        <v>0</v>
      </c>
      <c r="J809">
        <v>0</v>
      </c>
      <c r="K809">
        <v>0</v>
      </c>
      <c r="L809">
        <v>0</v>
      </c>
      <c r="M809">
        <f t="shared" si="24"/>
        <v>0</v>
      </c>
      <c r="N809">
        <v>0</v>
      </c>
      <c r="O809">
        <v>0</v>
      </c>
      <c r="P809">
        <v>0</v>
      </c>
      <c r="Q809">
        <v>0</v>
      </c>
      <c r="R809">
        <v>0</v>
      </c>
      <c r="S809">
        <v>0</v>
      </c>
    </row>
    <row r="810" spans="1:19" x14ac:dyDescent="0.25">
      <c r="A810">
        <v>18067</v>
      </c>
      <c r="B810" t="s">
        <v>62</v>
      </c>
      <c r="C810">
        <v>16</v>
      </c>
      <c r="D810">
        <v>0</v>
      </c>
      <c r="E810">
        <v>0.748316858886799</v>
      </c>
      <c r="F810">
        <f t="shared" si="25"/>
        <v>0</v>
      </c>
      <c r="G810">
        <v>0</v>
      </c>
      <c r="H810">
        <v>0</v>
      </c>
      <c r="I810">
        <v>0</v>
      </c>
      <c r="J810">
        <v>0</v>
      </c>
      <c r="K810">
        <v>0</v>
      </c>
      <c r="L810">
        <v>0</v>
      </c>
      <c r="M810">
        <f t="shared" si="24"/>
        <v>0</v>
      </c>
      <c r="N810">
        <v>0</v>
      </c>
      <c r="O810">
        <v>0</v>
      </c>
      <c r="P810">
        <v>0</v>
      </c>
      <c r="Q810">
        <v>0</v>
      </c>
      <c r="R810">
        <v>0</v>
      </c>
      <c r="S810">
        <v>0</v>
      </c>
    </row>
    <row r="811" spans="1:19" x14ac:dyDescent="0.25">
      <c r="A811">
        <v>18067</v>
      </c>
      <c r="B811" t="s">
        <v>62</v>
      </c>
      <c r="C811">
        <v>17</v>
      </c>
      <c r="D811">
        <v>0</v>
      </c>
      <c r="E811">
        <v>0.69486565468059902</v>
      </c>
      <c r="F811">
        <f t="shared" si="25"/>
        <v>0</v>
      </c>
      <c r="G811">
        <v>0</v>
      </c>
      <c r="H811">
        <v>0</v>
      </c>
      <c r="I811">
        <v>0</v>
      </c>
      <c r="J811">
        <v>0</v>
      </c>
      <c r="K811">
        <v>0</v>
      </c>
      <c r="L811">
        <v>0</v>
      </c>
      <c r="M811">
        <f t="shared" si="24"/>
        <v>0</v>
      </c>
      <c r="N811">
        <v>0</v>
      </c>
      <c r="O811">
        <v>0</v>
      </c>
      <c r="P811">
        <v>0</v>
      </c>
      <c r="Q811">
        <v>0</v>
      </c>
      <c r="R811">
        <v>0</v>
      </c>
      <c r="S811">
        <v>0</v>
      </c>
    </row>
    <row r="812" spans="1:19" x14ac:dyDescent="0.25">
      <c r="A812">
        <v>18067</v>
      </c>
      <c r="B812" t="s">
        <v>62</v>
      </c>
      <c r="C812">
        <v>18</v>
      </c>
      <c r="D812">
        <v>0</v>
      </c>
      <c r="E812">
        <v>0.85521926729919795</v>
      </c>
      <c r="F812">
        <f t="shared" si="25"/>
        <v>0</v>
      </c>
      <c r="G812">
        <v>0</v>
      </c>
      <c r="H812">
        <v>0</v>
      </c>
      <c r="I812">
        <v>0</v>
      </c>
      <c r="J812">
        <v>0</v>
      </c>
      <c r="K812">
        <v>0</v>
      </c>
      <c r="L812">
        <v>0</v>
      </c>
      <c r="M812">
        <f t="shared" si="24"/>
        <v>0</v>
      </c>
      <c r="N812">
        <v>0</v>
      </c>
      <c r="O812">
        <v>0</v>
      </c>
      <c r="P812">
        <v>0</v>
      </c>
      <c r="Q812">
        <v>0</v>
      </c>
      <c r="R812">
        <v>0</v>
      </c>
      <c r="S812">
        <v>0</v>
      </c>
    </row>
    <row r="813" spans="1:19" x14ac:dyDescent="0.25">
      <c r="A813">
        <v>18067</v>
      </c>
      <c r="B813" t="s">
        <v>62</v>
      </c>
      <c r="C813">
        <v>19</v>
      </c>
      <c r="D813">
        <v>0</v>
      </c>
      <c r="E813">
        <v>0.69486565468059902</v>
      </c>
      <c r="F813">
        <f t="shared" si="25"/>
        <v>0</v>
      </c>
      <c r="G813">
        <v>0</v>
      </c>
      <c r="H813">
        <v>0</v>
      </c>
      <c r="I813">
        <v>0</v>
      </c>
      <c r="J813">
        <v>0</v>
      </c>
      <c r="K813">
        <v>0</v>
      </c>
      <c r="L813">
        <v>0</v>
      </c>
      <c r="M813">
        <f t="shared" si="24"/>
        <v>0</v>
      </c>
      <c r="N813">
        <v>0</v>
      </c>
      <c r="O813">
        <v>0</v>
      </c>
      <c r="P813">
        <v>0</v>
      </c>
      <c r="Q813">
        <v>0</v>
      </c>
      <c r="R813">
        <v>0</v>
      </c>
      <c r="S813">
        <v>0</v>
      </c>
    </row>
    <row r="814" spans="1:19" x14ac:dyDescent="0.25">
      <c r="A814">
        <v>18067</v>
      </c>
      <c r="B814" t="s">
        <v>62</v>
      </c>
      <c r="C814">
        <v>20</v>
      </c>
      <c r="D814">
        <v>0</v>
      </c>
      <c r="E814">
        <v>0.64141445047439904</v>
      </c>
      <c r="F814">
        <f t="shared" si="25"/>
        <v>0</v>
      </c>
      <c r="G814">
        <v>0</v>
      </c>
      <c r="H814">
        <v>0</v>
      </c>
      <c r="I814">
        <v>0</v>
      </c>
      <c r="J814">
        <v>0</v>
      </c>
      <c r="K814">
        <v>0</v>
      </c>
      <c r="L814">
        <v>0</v>
      </c>
      <c r="M814">
        <f t="shared" si="24"/>
        <v>0</v>
      </c>
      <c r="N814">
        <v>0</v>
      </c>
      <c r="O814">
        <v>0</v>
      </c>
      <c r="P814">
        <v>0</v>
      </c>
      <c r="Q814">
        <v>0</v>
      </c>
      <c r="R814">
        <v>0</v>
      </c>
      <c r="S814">
        <v>0</v>
      </c>
    </row>
    <row r="815" spans="1:19" x14ac:dyDescent="0.25">
      <c r="A815">
        <v>18067</v>
      </c>
      <c r="B815" t="s">
        <v>62</v>
      </c>
      <c r="C815">
        <v>21</v>
      </c>
      <c r="D815">
        <v>0</v>
      </c>
      <c r="E815">
        <v>0.80176806309299797</v>
      </c>
      <c r="F815">
        <f t="shared" si="25"/>
        <v>0</v>
      </c>
      <c r="G815">
        <v>0</v>
      </c>
      <c r="H815">
        <v>0</v>
      </c>
      <c r="I815">
        <v>0</v>
      </c>
      <c r="J815">
        <v>0</v>
      </c>
      <c r="K815">
        <v>0</v>
      </c>
      <c r="L815">
        <v>0</v>
      </c>
      <c r="M815">
        <f t="shared" si="24"/>
        <v>0</v>
      </c>
      <c r="N815">
        <v>0</v>
      </c>
      <c r="O815">
        <v>0</v>
      </c>
      <c r="P815">
        <v>0</v>
      </c>
      <c r="Q815">
        <v>0</v>
      </c>
      <c r="R815">
        <v>0</v>
      </c>
      <c r="S815">
        <v>0</v>
      </c>
    </row>
    <row r="816" spans="1:19" x14ac:dyDescent="0.25">
      <c r="A816">
        <v>18067</v>
      </c>
      <c r="B816" t="s">
        <v>62</v>
      </c>
      <c r="C816">
        <v>22</v>
      </c>
      <c r="D816">
        <v>0</v>
      </c>
      <c r="E816">
        <v>1.0155728799177901</v>
      </c>
      <c r="F816">
        <f t="shared" si="25"/>
        <v>0</v>
      </c>
      <c r="G816">
        <v>0</v>
      </c>
      <c r="H816">
        <v>0</v>
      </c>
      <c r="I816">
        <v>0</v>
      </c>
      <c r="J816">
        <v>0</v>
      </c>
      <c r="K816">
        <v>0</v>
      </c>
      <c r="L816">
        <v>0</v>
      </c>
      <c r="M816">
        <f t="shared" si="24"/>
        <v>0</v>
      </c>
      <c r="N816">
        <v>0</v>
      </c>
      <c r="O816">
        <v>0</v>
      </c>
      <c r="P816">
        <v>0</v>
      </c>
      <c r="Q816">
        <v>0</v>
      </c>
      <c r="R816">
        <v>0</v>
      </c>
      <c r="S816">
        <v>0</v>
      </c>
    </row>
    <row r="817" spans="1:19" x14ac:dyDescent="0.25">
      <c r="A817">
        <v>18067</v>
      </c>
      <c r="B817" t="s">
        <v>62</v>
      </c>
      <c r="C817">
        <v>23</v>
      </c>
      <c r="D817">
        <v>0</v>
      </c>
      <c r="E817">
        <v>0.90867047150539804</v>
      </c>
      <c r="F817">
        <f t="shared" si="25"/>
        <v>0</v>
      </c>
      <c r="G817">
        <v>0</v>
      </c>
      <c r="H817">
        <v>0</v>
      </c>
      <c r="I817">
        <v>0</v>
      </c>
      <c r="J817">
        <v>0</v>
      </c>
      <c r="K817">
        <v>0</v>
      </c>
      <c r="L817">
        <v>0</v>
      </c>
      <c r="M817">
        <f t="shared" si="24"/>
        <v>0</v>
      </c>
      <c r="N817">
        <v>0</v>
      </c>
      <c r="O817">
        <v>0</v>
      </c>
      <c r="P817">
        <v>0</v>
      </c>
      <c r="Q817">
        <v>0</v>
      </c>
      <c r="R817">
        <v>0</v>
      </c>
      <c r="S817">
        <v>0</v>
      </c>
    </row>
    <row r="818" spans="1:19" x14ac:dyDescent="0.25">
      <c r="A818">
        <v>18069</v>
      </c>
      <c r="B818" t="s">
        <v>63</v>
      </c>
      <c r="C818">
        <v>0</v>
      </c>
      <c r="D818">
        <v>33.208010271671903</v>
      </c>
      <c r="E818">
        <v>5.3737768559779102</v>
      </c>
      <c r="F818">
        <f t="shared" si="25"/>
        <v>3</v>
      </c>
      <c r="G818">
        <v>1</v>
      </c>
      <c r="H818">
        <v>0</v>
      </c>
      <c r="I818">
        <v>1</v>
      </c>
      <c r="J818">
        <v>0</v>
      </c>
      <c r="K818">
        <v>0</v>
      </c>
      <c r="L818">
        <v>1</v>
      </c>
      <c r="M818">
        <f t="shared" si="24"/>
        <v>120</v>
      </c>
      <c r="N818">
        <v>100</v>
      </c>
      <c r="O818">
        <v>0</v>
      </c>
      <c r="P818">
        <v>10</v>
      </c>
      <c r="Q818">
        <v>0</v>
      </c>
      <c r="R818">
        <v>0</v>
      </c>
      <c r="S818">
        <v>10</v>
      </c>
    </row>
    <row r="819" spans="1:19" x14ac:dyDescent="0.25">
      <c r="A819">
        <v>18069</v>
      </c>
      <c r="B819" t="s">
        <v>63</v>
      </c>
      <c r="C819">
        <v>1</v>
      </c>
      <c r="D819">
        <v>33.6263282305205</v>
      </c>
      <c r="E819">
        <v>4.92328059260252</v>
      </c>
      <c r="F819">
        <f t="shared" si="25"/>
        <v>3</v>
      </c>
      <c r="G819">
        <v>1</v>
      </c>
      <c r="H819">
        <v>0</v>
      </c>
      <c r="I819">
        <v>1</v>
      </c>
      <c r="J819">
        <v>0</v>
      </c>
      <c r="K819">
        <v>0</v>
      </c>
      <c r="L819">
        <v>1</v>
      </c>
      <c r="M819">
        <f t="shared" si="24"/>
        <v>120</v>
      </c>
      <c r="N819">
        <v>100</v>
      </c>
      <c r="O819">
        <v>0</v>
      </c>
      <c r="P819">
        <v>10</v>
      </c>
      <c r="Q819">
        <v>0</v>
      </c>
      <c r="R819">
        <v>0</v>
      </c>
      <c r="S819">
        <v>10</v>
      </c>
    </row>
    <row r="820" spans="1:19" x14ac:dyDescent="0.25">
      <c r="A820">
        <v>18069</v>
      </c>
      <c r="B820" t="s">
        <v>63</v>
      </c>
      <c r="C820">
        <v>2</v>
      </c>
      <c r="D820">
        <v>34.430785843690799</v>
      </c>
      <c r="E820">
        <v>3.8292182386908502</v>
      </c>
      <c r="F820">
        <f t="shared" si="25"/>
        <v>3</v>
      </c>
      <c r="G820">
        <v>1</v>
      </c>
      <c r="H820">
        <v>0</v>
      </c>
      <c r="I820">
        <v>1</v>
      </c>
      <c r="J820">
        <v>0</v>
      </c>
      <c r="K820">
        <v>0</v>
      </c>
      <c r="L820">
        <v>1</v>
      </c>
      <c r="M820">
        <f t="shared" si="24"/>
        <v>120</v>
      </c>
      <c r="N820">
        <v>100</v>
      </c>
      <c r="O820">
        <v>0</v>
      </c>
      <c r="P820">
        <v>10</v>
      </c>
      <c r="Q820">
        <v>0</v>
      </c>
      <c r="R820">
        <v>0</v>
      </c>
      <c r="S820">
        <v>10</v>
      </c>
    </row>
    <row r="821" spans="1:19" x14ac:dyDescent="0.25">
      <c r="A821">
        <v>18069</v>
      </c>
      <c r="B821" t="s">
        <v>63</v>
      </c>
      <c r="C821">
        <v>3</v>
      </c>
      <c r="D821">
        <v>34.237716016529902</v>
      </c>
      <c r="E821">
        <v>4.2797145020662404</v>
      </c>
      <c r="F821">
        <f t="shared" si="25"/>
        <v>3</v>
      </c>
      <c r="G821">
        <v>1</v>
      </c>
      <c r="H821">
        <v>0</v>
      </c>
      <c r="I821">
        <v>1</v>
      </c>
      <c r="J821">
        <v>0</v>
      </c>
      <c r="K821">
        <v>0</v>
      </c>
      <c r="L821">
        <v>1</v>
      </c>
      <c r="M821">
        <f t="shared" si="24"/>
        <v>120</v>
      </c>
      <c r="N821">
        <v>100</v>
      </c>
      <c r="O821">
        <v>0</v>
      </c>
      <c r="P821">
        <v>10</v>
      </c>
      <c r="Q821">
        <v>0</v>
      </c>
      <c r="R821">
        <v>0</v>
      </c>
      <c r="S821">
        <v>10</v>
      </c>
    </row>
    <row r="822" spans="1:19" x14ac:dyDescent="0.25">
      <c r="A822">
        <v>18069</v>
      </c>
      <c r="B822" t="s">
        <v>63</v>
      </c>
      <c r="C822">
        <v>4</v>
      </c>
      <c r="D822">
        <v>34.109002798422701</v>
      </c>
      <c r="E822">
        <v>4.5049626337539399</v>
      </c>
      <c r="F822">
        <f t="shared" si="25"/>
        <v>3</v>
      </c>
      <c r="G822">
        <v>1</v>
      </c>
      <c r="H822">
        <v>0</v>
      </c>
      <c r="I822">
        <v>1</v>
      </c>
      <c r="J822">
        <v>0</v>
      </c>
      <c r="K822">
        <v>0</v>
      </c>
      <c r="L822">
        <v>1</v>
      </c>
      <c r="M822">
        <f t="shared" si="24"/>
        <v>120</v>
      </c>
      <c r="N822">
        <v>100</v>
      </c>
      <c r="O822">
        <v>0</v>
      </c>
      <c r="P822">
        <v>10</v>
      </c>
      <c r="Q822">
        <v>0</v>
      </c>
      <c r="R822">
        <v>0</v>
      </c>
      <c r="S822">
        <v>10</v>
      </c>
    </row>
    <row r="823" spans="1:19" x14ac:dyDescent="0.25">
      <c r="A823">
        <v>18069</v>
      </c>
      <c r="B823" t="s">
        <v>63</v>
      </c>
      <c r="C823">
        <v>5</v>
      </c>
      <c r="D823">
        <v>33.111475358091397</v>
      </c>
      <c r="E823">
        <v>5.6955599012460496</v>
      </c>
      <c r="F823">
        <f t="shared" si="25"/>
        <v>3</v>
      </c>
      <c r="G823">
        <v>1</v>
      </c>
      <c r="H823">
        <v>0</v>
      </c>
      <c r="I823">
        <v>1</v>
      </c>
      <c r="J823">
        <v>0</v>
      </c>
      <c r="K823">
        <v>0</v>
      </c>
      <c r="L823">
        <v>1</v>
      </c>
      <c r="M823">
        <f t="shared" si="24"/>
        <v>120</v>
      </c>
      <c r="N823">
        <v>100</v>
      </c>
      <c r="O823">
        <v>0</v>
      </c>
      <c r="P823">
        <v>10</v>
      </c>
      <c r="Q823">
        <v>0</v>
      </c>
      <c r="R823">
        <v>0</v>
      </c>
      <c r="S823">
        <v>10</v>
      </c>
    </row>
    <row r="824" spans="1:19" x14ac:dyDescent="0.25">
      <c r="A824">
        <v>18069</v>
      </c>
      <c r="B824" t="s">
        <v>63</v>
      </c>
      <c r="C824">
        <v>6</v>
      </c>
      <c r="D824">
        <v>31.856521481545698</v>
      </c>
      <c r="E824">
        <v>6.5643741234700297</v>
      </c>
      <c r="F824">
        <f t="shared" si="25"/>
        <v>3</v>
      </c>
      <c r="G824">
        <v>1</v>
      </c>
      <c r="H824">
        <v>0</v>
      </c>
      <c r="I824">
        <v>1</v>
      </c>
      <c r="J824">
        <v>0</v>
      </c>
      <c r="K824">
        <v>0</v>
      </c>
      <c r="L824">
        <v>1</v>
      </c>
      <c r="M824">
        <f t="shared" si="24"/>
        <v>120</v>
      </c>
      <c r="N824">
        <v>100</v>
      </c>
      <c r="O824">
        <v>0</v>
      </c>
      <c r="P824">
        <v>10</v>
      </c>
      <c r="Q824">
        <v>0</v>
      </c>
      <c r="R824">
        <v>0</v>
      </c>
      <c r="S824">
        <v>10</v>
      </c>
    </row>
    <row r="825" spans="1:19" x14ac:dyDescent="0.25">
      <c r="A825">
        <v>18069</v>
      </c>
      <c r="B825" t="s">
        <v>63</v>
      </c>
      <c r="C825">
        <v>7</v>
      </c>
      <c r="D825">
        <v>27.3515588477918</v>
      </c>
      <c r="E825">
        <v>5.3094202469242902</v>
      </c>
      <c r="F825">
        <f t="shared" si="25"/>
        <v>3</v>
      </c>
      <c r="G825">
        <v>1</v>
      </c>
      <c r="H825">
        <v>0</v>
      </c>
      <c r="I825">
        <v>1</v>
      </c>
      <c r="J825">
        <v>0</v>
      </c>
      <c r="K825">
        <v>0</v>
      </c>
      <c r="L825">
        <v>1</v>
      </c>
      <c r="M825">
        <f t="shared" si="24"/>
        <v>120</v>
      </c>
      <c r="N825">
        <v>100</v>
      </c>
      <c r="O825">
        <v>0</v>
      </c>
      <c r="P825">
        <v>10</v>
      </c>
      <c r="Q825">
        <v>0</v>
      </c>
      <c r="R825">
        <v>0</v>
      </c>
      <c r="S825">
        <v>10</v>
      </c>
    </row>
    <row r="826" spans="1:19" x14ac:dyDescent="0.25">
      <c r="A826">
        <v>18069</v>
      </c>
      <c r="B826" t="s">
        <v>63</v>
      </c>
      <c r="C826">
        <v>8</v>
      </c>
      <c r="D826">
        <v>18.663416625551999</v>
      </c>
      <c r="E826">
        <v>6.0816995555678197</v>
      </c>
      <c r="F826">
        <f t="shared" si="25"/>
        <v>3</v>
      </c>
      <c r="G826">
        <v>1</v>
      </c>
      <c r="H826">
        <v>0</v>
      </c>
      <c r="I826">
        <v>1</v>
      </c>
      <c r="J826">
        <v>0</v>
      </c>
      <c r="K826">
        <v>0</v>
      </c>
      <c r="L826">
        <v>1</v>
      </c>
      <c r="M826">
        <f t="shared" si="24"/>
        <v>120</v>
      </c>
      <c r="N826">
        <v>100</v>
      </c>
      <c r="O826">
        <v>0</v>
      </c>
      <c r="P826">
        <v>10</v>
      </c>
      <c r="Q826">
        <v>0</v>
      </c>
      <c r="R826">
        <v>0</v>
      </c>
      <c r="S826">
        <v>10</v>
      </c>
    </row>
    <row r="827" spans="1:19" x14ac:dyDescent="0.25">
      <c r="A827">
        <v>18069</v>
      </c>
      <c r="B827" t="s">
        <v>63</v>
      </c>
      <c r="C827">
        <v>9</v>
      </c>
      <c r="D827">
        <v>16.024795654353301</v>
      </c>
      <c r="E827">
        <v>4.7945673744952604</v>
      </c>
      <c r="F827">
        <f t="shared" si="25"/>
        <v>3</v>
      </c>
      <c r="G827">
        <v>1</v>
      </c>
      <c r="H827">
        <v>0</v>
      </c>
      <c r="I827">
        <v>1</v>
      </c>
      <c r="J827">
        <v>0</v>
      </c>
      <c r="K827">
        <v>0</v>
      </c>
      <c r="L827">
        <v>1</v>
      </c>
      <c r="M827">
        <f t="shared" si="24"/>
        <v>120</v>
      </c>
      <c r="N827">
        <v>100</v>
      </c>
      <c r="O827">
        <v>0</v>
      </c>
      <c r="P827">
        <v>10</v>
      </c>
      <c r="Q827">
        <v>0</v>
      </c>
      <c r="R827">
        <v>0</v>
      </c>
      <c r="S827">
        <v>10</v>
      </c>
    </row>
    <row r="828" spans="1:19" x14ac:dyDescent="0.25">
      <c r="A828">
        <v>18069</v>
      </c>
      <c r="B828" t="s">
        <v>63</v>
      </c>
      <c r="C828">
        <v>10</v>
      </c>
      <c r="D828">
        <v>14.8985549959148</v>
      </c>
      <c r="E828">
        <v>4.05446637037854</v>
      </c>
      <c r="F828">
        <f t="shared" si="25"/>
        <v>3</v>
      </c>
      <c r="G828">
        <v>1</v>
      </c>
      <c r="H828">
        <v>0</v>
      </c>
      <c r="I828">
        <v>1</v>
      </c>
      <c r="J828">
        <v>0</v>
      </c>
      <c r="K828">
        <v>0</v>
      </c>
      <c r="L828">
        <v>1</v>
      </c>
      <c r="M828">
        <f t="shared" si="24"/>
        <v>120</v>
      </c>
      <c r="N828">
        <v>100</v>
      </c>
      <c r="O828">
        <v>0</v>
      </c>
      <c r="P828">
        <v>10</v>
      </c>
      <c r="Q828">
        <v>0</v>
      </c>
      <c r="R828">
        <v>0</v>
      </c>
      <c r="S828">
        <v>10</v>
      </c>
    </row>
    <row r="829" spans="1:19" x14ac:dyDescent="0.25">
      <c r="A829">
        <v>18069</v>
      </c>
      <c r="B829" t="s">
        <v>63</v>
      </c>
      <c r="C829">
        <v>11</v>
      </c>
      <c r="D829">
        <v>13.7079577284227</v>
      </c>
      <c r="E829">
        <v>3.5717918024763402</v>
      </c>
      <c r="F829">
        <f t="shared" si="25"/>
        <v>3</v>
      </c>
      <c r="G829">
        <v>1</v>
      </c>
      <c r="H829">
        <v>0</v>
      </c>
      <c r="I829">
        <v>1</v>
      </c>
      <c r="J829">
        <v>0</v>
      </c>
      <c r="K829">
        <v>0</v>
      </c>
      <c r="L829">
        <v>1</v>
      </c>
      <c r="M829">
        <f t="shared" si="24"/>
        <v>120</v>
      </c>
      <c r="N829">
        <v>100</v>
      </c>
      <c r="O829">
        <v>0</v>
      </c>
      <c r="P829">
        <v>10</v>
      </c>
      <c r="Q829">
        <v>0</v>
      </c>
      <c r="R829">
        <v>0</v>
      </c>
      <c r="S829">
        <v>10</v>
      </c>
    </row>
    <row r="830" spans="1:19" x14ac:dyDescent="0.25">
      <c r="A830">
        <v>18069</v>
      </c>
      <c r="B830" t="s">
        <v>63</v>
      </c>
      <c r="C830">
        <v>12</v>
      </c>
      <c r="D830">
        <v>12.9356784197791</v>
      </c>
      <c r="E830">
        <v>2.6386209711987298</v>
      </c>
      <c r="F830">
        <f t="shared" si="25"/>
        <v>3</v>
      </c>
      <c r="G830">
        <v>1</v>
      </c>
      <c r="H830">
        <v>0</v>
      </c>
      <c r="I830">
        <v>1</v>
      </c>
      <c r="J830">
        <v>0</v>
      </c>
      <c r="K830">
        <v>0</v>
      </c>
      <c r="L830">
        <v>1</v>
      </c>
      <c r="M830">
        <f t="shared" si="24"/>
        <v>120</v>
      </c>
      <c r="N830">
        <v>100</v>
      </c>
      <c r="O830">
        <v>0</v>
      </c>
      <c r="P830">
        <v>10</v>
      </c>
      <c r="Q830">
        <v>0</v>
      </c>
      <c r="R830">
        <v>0</v>
      </c>
      <c r="S830">
        <v>10</v>
      </c>
    </row>
    <row r="831" spans="1:19" x14ac:dyDescent="0.25">
      <c r="A831">
        <v>18069</v>
      </c>
      <c r="B831" t="s">
        <v>63</v>
      </c>
      <c r="C831">
        <v>13</v>
      </c>
      <c r="D831">
        <v>12.3564689382965</v>
      </c>
      <c r="E831">
        <v>1.9628765761356399</v>
      </c>
      <c r="F831">
        <f t="shared" si="25"/>
        <v>3</v>
      </c>
      <c r="G831">
        <v>1</v>
      </c>
      <c r="H831">
        <v>0</v>
      </c>
      <c r="I831">
        <v>1</v>
      </c>
      <c r="J831">
        <v>0</v>
      </c>
      <c r="K831">
        <v>0</v>
      </c>
      <c r="L831">
        <v>1</v>
      </c>
      <c r="M831">
        <f t="shared" si="24"/>
        <v>120</v>
      </c>
      <c r="N831">
        <v>100</v>
      </c>
      <c r="O831">
        <v>0</v>
      </c>
      <c r="P831">
        <v>10</v>
      </c>
      <c r="Q831">
        <v>0</v>
      </c>
      <c r="R831">
        <v>0</v>
      </c>
      <c r="S831">
        <v>10</v>
      </c>
    </row>
    <row r="832" spans="1:19" x14ac:dyDescent="0.25">
      <c r="A832">
        <v>18069</v>
      </c>
      <c r="B832" t="s">
        <v>63</v>
      </c>
      <c r="C832">
        <v>14</v>
      </c>
      <c r="D832">
        <v>12.1312208066088</v>
      </c>
      <c r="E832">
        <v>1.51238031276025</v>
      </c>
      <c r="F832">
        <f t="shared" si="25"/>
        <v>3</v>
      </c>
      <c r="G832">
        <v>1</v>
      </c>
      <c r="H832">
        <v>0</v>
      </c>
      <c r="I832">
        <v>1</v>
      </c>
      <c r="J832">
        <v>0</v>
      </c>
      <c r="K832">
        <v>0</v>
      </c>
      <c r="L832">
        <v>1</v>
      </c>
      <c r="M832">
        <f t="shared" si="24"/>
        <v>120</v>
      </c>
      <c r="N832">
        <v>100</v>
      </c>
      <c r="O832">
        <v>0</v>
      </c>
      <c r="P832">
        <v>10</v>
      </c>
      <c r="Q832">
        <v>0</v>
      </c>
      <c r="R832">
        <v>0</v>
      </c>
      <c r="S832">
        <v>10</v>
      </c>
    </row>
    <row r="833" spans="1:19" x14ac:dyDescent="0.25">
      <c r="A833">
        <v>18069</v>
      </c>
      <c r="B833" t="s">
        <v>63</v>
      </c>
      <c r="C833">
        <v>15</v>
      </c>
      <c r="D833">
        <v>11.8416160658675</v>
      </c>
      <c r="E833">
        <v>2.05941148971608</v>
      </c>
      <c r="F833">
        <f t="shared" si="25"/>
        <v>3</v>
      </c>
      <c r="G833">
        <v>1</v>
      </c>
      <c r="H833">
        <v>0</v>
      </c>
      <c r="I833">
        <v>1</v>
      </c>
      <c r="J833">
        <v>0</v>
      </c>
      <c r="K833">
        <v>0</v>
      </c>
      <c r="L833">
        <v>1</v>
      </c>
      <c r="M833">
        <f t="shared" si="24"/>
        <v>120</v>
      </c>
      <c r="N833">
        <v>100</v>
      </c>
      <c r="O833">
        <v>0</v>
      </c>
      <c r="P833">
        <v>10</v>
      </c>
      <c r="Q833">
        <v>0</v>
      </c>
      <c r="R833">
        <v>0</v>
      </c>
      <c r="S833">
        <v>10</v>
      </c>
    </row>
    <row r="834" spans="1:19" x14ac:dyDescent="0.25">
      <c r="A834">
        <v>18069</v>
      </c>
      <c r="B834" t="s">
        <v>63</v>
      </c>
      <c r="C834">
        <v>16</v>
      </c>
      <c r="D834">
        <v>12.4208255473501</v>
      </c>
      <c r="E834">
        <v>3.31436536626182</v>
      </c>
      <c r="F834">
        <f t="shared" si="25"/>
        <v>3</v>
      </c>
      <c r="G834">
        <v>1</v>
      </c>
      <c r="H834">
        <v>0</v>
      </c>
      <c r="I834">
        <v>1</v>
      </c>
      <c r="J834">
        <v>0</v>
      </c>
      <c r="K834">
        <v>0</v>
      </c>
      <c r="L834">
        <v>1</v>
      </c>
      <c r="M834">
        <f t="shared" ref="M834:M897" si="26">SUM(N834:S834)</f>
        <v>120</v>
      </c>
      <c r="N834">
        <v>100</v>
      </c>
      <c r="O834">
        <v>0</v>
      </c>
      <c r="P834">
        <v>10</v>
      </c>
      <c r="Q834">
        <v>0</v>
      </c>
      <c r="R834">
        <v>0</v>
      </c>
      <c r="S834">
        <v>10</v>
      </c>
    </row>
    <row r="835" spans="1:19" x14ac:dyDescent="0.25">
      <c r="A835">
        <v>18069</v>
      </c>
      <c r="B835" t="s">
        <v>63</v>
      </c>
      <c r="C835">
        <v>17</v>
      </c>
      <c r="D835">
        <v>16.443113613201799</v>
      </c>
      <c r="E835">
        <v>2.76733418930599</v>
      </c>
      <c r="F835">
        <f t="shared" ref="F835:F898" si="27">SUM(G835:L835)</f>
        <v>3</v>
      </c>
      <c r="G835">
        <v>1</v>
      </c>
      <c r="H835">
        <v>0</v>
      </c>
      <c r="I835">
        <v>1</v>
      </c>
      <c r="J835">
        <v>0</v>
      </c>
      <c r="K835">
        <v>0</v>
      </c>
      <c r="L835">
        <v>1</v>
      </c>
      <c r="M835">
        <f t="shared" si="26"/>
        <v>120</v>
      </c>
      <c r="N835">
        <v>100</v>
      </c>
      <c r="O835">
        <v>0</v>
      </c>
      <c r="P835">
        <v>10</v>
      </c>
      <c r="Q835">
        <v>0</v>
      </c>
      <c r="R835">
        <v>0</v>
      </c>
      <c r="S835">
        <v>10</v>
      </c>
    </row>
    <row r="836" spans="1:19" x14ac:dyDescent="0.25">
      <c r="A836">
        <v>18069</v>
      </c>
      <c r="B836" t="s">
        <v>63</v>
      </c>
      <c r="C836">
        <v>18</v>
      </c>
      <c r="D836">
        <v>18.985199670820101</v>
      </c>
      <c r="E836">
        <v>1.8985199670820101</v>
      </c>
      <c r="F836">
        <f t="shared" si="27"/>
        <v>3</v>
      </c>
      <c r="G836">
        <v>1</v>
      </c>
      <c r="H836">
        <v>0</v>
      </c>
      <c r="I836">
        <v>1</v>
      </c>
      <c r="J836">
        <v>0</v>
      </c>
      <c r="K836">
        <v>0</v>
      </c>
      <c r="L836">
        <v>1</v>
      </c>
      <c r="M836">
        <f t="shared" si="26"/>
        <v>120</v>
      </c>
      <c r="N836">
        <v>100</v>
      </c>
      <c r="O836">
        <v>0</v>
      </c>
      <c r="P836">
        <v>10</v>
      </c>
      <c r="Q836">
        <v>0</v>
      </c>
      <c r="R836">
        <v>0</v>
      </c>
      <c r="S836">
        <v>10</v>
      </c>
    </row>
    <row r="837" spans="1:19" x14ac:dyDescent="0.25">
      <c r="A837">
        <v>18069</v>
      </c>
      <c r="B837" t="s">
        <v>63</v>
      </c>
      <c r="C837">
        <v>19</v>
      </c>
      <c r="D837">
        <v>23.490162304574099</v>
      </c>
      <c r="E837">
        <v>1.80198505350157</v>
      </c>
      <c r="F837">
        <f t="shared" si="27"/>
        <v>3</v>
      </c>
      <c r="G837">
        <v>1</v>
      </c>
      <c r="H837">
        <v>0</v>
      </c>
      <c r="I837">
        <v>1</v>
      </c>
      <c r="J837">
        <v>0</v>
      </c>
      <c r="K837">
        <v>0</v>
      </c>
      <c r="L837">
        <v>1</v>
      </c>
      <c r="M837">
        <f t="shared" si="26"/>
        <v>120</v>
      </c>
      <c r="N837">
        <v>100</v>
      </c>
      <c r="O837">
        <v>0</v>
      </c>
      <c r="P837">
        <v>10</v>
      </c>
      <c r="Q837">
        <v>0</v>
      </c>
      <c r="R837">
        <v>0</v>
      </c>
      <c r="S837">
        <v>10</v>
      </c>
    </row>
    <row r="838" spans="1:19" x14ac:dyDescent="0.25">
      <c r="A838">
        <v>18069</v>
      </c>
      <c r="B838" t="s">
        <v>63</v>
      </c>
      <c r="C838">
        <v>20</v>
      </c>
      <c r="D838">
        <v>26.804527670835899</v>
      </c>
      <c r="E838">
        <v>1.6410935308675001</v>
      </c>
      <c r="F838">
        <f t="shared" si="27"/>
        <v>3</v>
      </c>
      <c r="G838">
        <v>1</v>
      </c>
      <c r="H838">
        <v>0</v>
      </c>
      <c r="I838">
        <v>1</v>
      </c>
      <c r="J838">
        <v>0</v>
      </c>
      <c r="K838">
        <v>0</v>
      </c>
      <c r="L838">
        <v>1</v>
      </c>
      <c r="M838">
        <f t="shared" si="26"/>
        <v>120</v>
      </c>
      <c r="N838">
        <v>100</v>
      </c>
      <c r="O838">
        <v>0</v>
      </c>
      <c r="P838">
        <v>10</v>
      </c>
      <c r="Q838">
        <v>0</v>
      </c>
      <c r="R838">
        <v>0</v>
      </c>
      <c r="S838">
        <v>10</v>
      </c>
    </row>
    <row r="839" spans="1:19" x14ac:dyDescent="0.25">
      <c r="A839">
        <v>18069</v>
      </c>
      <c r="B839" t="s">
        <v>63</v>
      </c>
      <c r="C839">
        <v>21</v>
      </c>
      <c r="D839">
        <v>29.571861860141901</v>
      </c>
      <c r="E839">
        <v>1.80198505350157</v>
      </c>
      <c r="F839">
        <f t="shared" si="27"/>
        <v>3</v>
      </c>
      <c r="G839">
        <v>1</v>
      </c>
      <c r="H839">
        <v>0</v>
      </c>
      <c r="I839">
        <v>1</v>
      </c>
      <c r="J839">
        <v>0</v>
      </c>
      <c r="K839">
        <v>0</v>
      </c>
      <c r="L839">
        <v>1</v>
      </c>
      <c r="M839">
        <f t="shared" si="26"/>
        <v>120</v>
      </c>
      <c r="N839">
        <v>100</v>
      </c>
      <c r="O839">
        <v>0</v>
      </c>
      <c r="P839">
        <v>10</v>
      </c>
      <c r="Q839">
        <v>0</v>
      </c>
      <c r="R839">
        <v>0</v>
      </c>
      <c r="S839">
        <v>10</v>
      </c>
    </row>
    <row r="840" spans="1:19" x14ac:dyDescent="0.25">
      <c r="A840">
        <v>18069</v>
      </c>
      <c r="B840" t="s">
        <v>63</v>
      </c>
      <c r="C840">
        <v>22</v>
      </c>
      <c r="D840">
        <v>31.2451336955362</v>
      </c>
      <c r="E840">
        <v>2.28465962140378</v>
      </c>
      <c r="F840">
        <f t="shared" si="27"/>
        <v>3</v>
      </c>
      <c r="G840">
        <v>1</v>
      </c>
      <c r="H840">
        <v>0</v>
      </c>
      <c r="I840">
        <v>1</v>
      </c>
      <c r="J840">
        <v>0</v>
      </c>
      <c r="K840">
        <v>0</v>
      </c>
      <c r="L840">
        <v>1</v>
      </c>
      <c r="M840">
        <f t="shared" si="26"/>
        <v>120</v>
      </c>
      <c r="N840">
        <v>100</v>
      </c>
      <c r="O840">
        <v>0</v>
      </c>
      <c r="P840">
        <v>10</v>
      </c>
      <c r="Q840">
        <v>0</v>
      </c>
      <c r="R840">
        <v>0</v>
      </c>
      <c r="S840">
        <v>10</v>
      </c>
    </row>
    <row r="841" spans="1:19" x14ac:dyDescent="0.25">
      <c r="A841">
        <v>18069</v>
      </c>
      <c r="B841" t="s">
        <v>63</v>
      </c>
      <c r="C841">
        <v>23</v>
      </c>
      <c r="D841">
        <v>31.8886997860725</v>
      </c>
      <c r="E841">
        <v>2.54208605761829</v>
      </c>
      <c r="F841">
        <f t="shared" si="27"/>
        <v>3</v>
      </c>
      <c r="G841">
        <v>1</v>
      </c>
      <c r="H841">
        <v>0</v>
      </c>
      <c r="I841">
        <v>1</v>
      </c>
      <c r="J841">
        <v>0</v>
      </c>
      <c r="K841">
        <v>0</v>
      </c>
      <c r="L841">
        <v>1</v>
      </c>
      <c r="M841">
        <f t="shared" si="26"/>
        <v>120</v>
      </c>
      <c r="N841">
        <v>100</v>
      </c>
      <c r="O841">
        <v>0</v>
      </c>
      <c r="P841">
        <v>10</v>
      </c>
      <c r="Q841">
        <v>0</v>
      </c>
      <c r="R841">
        <v>0</v>
      </c>
      <c r="S841">
        <v>10</v>
      </c>
    </row>
    <row r="842" spans="1:19" x14ac:dyDescent="0.25">
      <c r="A842">
        <v>18071</v>
      </c>
      <c r="B842" t="s">
        <v>64</v>
      </c>
      <c r="C842">
        <v>0</v>
      </c>
      <c r="D842">
        <v>186.097896039603</v>
      </c>
      <c r="E842">
        <v>9.5842821782178191</v>
      </c>
      <c r="F842">
        <f t="shared" si="27"/>
        <v>2</v>
      </c>
      <c r="G842">
        <v>1</v>
      </c>
      <c r="H842">
        <v>0</v>
      </c>
      <c r="I842">
        <v>0</v>
      </c>
      <c r="J842">
        <v>0</v>
      </c>
      <c r="K842">
        <v>0</v>
      </c>
      <c r="L842">
        <v>1</v>
      </c>
      <c r="M842">
        <f t="shared" si="26"/>
        <v>169</v>
      </c>
      <c r="N842">
        <v>160</v>
      </c>
      <c r="O842">
        <v>0</v>
      </c>
      <c r="P842">
        <v>0</v>
      </c>
      <c r="Q842">
        <v>0</v>
      </c>
      <c r="R842">
        <v>0</v>
      </c>
      <c r="S842">
        <v>9</v>
      </c>
    </row>
    <row r="843" spans="1:19" x14ac:dyDescent="0.25">
      <c r="A843">
        <v>18071</v>
      </c>
      <c r="B843" t="s">
        <v>64</v>
      </c>
      <c r="C843">
        <v>1</v>
      </c>
      <c r="D843">
        <v>192.38873762376201</v>
      </c>
      <c r="E843">
        <v>11.0274752475247</v>
      </c>
      <c r="F843">
        <f t="shared" si="27"/>
        <v>2</v>
      </c>
      <c r="G843">
        <v>1</v>
      </c>
      <c r="H843">
        <v>0</v>
      </c>
      <c r="I843">
        <v>0</v>
      </c>
      <c r="J843">
        <v>0</v>
      </c>
      <c r="K843">
        <v>0</v>
      </c>
      <c r="L843">
        <v>1</v>
      </c>
      <c r="M843">
        <f t="shared" si="26"/>
        <v>169</v>
      </c>
      <c r="N843">
        <v>160</v>
      </c>
      <c r="O843">
        <v>0</v>
      </c>
      <c r="P843">
        <v>0</v>
      </c>
      <c r="Q843">
        <v>0</v>
      </c>
      <c r="R843">
        <v>0</v>
      </c>
      <c r="S843">
        <v>9</v>
      </c>
    </row>
    <row r="844" spans="1:19" x14ac:dyDescent="0.25">
      <c r="A844">
        <v>18071</v>
      </c>
      <c r="B844" t="s">
        <v>64</v>
      </c>
      <c r="C844">
        <v>2</v>
      </c>
      <c r="D844">
        <v>194.35</v>
      </c>
      <c r="E844">
        <v>11.989603960396</v>
      </c>
      <c r="F844">
        <f t="shared" si="27"/>
        <v>2</v>
      </c>
      <c r="G844">
        <v>1</v>
      </c>
      <c r="H844">
        <v>0</v>
      </c>
      <c r="I844">
        <v>0</v>
      </c>
      <c r="J844">
        <v>0</v>
      </c>
      <c r="K844">
        <v>0</v>
      </c>
      <c r="L844">
        <v>1</v>
      </c>
      <c r="M844">
        <f t="shared" si="26"/>
        <v>169</v>
      </c>
      <c r="N844">
        <v>160</v>
      </c>
      <c r="O844">
        <v>0</v>
      </c>
      <c r="P844">
        <v>0</v>
      </c>
      <c r="Q844">
        <v>0</v>
      </c>
      <c r="R844">
        <v>0</v>
      </c>
      <c r="S844">
        <v>9</v>
      </c>
    </row>
    <row r="845" spans="1:19" x14ac:dyDescent="0.25">
      <c r="A845">
        <v>18071</v>
      </c>
      <c r="B845" t="s">
        <v>64</v>
      </c>
      <c r="C845">
        <v>3</v>
      </c>
      <c r="D845">
        <v>194.12797029702901</v>
      </c>
      <c r="E845">
        <v>12.6186881188118</v>
      </c>
      <c r="F845">
        <f t="shared" si="27"/>
        <v>2</v>
      </c>
      <c r="G845">
        <v>1</v>
      </c>
      <c r="H845">
        <v>0</v>
      </c>
      <c r="I845">
        <v>0</v>
      </c>
      <c r="J845">
        <v>0</v>
      </c>
      <c r="K845">
        <v>0</v>
      </c>
      <c r="L845">
        <v>1</v>
      </c>
      <c r="M845">
        <f t="shared" si="26"/>
        <v>169</v>
      </c>
      <c r="N845">
        <v>160</v>
      </c>
      <c r="O845">
        <v>0</v>
      </c>
      <c r="P845">
        <v>0</v>
      </c>
      <c r="Q845">
        <v>0</v>
      </c>
      <c r="R845">
        <v>0</v>
      </c>
      <c r="S845">
        <v>9</v>
      </c>
    </row>
    <row r="846" spans="1:19" x14ac:dyDescent="0.25">
      <c r="A846">
        <v>18071</v>
      </c>
      <c r="B846" t="s">
        <v>64</v>
      </c>
      <c r="C846">
        <v>4</v>
      </c>
      <c r="D846">
        <v>188.31819306930601</v>
      </c>
      <c r="E846">
        <v>12.8407178217821</v>
      </c>
      <c r="F846">
        <f t="shared" si="27"/>
        <v>2</v>
      </c>
      <c r="G846">
        <v>1</v>
      </c>
      <c r="H846">
        <v>0</v>
      </c>
      <c r="I846">
        <v>0</v>
      </c>
      <c r="J846">
        <v>0</v>
      </c>
      <c r="K846">
        <v>0</v>
      </c>
      <c r="L846">
        <v>1</v>
      </c>
      <c r="M846">
        <f t="shared" si="26"/>
        <v>169</v>
      </c>
      <c r="N846">
        <v>160</v>
      </c>
      <c r="O846">
        <v>0</v>
      </c>
      <c r="P846">
        <v>0</v>
      </c>
      <c r="Q846">
        <v>0</v>
      </c>
      <c r="R846">
        <v>0</v>
      </c>
      <c r="S846">
        <v>9</v>
      </c>
    </row>
    <row r="847" spans="1:19" x14ac:dyDescent="0.25">
      <c r="A847">
        <v>18071</v>
      </c>
      <c r="B847" t="s">
        <v>64</v>
      </c>
      <c r="C847">
        <v>5</v>
      </c>
      <c r="D847">
        <v>177.43873762376199</v>
      </c>
      <c r="E847">
        <v>15.283044554455399</v>
      </c>
      <c r="F847">
        <f t="shared" si="27"/>
        <v>2</v>
      </c>
      <c r="G847">
        <v>1</v>
      </c>
      <c r="H847">
        <v>0</v>
      </c>
      <c r="I847">
        <v>0</v>
      </c>
      <c r="J847">
        <v>0</v>
      </c>
      <c r="K847">
        <v>0</v>
      </c>
      <c r="L847">
        <v>1</v>
      </c>
      <c r="M847">
        <f t="shared" si="26"/>
        <v>169</v>
      </c>
      <c r="N847">
        <v>160</v>
      </c>
      <c r="O847">
        <v>0</v>
      </c>
      <c r="P847">
        <v>0</v>
      </c>
      <c r="Q847">
        <v>0</v>
      </c>
      <c r="R847">
        <v>0</v>
      </c>
      <c r="S847">
        <v>9</v>
      </c>
    </row>
    <row r="848" spans="1:19" x14ac:dyDescent="0.25">
      <c r="A848">
        <v>18071</v>
      </c>
      <c r="B848" t="s">
        <v>64</v>
      </c>
      <c r="C848">
        <v>6</v>
      </c>
      <c r="D848">
        <v>162.48873762376201</v>
      </c>
      <c r="E848">
        <v>16.504207920791998</v>
      </c>
      <c r="F848">
        <f t="shared" si="27"/>
        <v>2</v>
      </c>
      <c r="G848">
        <v>1</v>
      </c>
      <c r="H848">
        <v>0</v>
      </c>
      <c r="I848">
        <v>0</v>
      </c>
      <c r="J848">
        <v>0</v>
      </c>
      <c r="K848">
        <v>0</v>
      </c>
      <c r="L848">
        <v>1</v>
      </c>
      <c r="M848">
        <f t="shared" si="26"/>
        <v>169</v>
      </c>
      <c r="N848">
        <v>160</v>
      </c>
      <c r="O848">
        <v>0</v>
      </c>
      <c r="P848">
        <v>0</v>
      </c>
      <c r="Q848">
        <v>0</v>
      </c>
      <c r="R848">
        <v>0</v>
      </c>
      <c r="S848">
        <v>9</v>
      </c>
    </row>
    <row r="849" spans="1:19" x14ac:dyDescent="0.25">
      <c r="A849">
        <v>18071</v>
      </c>
      <c r="B849" t="s">
        <v>64</v>
      </c>
      <c r="C849">
        <v>7</v>
      </c>
      <c r="D849">
        <v>142.284034653465</v>
      </c>
      <c r="E849">
        <v>13.950866336633601</v>
      </c>
      <c r="F849">
        <f t="shared" si="27"/>
        <v>2</v>
      </c>
      <c r="G849">
        <v>1</v>
      </c>
      <c r="H849">
        <v>0</v>
      </c>
      <c r="I849">
        <v>0</v>
      </c>
      <c r="J849">
        <v>0</v>
      </c>
      <c r="K849">
        <v>0</v>
      </c>
      <c r="L849">
        <v>1</v>
      </c>
      <c r="M849">
        <f t="shared" si="26"/>
        <v>169</v>
      </c>
      <c r="N849">
        <v>160</v>
      </c>
      <c r="O849">
        <v>0</v>
      </c>
      <c r="P849">
        <v>0</v>
      </c>
      <c r="Q849">
        <v>0</v>
      </c>
      <c r="R849">
        <v>0</v>
      </c>
      <c r="S849">
        <v>9</v>
      </c>
    </row>
    <row r="850" spans="1:19" x14ac:dyDescent="0.25">
      <c r="A850">
        <v>18071</v>
      </c>
      <c r="B850" t="s">
        <v>64</v>
      </c>
      <c r="C850">
        <v>8</v>
      </c>
      <c r="D850">
        <v>115.344430693069</v>
      </c>
      <c r="E850">
        <v>11.101485148514801</v>
      </c>
      <c r="F850">
        <f t="shared" si="27"/>
        <v>2</v>
      </c>
      <c r="G850">
        <v>1</v>
      </c>
      <c r="H850">
        <v>0</v>
      </c>
      <c r="I850">
        <v>0</v>
      </c>
      <c r="J850">
        <v>0</v>
      </c>
      <c r="K850">
        <v>0</v>
      </c>
      <c r="L850">
        <v>1</v>
      </c>
      <c r="M850">
        <f t="shared" si="26"/>
        <v>169</v>
      </c>
      <c r="N850">
        <v>160</v>
      </c>
      <c r="O850">
        <v>0</v>
      </c>
      <c r="P850">
        <v>0</v>
      </c>
      <c r="Q850">
        <v>0</v>
      </c>
      <c r="R850">
        <v>0</v>
      </c>
      <c r="S850">
        <v>9</v>
      </c>
    </row>
    <row r="851" spans="1:19" x14ac:dyDescent="0.25">
      <c r="A851">
        <v>18071</v>
      </c>
      <c r="B851" t="s">
        <v>64</v>
      </c>
      <c r="C851">
        <v>9</v>
      </c>
      <c r="D851">
        <v>93.2524752475247</v>
      </c>
      <c r="E851">
        <v>9.32524752475247</v>
      </c>
      <c r="F851">
        <f t="shared" si="27"/>
        <v>2</v>
      </c>
      <c r="G851">
        <v>1</v>
      </c>
      <c r="H851">
        <v>0</v>
      </c>
      <c r="I851">
        <v>0</v>
      </c>
      <c r="J851">
        <v>0</v>
      </c>
      <c r="K851">
        <v>0</v>
      </c>
      <c r="L851">
        <v>1</v>
      </c>
      <c r="M851">
        <f t="shared" si="26"/>
        <v>169</v>
      </c>
      <c r="N851">
        <v>160</v>
      </c>
      <c r="O851">
        <v>0</v>
      </c>
      <c r="P851">
        <v>0</v>
      </c>
      <c r="Q851">
        <v>0</v>
      </c>
      <c r="R851">
        <v>0</v>
      </c>
      <c r="S851">
        <v>9</v>
      </c>
    </row>
    <row r="852" spans="1:19" x14ac:dyDescent="0.25">
      <c r="A852">
        <v>18071</v>
      </c>
      <c r="B852" t="s">
        <v>64</v>
      </c>
      <c r="C852">
        <v>10</v>
      </c>
      <c r="D852">
        <v>79.5976485148514</v>
      </c>
      <c r="E852">
        <v>6.5868811881188103</v>
      </c>
      <c r="F852">
        <f t="shared" si="27"/>
        <v>2</v>
      </c>
      <c r="G852">
        <v>1</v>
      </c>
      <c r="H852">
        <v>0</v>
      </c>
      <c r="I852">
        <v>0</v>
      </c>
      <c r="J852">
        <v>0</v>
      </c>
      <c r="K852">
        <v>0</v>
      </c>
      <c r="L852">
        <v>1</v>
      </c>
      <c r="M852">
        <f t="shared" si="26"/>
        <v>169</v>
      </c>
      <c r="N852">
        <v>160</v>
      </c>
      <c r="O852">
        <v>0</v>
      </c>
      <c r="P852">
        <v>0</v>
      </c>
      <c r="Q852">
        <v>0</v>
      </c>
      <c r="R852">
        <v>0</v>
      </c>
      <c r="S852">
        <v>9</v>
      </c>
    </row>
    <row r="853" spans="1:19" x14ac:dyDescent="0.25">
      <c r="A853">
        <v>18071</v>
      </c>
      <c r="B853" t="s">
        <v>64</v>
      </c>
      <c r="C853">
        <v>11</v>
      </c>
      <c r="D853">
        <v>73.787871287128695</v>
      </c>
      <c r="E853">
        <v>6.4758663366336604</v>
      </c>
      <c r="F853">
        <f t="shared" si="27"/>
        <v>2</v>
      </c>
      <c r="G853">
        <v>1</v>
      </c>
      <c r="H853">
        <v>0</v>
      </c>
      <c r="I853">
        <v>0</v>
      </c>
      <c r="J853">
        <v>0</v>
      </c>
      <c r="K853">
        <v>0</v>
      </c>
      <c r="L853">
        <v>1</v>
      </c>
      <c r="M853">
        <f t="shared" si="26"/>
        <v>169</v>
      </c>
      <c r="N853">
        <v>160</v>
      </c>
      <c r="O853">
        <v>0</v>
      </c>
      <c r="P853">
        <v>0</v>
      </c>
      <c r="Q853">
        <v>0</v>
      </c>
      <c r="R853">
        <v>0</v>
      </c>
      <c r="S853">
        <v>9</v>
      </c>
    </row>
    <row r="854" spans="1:19" x14ac:dyDescent="0.25">
      <c r="A854">
        <v>18071</v>
      </c>
      <c r="B854" t="s">
        <v>64</v>
      </c>
      <c r="C854">
        <v>12</v>
      </c>
      <c r="D854">
        <v>74.194925742574199</v>
      </c>
      <c r="E854">
        <v>5.2176980198019702</v>
      </c>
      <c r="F854">
        <f t="shared" si="27"/>
        <v>2</v>
      </c>
      <c r="G854">
        <v>1</v>
      </c>
      <c r="H854">
        <v>0</v>
      </c>
      <c r="I854">
        <v>0</v>
      </c>
      <c r="J854">
        <v>0</v>
      </c>
      <c r="K854">
        <v>0</v>
      </c>
      <c r="L854">
        <v>1</v>
      </c>
      <c r="M854">
        <f t="shared" si="26"/>
        <v>169</v>
      </c>
      <c r="N854">
        <v>160</v>
      </c>
      <c r="O854">
        <v>0</v>
      </c>
      <c r="P854">
        <v>0</v>
      </c>
      <c r="Q854">
        <v>0</v>
      </c>
      <c r="R854">
        <v>0</v>
      </c>
      <c r="S854">
        <v>9</v>
      </c>
    </row>
    <row r="855" spans="1:19" x14ac:dyDescent="0.25">
      <c r="A855">
        <v>18071</v>
      </c>
      <c r="B855" t="s">
        <v>64</v>
      </c>
      <c r="C855">
        <v>13</v>
      </c>
      <c r="D855">
        <v>72.344678217821695</v>
      </c>
      <c r="E855">
        <v>3.9965346534653401</v>
      </c>
      <c r="F855">
        <f t="shared" si="27"/>
        <v>2</v>
      </c>
      <c r="G855">
        <v>1</v>
      </c>
      <c r="H855">
        <v>0</v>
      </c>
      <c r="I855">
        <v>0</v>
      </c>
      <c r="J855">
        <v>0</v>
      </c>
      <c r="K855">
        <v>0</v>
      </c>
      <c r="L855">
        <v>1</v>
      </c>
      <c r="M855">
        <f t="shared" si="26"/>
        <v>169</v>
      </c>
      <c r="N855">
        <v>160</v>
      </c>
      <c r="O855">
        <v>0</v>
      </c>
      <c r="P855">
        <v>0</v>
      </c>
      <c r="Q855">
        <v>0</v>
      </c>
      <c r="R855">
        <v>0</v>
      </c>
      <c r="S855">
        <v>9</v>
      </c>
    </row>
    <row r="856" spans="1:19" x14ac:dyDescent="0.25">
      <c r="A856">
        <v>18071</v>
      </c>
      <c r="B856" t="s">
        <v>64</v>
      </c>
      <c r="C856">
        <v>14</v>
      </c>
      <c r="D856">
        <v>73.010767326732605</v>
      </c>
      <c r="E856">
        <v>3.1824257425742499</v>
      </c>
      <c r="F856">
        <f t="shared" si="27"/>
        <v>2</v>
      </c>
      <c r="G856">
        <v>1</v>
      </c>
      <c r="H856">
        <v>0</v>
      </c>
      <c r="I856">
        <v>0</v>
      </c>
      <c r="J856">
        <v>0</v>
      </c>
      <c r="K856">
        <v>0</v>
      </c>
      <c r="L856">
        <v>1</v>
      </c>
      <c r="M856">
        <f t="shared" si="26"/>
        <v>169</v>
      </c>
      <c r="N856">
        <v>160</v>
      </c>
      <c r="O856">
        <v>0</v>
      </c>
      <c r="P856">
        <v>0</v>
      </c>
      <c r="Q856">
        <v>0</v>
      </c>
      <c r="R856">
        <v>0</v>
      </c>
      <c r="S856">
        <v>9</v>
      </c>
    </row>
    <row r="857" spans="1:19" x14ac:dyDescent="0.25">
      <c r="A857">
        <v>18071</v>
      </c>
      <c r="B857" t="s">
        <v>64</v>
      </c>
      <c r="C857">
        <v>15</v>
      </c>
      <c r="D857">
        <v>78.746534653465304</v>
      </c>
      <c r="E857">
        <v>2.4793316831683101</v>
      </c>
      <c r="F857">
        <f t="shared" si="27"/>
        <v>2</v>
      </c>
      <c r="G857">
        <v>1</v>
      </c>
      <c r="H857">
        <v>0</v>
      </c>
      <c r="I857">
        <v>0</v>
      </c>
      <c r="J857">
        <v>0</v>
      </c>
      <c r="K857">
        <v>0</v>
      </c>
      <c r="L857">
        <v>1</v>
      </c>
      <c r="M857">
        <f t="shared" si="26"/>
        <v>169</v>
      </c>
      <c r="N857">
        <v>160</v>
      </c>
      <c r="O857">
        <v>0</v>
      </c>
      <c r="P857">
        <v>0</v>
      </c>
      <c r="Q857">
        <v>0</v>
      </c>
      <c r="R857">
        <v>0</v>
      </c>
      <c r="S857">
        <v>9</v>
      </c>
    </row>
    <row r="858" spans="1:19" x14ac:dyDescent="0.25">
      <c r="A858">
        <v>18071</v>
      </c>
      <c r="B858" t="s">
        <v>64</v>
      </c>
      <c r="C858">
        <v>16</v>
      </c>
      <c r="D858">
        <v>87.3316831683168</v>
      </c>
      <c r="E858">
        <v>1.55420792079207</v>
      </c>
      <c r="F858">
        <f t="shared" si="27"/>
        <v>2</v>
      </c>
      <c r="G858">
        <v>1</v>
      </c>
      <c r="H858">
        <v>0</v>
      </c>
      <c r="I858">
        <v>0</v>
      </c>
      <c r="J858">
        <v>0</v>
      </c>
      <c r="K858">
        <v>0</v>
      </c>
      <c r="L858">
        <v>1</v>
      </c>
      <c r="M858">
        <f t="shared" si="26"/>
        <v>169</v>
      </c>
      <c r="N858">
        <v>160</v>
      </c>
      <c r="O858">
        <v>0</v>
      </c>
      <c r="P858">
        <v>0</v>
      </c>
      <c r="Q858">
        <v>0</v>
      </c>
      <c r="R858">
        <v>0</v>
      </c>
      <c r="S858">
        <v>9</v>
      </c>
    </row>
    <row r="859" spans="1:19" x14ac:dyDescent="0.25">
      <c r="A859">
        <v>18071</v>
      </c>
      <c r="B859" t="s">
        <v>64</v>
      </c>
      <c r="C859">
        <v>17</v>
      </c>
      <c r="D859">
        <v>99.913366336633601</v>
      </c>
      <c r="E859">
        <v>1.5912128712871201</v>
      </c>
      <c r="F859">
        <f t="shared" si="27"/>
        <v>2</v>
      </c>
      <c r="G859">
        <v>1</v>
      </c>
      <c r="H859">
        <v>0</v>
      </c>
      <c r="I859">
        <v>0</v>
      </c>
      <c r="J859">
        <v>0</v>
      </c>
      <c r="K859">
        <v>0</v>
      </c>
      <c r="L859">
        <v>1</v>
      </c>
      <c r="M859">
        <f t="shared" si="26"/>
        <v>169</v>
      </c>
      <c r="N859">
        <v>160</v>
      </c>
      <c r="O859">
        <v>0</v>
      </c>
      <c r="P859">
        <v>0</v>
      </c>
      <c r="Q859">
        <v>0</v>
      </c>
      <c r="R859">
        <v>0</v>
      </c>
      <c r="S859">
        <v>9</v>
      </c>
    </row>
    <row r="860" spans="1:19" x14ac:dyDescent="0.25">
      <c r="A860">
        <v>18071</v>
      </c>
      <c r="B860" t="s">
        <v>64</v>
      </c>
      <c r="C860">
        <v>18</v>
      </c>
      <c r="D860">
        <v>116.639603960396</v>
      </c>
      <c r="E860">
        <v>2.1092821782178199</v>
      </c>
      <c r="F860">
        <f t="shared" si="27"/>
        <v>2</v>
      </c>
      <c r="G860">
        <v>1</v>
      </c>
      <c r="H860">
        <v>0</v>
      </c>
      <c r="I860">
        <v>0</v>
      </c>
      <c r="J860">
        <v>0</v>
      </c>
      <c r="K860">
        <v>0</v>
      </c>
      <c r="L860">
        <v>1</v>
      </c>
      <c r="M860">
        <f t="shared" si="26"/>
        <v>169</v>
      </c>
      <c r="N860">
        <v>160</v>
      </c>
      <c r="O860">
        <v>0</v>
      </c>
      <c r="P860">
        <v>0</v>
      </c>
      <c r="Q860">
        <v>0</v>
      </c>
      <c r="R860">
        <v>0</v>
      </c>
      <c r="S860">
        <v>9</v>
      </c>
    </row>
    <row r="861" spans="1:19" x14ac:dyDescent="0.25">
      <c r="A861">
        <v>18071</v>
      </c>
      <c r="B861" t="s">
        <v>64</v>
      </c>
      <c r="C861">
        <v>19</v>
      </c>
      <c r="D861">
        <v>131.92264851485101</v>
      </c>
      <c r="E861">
        <v>1.70222772277227</v>
      </c>
      <c r="F861">
        <f t="shared" si="27"/>
        <v>2</v>
      </c>
      <c r="G861">
        <v>1</v>
      </c>
      <c r="H861">
        <v>0</v>
      </c>
      <c r="I861">
        <v>0</v>
      </c>
      <c r="J861">
        <v>0</v>
      </c>
      <c r="K861">
        <v>0</v>
      </c>
      <c r="L861">
        <v>1</v>
      </c>
      <c r="M861">
        <f t="shared" si="26"/>
        <v>169</v>
      </c>
      <c r="N861">
        <v>160</v>
      </c>
      <c r="O861">
        <v>0</v>
      </c>
      <c r="P861">
        <v>0</v>
      </c>
      <c r="Q861">
        <v>0</v>
      </c>
      <c r="R861">
        <v>0</v>
      </c>
      <c r="S861">
        <v>9</v>
      </c>
    </row>
    <row r="862" spans="1:19" x14ac:dyDescent="0.25">
      <c r="A862">
        <v>18071</v>
      </c>
      <c r="B862" t="s">
        <v>64</v>
      </c>
      <c r="C862">
        <v>20</v>
      </c>
      <c r="D862">
        <v>149.24096534653401</v>
      </c>
      <c r="E862">
        <v>2.8123762376237602</v>
      </c>
      <c r="F862">
        <f t="shared" si="27"/>
        <v>2</v>
      </c>
      <c r="G862">
        <v>1</v>
      </c>
      <c r="H862">
        <v>0</v>
      </c>
      <c r="I862">
        <v>0</v>
      </c>
      <c r="J862">
        <v>0</v>
      </c>
      <c r="K862">
        <v>0</v>
      </c>
      <c r="L862">
        <v>1</v>
      </c>
      <c r="M862">
        <f t="shared" si="26"/>
        <v>169</v>
      </c>
      <c r="N862">
        <v>160</v>
      </c>
      <c r="O862">
        <v>0</v>
      </c>
      <c r="P862">
        <v>0</v>
      </c>
      <c r="Q862">
        <v>0</v>
      </c>
      <c r="R862">
        <v>0</v>
      </c>
      <c r="S862">
        <v>9</v>
      </c>
    </row>
    <row r="863" spans="1:19" x14ac:dyDescent="0.25">
      <c r="A863">
        <v>18071</v>
      </c>
      <c r="B863" t="s">
        <v>64</v>
      </c>
      <c r="C863">
        <v>21</v>
      </c>
      <c r="D863">
        <v>161.93366336633599</v>
      </c>
      <c r="E863">
        <v>4.4405940594059397</v>
      </c>
      <c r="F863">
        <f t="shared" si="27"/>
        <v>2</v>
      </c>
      <c r="G863">
        <v>1</v>
      </c>
      <c r="H863">
        <v>0</v>
      </c>
      <c r="I863">
        <v>0</v>
      </c>
      <c r="J863">
        <v>0</v>
      </c>
      <c r="K863">
        <v>0</v>
      </c>
      <c r="L863">
        <v>1</v>
      </c>
      <c r="M863">
        <f t="shared" si="26"/>
        <v>169</v>
      </c>
      <c r="N863">
        <v>160</v>
      </c>
      <c r="O863">
        <v>0</v>
      </c>
      <c r="P863">
        <v>0</v>
      </c>
      <c r="Q863">
        <v>0</v>
      </c>
      <c r="R863">
        <v>0</v>
      </c>
      <c r="S863">
        <v>9</v>
      </c>
    </row>
    <row r="864" spans="1:19" x14ac:dyDescent="0.25">
      <c r="A864">
        <v>18071</v>
      </c>
      <c r="B864" t="s">
        <v>64</v>
      </c>
      <c r="C864">
        <v>22</v>
      </c>
      <c r="D864">
        <v>170.92586633663299</v>
      </c>
      <c r="E864">
        <v>8.0670792079207896</v>
      </c>
      <c r="F864">
        <f t="shared" si="27"/>
        <v>2</v>
      </c>
      <c r="G864">
        <v>1</v>
      </c>
      <c r="H864">
        <v>0</v>
      </c>
      <c r="I864">
        <v>0</v>
      </c>
      <c r="J864">
        <v>0</v>
      </c>
      <c r="K864">
        <v>0</v>
      </c>
      <c r="L864">
        <v>1</v>
      </c>
      <c r="M864">
        <f t="shared" si="26"/>
        <v>169</v>
      </c>
      <c r="N864">
        <v>160</v>
      </c>
      <c r="O864">
        <v>0</v>
      </c>
      <c r="P864">
        <v>0</v>
      </c>
      <c r="Q864">
        <v>0</v>
      </c>
      <c r="R864">
        <v>0</v>
      </c>
      <c r="S864">
        <v>9</v>
      </c>
    </row>
    <row r="865" spans="1:19" x14ac:dyDescent="0.25">
      <c r="A865">
        <v>18071</v>
      </c>
      <c r="B865" t="s">
        <v>64</v>
      </c>
      <c r="C865">
        <v>23</v>
      </c>
      <c r="D865">
        <v>180.21410891089101</v>
      </c>
      <c r="E865">
        <v>9.6582920792079108</v>
      </c>
      <c r="F865">
        <f t="shared" si="27"/>
        <v>2</v>
      </c>
      <c r="G865">
        <v>1</v>
      </c>
      <c r="H865">
        <v>0</v>
      </c>
      <c r="I865">
        <v>0</v>
      </c>
      <c r="J865">
        <v>0</v>
      </c>
      <c r="K865">
        <v>0</v>
      </c>
      <c r="L865">
        <v>1</v>
      </c>
      <c r="M865">
        <f t="shared" si="26"/>
        <v>169</v>
      </c>
      <c r="N865">
        <v>160</v>
      </c>
      <c r="O865">
        <v>0</v>
      </c>
      <c r="P865">
        <v>0</v>
      </c>
      <c r="Q865">
        <v>0</v>
      </c>
      <c r="R865">
        <v>0</v>
      </c>
      <c r="S865">
        <v>9</v>
      </c>
    </row>
    <row r="866" spans="1:19" x14ac:dyDescent="0.25">
      <c r="A866">
        <v>18073</v>
      </c>
      <c r="B866" t="s">
        <v>65</v>
      </c>
      <c r="C866">
        <v>0</v>
      </c>
      <c r="D866">
        <v>776.28708916616199</v>
      </c>
      <c r="E866">
        <v>21.176669180988899</v>
      </c>
      <c r="F866">
        <f t="shared" si="27"/>
        <v>12</v>
      </c>
      <c r="G866">
        <v>3</v>
      </c>
      <c r="H866">
        <v>3</v>
      </c>
      <c r="I866">
        <v>4</v>
      </c>
      <c r="J866">
        <v>1</v>
      </c>
      <c r="K866">
        <v>1</v>
      </c>
      <c r="L866">
        <v>0</v>
      </c>
      <c r="M866">
        <f t="shared" si="26"/>
        <v>927</v>
      </c>
      <c r="N866">
        <v>400</v>
      </c>
      <c r="O866">
        <v>230</v>
      </c>
      <c r="P866">
        <v>64</v>
      </c>
      <c r="Q866">
        <v>148</v>
      </c>
      <c r="R866">
        <v>85</v>
      </c>
      <c r="S866">
        <v>0</v>
      </c>
    </row>
    <row r="867" spans="1:19" x14ac:dyDescent="0.25">
      <c r="A867">
        <v>18073</v>
      </c>
      <c r="B867" t="s">
        <v>65</v>
      </c>
      <c r="C867">
        <v>1</v>
      </c>
      <c r="D867">
        <v>783.61307201796296</v>
      </c>
      <c r="E867">
        <v>24.877816767576199</v>
      </c>
      <c r="F867">
        <f t="shared" si="27"/>
        <v>12</v>
      </c>
      <c r="G867">
        <v>3</v>
      </c>
      <c r="H867">
        <v>3</v>
      </c>
      <c r="I867">
        <v>4</v>
      </c>
      <c r="J867">
        <v>1</v>
      </c>
      <c r="K867">
        <v>1</v>
      </c>
      <c r="L867">
        <v>0</v>
      </c>
      <c r="M867">
        <f t="shared" si="26"/>
        <v>927</v>
      </c>
      <c r="N867">
        <v>400</v>
      </c>
      <c r="O867">
        <v>230</v>
      </c>
      <c r="P867">
        <v>64</v>
      </c>
      <c r="Q867">
        <v>148</v>
      </c>
      <c r="R867">
        <v>85</v>
      </c>
      <c r="S867">
        <v>0</v>
      </c>
    </row>
    <row r="868" spans="1:19" x14ac:dyDescent="0.25">
      <c r="A868">
        <v>18073</v>
      </c>
      <c r="B868" t="s">
        <v>65</v>
      </c>
      <c r="C868">
        <v>2</v>
      </c>
      <c r="D868">
        <v>780.675047645105</v>
      </c>
      <c r="E868">
        <v>30.219679263681499</v>
      </c>
      <c r="F868">
        <f t="shared" si="27"/>
        <v>12</v>
      </c>
      <c r="G868">
        <v>3</v>
      </c>
      <c r="H868">
        <v>3</v>
      </c>
      <c r="I868">
        <v>4</v>
      </c>
      <c r="J868">
        <v>1</v>
      </c>
      <c r="K868">
        <v>1</v>
      </c>
      <c r="L868">
        <v>0</v>
      </c>
      <c r="M868">
        <f t="shared" si="26"/>
        <v>927</v>
      </c>
      <c r="N868">
        <v>400</v>
      </c>
      <c r="O868">
        <v>230</v>
      </c>
      <c r="P868">
        <v>64</v>
      </c>
      <c r="Q868">
        <v>148</v>
      </c>
      <c r="R868">
        <v>85</v>
      </c>
      <c r="S868">
        <v>0</v>
      </c>
    </row>
    <row r="869" spans="1:19" x14ac:dyDescent="0.25">
      <c r="A869">
        <v>18073</v>
      </c>
      <c r="B869" t="s">
        <v>65</v>
      </c>
      <c r="C869">
        <v>3</v>
      </c>
      <c r="D869">
        <v>758.27738132214995</v>
      </c>
      <c r="E869">
        <v>32.089331137318297</v>
      </c>
      <c r="F869">
        <f t="shared" si="27"/>
        <v>12</v>
      </c>
      <c r="G869">
        <v>3</v>
      </c>
      <c r="H869">
        <v>3</v>
      </c>
      <c r="I869">
        <v>4</v>
      </c>
      <c r="J869">
        <v>1</v>
      </c>
      <c r="K869">
        <v>1</v>
      </c>
      <c r="L869">
        <v>0</v>
      </c>
      <c r="M869">
        <f t="shared" si="26"/>
        <v>927</v>
      </c>
      <c r="N869">
        <v>400</v>
      </c>
      <c r="O869">
        <v>230</v>
      </c>
      <c r="P869">
        <v>64</v>
      </c>
      <c r="Q869">
        <v>148</v>
      </c>
      <c r="R869">
        <v>85</v>
      </c>
      <c r="S869">
        <v>0</v>
      </c>
    </row>
    <row r="870" spans="1:19" x14ac:dyDescent="0.25">
      <c r="A870">
        <v>18073</v>
      </c>
      <c r="B870" t="s">
        <v>65</v>
      </c>
      <c r="C870">
        <v>4</v>
      </c>
      <c r="D870">
        <v>733.01800294770896</v>
      </c>
      <c r="E870">
        <v>30.295991585054399</v>
      </c>
      <c r="F870">
        <f t="shared" si="27"/>
        <v>12</v>
      </c>
      <c r="G870">
        <v>3</v>
      </c>
      <c r="H870">
        <v>3</v>
      </c>
      <c r="I870">
        <v>4</v>
      </c>
      <c r="J870">
        <v>1</v>
      </c>
      <c r="K870">
        <v>1</v>
      </c>
      <c r="L870">
        <v>0</v>
      </c>
      <c r="M870">
        <f t="shared" si="26"/>
        <v>927</v>
      </c>
      <c r="N870">
        <v>400</v>
      </c>
      <c r="O870">
        <v>230</v>
      </c>
      <c r="P870">
        <v>64</v>
      </c>
      <c r="Q870">
        <v>148</v>
      </c>
      <c r="R870">
        <v>85</v>
      </c>
      <c r="S870">
        <v>0</v>
      </c>
    </row>
    <row r="871" spans="1:19" x14ac:dyDescent="0.25">
      <c r="A871">
        <v>18073</v>
      </c>
      <c r="B871" t="s">
        <v>65</v>
      </c>
      <c r="C871">
        <v>5</v>
      </c>
      <c r="D871">
        <v>674.60092093672802</v>
      </c>
      <c r="E871">
        <v>33.119547475852897</v>
      </c>
      <c r="F871">
        <f t="shared" si="27"/>
        <v>12</v>
      </c>
      <c r="G871">
        <v>3</v>
      </c>
      <c r="H871">
        <v>3</v>
      </c>
      <c r="I871">
        <v>4</v>
      </c>
      <c r="J871">
        <v>1</v>
      </c>
      <c r="K871">
        <v>1</v>
      </c>
      <c r="L871">
        <v>0</v>
      </c>
      <c r="M871">
        <f t="shared" si="26"/>
        <v>927</v>
      </c>
      <c r="N871">
        <v>400</v>
      </c>
      <c r="O871">
        <v>230</v>
      </c>
      <c r="P871">
        <v>64</v>
      </c>
      <c r="Q871">
        <v>148</v>
      </c>
      <c r="R871">
        <v>85</v>
      </c>
      <c r="S871">
        <v>0</v>
      </c>
    </row>
    <row r="872" spans="1:19" x14ac:dyDescent="0.25">
      <c r="A872">
        <v>18073</v>
      </c>
      <c r="B872" t="s">
        <v>65</v>
      </c>
      <c r="C872">
        <v>6</v>
      </c>
      <c r="D872">
        <v>575.89093324083899</v>
      </c>
      <c r="E872">
        <v>23.962068911100999</v>
      </c>
      <c r="F872">
        <f t="shared" si="27"/>
        <v>12</v>
      </c>
      <c r="G872">
        <v>3</v>
      </c>
      <c r="H872">
        <v>3</v>
      </c>
      <c r="I872">
        <v>4</v>
      </c>
      <c r="J872">
        <v>1</v>
      </c>
      <c r="K872">
        <v>1</v>
      </c>
      <c r="L872">
        <v>0</v>
      </c>
      <c r="M872">
        <f t="shared" si="26"/>
        <v>927</v>
      </c>
      <c r="N872">
        <v>400</v>
      </c>
      <c r="O872">
        <v>230</v>
      </c>
      <c r="P872">
        <v>64</v>
      </c>
      <c r="Q872">
        <v>148</v>
      </c>
      <c r="R872">
        <v>85</v>
      </c>
      <c r="S872">
        <v>0</v>
      </c>
    </row>
    <row r="873" spans="1:19" x14ac:dyDescent="0.25">
      <c r="A873">
        <v>18073</v>
      </c>
      <c r="B873" t="s">
        <v>65</v>
      </c>
      <c r="C873">
        <v>7</v>
      </c>
      <c r="D873">
        <v>470.08389965726798</v>
      </c>
      <c r="E873">
        <v>15.0716834711542</v>
      </c>
      <c r="F873">
        <f t="shared" si="27"/>
        <v>12</v>
      </c>
      <c r="G873">
        <v>3</v>
      </c>
      <c r="H873">
        <v>3</v>
      </c>
      <c r="I873">
        <v>4</v>
      </c>
      <c r="J873">
        <v>1</v>
      </c>
      <c r="K873">
        <v>1</v>
      </c>
      <c r="L873">
        <v>0</v>
      </c>
      <c r="M873">
        <f t="shared" si="26"/>
        <v>927</v>
      </c>
      <c r="N873">
        <v>400</v>
      </c>
      <c r="O873">
        <v>230</v>
      </c>
      <c r="P873">
        <v>64</v>
      </c>
      <c r="Q873">
        <v>148</v>
      </c>
      <c r="R873">
        <v>85</v>
      </c>
      <c r="S873">
        <v>0</v>
      </c>
    </row>
    <row r="874" spans="1:19" x14ac:dyDescent="0.25">
      <c r="A874">
        <v>18073</v>
      </c>
      <c r="B874" t="s">
        <v>65</v>
      </c>
      <c r="C874">
        <v>8</v>
      </c>
      <c r="D874">
        <v>376.067119725814</v>
      </c>
      <c r="E874">
        <v>10.6074126708377</v>
      </c>
      <c r="F874">
        <f t="shared" si="27"/>
        <v>12</v>
      </c>
      <c r="G874">
        <v>3</v>
      </c>
      <c r="H874">
        <v>3</v>
      </c>
      <c r="I874">
        <v>4</v>
      </c>
      <c r="J874">
        <v>1</v>
      </c>
      <c r="K874">
        <v>1</v>
      </c>
      <c r="L874">
        <v>0</v>
      </c>
      <c r="M874">
        <f t="shared" si="26"/>
        <v>927</v>
      </c>
      <c r="N874">
        <v>400</v>
      </c>
      <c r="O874">
        <v>230</v>
      </c>
      <c r="P874">
        <v>64</v>
      </c>
      <c r="Q874">
        <v>148</v>
      </c>
      <c r="R874">
        <v>85</v>
      </c>
      <c r="S874">
        <v>0</v>
      </c>
    </row>
    <row r="875" spans="1:19" x14ac:dyDescent="0.25">
      <c r="A875">
        <v>18073</v>
      </c>
      <c r="B875" t="s">
        <v>65</v>
      </c>
      <c r="C875">
        <v>9</v>
      </c>
      <c r="D875">
        <v>317.95528700032497</v>
      </c>
      <c r="E875">
        <v>9.2719470468113698</v>
      </c>
      <c r="F875">
        <f t="shared" si="27"/>
        <v>12</v>
      </c>
      <c r="G875">
        <v>3</v>
      </c>
      <c r="H875">
        <v>3</v>
      </c>
      <c r="I875">
        <v>4</v>
      </c>
      <c r="J875">
        <v>1</v>
      </c>
      <c r="K875">
        <v>1</v>
      </c>
      <c r="L875">
        <v>0</v>
      </c>
      <c r="M875">
        <f t="shared" si="26"/>
        <v>927</v>
      </c>
      <c r="N875">
        <v>400</v>
      </c>
      <c r="O875">
        <v>230</v>
      </c>
      <c r="P875">
        <v>64</v>
      </c>
      <c r="Q875">
        <v>148</v>
      </c>
      <c r="R875">
        <v>85</v>
      </c>
      <c r="S875">
        <v>0</v>
      </c>
    </row>
    <row r="876" spans="1:19" x14ac:dyDescent="0.25">
      <c r="A876">
        <v>18073</v>
      </c>
      <c r="B876" t="s">
        <v>65</v>
      </c>
      <c r="C876">
        <v>10</v>
      </c>
      <c r="D876">
        <v>294.069530410597</v>
      </c>
      <c r="E876">
        <v>8.1272622262173702</v>
      </c>
      <c r="F876">
        <f t="shared" si="27"/>
        <v>12</v>
      </c>
      <c r="G876">
        <v>3</v>
      </c>
      <c r="H876">
        <v>3</v>
      </c>
      <c r="I876">
        <v>4</v>
      </c>
      <c r="J876">
        <v>1</v>
      </c>
      <c r="K876">
        <v>1</v>
      </c>
      <c r="L876">
        <v>0</v>
      </c>
      <c r="M876">
        <f t="shared" si="26"/>
        <v>927</v>
      </c>
      <c r="N876">
        <v>400</v>
      </c>
      <c r="O876">
        <v>230</v>
      </c>
      <c r="P876">
        <v>64</v>
      </c>
      <c r="Q876">
        <v>148</v>
      </c>
      <c r="R876">
        <v>85</v>
      </c>
      <c r="S876">
        <v>0</v>
      </c>
    </row>
    <row r="877" spans="1:19" x14ac:dyDescent="0.25">
      <c r="A877">
        <v>18073</v>
      </c>
      <c r="B877" t="s">
        <v>65</v>
      </c>
      <c r="C877">
        <v>11</v>
      </c>
      <c r="D877">
        <v>292.00909773352799</v>
      </c>
      <c r="E877">
        <v>8.2417307082767692</v>
      </c>
      <c r="F877">
        <f t="shared" si="27"/>
        <v>12</v>
      </c>
      <c r="G877">
        <v>3</v>
      </c>
      <c r="H877">
        <v>3</v>
      </c>
      <c r="I877">
        <v>4</v>
      </c>
      <c r="J877">
        <v>1</v>
      </c>
      <c r="K877">
        <v>1</v>
      </c>
      <c r="L877">
        <v>0</v>
      </c>
      <c r="M877">
        <f t="shared" si="26"/>
        <v>927</v>
      </c>
      <c r="N877">
        <v>400</v>
      </c>
      <c r="O877">
        <v>230</v>
      </c>
      <c r="P877">
        <v>64</v>
      </c>
      <c r="Q877">
        <v>148</v>
      </c>
      <c r="R877">
        <v>85</v>
      </c>
      <c r="S877">
        <v>0</v>
      </c>
    </row>
    <row r="878" spans="1:19" x14ac:dyDescent="0.25">
      <c r="A878">
        <v>18073</v>
      </c>
      <c r="B878" t="s">
        <v>65</v>
      </c>
      <c r="C878">
        <v>12</v>
      </c>
      <c r="D878">
        <v>299.98373531700003</v>
      </c>
      <c r="E878">
        <v>10.111382581913601</v>
      </c>
      <c r="F878">
        <f t="shared" si="27"/>
        <v>12</v>
      </c>
      <c r="G878">
        <v>3</v>
      </c>
      <c r="H878">
        <v>3</v>
      </c>
      <c r="I878">
        <v>4</v>
      </c>
      <c r="J878">
        <v>1</v>
      </c>
      <c r="K878">
        <v>1</v>
      </c>
      <c r="L878">
        <v>0</v>
      </c>
      <c r="M878">
        <f t="shared" si="26"/>
        <v>927</v>
      </c>
      <c r="N878">
        <v>400</v>
      </c>
      <c r="O878">
        <v>230</v>
      </c>
      <c r="P878">
        <v>64</v>
      </c>
      <c r="Q878">
        <v>148</v>
      </c>
      <c r="R878">
        <v>85</v>
      </c>
      <c r="S878">
        <v>0</v>
      </c>
    </row>
    <row r="879" spans="1:19" x14ac:dyDescent="0.25">
      <c r="A879">
        <v>18073</v>
      </c>
      <c r="B879" t="s">
        <v>65</v>
      </c>
      <c r="C879">
        <v>13</v>
      </c>
      <c r="D879">
        <v>313.52917236069499</v>
      </c>
      <c r="E879">
        <v>11.7139413307452</v>
      </c>
      <c r="F879">
        <f t="shared" si="27"/>
        <v>12</v>
      </c>
      <c r="G879">
        <v>3</v>
      </c>
      <c r="H879">
        <v>3</v>
      </c>
      <c r="I879">
        <v>4</v>
      </c>
      <c r="J879">
        <v>1</v>
      </c>
      <c r="K879">
        <v>1</v>
      </c>
      <c r="L879">
        <v>0</v>
      </c>
      <c r="M879">
        <f t="shared" si="26"/>
        <v>927</v>
      </c>
      <c r="N879">
        <v>400</v>
      </c>
      <c r="O879">
        <v>230</v>
      </c>
      <c r="P879">
        <v>64</v>
      </c>
      <c r="Q879">
        <v>148</v>
      </c>
      <c r="R879">
        <v>85</v>
      </c>
      <c r="S879">
        <v>0</v>
      </c>
    </row>
    <row r="880" spans="1:19" x14ac:dyDescent="0.25">
      <c r="A880">
        <v>18073</v>
      </c>
      <c r="B880" t="s">
        <v>65</v>
      </c>
      <c r="C880">
        <v>14</v>
      </c>
      <c r="D880">
        <v>336.34655645120199</v>
      </c>
      <c r="E880">
        <v>10.9126619563294</v>
      </c>
      <c r="F880">
        <f t="shared" si="27"/>
        <v>12</v>
      </c>
      <c r="G880">
        <v>3</v>
      </c>
      <c r="H880">
        <v>3</v>
      </c>
      <c r="I880">
        <v>4</v>
      </c>
      <c r="J880">
        <v>1</v>
      </c>
      <c r="K880">
        <v>1</v>
      </c>
      <c r="L880">
        <v>0</v>
      </c>
      <c r="M880">
        <f t="shared" si="26"/>
        <v>927</v>
      </c>
      <c r="N880">
        <v>400</v>
      </c>
      <c r="O880">
        <v>230</v>
      </c>
      <c r="P880">
        <v>64</v>
      </c>
      <c r="Q880">
        <v>148</v>
      </c>
      <c r="R880">
        <v>85</v>
      </c>
      <c r="S880">
        <v>0</v>
      </c>
    </row>
    <row r="881" spans="1:19" x14ac:dyDescent="0.25">
      <c r="A881">
        <v>18073</v>
      </c>
      <c r="B881" t="s">
        <v>65</v>
      </c>
      <c r="C881">
        <v>15</v>
      </c>
      <c r="D881">
        <v>369.38979160568198</v>
      </c>
      <c r="E881">
        <v>9.2337908861249094</v>
      </c>
      <c r="F881">
        <f t="shared" si="27"/>
        <v>12</v>
      </c>
      <c r="G881">
        <v>3</v>
      </c>
      <c r="H881">
        <v>3</v>
      </c>
      <c r="I881">
        <v>4</v>
      </c>
      <c r="J881">
        <v>1</v>
      </c>
      <c r="K881">
        <v>1</v>
      </c>
      <c r="L881">
        <v>0</v>
      </c>
      <c r="M881">
        <f t="shared" si="26"/>
        <v>927</v>
      </c>
      <c r="N881">
        <v>400</v>
      </c>
      <c r="O881">
        <v>230</v>
      </c>
      <c r="P881">
        <v>64</v>
      </c>
      <c r="Q881">
        <v>148</v>
      </c>
      <c r="R881">
        <v>85</v>
      </c>
      <c r="S881">
        <v>0</v>
      </c>
    </row>
    <row r="882" spans="1:19" x14ac:dyDescent="0.25">
      <c r="A882">
        <v>18073</v>
      </c>
      <c r="B882" t="s">
        <v>65</v>
      </c>
      <c r="C882">
        <v>16</v>
      </c>
      <c r="D882">
        <v>413.42200103786502</v>
      </c>
      <c r="E882">
        <v>8.0509499048444404</v>
      </c>
      <c r="F882">
        <f t="shared" si="27"/>
        <v>12</v>
      </c>
      <c r="G882">
        <v>3</v>
      </c>
      <c r="H882">
        <v>3</v>
      </c>
      <c r="I882">
        <v>4</v>
      </c>
      <c r="J882">
        <v>1</v>
      </c>
      <c r="K882">
        <v>1</v>
      </c>
      <c r="L882">
        <v>0</v>
      </c>
      <c r="M882">
        <f t="shared" si="26"/>
        <v>927</v>
      </c>
      <c r="N882">
        <v>400</v>
      </c>
      <c r="O882">
        <v>230</v>
      </c>
      <c r="P882">
        <v>64</v>
      </c>
      <c r="Q882">
        <v>148</v>
      </c>
      <c r="R882">
        <v>85</v>
      </c>
      <c r="S882">
        <v>0</v>
      </c>
    </row>
    <row r="883" spans="1:19" x14ac:dyDescent="0.25">
      <c r="A883">
        <v>18073</v>
      </c>
      <c r="B883" t="s">
        <v>65</v>
      </c>
      <c r="C883">
        <v>17</v>
      </c>
      <c r="D883">
        <v>470.88517903168298</v>
      </c>
      <c r="E883">
        <v>8.0509499048444404</v>
      </c>
      <c r="F883">
        <f t="shared" si="27"/>
        <v>12</v>
      </c>
      <c r="G883">
        <v>3</v>
      </c>
      <c r="H883">
        <v>3</v>
      </c>
      <c r="I883">
        <v>4</v>
      </c>
      <c r="J883">
        <v>1</v>
      </c>
      <c r="K883">
        <v>1</v>
      </c>
      <c r="L883">
        <v>0</v>
      </c>
      <c r="M883">
        <f t="shared" si="26"/>
        <v>927</v>
      </c>
      <c r="N883">
        <v>400</v>
      </c>
      <c r="O883">
        <v>230</v>
      </c>
      <c r="P883">
        <v>64</v>
      </c>
      <c r="Q883">
        <v>148</v>
      </c>
      <c r="R883">
        <v>85</v>
      </c>
      <c r="S883">
        <v>0</v>
      </c>
    </row>
    <row r="884" spans="1:19" x14ac:dyDescent="0.25">
      <c r="A884">
        <v>18073</v>
      </c>
      <c r="B884" t="s">
        <v>65</v>
      </c>
      <c r="C884">
        <v>18</v>
      </c>
      <c r="D884">
        <v>533.15603327199699</v>
      </c>
      <c r="E884">
        <v>8.0127937441579693</v>
      </c>
      <c r="F884">
        <f t="shared" si="27"/>
        <v>12</v>
      </c>
      <c r="G884">
        <v>3</v>
      </c>
      <c r="H884">
        <v>3</v>
      </c>
      <c r="I884">
        <v>4</v>
      </c>
      <c r="J884">
        <v>1</v>
      </c>
      <c r="K884">
        <v>1</v>
      </c>
      <c r="L884">
        <v>0</v>
      </c>
      <c r="M884">
        <f t="shared" si="26"/>
        <v>927</v>
      </c>
      <c r="N884">
        <v>400</v>
      </c>
      <c r="O884">
        <v>230</v>
      </c>
      <c r="P884">
        <v>64</v>
      </c>
      <c r="Q884">
        <v>148</v>
      </c>
      <c r="R884">
        <v>85</v>
      </c>
      <c r="S884">
        <v>0</v>
      </c>
    </row>
    <row r="885" spans="1:19" x14ac:dyDescent="0.25">
      <c r="A885">
        <v>18073</v>
      </c>
      <c r="B885" t="s">
        <v>65</v>
      </c>
      <c r="C885">
        <v>19</v>
      </c>
      <c r="D885">
        <v>599.31881590233002</v>
      </c>
      <c r="E885">
        <v>9.6153524929895706</v>
      </c>
      <c r="F885">
        <f t="shared" si="27"/>
        <v>12</v>
      </c>
      <c r="G885">
        <v>3</v>
      </c>
      <c r="H885">
        <v>3</v>
      </c>
      <c r="I885">
        <v>4</v>
      </c>
      <c r="J885">
        <v>1</v>
      </c>
      <c r="K885">
        <v>1</v>
      </c>
      <c r="L885">
        <v>0</v>
      </c>
      <c r="M885">
        <f t="shared" si="26"/>
        <v>927</v>
      </c>
      <c r="N885">
        <v>400</v>
      </c>
      <c r="O885">
        <v>230</v>
      </c>
      <c r="P885">
        <v>64</v>
      </c>
      <c r="Q885">
        <v>148</v>
      </c>
      <c r="R885">
        <v>85</v>
      </c>
      <c r="S885">
        <v>0</v>
      </c>
    </row>
    <row r="886" spans="1:19" x14ac:dyDescent="0.25">
      <c r="A886">
        <v>18073</v>
      </c>
      <c r="B886" t="s">
        <v>65</v>
      </c>
      <c r="C886">
        <v>20</v>
      </c>
      <c r="D886">
        <v>656.17149532516498</v>
      </c>
      <c r="E886">
        <v>10.225851063973</v>
      </c>
      <c r="F886">
        <f t="shared" si="27"/>
        <v>12</v>
      </c>
      <c r="G886">
        <v>3</v>
      </c>
      <c r="H886">
        <v>3</v>
      </c>
      <c r="I886">
        <v>4</v>
      </c>
      <c r="J886">
        <v>1</v>
      </c>
      <c r="K886">
        <v>1</v>
      </c>
      <c r="L886">
        <v>0</v>
      </c>
      <c r="M886">
        <f t="shared" si="26"/>
        <v>927</v>
      </c>
      <c r="N886">
        <v>400</v>
      </c>
      <c r="O886">
        <v>230</v>
      </c>
      <c r="P886">
        <v>64</v>
      </c>
      <c r="Q886">
        <v>148</v>
      </c>
      <c r="R886">
        <v>85</v>
      </c>
      <c r="S886">
        <v>0</v>
      </c>
    </row>
    <row r="887" spans="1:19" x14ac:dyDescent="0.25">
      <c r="A887">
        <v>18073</v>
      </c>
      <c r="B887" t="s">
        <v>65</v>
      </c>
      <c r="C887">
        <v>21</v>
      </c>
      <c r="D887">
        <v>697.57092966998096</v>
      </c>
      <c r="E887">
        <v>11.904722134177501</v>
      </c>
      <c r="F887">
        <f t="shared" si="27"/>
        <v>12</v>
      </c>
      <c r="G887">
        <v>3</v>
      </c>
      <c r="H887">
        <v>3</v>
      </c>
      <c r="I887">
        <v>4</v>
      </c>
      <c r="J887">
        <v>1</v>
      </c>
      <c r="K887">
        <v>1</v>
      </c>
      <c r="L887">
        <v>0</v>
      </c>
      <c r="M887">
        <f t="shared" si="26"/>
        <v>927</v>
      </c>
      <c r="N887">
        <v>400</v>
      </c>
      <c r="O887">
        <v>230</v>
      </c>
      <c r="P887">
        <v>64</v>
      </c>
      <c r="Q887">
        <v>148</v>
      </c>
      <c r="R887">
        <v>85</v>
      </c>
      <c r="S887">
        <v>0</v>
      </c>
    </row>
    <row r="888" spans="1:19" x14ac:dyDescent="0.25">
      <c r="A888">
        <v>18073</v>
      </c>
      <c r="B888" t="s">
        <v>65</v>
      </c>
      <c r="C888">
        <v>22</v>
      </c>
      <c r="D888">
        <v>730.91941410995298</v>
      </c>
      <c r="E888">
        <v>14.4993410608572</v>
      </c>
      <c r="F888">
        <f t="shared" si="27"/>
        <v>12</v>
      </c>
      <c r="G888">
        <v>3</v>
      </c>
      <c r="H888">
        <v>3</v>
      </c>
      <c r="I888">
        <v>4</v>
      </c>
      <c r="J888">
        <v>1</v>
      </c>
      <c r="K888">
        <v>1</v>
      </c>
      <c r="L888">
        <v>0</v>
      </c>
      <c r="M888">
        <f t="shared" si="26"/>
        <v>927</v>
      </c>
      <c r="N888">
        <v>400</v>
      </c>
      <c r="O888">
        <v>230</v>
      </c>
      <c r="P888">
        <v>64</v>
      </c>
      <c r="Q888">
        <v>148</v>
      </c>
      <c r="R888">
        <v>85</v>
      </c>
      <c r="S888">
        <v>0</v>
      </c>
    </row>
    <row r="889" spans="1:19" x14ac:dyDescent="0.25">
      <c r="A889">
        <v>18073</v>
      </c>
      <c r="B889" t="s">
        <v>65</v>
      </c>
      <c r="C889">
        <v>23</v>
      </c>
      <c r="D889">
        <v>759.42206614274403</v>
      </c>
      <c r="E889">
        <v>18.582050254309198</v>
      </c>
      <c r="F889">
        <f t="shared" si="27"/>
        <v>12</v>
      </c>
      <c r="G889">
        <v>3</v>
      </c>
      <c r="H889">
        <v>3</v>
      </c>
      <c r="I889">
        <v>4</v>
      </c>
      <c r="J889">
        <v>1</v>
      </c>
      <c r="K889">
        <v>1</v>
      </c>
      <c r="L889">
        <v>0</v>
      </c>
      <c r="M889">
        <f t="shared" si="26"/>
        <v>927</v>
      </c>
      <c r="N889">
        <v>400</v>
      </c>
      <c r="O889">
        <v>230</v>
      </c>
      <c r="P889">
        <v>64</v>
      </c>
      <c r="Q889">
        <v>148</v>
      </c>
      <c r="R889">
        <v>85</v>
      </c>
      <c r="S889">
        <v>0</v>
      </c>
    </row>
    <row r="890" spans="1:19" x14ac:dyDescent="0.25">
      <c r="A890">
        <v>18075</v>
      </c>
      <c r="B890" t="s">
        <v>66</v>
      </c>
      <c r="C890">
        <v>0</v>
      </c>
      <c r="D890">
        <v>7.7356000006107504</v>
      </c>
      <c r="E890">
        <v>0</v>
      </c>
      <c r="F890">
        <f t="shared" si="27"/>
        <v>1</v>
      </c>
      <c r="G890">
        <v>0</v>
      </c>
      <c r="H890">
        <v>0</v>
      </c>
      <c r="I890">
        <v>1</v>
      </c>
      <c r="J890">
        <v>0</v>
      </c>
      <c r="K890">
        <v>0</v>
      </c>
      <c r="L890">
        <v>0</v>
      </c>
      <c r="M890">
        <f t="shared" si="26"/>
        <v>30</v>
      </c>
      <c r="N890">
        <v>0</v>
      </c>
      <c r="O890">
        <v>0</v>
      </c>
      <c r="P890">
        <v>30</v>
      </c>
      <c r="Q890">
        <v>0</v>
      </c>
      <c r="R890">
        <v>0</v>
      </c>
      <c r="S890">
        <v>0</v>
      </c>
    </row>
    <row r="891" spans="1:19" x14ac:dyDescent="0.25">
      <c r="A891">
        <v>18075</v>
      </c>
      <c r="B891" t="s">
        <v>66</v>
      </c>
      <c r="C891">
        <v>1</v>
      </c>
      <c r="D891">
        <v>7.89455068555481</v>
      </c>
      <c r="E891">
        <v>0</v>
      </c>
      <c r="F891">
        <f t="shared" si="27"/>
        <v>1</v>
      </c>
      <c r="G891">
        <v>0</v>
      </c>
      <c r="H891">
        <v>0</v>
      </c>
      <c r="I891">
        <v>1</v>
      </c>
      <c r="J891">
        <v>0</v>
      </c>
      <c r="K891">
        <v>0</v>
      </c>
      <c r="L891">
        <v>0</v>
      </c>
      <c r="M891">
        <f t="shared" si="26"/>
        <v>30</v>
      </c>
      <c r="N891">
        <v>0</v>
      </c>
      <c r="O891">
        <v>0</v>
      </c>
      <c r="P891">
        <v>30</v>
      </c>
      <c r="Q891">
        <v>0</v>
      </c>
      <c r="R891">
        <v>0</v>
      </c>
      <c r="S891">
        <v>0</v>
      </c>
    </row>
    <row r="892" spans="1:19" x14ac:dyDescent="0.25">
      <c r="A892">
        <v>18075</v>
      </c>
      <c r="B892" t="s">
        <v>66</v>
      </c>
      <c r="C892">
        <v>2</v>
      </c>
      <c r="D892">
        <v>7.89455068555481</v>
      </c>
      <c r="E892">
        <v>0</v>
      </c>
      <c r="F892">
        <f t="shared" si="27"/>
        <v>1</v>
      </c>
      <c r="G892">
        <v>0</v>
      </c>
      <c r="H892">
        <v>0</v>
      </c>
      <c r="I892">
        <v>1</v>
      </c>
      <c r="J892">
        <v>0</v>
      </c>
      <c r="K892">
        <v>0</v>
      </c>
      <c r="L892">
        <v>0</v>
      </c>
      <c r="M892">
        <f t="shared" si="26"/>
        <v>30</v>
      </c>
      <c r="N892">
        <v>0</v>
      </c>
      <c r="O892">
        <v>0</v>
      </c>
      <c r="P892">
        <v>30</v>
      </c>
      <c r="Q892">
        <v>0</v>
      </c>
      <c r="R892">
        <v>0</v>
      </c>
      <c r="S892">
        <v>0</v>
      </c>
    </row>
    <row r="893" spans="1:19" x14ac:dyDescent="0.25">
      <c r="A893">
        <v>18075</v>
      </c>
      <c r="B893" t="s">
        <v>66</v>
      </c>
      <c r="C893">
        <v>3</v>
      </c>
      <c r="D893">
        <v>7.6826164389627296</v>
      </c>
      <c r="E893">
        <v>0</v>
      </c>
      <c r="F893">
        <f t="shared" si="27"/>
        <v>1</v>
      </c>
      <c r="G893">
        <v>0</v>
      </c>
      <c r="H893">
        <v>0</v>
      </c>
      <c r="I893">
        <v>1</v>
      </c>
      <c r="J893">
        <v>0</v>
      </c>
      <c r="K893">
        <v>0</v>
      </c>
      <c r="L893">
        <v>0</v>
      </c>
      <c r="M893">
        <f t="shared" si="26"/>
        <v>30</v>
      </c>
      <c r="N893">
        <v>0</v>
      </c>
      <c r="O893">
        <v>0</v>
      </c>
      <c r="P893">
        <v>30</v>
      </c>
      <c r="Q893">
        <v>0</v>
      </c>
      <c r="R893">
        <v>0</v>
      </c>
      <c r="S893">
        <v>0</v>
      </c>
    </row>
    <row r="894" spans="1:19" x14ac:dyDescent="0.25">
      <c r="A894">
        <v>18075</v>
      </c>
      <c r="B894" t="s">
        <v>66</v>
      </c>
      <c r="C894">
        <v>4</v>
      </c>
      <c r="D894">
        <v>7.6826164389627296</v>
      </c>
      <c r="E894">
        <v>0</v>
      </c>
      <c r="F894">
        <f t="shared" si="27"/>
        <v>1</v>
      </c>
      <c r="G894">
        <v>0</v>
      </c>
      <c r="H894">
        <v>0</v>
      </c>
      <c r="I894">
        <v>1</v>
      </c>
      <c r="J894">
        <v>0</v>
      </c>
      <c r="K894">
        <v>0</v>
      </c>
      <c r="L894">
        <v>0</v>
      </c>
      <c r="M894">
        <f t="shared" si="26"/>
        <v>30</v>
      </c>
      <c r="N894">
        <v>0</v>
      </c>
      <c r="O894">
        <v>0</v>
      </c>
      <c r="P894">
        <v>30</v>
      </c>
      <c r="Q894">
        <v>0</v>
      </c>
      <c r="R894">
        <v>0</v>
      </c>
      <c r="S894">
        <v>0</v>
      </c>
    </row>
    <row r="895" spans="1:19" x14ac:dyDescent="0.25">
      <c r="A895">
        <v>18075</v>
      </c>
      <c r="B895" t="s">
        <v>66</v>
      </c>
      <c r="C895">
        <v>5</v>
      </c>
      <c r="D895">
        <v>7.2587479457785804</v>
      </c>
      <c r="E895">
        <v>0</v>
      </c>
      <c r="F895">
        <f t="shared" si="27"/>
        <v>1</v>
      </c>
      <c r="G895">
        <v>0</v>
      </c>
      <c r="H895">
        <v>0</v>
      </c>
      <c r="I895">
        <v>1</v>
      </c>
      <c r="J895">
        <v>0</v>
      </c>
      <c r="K895">
        <v>0</v>
      </c>
      <c r="L895">
        <v>0</v>
      </c>
      <c r="M895">
        <f t="shared" si="26"/>
        <v>30</v>
      </c>
      <c r="N895">
        <v>0</v>
      </c>
      <c r="O895">
        <v>0</v>
      </c>
      <c r="P895">
        <v>30</v>
      </c>
      <c r="Q895">
        <v>0</v>
      </c>
      <c r="R895">
        <v>0</v>
      </c>
      <c r="S895">
        <v>0</v>
      </c>
    </row>
    <row r="896" spans="1:19" x14ac:dyDescent="0.25">
      <c r="A896">
        <v>18075</v>
      </c>
      <c r="B896" t="s">
        <v>66</v>
      </c>
      <c r="C896">
        <v>6</v>
      </c>
      <c r="D896">
        <v>8.2124520554429203</v>
      </c>
      <c r="E896">
        <v>0</v>
      </c>
      <c r="F896">
        <f t="shared" si="27"/>
        <v>1</v>
      </c>
      <c r="G896">
        <v>0</v>
      </c>
      <c r="H896">
        <v>0</v>
      </c>
      <c r="I896">
        <v>1</v>
      </c>
      <c r="J896">
        <v>0</v>
      </c>
      <c r="K896">
        <v>0</v>
      </c>
      <c r="L896">
        <v>0</v>
      </c>
      <c r="M896">
        <f t="shared" si="26"/>
        <v>30</v>
      </c>
      <c r="N896">
        <v>0</v>
      </c>
      <c r="O896">
        <v>0</v>
      </c>
      <c r="P896">
        <v>30</v>
      </c>
      <c r="Q896">
        <v>0</v>
      </c>
      <c r="R896">
        <v>0</v>
      </c>
      <c r="S896">
        <v>0</v>
      </c>
    </row>
    <row r="897" spans="1:19" x14ac:dyDescent="0.25">
      <c r="A897">
        <v>18075</v>
      </c>
      <c r="B897" t="s">
        <v>66</v>
      </c>
      <c r="C897">
        <v>7</v>
      </c>
      <c r="D897">
        <v>8.5303534253310307</v>
      </c>
      <c r="E897">
        <v>0</v>
      </c>
      <c r="F897">
        <f t="shared" si="27"/>
        <v>1</v>
      </c>
      <c r="G897">
        <v>0</v>
      </c>
      <c r="H897">
        <v>0</v>
      </c>
      <c r="I897">
        <v>1</v>
      </c>
      <c r="J897">
        <v>0</v>
      </c>
      <c r="K897">
        <v>0</v>
      </c>
      <c r="L897">
        <v>0</v>
      </c>
      <c r="M897">
        <f t="shared" si="26"/>
        <v>30</v>
      </c>
      <c r="N897">
        <v>0</v>
      </c>
      <c r="O897">
        <v>0</v>
      </c>
      <c r="P897">
        <v>30</v>
      </c>
      <c r="Q897">
        <v>0</v>
      </c>
      <c r="R897">
        <v>0</v>
      </c>
      <c r="S897">
        <v>0</v>
      </c>
    </row>
    <row r="898" spans="1:19" x14ac:dyDescent="0.25">
      <c r="A898">
        <v>18075</v>
      </c>
      <c r="B898" t="s">
        <v>66</v>
      </c>
      <c r="C898">
        <v>8</v>
      </c>
      <c r="D898">
        <v>5.8281917812820696</v>
      </c>
      <c r="E898">
        <v>0</v>
      </c>
      <c r="F898">
        <f t="shared" si="27"/>
        <v>1</v>
      </c>
      <c r="G898">
        <v>0</v>
      </c>
      <c r="H898">
        <v>0</v>
      </c>
      <c r="I898">
        <v>1</v>
      </c>
      <c r="J898">
        <v>0</v>
      </c>
      <c r="K898">
        <v>0</v>
      </c>
      <c r="L898">
        <v>0</v>
      </c>
      <c r="M898">
        <f t="shared" ref="M898:M961" si="28">SUM(N898:S898)</f>
        <v>30</v>
      </c>
      <c r="N898">
        <v>0</v>
      </c>
      <c r="O898">
        <v>0</v>
      </c>
      <c r="P898">
        <v>30</v>
      </c>
      <c r="Q898">
        <v>0</v>
      </c>
      <c r="R898">
        <v>0</v>
      </c>
      <c r="S898">
        <v>0</v>
      </c>
    </row>
    <row r="899" spans="1:19" x14ac:dyDescent="0.25">
      <c r="A899">
        <v>18075</v>
      </c>
      <c r="B899" t="s">
        <v>66</v>
      </c>
      <c r="C899">
        <v>9</v>
      </c>
      <c r="D899">
        <v>4.6095698633776401</v>
      </c>
      <c r="E899">
        <v>0</v>
      </c>
      <c r="F899">
        <f t="shared" ref="F899:F962" si="29">SUM(G899:L899)</f>
        <v>1</v>
      </c>
      <c r="G899">
        <v>0</v>
      </c>
      <c r="H899">
        <v>0</v>
      </c>
      <c r="I899">
        <v>1</v>
      </c>
      <c r="J899">
        <v>0</v>
      </c>
      <c r="K899">
        <v>0</v>
      </c>
      <c r="L899">
        <v>0</v>
      </c>
      <c r="M899">
        <f t="shared" si="28"/>
        <v>30</v>
      </c>
      <c r="N899">
        <v>0</v>
      </c>
      <c r="O899">
        <v>0</v>
      </c>
      <c r="P899">
        <v>30</v>
      </c>
      <c r="Q899">
        <v>0</v>
      </c>
      <c r="R899">
        <v>0</v>
      </c>
      <c r="S899">
        <v>0</v>
      </c>
    </row>
    <row r="900" spans="1:19" x14ac:dyDescent="0.25">
      <c r="A900">
        <v>18075</v>
      </c>
      <c r="B900" t="s">
        <v>66</v>
      </c>
      <c r="C900">
        <v>10</v>
      </c>
      <c r="D900">
        <v>5.3513397264498996</v>
      </c>
      <c r="E900">
        <v>0</v>
      </c>
      <c r="F900">
        <f t="shared" si="29"/>
        <v>1</v>
      </c>
      <c r="G900">
        <v>0</v>
      </c>
      <c r="H900">
        <v>0</v>
      </c>
      <c r="I900">
        <v>1</v>
      </c>
      <c r="J900">
        <v>0</v>
      </c>
      <c r="K900">
        <v>0</v>
      </c>
      <c r="L900">
        <v>0</v>
      </c>
      <c r="M900">
        <f t="shared" si="28"/>
        <v>30</v>
      </c>
      <c r="N900">
        <v>0</v>
      </c>
      <c r="O900">
        <v>0</v>
      </c>
      <c r="P900">
        <v>30</v>
      </c>
      <c r="Q900">
        <v>0</v>
      </c>
      <c r="R900">
        <v>0</v>
      </c>
      <c r="S900">
        <v>0</v>
      </c>
    </row>
    <row r="901" spans="1:19" x14ac:dyDescent="0.25">
      <c r="A901">
        <v>18075</v>
      </c>
      <c r="B901" t="s">
        <v>66</v>
      </c>
      <c r="C901">
        <v>11</v>
      </c>
      <c r="D901">
        <v>7.0997972608345199</v>
      </c>
      <c r="E901">
        <v>0</v>
      </c>
      <c r="F901">
        <f t="shared" si="29"/>
        <v>1</v>
      </c>
      <c r="G901">
        <v>0</v>
      </c>
      <c r="H901">
        <v>0</v>
      </c>
      <c r="I901">
        <v>1</v>
      </c>
      <c r="J901">
        <v>0</v>
      </c>
      <c r="K901">
        <v>0</v>
      </c>
      <c r="L901">
        <v>0</v>
      </c>
      <c r="M901">
        <f t="shared" si="28"/>
        <v>30</v>
      </c>
      <c r="N901">
        <v>0</v>
      </c>
      <c r="O901">
        <v>0</v>
      </c>
      <c r="P901">
        <v>30</v>
      </c>
      <c r="Q901">
        <v>0</v>
      </c>
      <c r="R901">
        <v>0</v>
      </c>
      <c r="S901">
        <v>0</v>
      </c>
    </row>
    <row r="902" spans="1:19" x14ac:dyDescent="0.25">
      <c r="A902">
        <v>18075</v>
      </c>
      <c r="B902" t="s">
        <v>66</v>
      </c>
      <c r="C902">
        <v>12</v>
      </c>
      <c r="D902">
        <v>8.1594684937949005</v>
      </c>
      <c r="E902">
        <v>0</v>
      </c>
      <c r="F902">
        <f t="shared" si="29"/>
        <v>1</v>
      </c>
      <c r="G902">
        <v>0</v>
      </c>
      <c r="H902">
        <v>0</v>
      </c>
      <c r="I902">
        <v>1</v>
      </c>
      <c r="J902">
        <v>0</v>
      </c>
      <c r="K902">
        <v>0</v>
      </c>
      <c r="L902">
        <v>0</v>
      </c>
      <c r="M902">
        <f t="shared" si="28"/>
        <v>30</v>
      </c>
      <c r="N902">
        <v>0</v>
      </c>
      <c r="O902">
        <v>0</v>
      </c>
      <c r="P902">
        <v>30</v>
      </c>
      <c r="Q902">
        <v>0</v>
      </c>
      <c r="R902">
        <v>0</v>
      </c>
      <c r="S902">
        <v>0</v>
      </c>
    </row>
    <row r="903" spans="1:19" x14ac:dyDescent="0.25">
      <c r="A903">
        <v>18075</v>
      </c>
      <c r="B903" t="s">
        <v>66</v>
      </c>
      <c r="C903">
        <v>13</v>
      </c>
      <c r="D903">
        <v>6.94084657589047</v>
      </c>
      <c r="E903">
        <v>0</v>
      </c>
      <c r="F903">
        <f t="shared" si="29"/>
        <v>1</v>
      </c>
      <c r="G903">
        <v>0</v>
      </c>
      <c r="H903">
        <v>0</v>
      </c>
      <c r="I903">
        <v>1</v>
      </c>
      <c r="J903">
        <v>0</v>
      </c>
      <c r="K903">
        <v>0</v>
      </c>
      <c r="L903">
        <v>0</v>
      </c>
      <c r="M903">
        <f t="shared" si="28"/>
        <v>30</v>
      </c>
      <c r="N903">
        <v>0</v>
      </c>
      <c r="O903">
        <v>0</v>
      </c>
      <c r="P903">
        <v>30</v>
      </c>
      <c r="Q903">
        <v>0</v>
      </c>
      <c r="R903">
        <v>0</v>
      </c>
      <c r="S903">
        <v>0</v>
      </c>
    </row>
    <row r="904" spans="1:19" x14ac:dyDescent="0.25">
      <c r="A904">
        <v>18075</v>
      </c>
      <c r="B904" t="s">
        <v>66</v>
      </c>
      <c r="C904">
        <v>14</v>
      </c>
      <c r="D904">
        <v>4.9804547949137703</v>
      </c>
      <c r="E904">
        <v>0</v>
      </c>
      <c r="F904">
        <f t="shared" si="29"/>
        <v>1</v>
      </c>
      <c r="G904">
        <v>0</v>
      </c>
      <c r="H904">
        <v>0</v>
      </c>
      <c r="I904">
        <v>1</v>
      </c>
      <c r="J904">
        <v>0</v>
      </c>
      <c r="K904">
        <v>0</v>
      </c>
      <c r="L904">
        <v>0</v>
      </c>
      <c r="M904">
        <f t="shared" si="28"/>
        <v>30</v>
      </c>
      <c r="N904">
        <v>0</v>
      </c>
      <c r="O904">
        <v>0</v>
      </c>
      <c r="P904">
        <v>30</v>
      </c>
      <c r="Q904">
        <v>0</v>
      </c>
      <c r="R904">
        <v>0</v>
      </c>
      <c r="S904">
        <v>0</v>
      </c>
    </row>
    <row r="905" spans="1:19" x14ac:dyDescent="0.25">
      <c r="A905">
        <v>18075</v>
      </c>
      <c r="B905" t="s">
        <v>66</v>
      </c>
      <c r="C905">
        <v>15</v>
      </c>
      <c r="D905">
        <v>4.2386849318415001</v>
      </c>
      <c r="E905">
        <v>0</v>
      </c>
      <c r="F905">
        <f t="shared" si="29"/>
        <v>1</v>
      </c>
      <c r="G905">
        <v>0</v>
      </c>
      <c r="H905">
        <v>0</v>
      </c>
      <c r="I905">
        <v>1</v>
      </c>
      <c r="J905">
        <v>0</v>
      </c>
      <c r="K905">
        <v>0</v>
      </c>
      <c r="L905">
        <v>0</v>
      </c>
      <c r="M905">
        <f t="shared" si="28"/>
        <v>30</v>
      </c>
      <c r="N905">
        <v>0</v>
      </c>
      <c r="O905">
        <v>0</v>
      </c>
      <c r="P905">
        <v>30</v>
      </c>
      <c r="Q905">
        <v>0</v>
      </c>
      <c r="R905">
        <v>0</v>
      </c>
      <c r="S905">
        <v>0</v>
      </c>
    </row>
    <row r="906" spans="1:19" x14ac:dyDescent="0.25">
      <c r="A906">
        <v>18075</v>
      </c>
      <c r="B906" t="s">
        <v>66</v>
      </c>
      <c r="C906">
        <v>16</v>
      </c>
      <c r="D906">
        <v>5.6162575346899901</v>
      </c>
      <c r="E906">
        <v>0</v>
      </c>
      <c r="F906">
        <f t="shared" si="29"/>
        <v>1</v>
      </c>
      <c r="G906">
        <v>0</v>
      </c>
      <c r="H906">
        <v>0</v>
      </c>
      <c r="I906">
        <v>1</v>
      </c>
      <c r="J906">
        <v>0</v>
      </c>
      <c r="K906">
        <v>0</v>
      </c>
      <c r="L906">
        <v>0</v>
      </c>
      <c r="M906">
        <f t="shared" si="28"/>
        <v>30</v>
      </c>
      <c r="N906">
        <v>0</v>
      </c>
      <c r="O906">
        <v>0</v>
      </c>
      <c r="P906">
        <v>30</v>
      </c>
      <c r="Q906">
        <v>0</v>
      </c>
      <c r="R906">
        <v>0</v>
      </c>
      <c r="S906">
        <v>0</v>
      </c>
    </row>
    <row r="907" spans="1:19" x14ac:dyDescent="0.25">
      <c r="A907">
        <v>18075</v>
      </c>
      <c r="B907" t="s">
        <v>66</v>
      </c>
      <c r="C907">
        <v>17</v>
      </c>
      <c r="D907">
        <v>5.08642191820981</v>
      </c>
      <c r="E907">
        <v>0</v>
      </c>
      <c r="F907">
        <f t="shared" si="29"/>
        <v>1</v>
      </c>
      <c r="G907">
        <v>0</v>
      </c>
      <c r="H907">
        <v>0</v>
      </c>
      <c r="I907">
        <v>1</v>
      </c>
      <c r="J907">
        <v>0</v>
      </c>
      <c r="K907">
        <v>0</v>
      </c>
      <c r="L907">
        <v>0</v>
      </c>
      <c r="M907">
        <f t="shared" si="28"/>
        <v>30</v>
      </c>
      <c r="N907">
        <v>0</v>
      </c>
      <c r="O907">
        <v>0</v>
      </c>
      <c r="P907">
        <v>30</v>
      </c>
      <c r="Q907">
        <v>0</v>
      </c>
      <c r="R907">
        <v>0</v>
      </c>
      <c r="S907">
        <v>0</v>
      </c>
    </row>
    <row r="908" spans="1:19" x14ac:dyDescent="0.25">
      <c r="A908">
        <v>18075</v>
      </c>
      <c r="B908" t="s">
        <v>66</v>
      </c>
      <c r="C908">
        <v>18</v>
      </c>
      <c r="D908">
        <v>5.2983561648018798</v>
      </c>
      <c r="E908">
        <v>0</v>
      </c>
      <c r="F908">
        <f t="shared" si="29"/>
        <v>1</v>
      </c>
      <c r="G908">
        <v>0</v>
      </c>
      <c r="H908">
        <v>0</v>
      </c>
      <c r="I908">
        <v>1</v>
      </c>
      <c r="J908">
        <v>0</v>
      </c>
      <c r="K908">
        <v>0</v>
      </c>
      <c r="L908">
        <v>0</v>
      </c>
      <c r="M908">
        <f t="shared" si="28"/>
        <v>30</v>
      </c>
      <c r="N908">
        <v>0</v>
      </c>
      <c r="O908">
        <v>0</v>
      </c>
      <c r="P908">
        <v>30</v>
      </c>
      <c r="Q908">
        <v>0</v>
      </c>
      <c r="R908">
        <v>0</v>
      </c>
      <c r="S908">
        <v>0</v>
      </c>
    </row>
    <row r="909" spans="1:19" x14ac:dyDescent="0.25">
      <c r="A909">
        <v>18075</v>
      </c>
      <c r="B909" t="s">
        <v>66</v>
      </c>
      <c r="C909">
        <v>19</v>
      </c>
      <c r="D909">
        <v>5.7222246579860299</v>
      </c>
      <c r="E909">
        <v>0</v>
      </c>
      <c r="F909">
        <f t="shared" si="29"/>
        <v>1</v>
      </c>
      <c r="G909">
        <v>0</v>
      </c>
      <c r="H909">
        <v>0</v>
      </c>
      <c r="I909">
        <v>1</v>
      </c>
      <c r="J909">
        <v>0</v>
      </c>
      <c r="K909">
        <v>0</v>
      </c>
      <c r="L909">
        <v>0</v>
      </c>
      <c r="M909">
        <f t="shared" si="28"/>
        <v>30</v>
      </c>
      <c r="N909">
        <v>0</v>
      </c>
      <c r="O909">
        <v>0</v>
      </c>
      <c r="P909">
        <v>30</v>
      </c>
      <c r="Q909">
        <v>0</v>
      </c>
      <c r="R909">
        <v>0</v>
      </c>
      <c r="S909">
        <v>0</v>
      </c>
    </row>
    <row r="910" spans="1:19" x14ac:dyDescent="0.25">
      <c r="A910">
        <v>18075</v>
      </c>
      <c r="B910" t="s">
        <v>66</v>
      </c>
      <c r="C910">
        <v>20</v>
      </c>
      <c r="D910">
        <v>6.3050438361142396</v>
      </c>
      <c r="E910">
        <v>0</v>
      </c>
      <c r="F910">
        <f t="shared" si="29"/>
        <v>1</v>
      </c>
      <c r="G910">
        <v>0</v>
      </c>
      <c r="H910">
        <v>0</v>
      </c>
      <c r="I910">
        <v>1</v>
      </c>
      <c r="J910">
        <v>0</v>
      </c>
      <c r="K910">
        <v>0</v>
      </c>
      <c r="L910">
        <v>0</v>
      </c>
      <c r="M910">
        <f t="shared" si="28"/>
        <v>30</v>
      </c>
      <c r="N910">
        <v>0</v>
      </c>
      <c r="O910">
        <v>0</v>
      </c>
      <c r="P910">
        <v>30</v>
      </c>
      <c r="Q910">
        <v>0</v>
      </c>
      <c r="R910">
        <v>0</v>
      </c>
      <c r="S910">
        <v>0</v>
      </c>
    </row>
    <row r="911" spans="1:19" x14ac:dyDescent="0.25">
      <c r="A911">
        <v>18075</v>
      </c>
      <c r="B911" t="s">
        <v>66</v>
      </c>
      <c r="C911">
        <v>21</v>
      </c>
      <c r="D911">
        <v>6.7818958909464104</v>
      </c>
      <c r="E911">
        <v>0</v>
      </c>
      <c r="F911">
        <f t="shared" si="29"/>
        <v>1</v>
      </c>
      <c r="G911">
        <v>0</v>
      </c>
      <c r="H911">
        <v>0</v>
      </c>
      <c r="I911">
        <v>1</v>
      </c>
      <c r="J911">
        <v>0</v>
      </c>
      <c r="K911">
        <v>0</v>
      </c>
      <c r="L911">
        <v>0</v>
      </c>
      <c r="M911">
        <f t="shared" si="28"/>
        <v>30</v>
      </c>
      <c r="N911">
        <v>0</v>
      </c>
      <c r="O911">
        <v>0</v>
      </c>
      <c r="P911">
        <v>30</v>
      </c>
      <c r="Q911">
        <v>0</v>
      </c>
      <c r="R911">
        <v>0</v>
      </c>
      <c r="S911">
        <v>0</v>
      </c>
    </row>
    <row r="912" spans="1:19" x14ac:dyDescent="0.25">
      <c r="A912">
        <v>18075</v>
      </c>
      <c r="B912" t="s">
        <v>66</v>
      </c>
      <c r="C912">
        <v>22</v>
      </c>
      <c r="D912">
        <v>7.0468136991865</v>
      </c>
      <c r="E912">
        <v>0</v>
      </c>
      <c r="F912">
        <f t="shared" si="29"/>
        <v>1</v>
      </c>
      <c r="G912">
        <v>0</v>
      </c>
      <c r="H912">
        <v>0</v>
      </c>
      <c r="I912">
        <v>1</v>
      </c>
      <c r="J912">
        <v>0</v>
      </c>
      <c r="K912">
        <v>0</v>
      </c>
      <c r="L912">
        <v>0</v>
      </c>
      <c r="M912">
        <f t="shared" si="28"/>
        <v>30</v>
      </c>
      <c r="N912">
        <v>0</v>
      </c>
      <c r="O912">
        <v>0</v>
      </c>
      <c r="P912">
        <v>30</v>
      </c>
      <c r="Q912">
        <v>0</v>
      </c>
      <c r="R912">
        <v>0</v>
      </c>
      <c r="S912">
        <v>0</v>
      </c>
    </row>
    <row r="913" spans="1:19" x14ac:dyDescent="0.25">
      <c r="A913">
        <v>18075</v>
      </c>
      <c r="B913" t="s">
        <v>66</v>
      </c>
      <c r="C913">
        <v>23</v>
      </c>
      <c r="D913">
        <v>7.2587479457785804</v>
      </c>
      <c r="E913">
        <v>0</v>
      </c>
      <c r="F913">
        <f t="shared" si="29"/>
        <v>1</v>
      </c>
      <c r="G913">
        <v>0</v>
      </c>
      <c r="H913">
        <v>0</v>
      </c>
      <c r="I913">
        <v>1</v>
      </c>
      <c r="J913">
        <v>0</v>
      </c>
      <c r="K913">
        <v>0</v>
      </c>
      <c r="L913">
        <v>0</v>
      </c>
      <c r="M913">
        <f t="shared" si="28"/>
        <v>30</v>
      </c>
      <c r="N913">
        <v>0</v>
      </c>
      <c r="O913">
        <v>0</v>
      </c>
      <c r="P913">
        <v>30</v>
      </c>
      <c r="Q913">
        <v>0</v>
      </c>
      <c r="R913">
        <v>0</v>
      </c>
      <c r="S913">
        <v>0</v>
      </c>
    </row>
    <row r="914" spans="1:19" x14ac:dyDescent="0.25">
      <c r="A914">
        <v>18077</v>
      </c>
      <c r="B914" t="s">
        <v>67</v>
      </c>
      <c r="C914">
        <v>0</v>
      </c>
      <c r="D914">
        <v>0</v>
      </c>
      <c r="E914">
        <v>0.51585540764854898</v>
      </c>
      <c r="F914">
        <f t="shared" si="29"/>
        <v>0</v>
      </c>
      <c r="G914">
        <v>0</v>
      </c>
      <c r="H914">
        <v>0</v>
      </c>
      <c r="I914">
        <v>0</v>
      </c>
      <c r="J914">
        <v>0</v>
      </c>
      <c r="K914">
        <v>0</v>
      </c>
      <c r="L914">
        <v>0</v>
      </c>
      <c r="M914">
        <f t="shared" si="28"/>
        <v>0</v>
      </c>
      <c r="N914">
        <v>0</v>
      </c>
      <c r="O914">
        <v>0</v>
      </c>
      <c r="P914">
        <v>0</v>
      </c>
      <c r="Q914">
        <v>0</v>
      </c>
      <c r="R914">
        <v>0</v>
      </c>
      <c r="S914">
        <v>0</v>
      </c>
    </row>
    <row r="915" spans="1:19" x14ac:dyDescent="0.25">
      <c r="A915">
        <v>18077</v>
      </c>
      <c r="B915" t="s">
        <v>67</v>
      </c>
      <c r="C915">
        <v>1</v>
      </c>
      <c r="D915">
        <v>0</v>
      </c>
      <c r="E915">
        <v>0.51585540764854898</v>
      </c>
      <c r="F915">
        <f t="shared" si="29"/>
        <v>0</v>
      </c>
      <c r="G915">
        <v>0</v>
      </c>
      <c r="H915">
        <v>0</v>
      </c>
      <c r="I915">
        <v>0</v>
      </c>
      <c r="J915">
        <v>0</v>
      </c>
      <c r="K915">
        <v>0</v>
      </c>
      <c r="L915">
        <v>0</v>
      </c>
      <c r="M915">
        <f t="shared" si="28"/>
        <v>0</v>
      </c>
      <c r="N915">
        <v>0</v>
      </c>
      <c r="O915">
        <v>0</v>
      </c>
      <c r="P915">
        <v>0</v>
      </c>
      <c r="Q915">
        <v>0</v>
      </c>
      <c r="R915">
        <v>0</v>
      </c>
      <c r="S915">
        <v>0</v>
      </c>
    </row>
    <row r="916" spans="1:19" x14ac:dyDescent="0.25">
      <c r="A916">
        <v>18077</v>
      </c>
      <c r="B916" t="s">
        <v>67</v>
      </c>
      <c r="C916">
        <v>2</v>
      </c>
      <c r="D916">
        <v>0</v>
      </c>
      <c r="E916">
        <v>0.58954903731262698</v>
      </c>
      <c r="F916">
        <f t="shared" si="29"/>
        <v>0</v>
      </c>
      <c r="G916">
        <v>0</v>
      </c>
      <c r="H916">
        <v>0</v>
      </c>
      <c r="I916">
        <v>0</v>
      </c>
      <c r="J916">
        <v>0</v>
      </c>
      <c r="K916">
        <v>0</v>
      </c>
      <c r="L916">
        <v>0</v>
      </c>
      <c r="M916">
        <f t="shared" si="28"/>
        <v>0</v>
      </c>
      <c r="N916">
        <v>0</v>
      </c>
      <c r="O916">
        <v>0</v>
      </c>
      <c r="P916">
        <v>0</v>
      </c>
      <c r="Q916">
        <v>0</v>
      </c>
      <c r="R916">
        <v>0</v>
      </c>
      <c r="S916">
        <v>0</v>
      </c>
    </row>
    <row r="917" spans="1:19" x14ac:dyDescent="0.25">
      <c r="A917">
        <v>18077</v>
      </c>
      <c r="B917" t="s">
        <v>67</v>
      </c>
      <c r="C917">
        <v>3</v>
      </c>
      <c r="D917">
        <v>0</v>
      </c>
      <c r="E917">
        <v>0.58954903731262698</v>
      </c>
      <c r="F917">
        <f t="shared" si="29"/>
        <v>0</v>
      </c>
      <c r="G917">
        <v>0</v>
      </c>
      <c r="H917">
        <v>0</v>
      </c>
      <c r="I917">
        <v>0</v>
      </c>
      <c r="J917">
        <v>0</v>
      </c>
      <c r="K917">
        <v>0</v>
      </c>
      <c r="L917">
        <v>0</v>
      </c>
      <c r="M917">
        <f t="shared" si="28"/>
        <v>0</v>
      </c>
      <c r="N917">
        <v>0</v>
      </c>
      <c r="O917">
        <v>0</v>
      </c>
      <c r="P917">
        <v>0</v>
      </c>
      <c r="Q917">
        <v>0</v>
      </c>
      <c r="R917">
        <v>0</v>
      </c>
      <c r="S917">
        <v>0</v>
      </c>
    </row>
    <row r="918" spans="1:19" x14ac:dyDescent="0.25">
      <c r="A918">
        <v>18077</v>
      </c>
      <c r="B918" t="s">
        <v>67</v>
      </c>
      <c r="C918">
        <v>4</v>
      </c>
      <c r="D918">
        <v>0</v>
      </c>
      <c r="E918">
        <v>0.47900859281650998</v>
      </c>
      <c r="F918">
        <f t="shared" si="29"/>
        <v>0</v>
      </c>
      <c r="G918">
        <v>0</v>
      </c>
      <c r="H918">
        <v>0</v>
      </c>
      <c r="I918">
        <v>0</v>
      </c>
      <c r="J918">
        <v>0</v>
      </c>
      <c r="K918">
        <v>0</v>
      </c>
      <c r="L918">
        <v>0</v>
      </c>
      <c r="M918">
        <f t="shared" si="28"/>
        <v>0</v>
      </c>
      <c r="N918">
        <v>0</v>
      </c>
      <c r="O918">
        <v>0</v>
      </c>
      <c r="P918">
        <v>0</v>
      </c>
      <c r="Q918">
        <v>0</v>
      </c>
      <c r="R918">
        <v>0</v>
      </c>
      <c r="S918">
        <v>0</v>
      </c>
    </row>
    <row r="919" spans="1:19" x14ac:dyDescent="0.25">
      <c r="A919">
        <v>18077</v>
      </c>
      <c r="B919" t="s">
        <v>67</v>
      </c>
      <c r="C919">
        <v>5</v>
      </c>
      <c r="D919">
        <v>0</v>
      </c>
      <c r="E919">
        <v>0.84747674113690197</v>
      </c>
      <c r="F919">
        <f t="shared" si="29"/>
        <v>0</v>
      </c>
      <c r="G919">
        <v>0</v>
      </c>
      <c r="H919">
        <v>0</v>
      </c>
      <c r="I919">
        <v>0</v>
      </c>
      <c r="J919">
        <v>0</v>
      </c>
      <c r="K919">
        <v>0</v>
      </c>
      <c r="L919">
        <v>0</v>
      </c>
      <c r="M919">
        <f t="shared" si="28"/>
        <v>0</v>
      </c>
      <c r="N919">
        <v>0</v>
      </c>
      <c r="O919">
        <v>0</v>
      </c>
      <c r="P919">
        <v>0</v>
      </c>
      <c r="Q919">
        <v>0</v>
      </c>
      <c r="R919">
        <v>0</v>
      </c>
      <c r="S919">
        <v>0</v>
      </c>
    </row>
    <row r="920" spans="1:19" x14ac:dyDescent="0.25">
      <c r="A920">
        <v>18077</v>
      </c>
      <c r="B920" t="s">
        <v>67</v>
      </c>
      <c r="C920">
        <v>6</v>
      </c>
      <c r="D920">
        <v>0</v>
      </c>
      <c r="E920">
        <v>1.21594488945729</v>
      </c>
      <c r="F920">
        <f t="shared" si="29"/>
        <v>0</v>
      </c>
      <c r="G920">
        <v>0</v>
      </c>
      <c r="H920">
        <v>0</v>
      </c>
      <c r="I920">
        <v>0</v>
      </c>
      <c r="J920">
        <v>0</v>
      </c>
      <c r="K920">
        <v>0</v>
      </c>
      <c r="L920">
        <v>0</v>
      </c>
      <c r="M920">
        <f t="shared" si="28"/>
        <v>0</v>
      </c>
      <c r="N920">
        <v>0</v>
      </c>
      <c r="O920">
        <v>0</v>
      </c>
      <c r="P920">
        <v>0</v>
      </c>
      <c r="Q920">
        <v>0</v>
      </c>
      <c r="R920">
        <v>0</v>
      </c>
      <c r="S920">
        <v>0</v>
      </c>
    </row>
    <row r="921" spans="1:19" x14ac:dyDescent="0.25">
      <c r="A921">
        <v>18077</v>
      </c>
      <c r="B921" t="s">
        <v>67</v>
      </c>
      <c r="C921">
        <v>7</v>
      </c>
      <c r="D921">
        <v>0</v>
      </c>
      <c r="E921">
        <v>2.9108983717310899</v>
      </c>
      <c r="F921">
        <f t="shared" si="29"/>
        <v>0</v>
      </c>
      <c r="G921">
        <v>0</v>
      </c>
      <c r="H921">
        <v>0</v>
      </c>
      <c r="I921">
        <v>0</v>
      </c>
      <c r="J921">
        <v>0</v>
      </c>
      <c r="K921">
        <v>0</v>
      </c>
      <c r="L921">
        <v>0</v>
      </c>
      <c r="M921">
        <f t="shared" si="28"/>
        <v>0</v>
      </c>
      <c r="N921">
        <v>0</v>
      </c>
      <c r="O921">
        <v>0</v>
      </c>
      <c r="P921">
        <v>0</v>
      </c>
      <c r="Q921">
        <v>0</v>
      </c>
      <c r="R921">
        <v>0</v>
      </c>
      <c r="S921">
        <v>0</v>
      </c>
    </row>
    <row r="922" spans="1:19" x14ac:dyDescent="0.25">
      <c r="A922">
        <v>18077</v>
      </c>
      <c r="B922" t="s">
        <v>67</v>
      </c>
      <c r="C922">
        <v>8</v>
      </c>
      <c r="D922">
        <v>0</v>
      </c>
      <c r="E922">
        <v>3.1319792607233299</v>
      </c>
      <c r="F922">
        <f t="shared" si="29"/>
        <v>0</v>
      </c>
      <c r="G922">
        <v>0</v>
      </c>
      <c r="H922">
        <v>0</v>
      </c>
      <c r="I922">
        <v>0</v>
      </c>
      <c r="J922">
        <v>0</v>
      </c>
      <c r="K922">
        <v>0</v>
      </c>
      <c r="L922">
        <v>0</v>
      </c>
      <c r="M922">
        <f t="shared" si="28"/>
        <v>0</v>
      </c>
      <c r="N922">
        <v>0</v>
      </c>
      <c r="O922">
        <v>0</v>
      </c>
      <c r="P922">
        <v>0</v>
      </c>
      <c r="Q922">
        <v>0</v>
      </c>
      <c r="R922">
        <v>0</v>
      </c>
      <c r="S922">
        <v>0</v>
      </c>
    </row>
    <row r="923" spans="1:19" x14ac:dyDescent="0.25">
      <c r="A923">
        <v>18077</v>
      </c>
      <c r="B923" t="s">
        <v>67</v>
      </c>
      <c r="C923">
        <v>9</v>
      </c>
      <c r="D923">
        <v>0</v>
      </c>
      <c r="E923">
        <v>3.0951324458912901</v>
      </c>
      <c r="F923">
        <f t="shared" si="29"/>
        <v>0</v>
      </c>
      <c r="G923">
        <v>0</v>
      </c>
      <c r="H923">
        <v>0</v>
      </c>
      <c r="I923">
        <v>0</v>
      </c>
      <c r="J923">
        <v>0</v>
      </c>
      <c r="K923">
        <v>0</v>
      </c>
      <c r="L923">
        <v>0</v>
      </c>
      <c r="M923">
        <f t="shared" si="28"/>
        <v>0</v>
      </c>
      <c r="N923">
        <v>0</v>
      </c>
      <c r="O923">
        <v>0</v>
      </c>
      <c r="P923">
        <v>0</v>
      </c>
      <c r="Q923">
        <v>0</v>
      </c>
      <c r="R923">
        <v>0</v>
      </c>
      <c r="S923">
        <v>0</v>
      </c>
    </row>
    <row r="924" spans="1:19" x14ac:dyDescent="0.25">
      <c r="A924">
        <v>18077</v>
      </c>
      <c r="B924" t="s">
        <v>67</v>
      </c>
      <c r="C924">
        <v>10</v>
      </c>
      <c r="D924">
        <v>0</v>
      </c>
      <c r="E924">
        <v>4.1268432611883901</v>
      </c>
      <c r="F924">
        <f t="shared" si="29"/>
        <v>0</v>
      </c>
      <c r="G924">
        <v>0</v>
      </c>
      <c r="H924">
        <v>0</v>
      </c>
      <c r="I924">
        <v>0</v>
      </c>
      <c r="J924">
        <v>0</v>
      </c>
      <c r="K924">
        <v>0</v>
      </c>
      <c r="L924">
        <v>0</v>
      </c>
      <c r="M924">
        <f t="shared" si="28"/>
        <v>0</v>
      </c>
      <c r="N924">
        <v>0</v>
      </c>
      <c r="O924">
        <v>0</v>
      </c>
      <c r="P924">
        <v>0</v>
      </c>
      <c r="Q924">
        <v>0</v>
      </c>
      <c r="R924">
        <v>0</v>
      </c>
      <c r="S924">
        <v>0</v>
      </c>
    </row>
    <row r="925" spans="1:19" x14ac:dyDescent="0.25">
      <c r="A925">
        <v>18077</v>
      </c>
      <c r="B925" t="s">
        <v>67</v>
      </c>
      <c r="C925">
        <v>11</v>
      </c>
      <c r="D925">
        <v>0</v>
      </c>
      <c r="E925">
        <v>4.8637795578291696</v>
      </c>
      <c r="F925">
        <f t="shared" si="29"/>
        <v>0</v>
      </c>
      <c r="G925">
        <v>0</v>
      </c>
      <c r="H925">
        <v>0</v>
      </c>
      <c r="I925">
        <v>0</v>
      </c>
      <c r="J925">
        <v>0</v>
      </c>
      <c r="K925">
        <v>0</v>
      </c>
      <c r="L925">
        <v>0</v>
      </c>
      <c r="M925">
        <f t="shared" si="28"/>
        <v>0</v>
      </c>
      <c r="N925">
        <v>0</v>
      </c>
      <c r="O925">
        <v>0</v>
      </c>
      <c r="P925">
        <v>0</v>
      </c>
      <c r="Q925">
        <v>0</v>
      </c>
      <c r="R925">
        <v>0</v>
      </c>
      <c r="S925">
        <v>0</v>
      </c>
    </row>
    <row r="926" spans="1:19" x14ac:dyDescent="0.25">
      <c r="A926">
        <v>18077</v>
      </c>
      <c r="B926" t="s">
        <v>67</v>
      </c>
      <c r="C926">
        <v>12</v>
      </c>
      <c r="D926">
        <v>0</v>
      </c>
      <c r="E926">
        <v>2.1371152602582701</v>
      </c>
      <c r="F926">
        <f t="shared" si="29"/>
        <v>0</v>
      </c>
      <c r="G926">
        <v>0</v>
      </c>
      <c r="H926">
        <v>0</v>
      </c>
      <c r="I926">
        <v>0</v>
      </c>
      <c r="J926">
        <v>0</v>
      </c>
      <c r="K926">
        <v>0</v>
      </c>
      <c r="L926">
        <v>0</v>
      </c>
      <c r="M926">
        <f t="shared" si="28"/>
        <v>0</v>
      </c>
      <c r="N926">
        <v>0</v>
      </c>
      <c r="O926">
        <v>0</v>
      </c>
      <c r="P926">
        <v>0</v>
      </c>
      <c r="Q926">
        <v>0</v>
      </c>
      <c r="R926">
        <v>0</v>
      </c>
      <c r="S926">
        <v>0</v>
      </c>
    </row>
    <row r="927" spans="1:19" x14ac:dyDescent="0.25">
      <c r="A927">
        <v>18077</v>
      </c>
      <c r="B927" t="s">
        <v>67</v>
      </c>
      <c r="C927">
        <v>13</v>
      </c>
      <c r="D927">
        <v>0</v>
      </c>
      <c r="E927">
        <v>1.28963851912137</v>
      </c>
      <c r="F927">
        <f t="shared" si="29"/>
        <v>0</v>
      </c>
      <c r="G927">
        <v>0</v>
      </c>
      <c r="H927">
        <v>0</v>
      </c>
      <c r="I927">
        <v>0</v>
      </c>
      <c r="J927">
        <v>0</v>
      </c>
      <c r="K927">
        <v>0</v>
      </c>
      <c r="L927">
        <v>0</v>
      </c>
      <c r="M927">
        <f t="shared" si="28"/>
        <v>0</v>
      </c>
      <c r="N927">
        <v>0</v>
      </c>
      <c r="O927">
        <v>0</v>
      </c>
      <c r="P927">
        <v>0</v>
      </c>
      <c r="Q927">
        <v>0</v>
      </c>
      <c r="R927">
        <v>0</v>
      </c>
      <c r="S927">
        <v>0</v>
      </c>
    </row>
    <row r="928" spans="1:19" x14ac:dyDescent="0.25">
      <c r="A928">
        <v>18077</v>
      </c>
      <c r="B928" t="s">
        <v>67</v>
      </c>
      <c r="C928">
        <v>14</v>
      </c>
      <c r="D928">
        <v>0</v>
      </c>
      <c r="E928">
        <v>0.88432355596894097</v>
      </c>
      <c r="F928">
        <f t="shared" si="29"/>
        <v>0</v>
      </c>
      <c r="G928">
        <v>0</v>
      </c>
      <c r="H928">
        <v>0</v>
      </c>
      <c r="I928">
        <v>0</v>
      </c>
      <c r="J928">
        <v>0</v>
      </c>
      <c r="K928">
        <v>0</v>
      </c>
      <c r="L928">
        <v>0</v>
      </c>
      <c r="M928">
        <f t="shared" si="28"/>
        <v>0</v>
      </c>
      <c r="N928">
        <v>0</v>
      </c>
      <c r="O928">
        <v>0</v>
      </c>
      <c r="P928">
        <v>0</v>
      </c>
      <c r="Q928">
        <v>0</v>
      </c>
      <c r="R928">
        <v>0</v>
      </c>
      <c r="S928">
        <v>0</v>
      </c>
    </row>
    <row r="929" spans="1:19" x14ac:dyDescent="0.25">
      <c r="A929">
        <v>18077</v>
      </c>
      <c r="B929" t="s">
        <v>67</v>
      </c>
      <c r="C929">
        <v>15</v>
      </c>
      <c r="D929">
        <v>0</v>
      </c>
      <c r="E929">
        <v>0.33162133348835299</v>
      </c>
      <c r="F929">
        <f t="shared" si="29"/>
        <v>0</v>
      </c>
      <c r="G929">
        <v>0</v>
      </c>
      <c r="H929">
        <v>0</v>
      </c>
      <c r="I929">
        <v>0</v>
      </c>
      <c r="J929">
        <v>0</v>
      </c>
      <c r="K929">
        <v>0</v>
      </c>
      <c r="L929">
        <v>0</v>
      </c>
      <c r="M929">
        <f t="shared" si="28"/>
        <v>0</v>
      </c>
      <c r="N929">
        <v>0</v>
      </c>
      <c r="O929">
        <v>0</v>
      </c>
      <c r="P929">
        <v>0</v>
      </c>
      <c r="Q929">
        <v>0</v>
      </c>
      <c r="R929">
        <v>0</v>
      </c>
      <c r="S929">
        <v>0</v>
      </c>
    </row>
    <row r="930" spans="1:19" x14ac:dyDescent="0.25">
      <c r="A930">
        <v>18077</v>
      </c>
      <c r="B930" t="s">
        <v>67</v>
      </c>
      <c r="C930">
        <v>16</v>
      </c>
      <c r="D930">
        <v>0</v>
      </c>
      <c r="E930">
        <v>0.33162133348835299</v>
      </c>
      <c r="F930">
        <f t="shared" si="29"/>
        <v>0</v>
      </c>
      <c r="G930">
        <v>0</v>
      </c>
      <c r="H930">
        <v>0</v>
      </c>
      <c r="I930">
        <v>0</v>
      </c>
      <c r="J930">
        <v>0</v>
      </c>
      <c r="K930">
        <v>0</v>
      </c>
      <c r="L930">
        <v>0</v>
      </c>
      <c r="M930">
        <f t="shared" si="28"/>
        <v>0</v>
      </c>
      <c r="N930">
        <v>0</v>
      </c>
      <c r="O930">
        <v>0</v>
      </c>
      <c r="P930">
        <v>0</v>
      </c>
      <c r="Q930">
        <v>0</v>
      </c>
      <c r="R930">
        <v>0</v>
      </c>
      <c r="S930">
        <v>0</v>
      </c>
    </row>
    <row r="931" spans="1:19" x14ac:dyDescent="0.25">
      <c r="A931">
        <v>18077</v>
      </c>
      <c r="B931" t="s">
        <v>67</v>
      </c>
      <c r="C931">
        <v>17</v>
      </c>
      <c r="D931">
        <v>0</v>
      </c>
      <c r="E931">
        <v>0.40531496315243098</v>
      </c>
      <c r="F931">
        <f t="shared" si="29"/>
        <v>0</v>
      </c>
      <c r="G931">
        <v>0</v>
      </c>
      <c r="H931">
        <v>0</v>
      </c>
      <c r="I931">
        <v>0</v>
      </c>
      <c r="J931">
        <v>0</v>
      </c>
      <c r="K931">
        <v>0</v>
      </c>
      <c r="L931">
        <v>0</v>
      </c>
      <c r="M931">
        <f t="shared" si="28"/>
        <v>0</v>
      </c>
      <c r="N931">
        <v>0</v>
      </c>
      <c r="O931">
        <v>0</v>
      </c>
      <c r="P931">
        <v>0</v>
      </c>
      <c r="Q931">
        <v>0</v>
      </c>
      <c r="R931">
        <v>0</v>
      </c>
      <c r="S931">
        <v>0</v>
      </c>
    </row>
    <row r="932" spans="1:19" x14ac:dyDescent="0.25">
      <c r="A932">
        <v>18077</v>
      </c>
      <c r="B932" t="s">
        <v>67</v>
      </c>
      <c r="C932">
        <v>18</v>
      </c>
      <c r="D932">
        <v>0</v>
      </c>
      <c r="E932">
        <v>0.36846814832039199</v>
      </c>
      <c r="F932">
        <f t="shared" si="29"/>
        <v>0</v>
      </c>
      <c r="G932">
        <v>0</v>
      </c>
      <c r="H932">
        <v>0</v>
      </c>
      <c r="I932">
        <v>0</v>
      </c>
      <c r="J932">
        <v>0</v>
      </c>
      <c r="K932">
        <v>0</v>
      </c>
      <c r="L932">
        <v>0</v>
      </c>
      <c r="M932">
        <f t="shared" si="28"/>
        <v>0</v>
      </c>
      <c r="N932">
        <v>0</v>
      </c>
      <c r="O932">
        <v>0</v>
      </c>
      <c r="P932">
        <v>0</v>
      </c>
      <c r="Q932">
        <v>0</v>
      </c>
      <c r="R932">
        <v>0</v>
      </c>
      <c r="S932">
        <v>0</v>
      </c>
    </row>
    <row r="933" spans="1:19" x14ac:dyDescent="0.25">
      <c r="A933">
        <v>18077</v>
      </c>
      <c r="B933" t="s">
        <v>67</v>
      </c>
      <c r="C933">
        <v>19</v>
      </c>
      <c r="D933">
        <v>0</v>
      </c>
      <c r="E933">
        <v>0.44216177798446998</v>
      </c>
      <c r="F933">
        <f t="shared" si="29"/>
        <v>0</v>
      </c>
      <c r="G933">
        <v>0</v>
      </c>
      <c r="H933">
        <v>0</v>
      </c>
      <c r="I933">
        <v>0</v>
      </c>
      <c r="J933">
        <v>0</v>
      </c>
      <c r="K933">
        <v>0</v>
      </c>
      <c r="L933">
        <v>0</v>
      </c>
      <c r="M933">
        <f t="shared" si="28"/>
        <v>0</v>
      </c>
      <c r="N933">
        <v>0</v>
      </c>
      <c r="O933">
        <v>0</v>
      </c>
      <c r="P933">
        <v>0</v>
      </c>
      <c r="Q933">
        <v>0</v>
      </c>
      <c r="R933">
        <v>0</v>
      </c>
      <c r="S933">
        <v>0</v>
      </c>
    </row>
    <row r="934" spans="1:19" x14ac:dyDescent="0.25">
      <c r="A934">
        <v>18077</v>
      </c>
      <c r="B934" t="s">
        <v>67</v>
      </c>
      <c r="C934">
        <v>20</v>
      </c>
      <c r="D934">
        <v>0</v>
      </c>
      <c r="E934">
        <v>0.44216177798446998</v>
      </c>
      <c r="F934">
        <f t="shared" si="29"/>
        <v>0</v>
      </c>
      <c r="G934">
        <v>0</v>
      </c>
      <c r="H934">
        <v>0</v>
      </c>
      <c r="I934">
        <v>0</v>
      </c>
      <c r="J934">
        <v>0</v>
      </c>
      <c r="K934">
        <v>0</v>
      </c>
      <c r="L934">
        <v>0</v>
      </c>
      <c r="M934">
        <f t="shared" si="28"/>
        <v>0</v>
      </c>
      <c r="N934">
        <v>0</v>
      </c>
      <c r="O934">
        <v>0</v>
      </c>
      <c r="P934">
        <v>0</v>
      </c>
      <c r="Q934">
        <v>0</v>
      </c>
      <c r="R934">
        <v>0</v>
      </c>
      <c r="S934">
        <v>0</v>
      </c>
    </row>
    <row r="935" spans="1:19" x14ac:dyDescent="0.25">
      <c r="A935">
        <v>18077</v>
      </c>
      <c r="B935" t="s">
        <v>67</v>
      </c>
      <c r="C935">
        <v>21</v>
      </c>
      <c r="D935">
        <v>0</v>
      </c>
      <c r="E935">
        <v>0.51585540764854898</v>
      </c>
      <c r="F935">
        <f t="shared" si="29"/>
        <v>0</v>
      </c>
      <c r="G935">
        <v>0</v>
      </c>
      <c r="H935">
        <v>0</v>
      </c>
      <c r="I935">
        <v>0</v>
      </c>
      <c r="J935">
        <v>0</v>
      </c>
      <c r="K935">
        <v>0</v>
      </c>
      <c r="L935">
        <v>0</v>
      </c>
      <c r="M935">
        <f t="shared" si="28"/>
        <v>0</v>
      </c>
      <c r="N935">
        <v>0</v>
      </c>
      <c r="O935">
        <v>0</v>
      </c>
      <c r="P935">
        <v>0</v>
      </c>
      <c r="Q935">
        <v>0</v>
      </c>
      <c r="R935">
        <v>0</v>
      </c>
      <c r="S935">
        <v>0</v>
      </c>
    </row>
    <row r="936" spans="1:19" x14ac:dyDescent="0.25">
      <c r="A936">
        <v>18077</v>
      </c>
      <c r="B936" t="s">
        <v>67</v>
      </c>
      <c r="C936">
        <v>22</v>
      </c>
      <c r="D936">
        <v>0</v>
      </c>
      <c r="E936">
        <v>0.51585540764854898</v>
      </c>
      <c r="F936">
        <f t="shared" si="29"/>
        <v>0</v>
      </c>
      <c r="G936">
        <v>0</v>
      </c>
      <c r="H936">
        <v>0</v>
      </c>
      <c r="I936">
        <v>0</v>
      </c>
      <c r="J936">
        <v>0</v>
      </c>
      <c r="K936">
        <v>0</v>
      </c>
      <c r="L936">
        <v>0</v>
      </c>
      <c r="M936">
        <f t="shared" si="28"/>
        <v>0</v>
      </c>
      <c r="N936">
        <v>0</v>
      </c>
      <c r="O936">
        <v>0</v>
      </c>
      <c r="P936">
        <v>0</v>
      </c>
      <c r="Q936">
        <v>0</v>
      </c>
      <c r="R936">
        <v>0</v>
      </c>
      <c r="S936">
        <v>0</v>
      </c>
    </row>
    <row r="937" spans="1:19" x14ac:dyDescent="0.25">
      <c r="A937">
        <v>18077</v>
      </c>
      <c r="B937" t="s">
        <v>67</v>
      </c>
      <c r="C937">
        <v>23</v>
      </c>
      <c r="D937">
        <v>0</v>
      </c>
      <c r="E937">
        <v>0.51585540764854898</v>
      </c>
      <c r="F937">
        <f t="shared" si="29"/>
        <v>0</v>
      </c>
      <c r="G937">
        <v>0</v>
      </c>
      <c r="H937">
        <v>0</v>
      </c>
      <c r="I937">
        <v>0</v>
      </c>
      <c r="J937">
        <v>0</v>
      </c>
      <c r="K937">
        <v>0</v>
      </c>
      <c r="L937">
        <v>0</v>
      </c>
      <c r="M937">
        <f t="shared" si="28"/>
        <v>0</v>
      </c>
      <c r="N937">
        <v>0</v>
      </c>
      <c r="O937">
        <v>0</v>
      </c>
      <c r="P937">
        <v>0</v>
      </c>
      <c r="Q937">
        <v>0</v>
      </c>
      <c r="R937">
        <v>0</v>
      </c>
      <c r="S937">
        <v>0</v>
      </c>
    </row>
    <row r="938" spans="1:19" x14ac:dyDescent="0.25">
      <c r="A938">
        <v>18079</v>
      </c>
      <c r="B938" t="s">
        <v>68</v>
      </c>
      <c r="C938">
        <v>0</v>
      </c>
      <c r="D938">
        <v>8.9774193548387107</v>
      </c>
      <c r="E938">
        <v>0.32150537634408599</v>
      </c>
      <c r="F938">
        <f t="shared" si="29"/>
        <v>1</v>
      </c>
      <c r="G938">
        <v>0</v>
      </c>
      <c r="H938">
        <v>0</v>
      </c>
      <c r="I938">
        <v>1</v>
      </c>
      <c r="J938">
        <v>0</v>
      </c>
      <c r="K938">
        <v>0</v>
      </c>
      <c r="L938">
        <v>0</v>
      </c>
      <c r="M938">
        <f t="shared" si="28"/>
        <v>8</v>
      </c>
      <c r="N938">
        <v>0</v>
      </c>
      <c r="O938">
        <v>0</v>
      </c>
      <c r="P938">
        <v>8</v>
      </c>
      <c r="Q938">
        <v>0</v>
      </c>
      <c r="R938">
        <v>0</v>
      </c>
      <c r="S938">
        <v>0</v>
      </c>
    </row>
    <row r="939" spans="1:19" x14ac:dyDescent="0.25">
      <c r="A939">
        <v>18079</v>
      </c>
      <c r="B939" t="s">
        <v>68</v>
      </c>
      <c r="C939">
        <v>1</v>
      </c>
      <c r="D939">
        <v>9.1505376344086002</v>
      </c>
      <c r="E939">
        <v>0.32150537634408599</v>
      </c>
      <c r="F939">
        <f t="shared" si="29"/>
        <v>1</v>
      </c>
      <c r="G939">
        <v>0</v>
      </c>
      <c r="H939">
        <v>0</v>
      </c>
      <c r="I939">
        <v>1</v>
      </c>
      <c r="J939">
        <v>0</v>
      </c>
      <c r="K939">
        <v>0</v>
      </c>
      <c r="L939">
        <v>0</v>
      </c>
      <c r="M939">
        <f t="shared" si="28"/>
        <v>8</v>
      </c>
      <c r="N939">
        <v>0</v>
      </c>
      <c r="O939">
        <v>0</v>
      </c>
      <c r="P939">
        <v>8</v>
      </c>
      <c r="Q939">
        <v>0</v>
      </c>
      <c r="R939">
        <v>0</v>
      </c>
      <c r="S939">
        <v>0</v>
      </c>
    </row>
    <row r="940" spans="1:19" x14ac:dyDescent="0.25">
      <c r="A940">
        <v>18079</v>
      </c>
      <c r="B940" t="s">
        <v>68</v>
      </c>
      <c r="C940">
        <v>2</v>
      </c>
      <c r="D940">
        <v>9.1999999999999993</v>
      </c>
      <c r="E940">
        <v>0.32150537634408599</v>
      </c>
      <c r="F940">
        <f t="shared" si="29"/>
        <v>1</v>
      </c>
      <c r="G940">
        <v>0</v>
      </c>
      <c r="H940">
        <v>0</v>
      </c>
      <c r="I940">
        <v>1</v>
      </c>
      <c r="J940">
        <v>0</v>
      </c>
      <c r="K940">
        <v>0</v>
      </c>
      <c r="L940">
        <v>0</v>
      </c>
      <c r="M940">
        <f t="shared" si="28"/>
        <v>8</v>
      </c>
      <c r="N940">
        <v>0</v>
      </c>
      <c r="O940">
        <v>0</v>
      </c>
      <c r="P940">
        <v>8</v>
      </c>
      <c r="Q940">
        <v>0</v>
      </c>
      <c r="R940">
        <v>0</v>
      </c>
      <c r="S940">
        <v>0</v>
      </c>
    </row>
    <row r="941" spans="1:19" x14ac:dyDescent="0.25">
      <c r="A941">
        <v>18079</v>
      </c>
      <c r="B941" t="s">
        <v>68</v>
      </c>
      <c r="C941">
        <v>3</v>
      </c>
      <c r="D941">
        <v>9.1999999999999993</v>
      </c>
      <c r="E941">
        <v>0.32150537634408599</v>
      </c>
      <c r="F941">
        <f t="shared" si="29"/>
        <v>1</v>
      </c>
      <c r="G941">
        <v>0</v>
      </c>
      <c r="H941">
        <v>0</v>
      </c>
      <c r="I941">
        <v>1</v>
      </c>
      <c r="J941">
        <v>0</v>
      </c>
      <c r="K941">
        <v>0</v>
      </c>
      <c r="L941">
        <v>0</v>
      </c>
      <c r="M941">
        <f t="shared" si="28"/>
        <v>8</v>
      </c>
      <c r="N941">
        <v>0</v>
      </c>
      <c r="O941">
        <v>0</v>
      </c>
      <c r="P941">
        <v>8</v>
      </c>
      <c r="Q941">
        <v>0</v>
      </c>
      <c r="R941">
        <v>0</v>
      </c>
      <c r="S941">
        <v>0</v>
      </c>
    </row>
    <row r="942" spans="1:19" x14ac:dyDescent="0.25">
      <c r="A942">
        <v>18079</v>
      </c>
      <c r="B942" t="s">
        <v>68</v>
      </c>
      <c r="C942">
        <v>4</v>
      </c>
      <c r="D942">
        <v>9.1752688172042998</v>
      </c>
      <c r="E942">
        <v>0.32150537634408599</v>
      </c>
      <c r="F942">
        <f t="shared" si="29"/>
        <v>1</v>
      </c>
      <c r="G942">
        <v>0</v>
      </c>
      <c r="H942">
        <v>0</v>
      </c>
      <c r="I942">
        <v>1</v>
      </c>
      <c r="J942">
        <v>0</v>
      </c>
      <c r="K942">
        <v>0</v>
      </c>
      <c r="L942">
        <v>0</v>
      </c>
      <c r="M942">
        <f t="shared" si="28"/>
        <v>8</v>
      </c>
      <c r="N942">
        <v>0</v>
      </c>
      <c r="O942">
        <v>0</v>
      </c>
      <c r="P942">
        <v>8</v>
      </c>
      <c r="Q942">
        <v>0</v>
      </c>
      <c r="R942">
        <v>0</v>
      </c>
      <c r="S942">
        <v>0</v>
      </c>
    </row>
    <row r="943" spans="1:19" x14ac:dyDescent="0.25">
      <c r="A943">
        <v>18079</v>
      </c>
      <c r="B943" t="s">
        <v>68</v>
      </c>
      <c r="C943">
        <v>5</v>
      </c>
      <c r="D943">
        <v>9.0763440860214999</v>
      </c>
      <c r="E943">
        <v>0.29677419354838702</v>
      </c>
      <c r="F943">
        <f t="shared" si="29"/>
        <v>1</v>
      </c>
      <c r="G943">
        <v>0</v>
      </c>
      <c r="H943">
        <v>0</v>
      </c>
      <c r="I943">
        <v>1</v>
      </c>
      <c r="J943">
        <v>0</v>
      </c>
      <c r="K943">
        <v>0</v>
      </c>
      <c r="L943">
        <v>0</v>
      </c>
      <c r="M943">
        <f t="shared" si="28"/>
        <v>8</v>
      </c>
      <c r="N943">
        <v>0</v>
      </c>
      <c r="O943">
        <v>0</v>
      </c>
      <c r="P943">
        <v>8</v>
      </c>
      <c r="Q943">
        <v>0</v>
      </c>
      <c r="R943">
        <v>0</v>
      </c>
      <c r="S943">
        <v>0</v>
      </c>
    </row>
    <row r="944" spans="1:19" x14ac:dyDescent="0.25">
      <c r="A944">
        <v>18079</v>
      </c>
      <c r="B944" t="s">
        <v>68</v>
      </c>
      <c r="C944">
        <v>6</v>
      </c>
      <c r="D944">
        <v>9.0516129032258004</v>
      </c>
      <c r="E944">
        <v>1.1870967741935401</v>
      </c>
      <c r="F944">
        <f t="shared" si="29"/>
        <v>1</v>
      </c>
      <c r="G944">
        <v>0</v>
      </c>
      <c r="H944">
        <v>0</v>
      </c>
      <c r="I944">
        <v>1</v>
      </c>
      <c r="J944">
        <v>0</v>
      </c>
      <c r="K944">
        <v>0</v>
      </c>
      <c r="L944">
        <v>0</v>
      </c>
      <c r="M944">
        <f t="shared" si="28"/>
        <v>8</v>
      </c>
      <c r="N944">
        <v>0</v>
      </c>
      <c r="O944">
        <v>0</v>
      </c>
      <c r="P944">
        <v>8</v>
      </c>
      <c r="Q944">
        <v>0</v>
      </c>
      <c r="R944">
        <v>0</v>
      </c>
      <c r="S944">
        <v>0</v>
      </c>
    </row>
    <row r="945" spans="1:19" x14ac:dyDescent="0.25">
      <c r="A945">
        <v>18079</v>
      </c>
      <c r="B945" t="s">
        <v>68</v>
      </c>
      <c r="C945">
        <v>7</v>
      </c>
      <c r="D945">
        <v>7.8397849462365503</v>
      </c>
      <c r="E945">
        <v>0.989247311827957</v>
      </c>
      <c r="F945">
        <f t="shared" si="29"/>
        <v>1</v>
      </c>
      <c r="G945">
        <v>0</v>
      </c>
      <c r="H945">
        <v>0</v>
      </c>
      <c r="I945">
        <v>1</v>
      </c>
      <c r="J945">
        <v>0</v>
      </c>
      <c r="K945">
        <v>0</v>
      </c>
      <c r="L945">
        <v>0</v>
      </c>
      <c r="M945">
        <f t="shared" si="28"/>
        <v>8</v>
      </c>
      <c r="N945">
        <v>0</v>
      </c>
      <c r="O945">
        <v>0</v>
      </c>
      <c r="P945">
        <v>8</v>
      </c>
      <c r="Q945">
        <v>0</v>
      </c>
      <c r="R945">
        <v>0</v>
      </c>
      <c r="S945">
        <v>0</v>
      </c>
    </row>
    <row r="946" spans="1:19" x14ac:dyDescent="0.25">
      <c r="A946">
        <v>18079</v>
      </c>
      <c r="B946" t="s">
        <v>68</v>
      </c>
      <c r="C946">
        <v>8</v>
      </c>
      <c r="D946">
        <v>6.7516129032257997</v>
      </c>
      <c r="E946">
        <v>0.89032258064516101</v>
      </c>
      <c r="F946">
        <f t="shared" si="29"/>
        <v>1</v>
      </c>
      <c r="G946">
        <v>0</v>
      </c>
      <c r="H946">
        <v>0</v>
      </c>
      <c r="I946">
        <v>1</v>
      </c>
      <c r="J946">
        <v>0</v>
      </c>
      <c r="K946">
        <v>0</v>
      </c>
      <c r="L946">
        <v>0</v>
      </c>
      <c r="M946">
        <f t="shared" si="28"/>
        <v>8</v>
      </c>
      <c r="N946">
        <v>0</v>
      </c>
      <c r="O946">
        <v>0</v>
      </c>
      <c r="P946">
        <v>8</v>
      </c>
      <c r="Q946">
        <v>0</v>
      </c>
      <c r="R946">
        <v>0</v>
      </c>
      <c r="S946">
        <v>0</v>
      </c>
    </row>
    <row r="947" spans="1:19" x14ac:dyDescent="0.25">
      <c r="A947">
        <v>18079</v>
      </c>
      <c r="B947" t="s">
        <v>68</v>
      </c>
      <c r="C947">
        <v>9</v>
      </c>
      <c r="D947">
        <v>6.3559139784946197</v>
      </c>
      <c r="E947">
        <v>1.4838709677419299</v>
      </c>
      <c r="F947">
        <f t="shared" si="29"/>
        <v>1</v>
      </c>
      <c r="G947">
        <v>0</v>
      </c>
      <c r="H947">
        <v>0</v>
      </c>
      <c r="I947">
        <v>1</v>
      </c>
      <c r="J947">
        <v>0</v>
      </c>
      <c r="K947">
        <v>0</v>
      </c>
      <c r="L947">
        <v>0</v>
      </c>
      <c r="M947">
        <f t="shared" si="28"/>
        <v>8</v>
      </c>
      <c r="N947">
        <v>0</v>
      </c>
      <c r="O947">
        <v>0</v>
      </c>
      <c r="P947">
        <v>8</v>
      </c>
      <c r="Q947">
        <v>0</v>
      </c>
      <c r="R947">
        <v>0</v>
      </c>
      <c r="S947">
        <v>0</v>
      </c>
    </row>
    <row r="948" spans="1:19" x14ac:dyDescent="0.25">
      <c r="A948">
        <v>18079</v>
      </c>
      <c r="B948" t="s">
        <v>68</v>
      </c>
      <c r="C948">
        <v>10</v>
      </c>
      <c r="D948">
        <v>6.2817204301075202</v>
      </c>
      <c r="E948">
        <v>1.4838709677419299</v>
      </c>
      <c r="F948">
        <f t="shared" si="29"/>
        <v>1</v>
      </c>
      <c r="G948">
        <v>0</v>
      </c>
      <c r="H948">
        <v>0</v>
      </c>
      <c r="I948">
        <v>1</v>
      </c>
      <c r="J948">
        <v>0</v>
      </c>
      <c r="K948">
        <v>0</v>
      </c>
      <c r="L948">
        <v>0</v>
      </c>
      <c r="M948">
        <f t="shared" si="28"/>
        <v>8</v>
      </c>
      <c r="N948">
        <v>0</v>
      </c>
      <c r="O948">
        <v>0</v>
      </c>
      <c r="P948">
        <v>8</v>
      </c>
      <c r="Q948">
        <v>0</v>
      </c>
      <c r="R948">
        <v>0</v>
      </c>
      <c r="S948">
        <v>0</v>
      </c>
    </row>
    <row r="949" spans="1:19" x14ac:dyDescent="0.25">
      <c r="A949">
        <v>18079</v>
      </c>
      <c r="B949" t="s">
        <v>68</v>
      </c>
      <c r="C949">
        <v>11</v>
      </c>
      <c r="D949">
        <v>6.8752688172042999</v>
      </c>
      <c r="E949">
        <v>1.3602150537634401</v>
      </c>
      <c r="F949">
        <f t="shared" si="29"/>
        <v>1</v>
      </c>
      <c r="G949">
        <v>0</v>
      </c>
      <c r="H949">
        <v>0</v>
      </c>
      <c r="I949">
        <v>1</v>
      </c>
      <c r="J949">
        <v>0</v>
      </c>
      <c r="K949">
        <v>0</v>
      </c>
      <c r="L949">
        <v>0</v>
      </c>
      <c r="M949">
        <f t="shared" si="28"/>
        <v>8</v>
      </c>
      <c r="N949">
        <v>0</v>
      </c>
      <c r="O949">
        <v>0</v>
      </c>
      <c r="P949">
        <v>8</v>
      </c>
      <c r="Q949">
        <v>0</v>
      </c>
      <c r="R949">
        <v>0</v>
      </c>
      <c r="S949">
        <v>0</v>
      </c>
    </row>
    <row r="950" spans="1:19" x14ac:dyDescent="0.25">
      <c r="A950">
        <v>18079</v>
      </c>
      <c r="B950" t="s">
        <v>68</v>
      </c>
      <c r="C950">
        <v>12</v>
      </c>
      <c r="D950">
        <v>5.7623655913978498</v>
      </c>
      <c r="E950">
        <v>1.3107526881720399</v>
      </c>
      <c r="F950">
        <f t="shared" si="29"/>
        <v>1</v>
      </c>
      <c r="G950">
        <v>0</v>
      </c>
      <c r="H950">
        <v>0</v>
      </c>
      <c r="I950">
        <v>1</v>
      </c>
      <c r="J950">
        <v>0</v>
      </c>
      <c r="K950">
        <v>0</v>
      </c>
      <c r="L950">
        <v>0</v>
      </c>
      <c r="M950">
        <f t="shared" si="28"/>
        <v>8</v>
      </c>
      <c r="N950">
        <v>0</v>
      </c>
      <c r="O950">
        <v>0</v>
      </c>
      <c r="P950">
        <v>8</v>
      </c>
      <c r="Q950">
        <v>0</v>
      </c>
      <c r="R950">
        <v>0</v>
      </c>
      <c r="S950">
        <v>0</v>
      </c>
    </row>
    <row r="951" spans="1:19" x14ac:dyDescent="0.25">
      <c r="A951">
        <v>18079</v>
      </c>
      <c r="B951" t="s">
        <v>68</v>
      </c>
      <c r="C951">
        <v>13</v>
      </c>
      <c r="D951">
        <v>4.2537634408602099</v>
      </c>
      <c r="E951">
        <v>0.59354838709677404</v>
      </c>
      <c r="F951">
        <f t="shared" si="29"/>
        <v>1</v>
      </c>
      <c r="G951">
        <v>0</v>
      </c>
      <c r="H951">
        <v>0</v>
      </c>
      <c r="I951">
        <v>1</v>
      </c>
      <c r="J951">
        <v>0</v>
      </c>
      <c r="K951">
        <v>0</v>
      </c>
      <c r="L951">
        <v>0</v>
      </c>
      <c r="M951">
        <f t="shared" si="28"/>
        <v>8</v>
      </c>
      <c r="N951">
        <v>0</v>
      </c>
      <c r="O951">
        <v>0</v>
      </c>
      <c r="P951">
        <v>8</v>
      </c>
      <c r="Q951">
        <v>0</v>
      </c>
      <c r="R951">
        <v>0</v>
      </c>
      <c r="S951">
        <v>0</v>
      </c>
    </row>
    <row r="952" spans="1:19" x14ac:dyDescent="0.25">
      <c r="A952">
        <v>18079</v>
      </c>
      <c r="B952" t="s">
        <v>68</v>
      </c>
      <c r="C952">
        <v>14</v>
      </c>
      <c r="D952">
        <v>3.7096774193548301</v>
      </c>
      <c r="E952">
        <v>0.22258064516129</v>
      </c>
      <c r="F952">
        <f t="shared" si="29"/>
        <v>1</v>
      </c>
      <c r="G952">
        <v>0</v>
      </c>
      <c r="H952">
        <v>0</v>
      </c>
      <c r="I952">
        <v>1</v>
      </c>
      <c r="J952">
        <v>0</v>
      </c>
      <c r="K952">
        <v>0</v>
      </c>
      <c r="L952">
        <v>0</v>
      </c>
      <c r="M952">
        <f t="shared" si="28"/>
        <v>8</v>
      </c>
      <c r="N952">
        <v>0</v>
      </c>
      <c r="O952">
        <v>0</v>
      </c>
      <c r="P952">
        <v>8</v>
      </c>
      <c r="Q952">
        <v>0</v>
      </c>
      <c r="R952">
        <v>0</v>
      </c>
      <c r="S952">
        <v>0</v>
      </c>
    </row>
    <row r="953" spans="1:19" x14ac:dyDescent="0.25">
      <c r="A953">
        <v>18079</v>
      </c>
      <c r="B953" t="s">
        <v>68</v>
      </c>
      <c r="C953">
        <v>15</v>
      </c>
      <c r="D953">
        <v>3.43763440860215</v>
      </c>
      <c r="E953">
        <v>0.14838709677419301</v>
      </c>
      <c r="F953">
        <f t="shared" si="29"/>
        <v>1</v>
      </c>
      <c r="G953">
        <v>0</v>
      </c>
      <c r="H953">
        <v>0</v>
      </c>
      <c r="I953">
        <v>1</v>
      </c>
      <c r="J953">
        <v>0</v>
      </c>
      <c r="K953">
        <v>0</v>
      </c>
      <c r="L953">
        <v>0</v>
      </c>
      <c r="M953">
        <f t="shared" si="28"/>
        <v>8</v>
      </c>
      <c r="N953">
        <v>0</v>
      </c>
      <c r="O953">
        <v>0</v>
      </c>
      <c r="P953">
        <v>8</v>
      </c>
      <c r="Q953">
        <v>0</v>
      </c>
      <c r="R953">
        <v>0</v>
      </c>
      <c r="S953">
        <v>0</v>
      </c>
    </row>
    <row r="954" spans="1:19" x14ac:dyDescent="0.25">
      <c r="A954">
        <v>18079</v>
      </c>
      <c r="B954" t="s">
        <v>68</v>
      </c>
      <c r="C954">
        <v>16</v>
      </c>
      <c r="D954">
        <v>3.8580645161290299</v>
      </c>
      <c r="E954">
        <v>4.94623655913978E-2</v>
      </c>
      <c r="F954">
        <f t="shared" si="29"/>
        <v>1</v>
      </c>
      <c r="G954">
        <v>0</v>
      </c>
      <c r="H954">
        <v>0</v>
      </c>
      <c r="I954">
        <v>1</v>
      </c>
      <c r="J954">
        <v>0</v>
      </c>
      <c r="K954">
        <v>0</v>
      </c>
      <c r="L954">
        <v>0</v>
      </c>
      <c r="M954">
        <f t="shared" si="28"/>
        <v>8</v>
      </c>
      <c r="N954">
        <v>0</v>
      </c>
      <c r="O954">
        <v>0</v>
      </c>
      <c r="P954">
        <v>8</v>
      </c>
      <c r="Q954">
        <v>0</v>
      </c>
      <c r="R954">
        <v>0</v>
      </c>
      <c r="S954">
        <v>0</v>
      </c>
    </row>
    <row r="955" spans="1:19" x14ac:dyDescent="0.25">
      <c r="A955">
        <v>18079</v>
      </c>
      <c r="B955" t="s">
        <v>68</v>
      </c>
      <c r="C955">
        <v>17</v>
      </c>
      <c r="D955">
        <v>4.0559139784946199</v>
      </c>
      <c r="E955">
        <v>7.41935483870967E-2</v>
      </c>
      <c r="F955">
        <f t="shared" si="29"/>
        <v>1</v>
      </c>
      <c r="G955">
        <v>0</v>
      </c>
      <c r="H955">
        <v>0</v>
      </c>
      <c r="I955">
        <v>1</v>
      </c>
      <c r="J955">
        <v>0</v>
      </c>
      <c r="K955">
        <v>0</v>
      </c>
      <c r="L955">
        <v>0</v>
      </c>
      <c r="M955">
        <f t="shared" si="28"/>
        <v>8</v>
      </c>
      <c r="N955">
        <v>0</v>
      </c>
      <c r="O955">
        <v>0</v>
      </c>
      <c r="P955">
        <v>8</v>
      </c>
      <c r="Q955">
        <v>0</v>
      </c>
      <c r="R955">
        <v>0</v>
      </c>
      <c r="S955">
        <v>0</v>
      </c>
    </row>
    <row r="956" spans="1:19" x14ac:dyDescent="0.25">
      <c r="A956">
        <v>18079</v>
      </c>
      <c r="B956" t="s">
        <v>68</v>
      </c>
      <c r="C956">
        <v>18</v>
      </c>
      <c r="D956">
        <v>4.8473118279569896</v>
      </c>
      <c r="E956">
        <v>0.19784946236559101</v>
      </c>
      <c r="F956">
        <f t="shared" si="29"/>
        <v>1</v>
      </c>
      <c r="G956">
        <v>0</v>
      </c>
      <c r="H956">
        <v>0</v>
      </c>
      <c r="I956">
        <v>1</v>
      </c>
      <c r="J956">
        <v>0</v>
      </c>
      <c r="K956">
        <v>0</v>
      </c>
      <c r="L956">
        <v>0</v>
      </c>
      <c r="M956">
        <f t="shared" si="28"/>
        <v>8</v>
      </c>
      <c r="N956">
        <v>0</v>
      </c>
      <c r="O956">
        <v>0</v>
      </c>
      <c r="P956">
        <v>8</v>
      </c>
      <c r="Q956">
        <v>0</v>
      </c>
      <c r="R956">
        <v>0</v>
      </c>
      <c r="S956">
        <v>0</v>
      </c>
    </row>
    <row r="957" spans="1:19" x14ac:dyDescent="0.25">
      <c r="A957">
        <v>18079</v>
      </c>
      <c r="B957" t="s">
        <v>68</v>
      </c>
      <c r="C957">
        <v>19</v>
      </c>
      <c r="D957">
        <v>5.56451612903225</v>
      </c>
      <c r="E957">
        <v>0.14838709677419301</v>
      </c>
      <c r="F957">
        <f t="shared" si="29"/>
        <v>1</v>
      </c>
      <c r="G957">
        <v>0</v>
      </c>
      <c r="H957">
        <v>0</v>
      </c>
      <c r="I957">
        <v>1</v>
      </c>
      <c r="J957">
        <v>0</v>
      </c>
      <c r="K957">
        <v>0</v>
      </c>
      <c r="L957">
        <v>0</v>
      </c>
      <c r="M957">
        <f t="shared" si="28"/>
        <v>8</v>
      </c>
      <c r="N957">
        <v>0</v>
      </c>
      <c r="O957">
        <v>0</v>
      </c>
      <c r="P957">
        <v>8</v>
      </c>
      <c r="Q957">
        <v>0</v>
      </c>
      <c r="R957">
        <v>0</v>
      </c>
      <c r="S957">
        <v>0</v>
      </c>
    </row>
    <row r="958" spans="1:19" x14ac:dyDescent="0.25">
      <c r="A958">
        <v>18079</v>
      </c>
      <c r="B958" t="s">
        <v>68</v>
      </c>
      <c r="C958">
        <v>20</v>
      </c>
      <c r="D958">
        <v>6.4053763440860196</v>
      </c>
      <c r="E958">
        <v>0.22258064516129</v>
      </c>
      <c r="F958">
        <f t="shared" si="29"/>
        <v>1</v>
      </c>
      <c r="G958">
        <v>0</v>
      </c>
      <c r="H958">
        <v>0</v>
      </c>
      <c r="I958">
        <v>1</v>
      </c>
      <c r="J958">
        <v>0</v>
      </c>
      <c r="K958">
        <v>0</v>
      </c>
      <c r="L958">
        <v>0</v>
      </c>
      <c r="M958">
        <f t="shared" si="28"/>
        <v>8</v>
      </c>
      <c r="N958">
        <v>0</v>
      </c>
      <c r="O958">
        <v>0</v>
      </c>
      <c r="P958">
        <v>8</v>
      </c>
      <c r="Q958">
        <v>0</v>
      </c>
      <c r="R958">
        <v>0</v>
      </c>
      <c r="S958">
        <v>0</v>
      </c>
    </row>
    <row r="959" spans="1:19" x14ac:dyDescent="0.25">
      <c r="A959">
        <v>18079</v>
      </c>
      <c r="B959" t="s">
        <v>68</v>
      </c>
      <c r="C959">
        <v>21</v>
      </c>
      <c r="D959">
        <v>7.1967741935483804</v>
      </c>
      <c r="E959">
        <v>0.247311827956989</v>
      </c>
      <c r="F959">
        <f t="shared" si="29"/>
        <v>1</v>
      </c>
      <c r="G959">
        <v>0</v>
      </c>
      <c r="H959">
        <v>0</v>
      </c>
      <c r="I959">
        <v>1</v>
      </c>
      <c r="J959">
        <v>0</v>
      </c>
      <c r="K959">
        <v>0</v>
      </c>
      <c r="L959">
        <v>0</v>
      </c>
      <c r="M959">
        <f t="shared" si="28"/>
        <v>8</v>
      </c>
      <c r="N959">
        <v>0</v>
      </c>
      <c r="O959">
        <v>0</v>
      </c>
      <c r="P959">
        <v>8</v>
      </c>
      <c r="Q959">
        <v>0</v>
      </c>
      <c r="R959">
        <v>0</v>
      </c>
      <c r="S959">
        <v>0</v>
      </c>
    </row>
    <row r="960" spans="1:19" x14ac:dyDescent="0.25">
      <c r="A960">
        <v>18079</v>
      </c>
      <c r="B960" t="s">
        <v>68</v>
      </c>
      <c r="C960">
        <v>22</v>
      </c>
      <c r="D960">
        <v>7.6913978494623603</v>
      </c>
      <c r="E960">
        <v>0.19784946236559101</v>
      </c>
      <c r="F960">
        <f t="shared" si="29"/>
        <v>1</v>
      </c>
      <c r="G960">
        <v>0</v>
      </c>
      <c r="H960">
        <v>0</v>
      </c>
      <c r="I960">
        <v>1</v>
      </c>
      <c r="J960">
        <v>0</v>
      </c>
      <c r="K960">
        <v>0</v>
      </c>
      <c r="L960">
        <v>0</v>
      </c>
      <c r="M960">
        <f t="shared" si="28"/>
        <v>8</v>
      </c>
      <c r="N960">
        <v>0</v>
      </c>
      <c r="O960">
        <v>0</v>
      </c>
      <c r="P960">
        <v>8</v>
      </c>
      <c r="Q960">
        <v>0</v>
      </c>
      <c r="R960">
        <v>0</v>
      </c>
      <c r="S960">
        <v>0</v>
      </c>
    </row>
    <row r="961" spans="1:19" x14ac:dyDescent="0.25">
      <c r="A961">
        <v>18079</v>
      </c>
      <c r="B961" t="s">
        <v>68</v>
      </c>
      <c r="C961">
        <v>23</v>
      </c>
      <c r="D961">
        <v>8.6311827956989209</v>
      </c>
      <c r="E961">
        <v>0.272043010752688</v>
      </c>
      <c r="F961">
        <f t="shared" si="29"/>
        <v>1</v>
      </c>
      <c r="G961">
        <v>0</v>
      </c>
      <c r="H961">
        <v>0</v>
      </c>
      <c r="I961">
        <v>1</v>
      </c>
      <c r="J961">
        <v>0</v>
      </c>
      <c r="K961">
        <v>0</v>
      </c>
      <c r="L961">
        <v>0</v>
      </c>
      <c r="M961">
        <f t="shared" si="28"/>
        <v>8</v>
      </c>
      <c r="N961">
        <v>0</v>
      </c>
      <c r="O961">
        <v>0</v>
      </c>
      <c r="P961">
        <v>8</v>
      </c>
      <c r="Q961">
        <v>0</v>
      </c>
      <c r="R961">
        <v>0</v>
      </c>
      <c r="S961">
        <v>0</v>
      </c>
    </row>
    <row r="962" spans="1:19" x14ac:dyDescent="0.25">
      <c r="A962">
        <v>18081</v>
      </c>
      <c r="B962" t="s">
        <v>69</v>
      </c>
      <c r="C962">
        <v>0</v>
      </c>
      <c r="D962">
        <v>551.93667280733303</v>
      </c>
      <c r="E962">
        <v>16.731874962772199</v>
      </c>
      <c r="F962">
        <f t="shared" si="29"/>
        <v>4</v>
      </c>
      <c r="G962">
        <v>3</v>
      </c>
      <c r="H962">
        <v>1</v>
      </c>
      <c r="I962">
        <v>0</v>
      </c>
      <c r="J962">
        <v>0</v>
      </c>
      <c r="K962">
        <v>0</v>
      </c>
      <c r="L962">
        <v>0</v>
      </c>
      <c r="M962">
        <f t="shared" ref="M962:M1025" si="30">SUM(N962:S962)</f>
        <v>520</v>
      </c>
      <c r="N962">
        <v>470</v>
      </c>
      <c r="O962">
        <v>50</v>
      </c>
      <c r="P962">
        <v>0</v>
      </c>
      <c r="Q962">
        <v>0</v>
      </c>
      <c r="R962">
        <v>0</v>
      </c>
      <c r="S962">
        <v>0</v>
      </c>
    </row>
    <row r="963" spans="1:19" x14ac:dyDescent="0.25">
      <c r="A963">
        <v>18081</v>
      </c>
      <c r="B963" t="s">
        <v>69</v>
      </c>
      <c r="C963">
        <v>1</v>
      </c>
      <c r="D963">
        <v>555.75648992102094</v>
      </c>
      <c r="E963">
        <v>20.013689666081302</v>
      </c>
      <c r="F963">
        <f t="shared" ref="F963:F1026" si="31">SUM(G963:L963)</f>
        <v>4</v>
      </c>
      <c r="G963">
        <v>3</v>
      </c>
      <c r="H963">
        <v>1</v>
      </c>
      <c r="I963">
        <v>0</v>
      </c>
      <c r="J963">
        <v>0</v>
      </c>
      <c r="K963">
        <v>0</v>
      </c>
      <c r="L963">
        <v>0</v>
      </c>
      <c r="M963">
        <f t="shared" si="30"/>
        <v>520</v>
      </c>
      <c r="N963">
        <v>470</v>
      </c>
      <c r="O963">
        <v>50</v>
      </c>
      <c r="P963">
        <v>0</v>
      </c>
      <c r="Q963">
        <v>0</v>
      </c>
      <c r="R963">
        <v>0</v>
      </c>
      <c r="S963">
        <v>0</v>
      </c>
    </row>
    <row r="964" spans="1:19" x14ac:dyDescent="0.25">
      <c r="A964">
        <v>18081</v>
      </c>
      <c r="B964" t="s">
        <v>69</v>
      </c>
      <c r="C964">
        <v>2</v>
      </c>
      <c r="D964">
        <v>554.14248268988501</v>
      </c>
      <c r="E964">
        <v>19.045285327399899</v>
      </c>
      <c r="F964">
        <f t="shared" si="31"/>
        <v>4</v>
      </c>
      <c r="G964">
        <v>3</v>
      </c>
      <c r="H964">
        <v>1</v>
      </c>
      <c r="I964">
        <v>0</v>
      </c>
      <c r="J964">
        <v>0</v>
      </c>
      <c r="K964">
        <v>0</v>
      </c>
      <c r="L964">
        <v>0</v>
      </c>
      <c r="M964">
        <f t="shared" si="30"/>
        <v>520</v>
      </c>
      <c r="N964">
        <v>470</v>
      </c>
      <c r="O964">
        <v>50</v>
      </c>
      <c r="P964">
        <v>0</v>
      </c>
      <c r="Q964">
        <v>0</v>
      </c>
      <c r="R964">
        <v>0</v>
      </c>
      <c r="S964">
        <v>0</v>
      </c>
    </row>
    <row r="965" spans="1:19" x14ac:dyDescent="0.25">
      <c r="A965">
        <v>18081</v>
      </c>
      <c r="B965" t="s">
        <v>69</v>
      </c>
      <c r="C965">
        <v>3</v>
      </c>
      <c r="D965">
        <v>543.05963303608701</v>
      </c>
      <c r="E965">
        <v>19.583287737778399</v>
      </c>
      <c r="F965">
        <f t="shared" si="31"/>
        <v>4</v>
      </c>
      <c r="G965">
        <v>3</v>
      </c>
      <c r="H965">
        <v>1</v>
      </c>
      <c r="I965">
        <v>0</v>
      </c>
      <c r="J965">
        <v>0</v>
      </c>
      <c r="K965">
        <v>0</v>
      </c>
      <c r="L965">
        <v>0</v>
      </c>
      <c r="M965">
        <f t="shared" si="30"/>
        <v>520</v>
      </c>
      <c r="N965">
        <v>470</v>
      </c>
      <c r="O965">
        <v>50</v>
      </c>
      <c r="P965">
        <v>0</v>
      </c>
      <c r="Q965">
        <v>0</v>
      </c>
      <c r="R965">
        <v>0</v>
      </c>
      <c r="S965">
        <v>0</v>
      </c>
    </row>
    <row r="966" spans="1:19" x14ac:dyDescent="0.25">
      <c r="A966">
        <v>18081</v>
      </c>
      <c r="B966" t="s">
        <v>69</v>
      </c>
      <c r="C966">
        <v>4</v>
      </c>
      <c r="D966">
        <v>525.95115638605</v>
      </c>
      <c r="E966">
        <v>21.143494727876199</v>
      </c>
      <c r="F966">
        <f t="shared" si="31"/>
        <v>4</v>
      </c>
      <c r="G966">
        <v>3</v>
      </c>
      <c r="H966">
        <v>1</v>
      </c>
      <c r="I966">
        <v>0</v>
      </c>
      <c r="J966">
        <v>0</v>
      </c>
      <c r="K966">
        <v>0</v>
      </c>
      <c r="L966">
        <v>0</v>
      </c>
      <c r="M966">
        <f t="shared" si="30"/>
        <v>520</v>
      </c>
      <c r="N966">
        <v>470</v>
      </c>
      <c r="O966">
        <v>50</v>
      </c>
      <c r="P966">
        <v>0</v>
      </c>
      <c r="Q966">
        <v>0</v>
      </c>
      <c r="R966">
        <v>0</v>
      </c>
      <c r="S966">
        <v>0</v>
      </c>
    </row>
    <row r="967" spans="1:19" x14ac:dyDescent="0.25">
      <c r="A967">
        <v>18081</v>
      </c>
      <c r="B967" t="s">
        <v>69</v>
      </c>
      <c r="C967">
        <v>5</v>
      </c>
      <c r="D967">
        <v>501.14924526760001</v>
      </c>
      <c r="E967">
        <v>23.672106056655299</v>
      </c>
      <c r="F967">
        <f t="shared" si="31"/>
        <v>4</v>
      </c>
      <c r="G967">
        <v>3</v>
      </c>
      <c r="H967">
        <v>1</v>
      </c>
      <c r="I967">
        <v>0</v>
      </c>
      <c r="J967">
        <v>0</v>
      </c>
      <c r="K967">
        <v>0</v>
      </c>
      <c r="L967">
        <v>0</v>
      </c>
      <c r="M967">
        <f t="shared" si="30"/>
        <v>520</v>
      </c>
      <c r="N967">
        <v>470</v>
      </c>
      <c r="O967">
        <v>50</v>
      </c>
      <c r="P967">
        <v>0</v>
      </c>
      <c r="Q967">
        <v>0</v>
      </c>
      <c r="R967">
        <v>0</v>
      </c>
      <c r="S967">
        <v>0</v>
      </c>
    </row>
    <row r="968" spans="1:19" x14ac:dyDescent="0.25">
      <c r="A968">
        <v>18081</v>
      </c>
      <c r="B968" t="s">
        <v>69</v>
      </c>
      <c r="C968">
        <v>6</v>
      </c>
      <c r="D968">
        <v>466.17908859299598</v>
      </c>
      <c r="E968">
        <v>27.222921965153599</v>
      </c>
      <c r="F968">
        <f t="shared" si="31"/>
        <v>4</v>
      </c>
      <c r="G968">
        <v>3</v>
      </c>
      <c r="H968">
        <v>1</v>
      </c>
      <c r="I968">
        <v>0</v>
      </c>
      <c r="J968">
        <v>0</v>
      </c>
      <c r="K968">
        <v>0</v>
      </c>
      <c r="L968">
        <v>0</v>
      </c>
      <c r="M968">
        <f t="shared" si="30"/>
        <v>520</v>
      </c>
      <c r="N968">
        <v>470</v>
      </c>
      <c r="O968">
        <v>50</v>
      </c>
      <c r="P968">
        <v>0</v>
      </c>
      <c r="Q968">
        <v>0</v>
      </c>
      <c r="R968">
        <v>0</v>
      </c>
      <c r="S968">
        <v>0</v>
      </c>
    </row>
    <row r="969" spans="1:19" x14ac:dyDescent="0.25">
      <c r="A969">
        <v>18081</v>
      </c>
      <c r="B969" t="s">
        <v>69</v>
      </c>
      <c r="C969">
        <v>7</v>
      </c>
      <c r="D969">
        <v>404.25501115842701</v>
      </c>
      <c r="E969">
        <v>19.583287737778399</v>
      </c>
      <c r="F969">
        <f t="shared" si="31"/>
        <v>4</v>
      </c>
      <c r="G969">
        <v>3</v>
      </c>
      <c r="H969">
        <v>1</v>
      </c>
      <c r="I969">
        <v>0</v>
      </c>
      <c r="J969">
        <v>0</v>
      </c>
      <c r="K969">
        <v>0</v>
      </c>
      <c r="L969">
        <v>0</v>
      </c>
      <c r="M969">
        <f t="shared" si="30"/>
        <v>520</v>
      </c>
      <c r="N969">
        <v>470</v>
      </c>
      <c r="O969">
        <v>50</v>
      </c>
      <c r="P969">
        <v>0</v>
      </c>
      <c r="Q969">
        <v>0</v>
      </c>
      <c r="R969">
        <v>0</v>
      </c>
      <c r="S969">
        <v>0</v>
      </c>
    </row>
    <row r="970" spans="1:19" x14ac:dyDescent="0.25">
      <c r="A970">
        <v>18081</v>
      </c>
      <c r="B970" t="s">
        <v>69</v>
      </c>
      <c r="C970">
        <v>8</v>
      </c>
      <c r="D970">
        <v>347.81855830971898</v>
      </c>
      <c r="E970">
        <v>14.902666767485201</v>
      </c>
      <c r="F970">
        <f t="shared" si="31"/>
        <v>4</v>
      </c>
      <c r="G970">
        <v>3</v>
      </c>
      <c r="H970">
        <v>1</v>
      </c>
      <c r="I970">
        <v>0</v>
      </c>
      <c r="J970">
        <v>0</v>
      </c>
      <c r="K970">
        <v>0</v>
      </c>
      <c r="L970">
        <v>0</v>
      </c>
      <c r="M970">
        <f t="shared" si="30"/>
        <v>520</v>
      </c>
      <c r="N970">
        <v>470</v>
      </c>
      <c r="O970">
        <v>50</v>
      </c>
      <c r="P970">
        <v>0</v>
      </c>
      <c r="Q970">
        <v>0</v>
      </c>
      <c r="R970">
        <v>0</v>
      </c>
      <c r="S970">
        <v>0</v>
      </c>
    </row>
    <row r="971" spans="1:19" x14ac:dyDescent="0.25">
      <c r="A971">
        <v>18081</v>
      </c>
      <c r="B971" t="s">
        <v>69</v>
      </c>
      <c r="C971">
        <v>9</v>
      </c>
      <c r="D971">
        <v>305.69296957708002</v>
      </c>
      <c r="E971">
        <v>9.2536414585107103</v>
      </c>
      <c r="F971">
        <f t="shared" si="31"/>
        <v>4</v>
      </c>
      <c r="G971">
        <v>3</v>
      </c>
      <c r="H971">
        <v>1</v>
      </c>
      <c r="I971">
        <v>0</v>
      </c>
      <c r="J971">
        <v>0</v>
      </c>
      <c r="K971">
        <v>0</v>
      </c>
      <c r="L971">
        <v>0</v>
      </c>
      <c r="M971">
        <f t="shared" si="30"/>
        <v>520</v>
      </c>
      <c r="N971">
        <v>470</v>
      </c>
      <c r="O971">
        <v>50</v>
      </c>
      <c r="P971">
        <v>0</v>
      </c>
      <c r="Q971">
        <v>0</v>
      </c>
      <c r="R971">
        <v>0</v>
      </c>
      <c r="S971">
        <v>0</v>
      </c>
    </row>
    <row r="972" spans="1:19" x14ac:dyDescent="0.25">
      <c r="A972">
        <v>18081</v>
      </c>
      <c r="B972" t="s">
        <v>69</v>
      </c>
      <c r="C972">
        <v>10</v>
      </c>
      <c r="D972">
        <v>286.80908497279398</v>
      </c>
      <c r="E972">
        <v>7.1554320580344397</v>
      </c>
      <c r="F972">
        <f t="shared" si="31"/>
        <v>4</v>
      </c>
      <c r="G972">
        <v>3</v>
      </c>
      <c r="H972">
        <v>1</v>
      </c>
      <c r="I972">
        <v>0</v>
      </c>
      <c r="J972">
        <v>0</v>
      </c>
      <c r="K972">
        <v>0</v>
      </c>
      <c r="L972">
        <v>0</v>
      </c>
      <c r="M972">
        <f t="shared" si="30"/>
        <v>520</v>
      </c>
      <c r="N972">
        <v>470</v>
      </c>
      <c r="O972">
        <v>50</v>
      </c>
      <c r="P972">
        <v>0</v>
      </c>
      <c r="Q972">
        <v>0</v>
      </c>
      <c r="R972">
        <v>0</v>
      </c>
      <c r="S972">
        <v>0</v>
      </c>
    </row>
    <row r="973" spans="1:19" x14ac:dyDescent="0.25">
      <c r="A973">
        <v>18081</v>
      </c>
      <c r="B973" t="s">
        <v>69</v>
      </c>
      <c r="C973">
        <v>11</v>
      </c>
      <c r="D973">
        <v>274.32742905201201</v>
      </c>
      <c r="E973">
        <v>6.4560289245423501</v>
      </c>
      <c r="F973">
        <f t="shared" si="31"/>
        <v>4</v>
      </c>
      <c r="G973">
        <v>3</v>
      </c>
      <c r="H973">
        <v>1</v>
      </c>
      <c r="I973">
        <v>0</v>
      </c>
      <c r="J973">
        <v>0</v>
      </c>
      <c r="K973">
        <v>0</v>
      </c>
      <c r="L973">
        <v>0</v>
      </c>
      <c r="M973">
        <f t="shared" si="30"/>
        <v>520</v>
      </c>
      <c r="N973">
        <v>470</v>
      </c>
      <c r="O973">
        <v>50</v>
      </c>
      <c r="P973">
        <v>0</v>
      </c>
      <c r="Q973">
        <v>0</v>
      </c>
      <c r="R973">
        <v>0</v>
      </c>
      <c r="S973">
        <v>0</v>
      </c>
    </row>
    <row r="974" spans="1:19" x14ac:dyDescent="0.25">
      <c r="A974">
        <v>18081</v>
      </c>
      <c r="B974" t="s">
        <v>69</v>
      </c>
      <c r="C974">
        <v>12</v>
      </c>
      <c r="D974">
        <v>276.10283700626098</v>
      </c>
      <c r="E974">
        <v>4.2502190419903796</v>
      </c>
      <c r="F974">
        <f t="shared" si="31"/>
        <v>4</v>
      </c>
      <c r="G974">
        <v>3</v>
      </c>
      <c r="H974">
        <v>1</v>
      </c>
      <c r="I974">
        <v>0</v>
      </c>
      <c r="J974">
        <v>0</v>
      </c>
      <c r="K974">
        <v>0</v>
      </c>
      <c r="L974">
        <v>0</v>
      </c>
      <c r="M974">
        <f t="shared" si="30"/>
        <v>520</v>
      </c>
      <c r="N974">
        <v>470</v>
      </c>
      <c r="O974">
        <v>50</v>
      </c>
      <c r="P974">
        <v>0</v>
      </c>
      <c r="Q974">
        <v>0</v>
      </c>
      <c r="R974">
        <v>0</v>
      </c>
      <c r="S974">
        <v>0</v>
      </c>
    </row>
    <row r="975" spans="1:19" x14ac:dyDescent="0.25">
      <c r="A975">
        <v>18081</v>
      </c>
      <c r="B975" t="s">
        <v>69</v>
      </c>
      <c r="C975">
        <v>13</v>
      </c>
      <c r="D975">
        <v>283.68867099259802</v>
      </c>
      <c r="E975">
        <v>2.5824115698169399</v>
      </c>
      <c r="F975">
        <f t="shared" si="31"/>
        <v>4</v>
      </c>
      <c r="G975">
        <v>3</v>
      </c>
      <c r="H975">
        <v>1</v>
      </c>
      <c r="I975">
        <v>0</v>
      </c>
      <c r="J975">
        <v>0</v>
      </c>
      <c r="K975">
        <v>0</v>
      </c>
      <c r="L975">
        <v>0</v>
      </c>
      <c r="M975">
        <f t="shared" si="30"/>
        <v>520</v>
      </c>
      <c r="N975">
        <v>470</v>
      </c>
      <c r="O975">
        <v>50</v>
      </c>
      <c r="P975">
        <v>0</v>
      </c>
      <c r="Q975">
        <v>0</v>
      </c>
      <c r="R975">
        <v>0</v>
      </c>
      <c r="S975">
        <v>0</v>
      </c>
    </row>
    <row r="976" spans="1:19" x14ac:dyDescent="0.25">
      <c r="A976">
        <v>18081</v>
      </c>
      <c r="B976" t="s">
        <v>69</v>
      </c>
      <c r="C976">
        <v>14</v>
      </c>
      <c r="D976">
        <v>297.51533293932602</v>
      </c>
      <c r="E976">
        <v>2.9590132570819101</v>
      </c>
      <c r="F976">
        <f t="shared" si="31"/>
        <v>4</v>
      </c>
      <c r="G976">
        <v>3</v>
      </c>
      <c r="H976">
        <v>1</v>
      </c>
      <c r="I976">
        <v>0</v>
      </c>
      <c r="J976">
        <v>0</v>
      </c>
      <c r="K976">
        <v>0</v>
      </c>
      <c r="L976">
        <v>0</v>
      </c>
      <c r="M976">
        <f t="shared" si="30"/>
        <v>520</v>
      </c>
      <c r="N976">
        <v>470</v>
      </c>
      <c r="O976">
        <v>50</v>
      </c>
      <c r="P976">
        <v>0</v>
      </c>
      <c r="Q976">
        <v>0</v>
      </c>
      <c r="R976">
        <v>0</v>
      </c>
      <c r="S976">
        <v>0</v>
      </c>
    </row>
    <row r="977" spans="1:19" x14ac:dyDescent="0.25">
      <c r="A977">
        <v>18081</v>
      </c>
      <c r="B977" t="s">
        <v>69</v>
      </c>
      <c r="C977">
        <v>15</v>
      </c>
      <c r="D977">
        <v>311.28819464501697</v>
      </c>
      <c r="E977">
        <v>2.6900120518926398</v>
      </c>
      <c r="F977">
        <f t="shared" si="31"/>
        <v>4</v>
      </c>
      <c r="G977">
        <v>3</v>
      </c>
      <c r="H977">
        <v>1</v>
      </c>
      <c r="I977">
        <v>0</v>
      </c>
      <c r="J977">
        <v>0</v>
      </c>
      <c r="K977">
        <v>0</v>
      </c>
      <c r="L977">
        <v>0</v>
      </c>
      <c r="M977">
        <f t="shared" si="30"/>
        <v>520</v>
      </c>
      <c r="N977">
        <v>470</v>
      </c>
      <c r="O977">
        <v>50</v>
      </c>
      <c r="P977">
        <v>0</v>
      </c>
      <c r="Q977">
        <v>0</v>
      </c>
      <c r="R977">
        <v>0</v>
      </c>
      <c r="S977">
        <v>0</v>
      </c>
    </row>
    <row r="978" spans="1:19" x14ac:dyDescent="0.25">
      <c r="A978">
        <v>18081</v>
      </c>
      <c r="B978" t="s">
        <v>69</v>
      </c>
      <c r="C978">
        <v>16</v>
      </c>
      <c r="D978">
        <v>337.381311548376</v>
      </c>
      <c r="E978">
        <v>2.4748110877412302</v>
      </c>
      <c r="F978">
        <f t="shared" si="31"/>
        <v>4</v>
      </c>
      <c r="G978">
        <v>3</v>
      </c>
      <c r="H978">
        <v>1</v>
      </c>
      <c r="I978">
        <v>0</v>
      </c>
      <c r="J978">
        <v>0</v>
      </c>
      <c r="K978">
        <v>0</v>
      </c>
      <c r="L978">
        <v>0</v>
      </c>
      <c r="M978">
        <f t="shared" si="30"/>
        <v>520</v>
      </c>
      <c r="N978">
        <v>470</v>
      </c>
      <c r="O978">
        <v>50</v>
      </c>
      <c r="P978">
        <v>0</v>
      </c>
      <c r="Q978">
        <v>0</v>
      </c>
      <c r="R978">
        <v>0</v>
      </c>
      <c r="S978">
        <v>0</v>
      </c>
    </row>
    <row r="979" spans="1:19" x14ac:dyDescent="0.25">
      <c r="A979">
        <v>18081</v>
      </c>
      <c r="B979" t="s">
        <v>69</v>
      </c>
      <c r="C979">
        <v>17</v>
      </c>
      <c r="D979">
        <v>373.64267400788799</v>
      </c>
      <c r="E979">
        <v>2.6362118108547898</v>
      </c>
      <c r="F979">
        <f t="shared" si="31"/>
        <v>4</v>
      </c>
      <c r="G979">
        <v>3</v>
      </c>
      <c r="H979">
        <v>1</v>
      </c>
      <c r="I979">
        <v>0</v>
      </c>
      <c r="J979">
        <v>0</v>
      </c>
      <c r="K979">
        <v>0</v>
      </c>
      <c r="L979">
        <v>0</v>
      </c>
      <c r="M979">
        <f t="shared" si="30"/>
        <v>520</v>
      </c>
      <c r="N979">
        <v>470</v>
      </c>
      <c r="O979">
        <v>50</v>
      </c>
      <c r="P979">
        <v>0</v>
      </c>
      <c r="Q979">
        <v>0</v>
      </c>
      <c r="R979">
        <v>0</v>
      </c>
      <c r="S979">
        <v>0</v>
      </c>
    </row>
    <row r="980" spans="1:19" x14ac:dyDescent="0.25">
      <c r="A980">
        <v>18081</v>
      </c>
      <c r="B980" t="s">
        <v>69</v>
      </c>
      <c r="C980">
        <v>18</v>
      </c>
      <c r="D980">
        <v>420.50268395185799</v>
      </c>
      <c r="E980">
        <v>2.8514127750061999</v>
      </c>
      <c r="F980">
        <f t="shared" si="31"/>
        <v>4</v>
      </c>
      <c r="G980">
        <v>3</v>
      </c>
      <c r="H980">
        <v>1</v>
      </c>
      <c r="I980">
        <v>0</v>
      </c>
      <c r="J980">
        <v>0</v>
      </c>
      <c r="K980">
        <v>0</v>
      </c>
      <c r="L980">
        <v>0</v>
      </c>
      <c r="M980">
        <f t="shared" si="30"/>
        <v>520</v>
      </c>
      <c r="N980">
        <v>470</v>
      </c>
      <c r="O980">
        <v>50</v>
      </c>
      <c r="P980">
        <v>0</v>
      </c>
      <c r="Q980">
        <v>0</v>
      </c>
      <c r="R980">
        <v>0</v>
      </c>
      <c r="S980">
        <v>0</v>
      </c>
    </row>
    <row r="981" spans="1:19" x14ac:dyDescent="0.25">
      <c r="A981">
        <v>18081</v>
      </c>
      <c r="B981" t="s">
        <v>69</v>
      </c>
      <c r="C981">
        <v>19</v>
      </c>
      <c r="D981">
        <v>462.19787075619399</v>
      </c>
      <c r="E981">
        <v>3.06661373915761</v>
      </c>
      <c r="F981">
        <f t="shared" si="31"/>
        <v>4</v>
      </c>
      <c r="G981">
        <v>3</v>
      </c>
      <c r="H981">
        <v>1</v>
      </c>
      <c r="I981">
        <v>0</v>
      </c>
      <c r="J981">
        <v>0</v>
      </c>
      <c r="K981">
        <v>0</v>
      </c>
      <c r="L981">
        <v>0</v>
      </c>
      <c r="M981">
        <f t="shared" si="30"/>
        <v>520</v>
      </c>
      <c r="N981">
        <v>470</v>
      </c>
      <c r="O981">
        <v>50</v>
      </c>
      <c r="P981">
        <v>0</v>
      </c>
      <c r="Q981">
        <v>0</v>
      </c>
      <c r="R981">
        <v>0</v>
      </c>
      <c r="S981">
        <v>0</v>
      </c>
    </row>
    <row r="982" spans="1:19" x14ac:dyDescent="0.25">
      <c r="A982">
        <v>18081</v>
      </c>
      <c r="B982" t="s">
        <v>69</v>
      </c>
      <c r="C982">
        <v>20</v>
      </c>
      <c r="D982">
        <v>491.46520188078603</v>
      </c>
      <c r="E982">
        <v>4.0350180778389699</v>
      </c>
      <c r="F982">
        <f t="shared" si="31"/>
        <v>4</v>
      </c>
      <c r="G982">
        <v>3</v>
      </c>
      <c r="H982">
        <v>1</v>
      </c>
      <c r="I982">
        <v>0</v>
      </c>
      <c r="J982">
        <v>0</v>
      </c>
      <c r="K982">
        <v>0</v>
      </c>
      <c r="L982">
        <v>0</v>
      </c>
      <c r="M982">
        <f t="shared" si="30"/>
        <v>520</v>
      </c>
      <c r="N982">
        <v>470</v>
      </c>
      <c r="O982">
        <v>50</v>
      </c>
      <c r="P982">
        <v>0</v>
      </c>
      <c r="Q982">
        <v>0</v>
      </c>
      <c r="R982">
        <v>0</v>
      </c>
      <c r="S982">
        <v>0</v>
      </c>
    </row>
    <row r="983" spans="1:19" x14ac:dyDescent="0.25">
      <c r="A983">
        <v>18081</v>
      </c>
      <c r="B983" t="s">
        <v>69</v>
      </c>
      <c r="C983">
        <v>21</v>
      </c>
      <c r="D983">
        <v>511.747892752057</v>
      </c>
      <c r="E983">
        <v>5.3800241037852903</v>
      </c>
      <c r="F983">
        <f t="shared" si="31"/>
        <v>4</v>
      </c>
      <c r="G983">
        <v>3</v>
      </c>
      <c r="H983">
        <v>1</v>
      </c>
      <c r="I983">
        <v>0</v>
      </c>
      <c r="J983">
        <v>0</v>
      </c>
      <c r="K983">
        <v>0</v>
      </c>
      <c r="L983">
        <v>0</v>
      </c>
      <c r="M983">
        <f t="shared" si="30"/>
        <v>520</v>
      </c>
      <c r="N983">
        <v>470</v>
      </c>
      <c r="O983">
        <v>50</v>
      </c>
      <c r="P983">
        <v>0</v>
      </c>
      <c r="Q983">
        <v>0</v>
      </c>
      <c r="R983">
        <v>0</v>
      </c>
      <c r="S983">
        <v>0</v>
      </c>
    </row>
    <row r="984" spans="1:19" x14ac:dyDescent="0.25">
      <c r="A984">
        <v>18081</v>
      </c>
      <c r="B984" t="s">
        <v>69</v>
      </c>
      <c r="C984">
        <v>22</v>
      </c>
      <c r="D984">
        <v>530.03997470492698</v>
      </c>
      <c r="E984">
        <v>7.5858339863372697</v>
      </c>
      <c r="F984">
        <f t="shared" si="31"/>
        <v>4</v>
      </c>
      <c r="G984">
        <v>3</v>
      </c>
      <c r="H984">
        <v>1</v>
      </c>
      <c r="I984">
        <v>0</v>
      </c>
      <c r="J984">
        <v>0</v>
      </c>
      <c r="K984">
        <v>0</v>
      </c>
      <c r="L984">
        <v>0</v>
      </c>
      <c r="M984">
        <f t="shared" si="30"/>
        <v>520</v>
      </c>
      <c r="N984">
        <v>470</v>
      </c>
      <c r="O984">
        <v>50</v>
      </c>
      <c r="P984">
        <v>0</v>
      </c>
      <c r="Q984">
        <v>0</v>
      </c>
      <c r="R984">
        <v>0</v>
      </c>
      <c r="S984">
        <v>0</v>
      </c>
    </row>
    <row r="985" spans="1:19" x14ac:dyDescent="0.25">
      <c r="A985">
        <v>18081</v>
      </c>
      <c r="B985" t="s">
        <v>69</v>
      </c>
      <c r="C985">
        <v>23</v>
      </c>
      <c r="D985">
        <v>540.90762339457297</v>
      </c>
      <c r="E985">
        <v>11.889853269365499</v>
      </c>
      <c r="F985">
        <f t="shared" si="31"/>
        <v>4</v>
      </c>
      <c r="G985">
        <v>3</v>
      </c>
      <c r="H985">
        <v>1</v>
      </c>
      <c r="I985">
        <v>0</v>
      </c>
      <c r="J985">
        <v>0</v>
      </c>
      <c r="K985">
        <v>0</v>
      </c>
      <c r="L985">
        <v>0</v>
      </c>
      <c r="M985">
        <f t="shared" si="30"/>
        <v>520</v>
      </c>
      <c r="N985">
        <v>470</v>
      </c>
      <c r="O985">
        <v>50</v>
      </c>
      <c r="P985">
        <v>0</v>
      </c>
      <c r="Q985">
        <v>0</v>
      </c>
      <c r="R985">
        <v>0</v>
      </c>
      <c r="S985">
        <v>0</v>
      </c>
    </row>
    <row r="986" spans="1:19" x14ac:dyDescent="0.25">
      <c r="A986">
        <v>18083</v>
      </c>
      <c r="B986" t="s">
        <v>70</v>
      </c>
      <c r="C986">
        <v>0</v>
      </c>
      <c r="D986">
        <v>10.2881255794466</v>
      </c>
      <c r="E986">
        <v>2.0701716104984098</v>
      </c>
      <c r="F986">
        <f t="shared" si="31"/>
        <v>2</v>
      </c>
      <c r="G986">
        <v>0</v>
      </c>
      <c r="H986">
        <v>0</v>
      </c>
      <c r="I986">
        <v>2</v>
      </c>
      <c r="J986">
        <v>0</v>
      </c>
      <c r="K986">
        <v>0</v>
      </c>
      <c r="L986">
        <v>0</v>
      </c>
      <c r="M986">
        <f t="shared" si="30"/>
        <v>35</v>
      </c>
      <c r="N986">
        <v>0</v>
      </c>
      <c r="O986">
        <v>0</v>
      </c>
      <c r="P986">
        <v>35</v>
      </c>
      <c r="Q986">
        <v>0</v>
      </c>
      <c r="R986">
        <v>0</v>
      </c>
      <c r="S986">
        <v>0</v>
      </c>
    </row>
    <row r="987" spans="1:19" x14ac:dyDescent="0.25">
      <c r="A987">
        <v>18083</v>
      </c>
      <c r="B987" t="s">
        <v>70</v>
      </c>
      <c r="C987">
        <v>1</v>
      </c>
      <c r="D987">
        <v>10.2881255794466</v>
      </c>
      <c r="E987">
        <v>2.0074391374529998</v>
      </c>
      <c r="F987">
        <f t="shared" si="31"/>
        <v>2</v>
      </c>
      <c r="G987">
        <v>0</v>
      </c>
      <c r="H987">
        <v>0</v>
      </c>
      <c r="I987">
        <v>2</v>
      </c>
      <c r="J987">
        <v>0</v>
      </c>
      <c r="K987">
        <v>0</v>
      </c>
      <c r="L987">
        <v>0</v>
      </c>
      <c r="M987">
        <f t="shared" si="30"/>
        <v>35</v>
      </c>
      <c r="N987">
        <v>0</v>
      </c>
      <c r="O987">
        <v>0</v>
      </c>
      <c r="P987">
        <v>35</v>
      </c>
      <c r="Q987">
        <v>0</v>
      </c>
      <c r="R987">
        <v>0</v>
      </c>
      <c r="S987">
        <v>0</v>
      </c>
    </row>
    <row r="988" spans="1:19" x14ac:dyDescent="0.25">
      <c r="A988">
        <v>18083</v>
      </c>
      <c r="B988" t="s">
        <v>70</v>
      </c>
      <c r="C988">
        <v>2</v>
      </c>
      <c r="D988">
        <v>10.539055471628201</v>
      </c>
      <c r="E988">
        <v>2.0074391374529998</v>
      </c>
      <c r="F988">
        <f t="shared" si="31"/>
        <v>2</v>
      </c>
      <c r="G988">
        <v>0</v>
      </c>
      <c r="H988">
        <v>0</v>
      </c>
      <c r="I988">
        <v>2</v>
      </c>
      <c r="J988">
        <v>0</v>
      </c>
      <c r="K988">
        <v>0</v>
      </c>
      <c r="L988">
        <v>0</v>
      </c>
      <c r="M988">
        <f t="shared" si="30"/>
        <v>35</v>
      </c>
      <c r="N988">
        <v>0</v>
      </c>
      <c r="O988">
        <v>0</v>
      </c>
      <c r="P988">
        <v>35</v>
      </c>
      <c r="Q988">
        <v>0</v>
      </c>
      <c r="R988">
        <v>0</v>
      </c>
      <c r="S988">
        <v>0</v>
      </c>
    </row>
    <row r="989" spans="1:19" x14ac:dyDescent="0.25">
      <c r="A989">
        <v>18083</v>
      </c>
      <c r="B989" t="s">
        <v>70</v>
      </c>
      <c r="C989">
        <v>3</v>
      </c>
      <c r="D989">
        <v>11.4173100942639</v>
      </c>
      <c r="E989">
        <v>2.0074391374529998</v>
      </c>
      <c r="F989">
        <f t="shared" si="31"/>
        <v>2</v>
      </c>
      <c r="G989">
        <v>0</v>
      </c>
      <c r="H989">
        <v>0</v>
      </c>
      <c r="I989">
        <v>2</v>
      </c>
      <c r="J989">
        <v>0</v>
      </c>
      <c r="K989">
        <v>0</v>
      </c>
      <c r="L989">
        <v>0</v>
      </c>
      <c r="M989">
        <f t="shared" si="30"/>
        <v>35</v>
      </c>
      <c r="N989">
        <v>0</v>
      </c>
      <c r="O989">
        <v>0</v>
      </c>
      <c r="P989">
        <v>35</v>
      </c>
      <c r="Q989">
        <v>0</v>
      </c>
      <c r="R989">
        <v>0</v>
      </c>
      <c r="S989">
        <v>0</v>
      </c>
    </row>
    <row r="990" spans="1:19" x14ac:dyDescent="0.25">
      <c r="A990">
        <v>18083</v>
      </c>
      <c r="B990" t="s">
        <v>70</v>
      </c>
      <c r="C990">
        <v>4</v>
      </c>
      <c r="D990">
        <v>16.5613728839873</v>
      </c>
      <c r="E990">
        <v>2.1329040835438202</v>
      </c>
      <c r="F990">
        <f t="shared" si="31"/>
        <v>2</v>
      </c>
      <c r="G990">
        <v>0</v>
      </c>
      <c r="H990">
        <v>0</v>
      </c>
      <c r="I990">
        <v>2</v>
      </c>
      <c r="J990">
        <v>0</v>
      </c>
      <c r="K990">
        <v>0</v>
      </c>
      <c r="L990">
        <v>0</v>
      </c>
      <c r="M990">
        <f t="shared" si="30"/>
        <v>35</v>
      </c>
      <c r="N990">
        <v>0</v>
      </c>
      <c r="O990">
        <v>0</v>
      </c>
      <c r="P990">
        <v>35</v>
      </c>
      <c r="Q990">
        <v>0</v>
      </c>
      <c r="R990">
        <v>0</v>
      </c>
      <c r="S990">
        <v>0</v>
      </c>
    </row>
    <row r="991" spans="1:19" x14ac:dyDescent="0.25">
      <c r="A991">
        <v>18083</v>
      </c>
      <c r="B991" t="s">
        <v>70</v>
      </c>
      <c r="C991">
        <v>5</v>
      </c>
      <c r="D991">
        <v>15.9967806265786</v>
      </c>
      <c r="E991">
        <v>1.8192417183167799</v>
      </c>
      <c r="F991">
        <f t="shared" si="31"/>
        <v>2</v>
      </c>
      <c r="G991">
        <v>0</v>
      </c>
      <c r="H991">
        <v>0</v>
      </c>
      <c r="I991">
        <v>2</v>
      </c>
      <c r="J991">
        <v>0</v>
      </c>
      <c r="K991">
        <v>0</v>
      </c>
      <c r="L991">
        <v>0</v>
      </c>
      <c r="M991">
        <f t="shared" si="30"/>
        <v>35</v>
      </c>
      <c r="N991">
        <v>0</v>
      </c>
      <c r="O991">
        <v>0</v>
      </c>
      <c r="P991">
        <v>35</v>
      </c>
      <c r="Q991">
        <v>0</v>
      </c>
      <c r="R991">
        <v>0</v>
      </c>
      <c r="S991">
        <v>0</v>
      </c>
    </row>
    <row r="992" spans="1:19" x14ac:dyDescent="0.25">
      <c r="A992">
        <v>18083</v>
      </c>
      <c r="B992" t="s">
        <v>70</v>
      </c>
      <c r="C992">
        <v>6</v>
      </c>
      <c r="D992">
        <v>14.052073962171001</v>
      </c>
      <c r="E992">
        <v>2.3211015026800399</v>
      </c>
      <c r="F992">
        <f t="shared" si="31"/>
        <v>2</v>
      </c>
      <c r="G992">
        <v>0</v>
      </c>
      <c r="H992">
        <v>0</v>
      </c>
      <c r="I992">
        <v>2</v>
      </c>
      <c r="J992">
        <v>0</v>
      </c>
      <c r="K992">
        <v>0</v>
      </c>
      <c r="L992">
        <v>0</v>
      </c>
      <c r="M992">
        <f t="shared" si="30"/>
        <v>35</v>
      </c>
      <c r="N992">
        <v>0</v>
      </c>
      <c r="O992">
        <v>0</v>
      </c>
      <c r="P992">
        <v>35</v>
      </c>
      <c r="Q992">
        <v>0</v>
      </c>
      <c r="R992">
        <v>0</v>
      </c>
      <c r="S992">
        <v>0</v>
      </c>
    </row>
    <row r="993" spans="1:19" x14ac:dyDescent="0.25">
      <c r="A993">
        <v>18083</v>
      </c>
      <c r="B993" t="s">
        <v>70</v>
      </c>
      <c r="C993">
        <v>7</v>
      </c>
      <c r="D993">
        <v>11.668239986445601</v>
      </c>
      <c r="E993">
        <v>3.0738911792249102</v>
      </c>
      <c r="F993">
        <f t="shared" si="31"/>
        <v>2</v>
      </c>
      <c r="G993">
        <v>0</v>
      </c>
      <c r="H993">
        <v>0</v>
      </c>
      <c r="I993">
        <v>2</v>
      </c>
      <c r="J993">
        <v>0</v>
      </c>
      <c r="K993">
        <v>0</v>
      </c>
      <c r="L993">
        <v>0</v>
      </c>
      <c r="M993">
        <f t="shared" si="30"/>
        <v>35</v>
      </c>
      <c r="N993">
        <v>0</v>
      </c>
      <c r="O993">
        <v>0</v>
      </c>
      <c r="P993">
        <v>35</v>
      </c>
      <c r="Q993">
        <v>0</v>
      </c>
      <c r="R993">
        <v>0</v>
      </c>
      <c r="S993">
        <v>0</v>
      </c>
    </row>
    <row r="994" spans="1:19" x14ac:dyDescent="0.25">
      <c r="A994">
        <v>18083</v>
      </c>
      <c r="B994" t="s">
        <v>70</v>
      </c>
      <c r="C994">
        <v>8</v>
      </c>
      <c r="D994">
        <v>8.5943488072206904</v>
      </c>
      <c r="E994">
        <v>2.2583690296346299</v>
      </c>
      <c r="F994">
        <f t="shared" si="31"/>
        <v>2</v>
      </c>
      <c r="G994">
        <v>0</v>
      </c>
      <c r="H994">
        <v>0</v>
      </c>
      <c r="I994">
        <v>2</v>
      </c>
      <c r="J994">
        <v>0</v>
      </c>
      <c r="K994">
        <v>0</v>
      </c>
      <c r="L994">
        <v>0</v>
      </c>
      <c r="M994">
        <f t="shared" si="30"/>
        <v>35</v>
      </c>
      <c r="N994">
        <v>0</v>
      </c>
      <c r="O994">
        <v>0</v>
      </c>
      <c r="P994">
        <v>35</v>
      </c>
      <c r="Q994">
        <v>0</v>
      </c>
      <c r="R994">
        <v>0</v>
      </c>
      <c r="S994">
        <v>0</v>
      </c>
    </row>
    <row r="995" spans="1:19" x14ac:dyDescent="0.25">
      <c r="A995">
        <v>18083</v>
      </c>
      <c r="B995" t="s">
        <v>70</v>
      </c>
      <c r="C995">
        <v>9</v>
      </c>
      <c r="D995">
        <v>5.5204576279957696</v>
      </c>
      <c r="E995">
        <v>3.45028601749735</v>
      </c>
      <c r="F995">
        <f t="shared" si="31"/>
        <v>2</v>
      </c>
      <c r="G995">
        <v>0</v>
      </c>
      <c r="H995">
        <v>0</v>
      </c>
      <c r="I995">
        <v>2</v>
      </c>
      <c r="J995">
        <v>0</v>
      </c>
      <c r="K995">
        <v>0</v>
      </c>
      <c r="L995">
        <v>0</v>
      </c>
      <c r="M995">
        <f t="shared" si="30"/>
        <v>35</v>
      </c>
      <c r="N995">
        <v>0</v>
      </c>
      <c r="O995">
        <v>0</v>
      </c>
      <c r="P995">
        <v>35</v>
      </c>
      <c r="Q995">
        <v>0</v>
      </c>
      <c r="R995">
        <v>0</v>
      </c>
      <c r="S995">
        <v>0</v>
      </c>
    </row>
    <row r="996" spans="1:19" x14ac:dyDescent="0.25">
      <c r="A996">
        <v>18083</v>
      </c>
      <c r="B996" t="s">
        <v>70</v>
      </c>
      <c r="C996">
        <v>10</v>
      </c>
      <c r="D996">
        <v>5.5204576279957696</v>
      </c>
      <c r="E996">
        <v>3.8266808557697898</v>
      </c>
      <c r="F996">
        <f t="shared" si="31"/>
        <v>2</v>
      </c>
      <c r="G996">
        <v>0</v>
      </c>
      <c r="H996">
        <v>0</v>
      </c>
      <c r="I996">
        <v>2</v>
      </c>
      <c r="J996">
        <v>0</v>
      </c>
      <c r="K996">
        <v>0</v>
      </c>
      <c r="L996">
        <v>0</v>
      </c>
      <c r="M996">
        <f t="shared" si="30"/>
        <v>35</v>
      </c>
      <c r="N996">
        <v>0</v>
      </c>
      <c r="O996">
        <v>0</v>
      </c>
      <c r="P996">
        <v>35</v>
      </c>
      <c r="Q996">
        <v>0</v>
      </c>
      <c r="R996">
        <v>0</v>
      </c>
      <c r="S996">
        <v>0</v>
      </c>
    </row>
    <row r="997" spans="1:19" x14ac:dyDescent="0.25">
      <c r="A997">
        <v>18083</v>
      </c>
      <c r="B997" t="s">
        <v>70</v>
      </c>
      <c r="C997">
        <v>11</v>
      </c>
      <c r="D997">
        <v>7.7160941845849997</v>
      </c>
      <c r="E997">
        <v>3.01115870617951</v>
      </c>
      <c r="F997">
        <f t="shared" si="31"/>
        <v>2</v>
      </c>
      <c r="G997">
        <v>0</v>
      </c>
      <c r="H997">
        <v>0</v>
      </c>
      <c r="I997">
        <v>2</v>
      </c>
      <c r="J997">
        <v>0</v>
      </c>
      <c r="K997">
        <v>0</v>
      </c>
      <c r="L997">
        <v>0</v>
      </c>
      <c r="M997">
        <f t="shared" si="30"/>
        <v>35</v>
      </c>
      <c r="N997">
        <v>0</v>
      </c>
      <c r="O997">
        <v>0</v>
      </c>
      <c r="P997">
        <v>35</v>
      </c>
      <c r="Q997">
        <v>0</v>
      </c>
      <c r="R997">
        <v>0</v>
      </c>
      <c r="S997">
        <v>0</v>
      </c>
    </row>
    <row r="998" spans="1:19" x14ac:dyDescent="0.25">
      <c r="A998">
        <v>18083</v>
      </c>
      <c r="B998" t="s">
        <v>70</v>
      </c>
      <c r="C998">
        <v>12</v>
      </c>
      <c r="D998">
        <v>7.0260369810855199</v>
      </c>
      <c r="E998">
        <v>2.1329040835438202</v>
      </c>
      <c r="F998">
        <f t="shared" si="31"/>
        <v>2</v>
      </c>
      <c r="G998">
        <v>0</v>
      </c>
      <c r="H998">
        <v>0</v>
      </c>
      <c r="I998">
        <v>2</v>
      </c>
      <c r="J998">
        <v>0</v>
      </c>
      <c r="K998">
        <v>0</v>
      </c>
      <c r="L998">
        <v>0</v>
      </c>
      <c r="M998">
        <f t="shared" si="30"/>
        <v>35</v>
      </c>
      <c r="N998">
        <v>0</v>
      </c>
      <c r="O998">
        <v>0</v>
      </c>
      <c r="P998">
        <v>35</v>
      </c>
      <c r="Q998">
        <v>0</v>
      </c>
      <c r="R998">
        <v>0</v>
      </c>
      <c r="S998">
        <v>0</v>
      </c>
    </row>
    <row r="999" spans="1:19" x14ac:dyDescent="0.25">
      <c r="A999">
        <v>18083</v>
      </c>
      <c r="B999" t="s">
        <v>70</v>
      </c>
      <c r="C999">
        <v>13</v>
      </c>
      <c r="D999">
        <v>6.1477823584498301</v>
      </c>
      <c r="E999">
        <v>1.75650924527138</v>
      </c>
      <c r="F999">
        <f t="shared" si="31"/>
        <v>2</v>
      </c>
      <c r="G999">
        <v>0</v>
      </c>
      <c r="H999">
        <v>0</v>
      </c>
      <c r="I999">
        <v>2</v>
      </c>
      <c r="J999">
        <v>0</v>
      </c>
      <c r="K999">
        <v>0</v>
      </c>
      <c r="L999">
        <v>0</v>
      </c>
      <c r="M999">
        <f t="shared" si="30"/>
        <v>35</v>
      </c>
      <c r="N999">
        <v>0</v>
      </c>
      <c r="O999">
        <v>0</v>
      </c>
      <c r="P999">
        <v>35</v>
      </c>
      <c r="Q999">
        <v>0</v>
      </c>
      <c r="R999">
        <v>0</v>
      </c>
      <c r="S999">
        <v>0</v>
      </c>
    </row>
    <row r="1000" spans="1:19" x14ac:dyDescent="0.25">
      <c r="A1000">
        <v>18083</v>
      </c>
      <c r="B1000" t="s">
        <v>70</v>
      </c>
      <c r="C1000">
        <v>14</v>
      </c>
      <c r="D1000">
        <v>3.5130184905427599</v>
      </c>
      <c r="E1000">
        <v>1.25464946090813</v>
      </c>
      <c r="F1000">
        <f t="shared" si="31"/>
        <v>2</v>
      </c>
      <c r="G1000">
        <v>0</v>
      </c>
      <c r="H1000">
        <v>0</v>
      </c>
      <c r="I1000">
        <v>2</v>
      </c>
      <c r="J1000">
        <v>0</v>
      </c>
      <c r="K1000">
        <v>0</v>
      </c>
      <c r="L1000">
        <v>0</v>
      </c>
      <c r="M1000">
        <f t="shared" si="30"/>
        <v>35</v>
      </c>
      <c r="N1000">
        <v>0</v>
      </c>
      <c r="O1000">
        <v>0</v>
      </c>
      <c r="P1000">
        <v>35</v>
      </c>
      <c r="Q1000">
        <v>0</v>
      </c>
      <c r="R1000">
        <v>0</v>
      </c>
      <c r="S1000">
        <v>0</v>
      </c>
    </row>
    <row r="1001" spans="1:19" x14ac:dyDescent="0.25">
      <c r="A1001">
        <v>18083</v>
      </c>
      <c r="B1001" t="s">
        <v>70</v>
      </c>
      <c r="C1001">
        <v>15</v>
      </c>
      <c r="D1001">
        <v>2.8856937600886901</v>
      </c>
      <c r="E1001">
        <v>1.0664520417719101</v>
      </c>
      <c r="F1001">
        <f t="shared" si="31"/>
        <v>2</v>
      </c>
      <c r="G1001">
        <v>0</v>
      </c>
      <c r="H1001">
        <v>0</v>
      </c>
      <c r="I1001">
        <v>2</v>
      </c>
      <c r="J1001">
        <v>0</v>
      </c>
      <c r="K1001">
        <v>0</v>
      </c>
      <c r="L1001">
        <v>0</v>
      </c>
      <c r="M1001">
        <f t="shared" si="30"/>
        <v>35</v>
      </c>
      <c r="N1001">
        <v>0</v>
      </c>
      <c r="O1001">
        <v>0</v>
      </c>
      <c r="P1001">
        <v>35</v>
      </c>
      <c r="Q1001">
        <v>0</v>
      </c>
      <c r="R1001">
        <v>0</v>
      </c>
      <c r="S1001">
        <v>0</v>
      </c>
    </row>
    <row r="1002" spans="1:19" x14ac:dyDescent="0.25">
      <c r="A1002">
        <v>18083</v>
      </c>
      <c r="B1002" t="s">
        <v>70</v>
      </c>
      <c r="C1002">
        <v>16</v>
      </c>
      <c r="D1002">
        <v>2.8229612870432899</v>
      </c>
      <c r="E1002">
        <v>1.5055793530897501</v>
      </c>
      <c r="F1002">
        <f t="shared" si="31"/>
        <v>2</v>
      </c>
      <c r="G1002">
        <v>0</v>
      </c>
      <c r="H1002">
        <v>0</v>
      </c>
      <c r="I1002">
        <v>2</v>
      </c>
      <c r="J1002">
        <v>0</v>
      </c>
      <c r="K1002">
        <v>0</v>
      </c>
      <c r="L1002">
        <v>0</v>
      </c>
      <c r="M1002">
        <f t="shared" si="30"/>
        <v>35</v>
      </c>
      <c r="N1002">
        <v>0</v>
      </c>
      <c r="O1002">
        <v>0</v>
      </c>
      <c r="P1002">
        <v>35</v>
      </c>
      <c r="Q1002">
        <v>0</v>
      </c>
      <c r="R1002">
        <v>0</v>
      </c>
      <c r="S1002">
        <v>0</v>
      </c>
    </row>
    <row r="1003" spans="1:19" x14ac:dyDescent="0.25">
      <c r="A1003">
        <v>18083</v>
      </c>
      <c r="B1003" t="s">
        <v>70</v>
      </c>
      <c r="C1003">
        <v>17</v>
      </c>
      <c r="D1003">
        <v>2.8229612870432899</v>
      </c>
      <c r="E1003">
        <v>1.63104429918056</v>
      </c>
      <c r="F1003">
        <f t="shared" si="31"/>
        <v>2</v>
      </c>
      <c r="G1003">
        <v>0</v>
      </c>
      <c r="H1003">
        <v>0</v>
      </c>
      <c r="I1003">
        <v>2</v>
      </c>
      <c r="J1003">
        <v>0</v>
      </c>
      <c r="K1003">
        <v>0</v>
      </c>
      <c r="L1003">
        <v>0</v>
      </c>
      <c r="M1003">
        <f t="shared" si="30"/>
        <v>35</v>
      </c>
      <c r="N1003">
        <v>0</v>
      </c>
      <c r="O1003">
        <v>0</v>
      </c>
      <c r="P1003">
        <v>35</v>
      </c>
      <c r="Q1003">
        <v>0</v>
      </c>
      <c r="R1003">
        <v>0</v>
      </c>
      <c r="S1003">
        <v>0</v>
      </c>
    </row>
    <row r="1004" spans="1:19" x14ac:dyDescent="0.25">
      <c r="A1004">
        <v>18083</v>
      </c>
      <c r="B1004" t="s">
        <v>70</v>
      </c>
      <c r="C1004">
        <v>18</v>
      </c>
      <c r="D1004">
        <v>3.1366236522703201</v>
      </c>
      <c r="E1004">
        <v>1.8192417183167799</v>
      </c>
      <c r="F1004">
        <f t="shared" si="31"/>
        <v>2</v>
      </c>
      <c r="G1004">
        <v>0</v>
      </c>
      <c r="H1004">
        <v>0</v>
      </c>
      <c r="I1004">
        <v>2</v>
      </c>
      <c r="J1004">
        <v>0</v>
      </c>
      <c r="K1004">
        <v>0</v>
      </c>
      <c r="L1004">
        <v>0</v>
      </c>
      <c r="M1004">
        <f t="shared" si="30"/>
        <v>35</v>
      </c>
      <c r="N1004">
        <v>0</v>
      </c>
      <c r="O1004">
        <v>0</v>
      </c>
      <c r="P1004">
        <v>35</v>
      </c>
      <c r="Q1004">
        <v>0</v>
      </c>
      <c r="R1004">
        <v>0</v>
      </c>
      <c r="S1004">
        <v>0</v>
      </c>
    </row>
    <row r="1005" spans="1:19" x14ac:dyDescent="0.25">
      <c r="A1005">
        <v>18083</v>
      </c>
      <c r="B1005" t="s">
        <v>70</v>
      </c>
      <c r="C1005">
        <v>19</v>
      </c>
      <c r="D1005">
        <v>4.4540055862238601</v>
      </c>
      <c r="E1005">
        <v>1.5055793530897501</v>
      </c>
      <c r="F1005">
        <f t="shared" si="31"/>
        <v>2</v>
      </c>
      <c r="G1005">
        <v>0</v>
      </c>
      <c r="H1005">
        <v>0</v>
      </c>
      <c r="I1005">
        <v>2</v>
      </c>
      <c r="J1005">
        <v>0</v>
      </c>
      <c r="K1005">
        <v>0</v>
      </c>
      <c r="L1005">
        <v>0</v>
      </c>
      <c r="M1005">
        <f t="shared" si="30"/>
        <v>35</v>
      </c>
      <c r="N1005">
        <v>0</v>
      </c>
      <c r="O1005">
        <v>0</v>
      </c>
      <c r="P1005">
        <v>35</v>
      </c>
      <c r="Q1005">
        <v>0</v>
      </c>
      <c r="R1005">
        <v>0</v>
      </c>
      <c r="S1005">
        <v>0</v>
      </c>
    </row>
    <row r="1006" spans="1:19" x14ac:dyDescent="0.25">
      <c r="A1006">
        <v>18083</v>
      </c>
      <c r="B1006" t="s">
        <v>70</v>
      </c>
      <c r="C1006">
        <v>20</v>
      </c>
      <c r="D1006">
        <v>5.9595849393136104</v>
      </c>
      <c r="E1006">
        <v>1.8192417183167799</v>
      </c>
      <c r="F1006">
        <f t="shared" si="31"/>
        <v>2</v>
      </c>
      <c r="G1006">
        <v>0</v>
      </c>
      <c r="H1006">
        <v>0</v>
      </c>
      <c r="I1006">
        <v>2</v>
      </c>
      <c r="J1006">
        <v>0</v>
      </c>
      <c r="K1006">
        <v>0</v>
      </c>
      <c r="L1006">
        <v>0</v>
      </c>
      <c r="M1006">
        <f t="shared" si="30"/>
        <v>35</v>
      </c>
      <c r="N1006">
        <v>0</v>
      </c>
      <c r="O1006">
        <v>0</v>
      </c>
      <c r="P1006">
        <v>35</v>
      </c>
      <c r="Q1006">
        <v>0</v>
      </c>
      <c r="R1006">
        <v>0</v>
      </c>
      <c r="S1006">
        <v>0</v>
      </c>
    </row>
    <row r="1007" spans="1:19" x14ac:dyDescent="0.25">
      <c r="A1007">
        <v>18083</v>
      </c>
      <c r="B1007" t="s">
        <v>70</v>
      </c>
      <c r="C1007">
        <v>21</v>
      </c>
      <c r="D1007">
        <v>6.5241771967222704</v>
      </c>
      <c r="E1007">
        <v>1.75650924527138</v>
      </c>
      <c r="F1007">
        <f t="shared" si="31"/>
        <v>2</v>
      </c>
      <c r="G1007">
        <v>0</v>
      </c>
      <c r="H1007">
        <v>0</v>
      </c>
      <c r="I1007">
        <v>2</v>
      </c>
      <c r="J1007">
        <v>0</v>
      </c>
      <c r="K1007">
        <v>0</v>
      </c>
      <c r="L1007">
        <v>0</v>
      </c>
      <c r="M1007">
        <f t="shared" si="30"/>
        <v>35</v>
      </c>
      <c r="N1007">
        <v>0</v>
      </c>
      <c r="O1007">
        <v>0</v>
      </c>
      <c r="P1007">
        <v>35</v>
      </c>
      <c r="Q1007">
        <v>0</v>
      </c>
      <c r="R1007">
        <v>0</v>
      </c>
      <c r="S1007">
        <v>0</v>
      </c>
    </row>
    <row r="1008" spans="1:19" x14ac:dyDescent="0.25">
      <c r="A1008">
        <v>18083</v>
      </c>
      <c r="B1008" t="s">
        <v>70</v>
      </c>
      <c r="C1008">
        <v>22</v>
      </c>
      <c r="D1008">
        <v>8.0297565498120296</v>
      </c>
      <c r="E1008">
        <v>1.9447066644076001</v>
      </c>
      <c r="F1008">
        <f t="shared" si="31"/>
        <v>2</v>
      </c>
      <c r="G1008">
        <v>0</v>
      </c>
      <c r="H1008">
        <v>0</v>
      </c>
      <c r="I1008">
        <v>2</v>
      </c>
      <c r="J1008">
        <v>0</v>
      </c>
      <c r="K1008">
        <v>0</v>
      </c>
      <c r="L1008">
        <v>0</v>
      </c>
      <c r="M1008">
        <f t="shared" si="30"/>
        <v>35</v>
      </c>
      <c r="N1008">
        <v>0</v>
      </c>
      <c r="O1008">
        <v>0</v>
      </c>
      <c r="P1008">
        <v>35</v>
      </c>
      <c r="Q1008">
        <v>0</v>
      </c>
      <c r="R1008">
        <v>0</v>
      </c>
      <c r="S1008">
        <v>0</v>
      </c>
    </row>
    <row r="1009" spans="1:19" x14ac:dyDescent="0.25">
      <c r="A1009">
        <v>18083</v>
      </c>
      <c r="B1009" t="s">
        <v>70</v>
      </c>
      <c r="C1009">
        <v>23</v>
      </c>
      <c r="D1009">
        <v>9.4098709568109697</v>
      </c>
      <c r="E1009">
        <v>2.1329040835438202</v>
      </c>
      <c r="F1009">
        <f t="shared" si="31"/>
        <v>2</v>
      </c>
      <c r="G1009">
        <v>0</v>
      </c>
      <c r="H1009">
        <v>0</v>
      </c>
      <c r="I1009">
        <v>2</v>
      </c>
      <c r="J1009">
        <v>0</v>
      </c>
      <c r="K1009">
        <v>0</v>
      </c>
      <c r="L1009">
        <v>0</v>
      </c>
      <c r="M1009">
        <f t="shared" si="30"/>
        <v>35</v>
      </c>
      <c r="N1009">
        <v>0</v>
      </c>
      <c r="O1009">
        <v>0</v>
      </c>
      <c r="P1009">
        <v>35</v>
      </c>
      <c r="Q1009">
        <v>0</v>
      </c>
      <c r="R1009">
        <v>0</v>
      </c>
      <c r="S1009">
        <v>0</v>
      </c>
    </row>
    <row r="1010" spans="1:19" x14ac:dyDescent="0.25">
      <c r="A1010">
        <v>18085</v>
      </c>
      <c r="B1010" t="s">
        <v>71</v>
      </c>
      <c r="C1010">
        <v>0</v>
      </c>
      <c r="D1010">
        <v>0</v>
      </c>
      <c r="E1010">
        <v>3.9754019137690499</v>
      </c>
      <c r="F1010">
        <f t="shared" si="31"/>
        <v>0</v>
      </c>
      <c r="G1010">
        <v>0</v>
      </c>
      <c r="H1010">
        <v>0</v>
      </c>
      <c r="I1010">
        <v>0</v>
      </c>
      <c r="J1010">
        <v>0</v>
      </c>
      <c r="K1010">
        <v>0</v>
      </c>
      <c r="L1010">
        <v>0</v>
      </c>
      <c r="M1010">
        <f t="shared" si="30"/>
        <v>0</v>
      </c>
      <c r="N1010">
        <v>0</v>
      </c>
      <c r="O1010">
        <v>0</v>
      </c>
      <c r="P1010">
        <v>0</v>
      </c>
      <c r="Q1010">
        <v>0</v>
      </c>
      <c r="R1010">
        <v>0</v>
      </c>
      <c r="S1010">
        <v>0</v>
      </c>
    </row>
    <row r="1011" spans="1:19" x14ac:dyDescent="0.25">
      <c r="A1011">
        <v>18085</v>
      </c>
      <c r="B1011" t="s">
        <v>71</v>
      </c>
      <c r="C1011">
        <v>1</v>
      </c>
      <c r="D1011">
        <v>0</v>
      </c>
      <c r="E1011">
        <v>4.33216875218422</v>
      </c>
      <c r="F1011">
        <f t="shared" si="31"/>
        <v>0</v>
      </c>
      <c r="G1011">
        <v>0</v>
      </c>
      <c r="H1011">
        <v>0</v>
      </c>
      <c r="I1011">
        <v>0</v>
      </c>
      <c r="J1011">
        <v>0</v>
      </c>
      <c r="K1011">
        <v>0</v>
      </c>
      <c r="L1011">
        <v>0</v>
      </c>
      <c r="M1011">
        <f t="shared" si="30"/>
        <v>0</v>
      </c>
      <c r="N1011">
        <v>0</v>
      </c>
      <c r="O1011">
        <v>0</v>
      </c>
      <c r="P1011">
        <v>0</v>
      </c>
      <c r="Q1011">
        <v>0</v>
      </c>
      <c r="R1011">
        <v>0</v>
      </c>
      <c r="S1011">
        <v>0</v>
      </c>
    </row>
    <row r="1012" spans="1:19" x14ac:dyDescent="0.25">
      <c r="A1012">
        <v>18085</v>
      </c>
      <c r="B1012" t="s">
        <v>71</v>
      </c>
      <c r="C1012">
        <v>2</v>
      </c>
      <c r="D1012">
        <v>0</v>
      </c>
      <c r="E1012">
        <v>4.5360355169928903</v>
      </c>
      <c r="F1012">
        <f t="shared" si="31"/>
        <v>0</v>
      </c>
      <c r="G1012">
        <v>0</v>
      </c>
      <c r="H1012">
        <v>0</v>
      </c>
      <c r="I1012">
        <v>0</v>
      </c>
      <c r="J1012">
        <v>0</v>
      </c>
      <c r="K1012">
        <v>0</v>
      </c>
      <c r="L1012">
        <v>0</v>
      </c>
      <c r="M1012">
        <f t="shared" si="30"/>
        <v>0</v>
      </c>
      <c r="N1012">
        <v>0</v>
      </c>
      <c r="O1012">
        <v>0</v>
      </c>
      <c r="P1012">
        <v>0</v>
      </c>
      <c r="Q1012">
        <v>0</v>
      </c>
      <c r="R1012">
        <v>0</v>
      </c>
      <c r="S1012">
        <v>0</v>
      </c>
    </row>
    <row r="1013" spans="1:19" x14ac:dyDescent="0.25">
      <c r="A1013">
        <v>18085</v>
      </c>
      <c r="B1013" t="s">
        <v>71</v>
      </c>
      <c r="C1013">
        <v>3</v>
      </c>
      <c r="D1013">
        <v>0</v>
      </c>
      <c r="E1013">
        <v>4.5360355169928903</v>
      </c>
      <c r="F1013">
        <f t="shared" si="31"/>
        <v>0</v>
      </c>
      <c r="G1013">
        <v>0</v>
      </c>
      <c r="H1013">
        <v>0</v>
      </c>
      <c r="I1013">
        <v>0</v>
      </c>
      <c r="J1013">
        <v>0</v>
      </c>
      <c r="K1013">
        <v>0</v>
      </c>
      <c r="L1013">
        <v>0</v>
      </c>
      <c r="M1013">
        <f t="shared" si="30"/>
        <v>0</v>
      </c>
      <c r="N1013">
        <v>0</v>
      </c>
      <c r="O1013">
        <v>0</v>
      </c>
      <c r="P1013">
        <v>0</v>
      </c>
      <c r="Q1013">
        <v>0</v>
      </c>
      <c r="R1013">
        <v>0</v>
      </c>
      <c r="S1013">
        <v>0</v>
      </c>
    </row>
    <row r="1014" spans="1:19" x14ac:dyDescent="0.25">
      <c r="A1014">
        <v>18085</v>
      </c>
      <c r="B1014" t="s">
        <v>71</v>
      </c>
      <c r="C1014">
        <v>4</v>
      </c>
      <c r="D1014">
        <v>0</v>
      </c>
      <c r="E1014">
        <v>4.5360355169928903</v>
      </c>
      <c r="F1014">
        <f t="shared" si="31"/>
        <v>0</v>
      </c>
      <c r="G1014">
        <v>0</v>
      </c>
      <c r="H1014">
        <v>0</v>
      </c>
      <c r="I1014">
        <v>0</v>
      </c>
      <c r="J1014">
        <v>0</v>
      </c>
      <c r="K1014">
        <v>0</v>
      </c>
      <c r="L1014">
        <v>0</v>
      </c>
      <c r="M1014">
        <f t="shared" si="30"/>
        <v>0</v>
      </c>
      <c r="N1014">
        <v>0</v>
      </c>
      <c r="O1014">
        <v>0</v>
      </c>
      <c r="P1014">
        <v>0</v>
      </c>
      <c r="Q1014">
        <v>0</v>
      </c>
      <c r="R1014">
        <v>0</v>
      </c>
      <c r="S1014">
        <v>0</v>
      </c>
    </row>
    <row r="1015" spans="1:19" x14ac:dyDescent="0.25">
      <c r="A1015">
        <v>18085</v>
      </c>
      <c r="B1015" t="s">
        <v>71</v>
      </c>
      <c r="C1015">
        <v>5</v>
      </c>
      <c r="D1015">
        <v>0</v>
      </c>
      <c r="E1015">
        <v>3.1089681633322002</v>
      </c>
      <c r="F1015">
        <f t="shared" si="31"/>
        <v>0</v>
      </c>
      <c r="G1015">
        <v>0</v>
      </c>
      <c r="H1015">
        <v>0</v>
      </c>
      <c r="I1015">
        <v>0</v>
      </c>
      <c r="J1015">
        <v>0</v>
      </c>
      <c r="K1015">
        <v>0</v>
      </c>
      <c r="L1015">
        <v>0</v>
      </c>
      <c r="M1015">
        <f t="shared" si="30"/>
        <v>0</v>
      </c>
      <c r="N1015">
        <v>0</v>
      </c>
      <c r="O1015">
        <v>0</v>
      </c>
      <c r="P1015">
        <v>0</v>
      </c>
      <c r="Q1015">
        <v>0</v>
      </c>
      <c r="R1015">
        <v>0</v>
      </c>
      <c r="S1015">
        <v>0</v>
      </c>
    </row>
    <row r="1016" spans="1:19" x14ac:dyDescent="0.25">
      <c r="A1016">
        <v>18085</v>
      </c>
      <c r="B1016" t="s">
        <v>71</v>
      </c>
      <c r="C1016">
        <v>6</v>
      </c>
      <c r="D1016">
        <v>0</v>
      </c>
      <c r="E1016">
        <v>6.5237364738774097</v>
      </c>
      <c r="F1016">
        <f t="shared" si="31"/>
        <v>0</v>
      </c>
      <c r="G1016">
        <v>0</v>
      </c>
      <c r="H1016">
        <v>0</v>
      </c>
      <c r="I1016">
        <v>0</v>
      </c>
      <c r="J1016">
        <v>0</v>
      </c>
      <c r="K1016">
        <v>0</v>
      </c>
      <c r="L1016">
        <v>0</v>
      </c>
      <c r="M1016">
        <f t="shared" si="30"/>
        <v>0</v>
      </c>
      <c r="N1016">
        <v>0</v>
      </c>
      <c r="O1016">
        <v>0</v>
      </c>
      <c r="P1016">
        <v>0</v>
      </c>
      <c r="Q1016">
        <v>0</v>
      </c>
      <c r="R1016">
        <v>0</v>
      </c>
      <c r="S1016">
        <v>0</v>
      </c>
    </row>
    <row r="1017" spans="1:19" x14ac:dyDescent="0.25">
      <c r="A1017">
        <v>18085</v>
      </c>
      <c r="B1017" t="s">
        <v>71</v>
      </c>
      <c r="C1017">
        <v>7</v>
      </c>
      <c r="D1017">
        <v>0</v>
      </c>
      <c r="E1017">
        <v>11.467505520487601</v>
      </c>
      <c r="F1017">
        <f t="shared" si="31"/>
        <v>0</v>
      </c>
      <c r="G1017">
        <v>0</v>
      </c>
      <c r="H1017">
        <v>0</v>
      </c>
      <c r="I1017">
        <v>0</v>
      </c>
      <c r="J1017">
        <v>0</v>
      </c>
      <c r="K1017">
        <v>0</v>
      </c>
      <c r="L1017">
        <v>0</v>
      </c>
      <c r="M1017">
        <f t="shared" si="30"/>
        <v>0</v>
      </c>
      <c r="N1017">
        <v>0</v>
      </c>
      <c r="O1017">
        <v>0</v>
      </c>
      <c r="P1017">
        <v>0</v>
      </c>
      <c r="Q1017">
        <v>0</v>
      </c>
      <c r="R1017">
        <v>0</v>
      </c>
      <c r="S1017">
        <v>0</v>
      </c>
    </row>
    <row r="1018" spans="1:19" x14ac:dyDescent="0.25">
      <c r="A1018">
        <v>18085</v>
      </c>
      <c r="B1018" t="s">
        <v>71</v>
      </c>
      <c r="C1018">
        <v>8</v>
      </c>
      <c r="D1018">
        <v>0</v>
      </c>
      <c r="E1018">
        <v>15.799674272671799</v>
      </c>
      <c r="F1018">
        <f t="shared" si="31"/>
        <v>0</v>
      </c>
      <c r="G1018">
        <v>0</v>
      </c>
      <c r="H1018">
        <v>0</v>
      </c>
      <c r="I1018">
        <v>0</v>
      </c>
      <c r="J1018">
        <v>0</v>
      </c>
      <c r="K1018">
        <v>0</v>
      </c>
      <c r="L1018">
        <v>0</v>
      </c>
      <c r="M1018">
        <f t="shared" si="30"/>
        <v>0</v>
      </c>
      <c r="N1018">
        <v>0</v>
      </c>
      <c r="O1018">
        <v>0</v>
      </c>
      <c r="P1018">
        <v>0</v>
      </c>
      <c r="Q1018">
        <v>0</v>
      </c>
      <c r="R1018">
        <v>0</v>
      </c>
      <c r="S1018">
        <v>0</v>
      </c>
    </row>
    <row r="1019" spans="1:19" x14ac:dyDescent="0.25">
      <c r="A1019">
        <v>18085</v>
      </c>
      <c r="B1019" t="s">
        <v>71</v>
      </c>
      <c r="C1019">
        <v>9</v>
      </c>
      <c r="D1019">
        <v>0</v>
      </c>
      <c r="E1019">
        <v>18.297042141578</v>
      </c>
      <c r="F1019">
        <f t="shared" si="31"/>
        <v>0</v>
      </c>
      <c r="G1019">
        <v>0</v>
      </c>
      <c r="H1019">
        <v>0</v>
      </c>
      <c r="I1019">
        <v>0</v>
      </c>
      <c r="J1019">
        <v>0</v>
      </c>
      <c r="K1019">
        <v>0</v>
      </c>
      <c r="L1019">
        <v>0</v>
      </c>
      <c r="M1019">
        <f t="shared" si="30"/>
        <v>0</v>
      </c>
      <c r="N1019">
        <v>0</v>
      </c>
      <c r="O1019">
        <v>0</v>
      </c>
      <c r="P1019">
        <v>0</v>
      </c>
      <c r="Q1019">
        <v>0</v>
      </c>
      <c r="R1019">
        <v>0</v>
      </c>
      <c r="S1019">
        <v>0</v>
      </c>
    </row>
    <row r="1020" spans="1:19" x14ac:dyDescent="0.25">
      <c r="A1020">
        <v>18085</v>
      </c>
      <c r="B1020" t="s">
        <v>71</v>
      </c>
      <c r="C1020">
        <v>10</v>
      </c>
      <c r="D1020">
        <v>0</v>
      </c>
      <c r="E1020">
        <v>17.1248082439282</v>
      </c>
      <c r="F1020">
        <f t="shared" si="31"/>
        <v>0</v>
      </c>
      <c r="G1020">
        <v>0</v>
      </c>
      <c r="H1020">
        <v>0</v>
      </c>
      <c r="I1020">
        <v>0</v>
      </c>
      <c r="J1020">
        <v>0</v>
      </c>
      <c r="K1020">
        <v>0</v>
      </c>
      <c r="L1020">
        <v>0</v>
      </c>
      <c r="M1020">
        <f t="shared" si="30"/>
        <v>0</v>
      </c>
      <c r="N1020">
        <v>0</v>
      </c>
      <c r="O1020">
        <v>0</v>
      </c>
      <c r="P1020">
        <v>0</v>
      </c>
      <c r="Q1020">
        <v>0</v>
      </c>
      <c r="R1020">
        <v>0</v>
      </c>
      <c r="S1020">
        <v>0</v>
      </c>
    </row>
    <row r="1021" spans="1:19" x14ac:dyDescent="0.25">
      <c r="A1021">
        <v>18085</v>
      </c>
      <c r="B1021" t="s">
        <v>71</v>
      </c>
      <c r="C1021">
        <v>11</v>
      </c>
      <c r="D1021">
        <v>0</v>
      </c>
      <c r="E1021">
        <v>13.7610066245851</v>
      </c>
      <c r="F1021">
        <f t="shared" si="31"/>
        <v>0</v>
      </c>
      <c r="G1021">
        <v>0</v>
      </c>
      <c r="H1021">
        <v>0</v>
      </c>
      <c r="I1021">
        <v>0</v>
      </c>
      <c r="J1021">
        <v>0</v>
      </c>
      <c r="K1021">
        <v>0</v>
      </c>
      <c r="L1021">
        <v>0</v>
      </c>
      <c r="M1021">
        <f t="shared" si="30"/>
        <v>0</v>
      </c>
      <c r="N1021">
        <v>0</v>
      </c>
      <c r="O1021">
        <v>0</v>
      </c>
      <c r="P1021">
        <v>0</v>
      </c>
      <c r="Q1021">
        <v>0</v>
      </c>
      <c r="R1021">
        <v>0</v>
      </c>
      <c r="S1021">
        <v>0</v>
      </c>
    </row>
    <row r="1022" spans="1:19" x14ac:dyDescent="0.25">
      <c r="A1022">
        <v>18085</v>
      </c>
      <c r="B1022" t="s">
        <v>71</v>
      </c>
      <c r="C1022">
        <v>12</v>
      </c>
      <c r="D1022">
        <v>0</v>
      </c>
      <c r="E1022">
        <v>11.6204055940941</v>
      </c>
      <c r="F1022">
        <f t="shared" si="31"/>
        <v>0</v>
      </c>
      <c r="G1022">
        <v>0</v>
      </c>
      <c r="H1022">
        <v>0</v>
      </c>
      <c r="I1022">
        <v>0</v>
      </c>
      <c r="J1022">
        <v>0</v>
      </c>
      <c r="K1022">
        <v>0</v>
      </c>
      <c r="L1022">
        <v>0</v>
      </c>
      <c r="M1022">
        <f t="shared" si="30"/>
        <v>0</v>
      </c>
      <c r="N1022">
        <v>0</v>
      </c>
      <c r="O1022">
        <v>0</v>
      </c>
      <c r="P1022">
        <v>0</v>
      </c>
      <c r="Q1022">
        <v>0</v>
      </c>
      <c r="R1022">
        <v>0</v>
      </c>
      <c r="S1022">
        <v>0</v>
      </c>
    </row>
    <row r="1023" spans="1:19" x14ac:dyDescent="0.25">
      <c r="A1023">
        <v>18085</v>
      </c>
      <c r="B1023" t="s">
        <v>71</v>
      </c>
      <c r="C1023">
        <v>13</v>
      </c>
      <c r="D1023">
        <v>0</v>
      </c>
      <c r="E1023">
        <v>12.0281391237114</v>
      </c>
      <c r="F1023">
        <f t="shared" si="31"/>
        <v>0</v>
      </c>
      <c r="G1023">
        <v>0</v>
      </c>
      <c r="H1023">
        <v>0</v>
      </c>
      <c r="I1023">
        <v>0</v>
      </c>
      <c r="J1023">
        <v>0</v>
      </c>
      <c r="K1023">
        <v>0</v>
      </c>
      <c r="L1023">
        <v>0</v>
      </c>
      <c r="M1023">
        <f t="shared" si="30"/>
        <v>0</v>
      </c>
      <c r="N1023">
        <v>0</v>
      </c>
      <c r="O1023">
        <v>0</v>
      </c>
      <c r="P1023">
        <v>0</v>
      </c>
      <c r="Q1023">
        <v>0</v>
      </c>
      <c r="R1023">
        <v>0</v>
      </c>
      <c r="S1023">
        <v>0</v>
      </c>
    </row>
    <row r="1024" spans="1:19" x14ac:dyDescent="0.25">
      <c r="A1024">
        <v>18085</v>
      </c>
      <c r="B1024" t="s">
        <v>71</v>
      </c>
      <c r="C1024">
        <v>14</v>
      </c>
      <c r="D1024">
        <v>0</v>
      </c>
      <c r="E1024">
        <v>7.6450036803251002</v>
      </c>
      <c r="F1024">
        <f t="shared" si="31"/>
        <v>0</v>
      </c>
      <c r="G1024">
        <v>0</v>
      </c>
      <c r="H1024">
        <v>0</v>
      </c>
      <c r="I1024">
        <v>0</v>
      </c>
      <c r="J1024">
        <v>0</v>
      </c>
      <c r="K1024">
        <v>0</v>
      </c>
      <c r="L1024">
        <v>0</v>
      </c>
      <c r="M1024">
        <f t="shared" si="30"/>
        <v>0</v>
      </c>
      <c r="N1024">
        <v>0</v>
      </c>
      <c r="O1024">
        <v>0</v>
      </c>
      <c r="P1024">
        <v>0</v>
      </c>
      <c r="Q1024">
        <v>0</v>
      </c>
      <c r="R1024">
        <v>0</v>
      </c>
      <c r="S1024">
        <v>0</v>
      </c>
    </row>
    <row r="1025" spans="1:19" x14ac:dyDescent="0.25">
      <c r="A1025">
        <v>18085</v>
      </c>
      <c r="B1025" t="s">
        <v>71</v>
      </c>
      <c r="C1025">
        <v>15</v>
      </c>
      <c r="D1025">
        <v>0</v>
      </c>
      <c r="E1025">
        <v>4.6889355905993897</v>
      </c>
      <c r="F1025">
        <f t="shared" si="31"/>
        <v>0</v>
      </c>
      <c r="G1025">
        <v>0</v>
      </c>
      <c r="H1025">
        <v>0</v>
      </c>
      <c r="I1025">
        <v>0</v>
      </c>
      <c r="J1025">
        <v>0</v>
      </c>
      <c r="K1025">
        <v>0</v>
      </c>
      <c r="L1025">
        <v>0</v>
      </c>
      <c r="M1025">
        <f t="shared" si="30"/>
        <v>0</v>
      </c>
      <c r="N1025">
        <v>0</v>
      </c>
      <c r="O1025">
        <v>0</v>
      </c>
      <c r="P1025">
        <v>0</v>
      </c>
      <c r="Q1025">
        <v>0</v>
      </c>
      <c r="R1025">
        <v>0</v>
      </c>
      <c r="S1025">
        <v>0</v>
      </c>
    </row>
    <row r="1026" spans="1:19" x14ac:dyDescent="0.25">
      <c r="A1026">
        <v>18085</v>
      </c>
      <c r="B1026" t="s">
        <v>71</v>
      </c>
      <c r="C1026">
        <v>16</v>
      </c>
      <c r="D1026">
        <v>0</v>
      </c>
      <c r="E1026">
        <v>3.8734685313647099</v>
      </c>
      <c r="F1026">
        <f t="shared" si="31"/>
        <v>0</v>
      </c>
      <c r="G1026">
        <v>0</v>
      </c>
      <c r="H1026">
        <v>0</v>
      </c>
      <c r="I1026">
        <v>0</v>
      </c>
      <c r="J1026">
        <v>0</v>
      </c>
      <c r="K1026">
        <v>0</v>
      </c>
      <c r="L1026">
        <v>0</v>
      </c>
      <c r="M1026">
        <f t="shared" ref="M1026:M1089" si="32">SUM(N1026:S1026)</f>
        <v>0</v>
      </c>
      <c r="N1026">
        <v>0</v>
      </c>
      <c r="O1026">
        <v>0</v>
      </c>
      <c r="P1026">
        <v>0</v>
      </c>
      <c r="Q1026">
        <v>0</v>
      </c>
      <c r="R1026">
        <v>0</v>
      </c>
      <c r="S1026">
        <v>0</v>
      </c>
    </row>
    <row r="1027" spans="1:19" x14ac:dyDescent="0.25">
      <c r="A1027">
        <v>18085</v>
      </c>
      <c r="B1027" t="s">
        <v>71</v>
      </c>
      <c r="C1027">
        <v>17</v>
      </c>
      <c r="D1027">
        <v>0</v>
      </c>
      <c r="E1027">
        <v>2.8031680161192001</v>
      </c>
      <c r="F1027">
        <f t="shared" ref="F1027:F1090" si="33">SUM(G1027:L1027)</f>
        <v>0</v>
      </c>
      <c r="G1027">
        <v>0</v>
      </c>
      <c r="H1027">
        <v>0</v>
      </c>
      <c r="I1027">
        <v>0</v>
      </c>
      <c r="J1027">
        <v>0</v>
      </c>
      <c r="K1027">
        <v>0</v>
      </c>
      <c r="L1027">
        <v>0</v>
      </c>
      <c r="M1027">
        <f t="shared" si="32"/>
        <v>0</v>
      </c>
      <c r="N1027">
        <v>0</v>
      </c>
      <c r="O1027">
        <v>0</v>
      </c>
      <c r="P1027">
        <v>0</v>
      </c>
      <c r="Q1027">
        <v>0</v>
      </c>
      <c r="R1027">
        <v>0</v>
      </c>
      <c r="S1027">
        <v>0</v>
      </c>
    </row>
    <row r="1028" spans="1:19" x14ac:dyDescent="0.25">
      <c r="A1028">
        <v>18085</v>
      </c>
      <c r="B1028" t="s">
        <v>71</v>
      </c>
      <c r="C1028">
        <v>18</v>
      </c>
      <c r="D1028">
        <v>0</v>
      </c>
      <c r="E1028">
        <v>3.9754019137690499</v>
      </c>
      <c r="F1028">
        <f t="shared" si="33"/>
        <v>0</v>
      </c>
      <c r="G1028">
        <v>0</v>
      </c>
      <c r="H1028">
        <v>0</v>
      </c>
      <c r="I1028">
        <v>0</v>
      </c>
      <c r="J1028">
        <v>0</v>
      </c>
      <c r="K1028">
        <v>0</v>
      </c>
      <c r="L1028">
        <v>0</v>
      </c>
      <c r="M1028">
        <f t="shared" si="32"/>
        <v>0</v>
      </c>
      <c r="N1028">
        <v>0</v>
      </c>
      <c r="O1028">
        <v>0</v>
      </c>
      <c r="P1028">
        <v>0</v>
      </c>
      <c r="Q1028">
        <v>0</v>
      </c>
      <c r="R1028">
        <v>0</v>
      </c>
      <c r="S1028">
        <v>0</v>
      </c>
    </row>
    <row r="1029" spans="1:19" x14ac:dyDescent="0.25">
      <c r="A1029">
        <v>18085</v>
      </c>
      <c r="B1029" t="s">
        <v>71</v>
      </c>
      <c r="C1029">
        <v>19</v>
      </c>
      <c r="D1029">
        <v>0</v>
      </c>
      <c r="E1029">
        <v>3.8734685313647099</v>
      </c>
      <c r="F1029">
        <f t="shared" si="33"/>
        <v>0</v>
      </c>
      <c r="G1029">
        <v>0</v>
      </c>
      <c r="H1029">
        <v>0</v>
      </c>
      <c r="I1029">
        <v>0</v>
      </c>
      <c r="J1029">
        <v>0</v>
      </c>
      <c r="K1029">
        <v>0</v>
      </c>
      <c r="L1029">
        <v>0</v>
      </c>
      <c r="M1029">
        <f t="shared" si="32"/>
        <v>0</v>
      </c>
      <c r="N1029">
        <v>0</v>
      </c>
      <c r="O1029">
        <v>0</v>
      </c>
      <c r="P1029">
        <v>0</v>
      </c>
      <c r="Q1029">
        <v>0</v>
      </c>
      <c r="R1029">
        <v>0</v>
      </c>
      <c r="S1029">
        <v>0</v>
      </c>
    </row>
    <row r="1030" spans="1:19" x14ac:dyDescent="0.25">
      <c r="A1030">
        <v>18085</v>
      </c>
      <c r="B1030" t="s">
        <v>71</v>
      </c>
      <c r="C1030">
        <v>20</v>
      </c>
      <c r="D1030">
        <v>0</v>
      </c>
      <c r="E1030">
        <v>3.7205684577582101</v>
      </c>
      <c r="F1030">
        <f t="shared" si="33"/>
        <v>0</v>
      </c>
      <c r="G1030">
        <v>0</v>
      </c>
      <c r="H1030">
        <v>0</v>
      </c>
      <c r="I1030">
        <v>0</v>
      </c>
      <c r="J1030">
        <v>0</v>
      </c>
      <c r="K1030">
        <v>0</v>
      </c>
      <c r="L1030">
        <v>0</v>
      </c>
      <c r="M1030">
        <f t="shared" si="32"/>
        <v>0</v>
      </c>
      <c r="N1030">
        <v>0</v>
      </c>
      <c r="O1030">
        <v>0</v>
      </c>
      <c r="P1030">
        <v>0</v>
      </c>
      <c r="Q1030">
        <v>0</v>
      </c>
      <c r="R1030">
        <v>0</v>
      </c>
      <c r="S1030">
        <v>0</v>
      </c>
    </row>
    <row r="1031" spans="1:19" x14ac:dyDescent="0.25">
      <c r="A1031">
        <v>18085</v>
      </c>
      <c r="B1031" t="s">
        <v>71</v>
      </c>
      <c r="C1031">
        <v>21</v>
      </c>
      <c r="D1031">
        <v>0</v>
      </c>
      <c r="E1031">
        <v>3.8225018401625501</v>
      </c>
      <c r="F1031">
        <f t="shared" si="33"/>
        <v>0</v>
      </c>
      <c r="G1031">
        <v>0</v>
      </c>
      <c r="H1031">
        <v>0</v>
      </c>
      <c r="I1031">
        <v>0</v>
      </c>
      <c r="J1031">
        <v>0</v>
      </c>
      <c r="K1031">
        <v>0</v>
      </c>
      <c r="L1031">
        <v>0</v>
      </c>
      <c r="M1031">
        <f t="shared" si="32"/>
        <v>0</v>
      </c>
      <c r="N1031">
        <v>0</v>
      </c>
      <c r="O1031">
        <v>0</v>
      </c>
      <c r="P1031">
        <v>0</v>
      </c>
      <c r="Q1031">
        <v>0</v>
      </c>
      <c r="R1031">
        <v>0</v>
      </c>
      <c r="S1031">
        <v>0</v>
      </c>
    </row>
    <row r="1032" spans="1:19" x14ac:dyDescent="0.25">
      <c r="A1032">
        <v>18085</v>
      </c>
      <c r="B1032" t="s">
        <v>71</v>
      </c>
      <c r="C1032">
        <v>22</v>
      </c>
      <c r="D1032">
        <v>0</v>
      </c>
      <c r="E1032">
        <v>3.9244352225668799</v>
      </c>
      <c r="F1032">
        <f t="shared" si="33"/>
        <v>0</v>
      </c>
      <c r="G1032">
        <v>0</v>
      </c>
      <c r="H1032">
        <v>0</v>
      </c>
      <c r="I1032">
        <v>0</v>
      </c>
      <c r="J1032">
        <v>0</v>
      </c>
      <c r="K1032">
        <v>0</v>
      </c>
      <c r="L1032">
        <v>0</v>
      </c>
      <c r="M1032">
        <f t="shared" si="32"/>
        <v>0</v>
      </c>
      <c r="N1032">
        <v>0</v>
      </c>
      <c r="O1032">
        <v>0</v>
      </c>
      <c r="P1032">
        <v>0</v>
      </c>
      <c r="Q1032">
        <v>0</v>
      </c>
      <c r="R1032">
        <v>0</v>
      </c>
      <c r="S1032">
        <v>0</v>
      </c>
    </row>
    <row r="1033" spans="1:19" x14ac:dyDescent="0.25">
      <c r="A1033">
        <v>18085</v>
      </c>
      <c r="B1033" t="s">
        <v>71</v>
      </c>
      <c r="C1033">
        <v>23</v>
      </c>
      <c r="D1033">
        <v>0</v>
      </c>
      <c r="E1033">
        <v>3.8734685313647099</v>
      </c>
      <c r="F1033">
        <f t="shared" si="33"/>
        <v>0</v>
      </c>
      <c r="G1033">
        <v>0</v>
      </c>
      <c r="H1033">
        <v>0</v>
      </c>
      <c r="I1033">
        <v>0</v>
      </c>
      <c r="J1033">
        <v>0</v>
      </c>
      <c r="K1033">
        <v>0</v>
      </c>
      <c r="L1033">
        <v>0</v>
      </c>
      <c r="M1033">
        <f t="shared" si="32"/>
        <v>0</v>
      </c>
      <c r="N1033">
        <v>0</v>
      </c>
      <c r="O1033">
        <v>0</v>
      </c>
      <c r="P1033">
        <v>0</v>
      </c>
      <c r="Q1033">
        <v>0</v>
      </c>
      <c r="R1033">
        <v>0</v>
      </c>
      <c r="S1033">
        <v>0</v>
      </c>
    </row>
    <row r="1034" spans="1:19" x14ac:dyDescent="0.25">
      <c r="A1034">
        <v>18087</v>
      </c>
      <c r="B1034" t="s">
        <v>72</v>
      </c>
      <c r="C1034">
        <v>0</v>
      </c>
      <c r="D1034">
        <v>121.240633309161</v>
      </c>
      <c r="E1034">
        <v>2.3239062122310798</v>
      </c>
      <c r="F1034">
        <f t="shared" si="33"/>
        <v>3</v>
      </c>
      <c r="G1034">
        <v>0</v>
      </c>
      <c r="H1034">
        <v>0</v>
      </c>
      <c r="I1034">
        <v>1</v>
      </c>
      <c r="J1034">
        <v>0</v>
      </c>
      <c r="K1034">
        <v>1</v>
      </c>
      <c r="L1034">
        <v>1</v>
      </c>
      <c r="M1034">
        <f t="shared" si="32"/>
        <v>110</v>
      </c>
      <c r="N1034">
        <v>0</v>
      </c>
      <c r="O1034">
        <v>0</v>
      </c>
      <c r="P1034">
        <v>15</v>
      </c>
      <c r="Q1034">
        <v>0</v>
      </c>
      <c r="R1034">
        <v>50</v>
      </c>
      <c r="S1034">
        <v>45</v>
      </c>
    </row>
    <row r="1035" spans="1:19" x14ac:dyDescent="0.25">
      <c r="A1035">
        <v>18087</v>
      </c>
      <c r="B1035" t="s">
        <v>72</v>
      </c>
      <c r="C1035">
        <v>1</v>
      </c>
      <c r="D1035">
        <v>125.093425187333</v>
      </c>
      <c r="E1035">
        <v>2.5991056321005499</v>
      </c>
      <c r="F1035">
        <f t="shared" si="33"/>
        <v>3</v>
      </c>
      <c r="G1035">
        <v>0</v>
      </c>
      <c r="H1035">
        <v>0</v>
      </c>
      <c r="I1035">
        <v>1</v>
      </c>
      <c r="J1035">
        <v>0</v>
      </c>
      <c r="K1035">
        <v>1</v>
      </c>
      <c r="L1035">
        <v>1</v>
      </c>
      <c r="M1035">
        <f t="shared" si="32"/>
        <v>110</v>
      </c>
      <c r="N1035">
        <v>0</v>
      </c>
      <c r="O1035">
        <v>0</v>
      </c>
      <c r="P1035">
        <v>15</v>
      </c>
      <c r="Q1035">
        <v>0</v>
      </c>
      <c r="R1035">
        <v>50</v>
      </c>
      <c r="S1035">
        <v>45</v>
      </c>
    </row>
    <row r="1036" spans="1:19" x14ac:dyDescent="0.25">
      <c r="A1036">
        <v>18087</v>
      </c>
      <c r="B1036" t="s">
        <v>72</v>
      </c>
      <c r="C1036">
        <v>2</v>
      </c>
      <c r="D1036">
        <v>126.5</v>
      </c>
      <c r="E1036">
        <v>2.9048827652888498</v>
      </c>
      <c r="F1036">
        <f t="shared" si="33"/>
        <v>3</v>
      </c>
      <c r="G1036">
        <v>0</v>
      </c>
      <c r="H1036">
        <v>0</v>
      </c>
      <c r="I1036">
        <v>1</v>
      </c>
      <c r="J1036">
        <v>0</v>
      </c>
      <c r="K1036">
        <v>1</v>
      </c>
      <c r="L1036">
        <v>1</v>
      </c>
      <c r="M1036">
        <f t="shared" si="32"/>
        <v>110</v>
      </c>
      <c r="N1036">
        <v>0</v>
      </c>
      <c r="O1036">
        <v>0</v>
      </c>
      <c r="P1036">
        <v>15</v>
      </c>
      <c r="Q1036">
        <v>0</v>
      </c>
      <c r="R1036">
        <v>50</v>
      </c>
      <c r="S1036">
        <v>45</v>
      </c>
    </row>
    <row r="1037" spans="1:19" x14ac:dyDescent="0.25">
      <c r="A1037">
        <v>18087</v>
      </c>
      <c r="B1037" t="s">
        <v>72</v>
      </c>
      <c r="C1037">
        <v>3</v>
      </c>
      <c r="D1037">
        <v>124.971114334058</v>
      </c>
      <c r="E1037">
        <v>3.057771331883</v>
      </c>
      <c r="F1037">
        <f t="shared" si="33"/>
        <v>3</v>
      </c>
      <c r="G1037">
        <v>0</v>
      </c>
      <c r="H1037">
        <v>0</v>
      </c>
      <c r="I1037">
        <v>1</v>
      </c>
      <c r="J1037">
        <v>0</v>
      </c>
      <c r="K1037">
        <v>1</v>
      </c>
      <c r="L1037">
        <v>1</v>
      </c>
      <c r="M1037">
        <f t="shared" si="32"/>
        <v>110</v>
      </c>
      <c r="N1037">
        <v>0</v>
      </c>
      <c r="O1037">
        <v>0</v>
      </c>
      <c r="P1037">
        <v>15</v>
      </c>
      <c r="Q1037">
        <v>0</v>
      </c>
      <c r="R1037">
        <v>50</v>
      </c>
      <c r="S1037">
        <v>45</v>
      </c>
    </row>
    <row r="1038" spans="1:19" x14ac:dyDescent="0.25">
      <c r="A1038">
        <v>18087</v>
      </c>
      <c r="B1038" t="s">
        <v>72</v>
      </c>
      <c r="C1038">
        <v>4</v>
      </c>
      <c r="D1038">
        <v>120.170413343002</v>
      </c>
      <c r="E1038">
        <v>3.2718153251148099</v>
      </c>
      <c r="F1038">
        <f t="shared" si="33"/>
        <v>3</v>
      </c>
      <c r="G1038">
        <v>0</v>
      </c>
      <c r="H1038">
        <v>0</v>
      </c>
      <c r="I1038">
        <v>1</v>
      </c>
      <c r="J1038">
        <v>0</v>
      </c>
      <c r="K1038">
        <v>1</v>
      </c>
      <c r="L1038">
        <v>1</v>
      </c>
      <c r="M1038">
        <f t="shared" si="32"/>
        <v>110</v>
      </c>
      <c r="N1038">
        <v>0</v>
      </c>
      <c r="O1038">
        <v>0</v>
      </c>
      <c r="P1038">
        <v>15</v>
      </c>
      <c r="Q1038">
        <v>0</v>
      </c>
      <c r="R1038">
        <v>50</v>
      </c>
      <c r="S1038">
        <v>45</v>
      </c>
    </row>
    <row r="1039" spans="1:19" x14ac:dyDescent="0.25">
      <c r="A1039">
        <v>18087</v>
      </c>
      <c r="B1039" t="s">
        <v>72</v>
      </c>
      <c r="C1039">
        <v>5</v>
      </c>
      <c r="D1039">
        <v>115.27797921198901</v>
      </c>
      <c r="E1039">
        <v>3.2106598984771502</v>
      </c>
      <c r="F1039">
        <f t="shared" si="33"/>
        <v>3</v>
      </c>
      <c r="G1039">
        <v>0</v>
      </c>
      <c r="H1039">
        <v>0</v>
      </c>
      <c r="I1039">
        <v>1</v>
      </c>
      <c r="J1039">
        <v>0</v>
      </c>
      <c r="K1039">
        <v>1</v>
      </c>
      <c r="L1039">
        <v>1</v>
      </c>
      <c r="M1039">
        <f t="shared" si="32"/>
        <v>110</v>
      </c>
      <c r="N1039">
        <v>0</v>
      </c>
      <c r="O1039">
        <v>0</v>
      </c>
      <c r="P1039">
        <v>15</v>
      </c>
      <c r="Q1039">
        <v>0</v>
      </c>
      <c r="R1039">
        <v>50</v>
      </c>
      <c r="S1039">
        <v>45</v>
      </c>
    </row>
    <row r="1040" spans="1:19" x14ac:dyDescent="0.25">
      <c r="A1040">
        <v>18087</v>
      </c>
      <c r="B1040" t="s">
        <v>72</v>
      </c>
      <c r="C1040">
        <v>6</v>
      </c>
      <c r="D1040">
        <v>105.46253323664401</v>
      </c>
      <c r="E1040">
        <v>2.38506163886874</v>
      </c>
      <c r="F1040">
        <f t="shared" si="33"/>
        <v>3</v>
      </c>
      <c r="G1040">
        <v>0</v>
      </c>
      <c r="H1040">
        <v>0</v>
      </c>
      <c r="I1040">
        <v>1</v>
      </c>
      <c r="J1040">
        <v>0</v>
      </c>
      <c r="K1040">
        <v>1</v>
      </c>
      <c r="L1040">
        <v>1</v>
      </c>
      <c r="M1040">
        <f t="shared" si="32"/>
        <v>110</v>
      </c>
      <c r="N1040">
        <v>0</v>
      </c>
      <c r="O1040">
        <v>0</v>
      </c>
      <c r="P1040">
        <v>15</v>
      </c>
      <c r="Q1040">
        <v>0</v>
      </c>
      <c r="R1040">
        <v>50</v>
      </c>
      <c r="S1040">
        <v>45</v>
      </c>
    </row>
    <row r="1041" spans="1:19" x14ac:dyDescent="0.25">
      <c r="A1041">
        <v>18087</v>
      </c>
      <c r="B1041" t="s">
        <v>72</v>
      </c>
      <c r="C1041">
        <v>7</v>
      </c>
      <c r="D1041">
        <v>90.785230843606399</v>
      </c>
      <c r="E1041">
        <v>2.9048827652888498</v>
      </c>
      <c r="F1041">
        <f t="shared" si="33"/>
        <v>3</v>
      </c>
      <c r="G1041">
        <v>0</v>
      </c>
      <c r="H1041">
        <v>0</v>
      </c>
      <c r="I1041">
        <v>1</v>
      </c>
      <c r="J1041">
        <v>0</v>
      </c>
      <c r="K1041">
        <v>1</v>
      </c>
      <c r="L1041">
        <v>1</v>
      </c>
      <c r="M1041">
        <f t="shared" si="32"/>
        <v>110</v>
      </c>
      <c r="N1041">
        <v>0</v>
      </c>
      <c r="O1041">
        <v>0</v>
      </c>
      <c r="P1041">
        <v>15</v>
      </c>
      <c r="Q1041">
        <v>0</v>
      </c>
      <c r="R1041">
        <v>50</v>
      </c>
      <c r="S1041">
        <v>45</v>
      </c>
    </row>
    <row r="1042" spans="1:19" x14ac:dyDescent="0.25">
      <c r="A1042">
        <v>18087</v>
      </c>
      <c r="B1042" t="s">
        <v>72</v>
      </c>
      <c r="C1042">
        <v>8</v>
      </c>
      <c r="D1042">
        <v>72.683224558858996</v>
      </c>
      <c r="E1042">
        <v>3.3635484650712999</v>
      </c>
      <c r="F1042">
        <f t="shared" si="33"/>
        <v>3</v>
      </c>
      <c r="G1042">
        <v>0</v>
      </c>
      <c r="H1042">
        <v>0</v>
      </c>
      <c r="I1042">
        <v>1</v>
      </c>
      <c r="J1042">
        <v>0</v>
      </c>
      <c r="K1042">
        <v>1</v>
      </c>
      <c r="L1042">
        <v>1</v>
      </c>
      <c r="M1042">
        <f t="shared" si="32"/>
        <v>110</v>
      </c>
      <c r="N1042">
        <v>0</v>
      </c>
      <c r="O1042">
        <v>0</v>
      </c>
      <c r="P1042">
        <v>15</v>
      </c>
      <c r="Q1042">
        <v>0</v>
      </c>
      <c r="R1042">
        <v>50</v>
      </c>
      <c r="S1042">
        <v>45</v>
      </c>
    </row>
    <row r="1043" spans="1:19" x14ac:dyDescent="0.25">
      <c r="A1043">
        <v>18087</v>
      </c>
      <c r="B1043" t="s">
        <v>72</v>
      </c>
      <c r="C1043">
        <v>9</v>
      </c>
      <c r="D1043">
        <v>58.648054145515999</v>
      </c>
      <c r="E1043">
        <v>3.5164370316654501</v>
      </c>
      <c r="F1043">
        <f t="shared" si="33"/>
        <v>3</v>
      </c>
      <c r="G1043">
        <v>0</v>
      </c>
      <c r="H1043">
        <v>0</v>
      </c>
      <c r="I1043">
        <v>1</v>
      </c>
      <c r="J1043">
        <v>0</v>
      </c>
      <c r="K1043">
        <v>1</v>
      </c>
      <c r="L1043">
        <v>1</v>
      </c>
      <c r="M1043">
        <f t="shared" si="32"/>
        <v>110</v>
      </c>
      <c r="N1043">
        <v>0</v>
      </c>
      <c r="O1043">
        <v>0</v>
      </c>
      <c r="P1043">
        <v>15</v>
      </c>
      <c r="Q1043">
        <v>0</v>
      </c>
      <c r="R1043">
        <v>50</v>
      </c>
      <c r="S1043">
        <v>45</v>
      </c>
    </row>
    <row r="1044" spans="1:19" x14ac:dyDescent="0.25">
      <c r="A1044">
        <v>18087</v>
      </c>
      <c r="B1044" t="s">
        <v>72</v>
      </c>
      <c r="C1044">
        <v>10</v>
      </c>
      <c r="D1044">
        <v>52.257312061880597</v>
      </c>
      <c r="E1044">
        <v>3.33297075175247</v>
      </c>
      <c r="F1044">
        <f t="shared" si="33"/>
        <v>3</v>
      </c>
      <c r="G1044">
        <v>0</v>
      </c>
      <c r="H1044">
        <v>0</v>
      </c>
      <c r="I1044">
        <v>1</v>
      </c>
      <c r="J1044">
        <v>0</v>
      </c>
      <c r="K1044">
        <v>1</v>
      </c>
      <c r="L1044">
        <v>1</v>
      </c>
      <c r="M1044">
        <f t="shared" si="32"/>
        <v>110</v>
      </c>
      <c r="N1044">
        <v>0</v>
      </c>
      <c r="O1044">
        <v>0</v>
      </c>
      <c r="P1044">
        <v>15</v>
      </c>
      <c r="Q1044">
        <v>0</v>
      </c>
      <c r="R1044">
        <v>50</v>
      </c>
      <c r="S1044">
        <v>45</v>
      </c>
    </row>
    <row r="1045" spans="1:19" x14ac:dyDescent="0.25">
      <c r="A1045">
        <v>18087</v>
      </c>
      <c r="B1045" t="s">
        <v>72</v>
      </c>
      <c r="C1045">
        <v>11</v>
      </c>
      <c r="D1045">
        <v>52.257312061880597</v>
      </c>
      <c r="E1045">
        <v>3.057771331883</v>
      </c>
      <c r="F1045">
        <f t="shared" si="33"/>
        <v>3</v>
      </c>
      <c r="G1045">
        <v>0</v>
      </c>
      <c r="H1045">
        <v>0</v>
      </c>
      <c r="I1045">
        <v>1</v>
      </c>
      <c r="J1045">
        <v>0</v>
      </c>
      <c r="K1045">
        <v>1</v>
      </c>
      <c r="L1045">
        <v>1</v>
      </c>
      <c r="M1045">
        <f t="shared" si="32"/>
        <v>110</v>
      </c>
      <c r="N1045">
        <v>0</v>
      </c>
      <c r="O1045">
        <v>0</v>
      </c>
      <c r="P1045">
        <v>15</v>
      </c>
      <c r="Q1045">
        <v>0</v>
      </c>
      <c r="R1045">
        <v>50</v>
      </c>
      <c r="S1045">
        <v>45</v>
      </c>
    </row>
    <row r="1046" spans="1:19" x14ac:dyDescent="0.25">
      <c r="A1046">
        <v>18087</v>
      </c>
      <c r="B1046" t="s">
        <v>72</v>
      </c>
      <c r="C1046">
        <v>12</v>
      </c>
      <c r="D1046">
        <v>54.581218274111599</v>
      </c>
      <c r="E1046">
        <v>2.2627507855934201</v>
      </c>
      <c r="F1046">
        <f t="shared" si="33"/>
        <v>3</v>
      </c>
      <c r="G1046">
        <v>0</v>
      </c>
      <c r="H1046">
        <v>0</v>
      </c>
      <c r="I1046">
        <v>1</v>
      </c>
      <c r="J1046">
        <v>0</v>
      </c>
      <c r="K1046">
        <v>1</v>
      </c>
      <c r="L1046">
        <v>1</v>
      </c>
      <c r="M1046">
        <f t="shared" si="32"/>
        <v>110</v>
      </c>
      <c r="N1046">
        <v>0</v>
      </c>
      <c r="O1046">
        <v>0</v>
      </c>
      <c r="P1046">
        <v>15</v>
      </c>
      <c r="Q1046">
        <v>0</v>
      </c>
      <c r="R1046">
        <v>50</v>
      </c>
      <c r="S1046">
        <v>45</v>
      </c>
    </row>
    <row r="1047" spans="1:19" x14ac:dyDescent="0.25">
      <c r="A1047">
        <v>18087</v>
      </c>
      <c r="B1047" t="s">
        <v>72</v>
      </c>
      <c r="C1047">
        <v>13</v>
      </c>
      <c r="D1047">
        <v>56.385303359922602</v>
      </c>
      <c r="E1047">
        <v>2.10986221899927</v>
      </c>
      <c r="F1047">
        <f t="shared" si="33"/>
        <v>3</v>
      </c>
      <c r="G1047">
        <v>0</v>
      </c>
      <c r="H1047">
        <v>0</v>
      </c>
      <c r="I1047">
        <v>1</v>
      </c>
      <c r="J1047">
        <v>0</v>
      </c>
      <c r="K1047">
        <v>1</v>
      </c>
      <c r="L1047">
        <v>1</v>
      </c>
      <c r="M1047">
        <f t="shared" si="32"/>
        <v>110</v>
      </c>
      <c r="N1047">
        <v>0</v>
      </c>
      <c r="O1047">
        <v>0</v>
      </c>
      <c r="P1047">
        <v>15</v>
      </c>
      <c r="Q1047">
        <v>0</v>
      </c>
      <c r="R1047">
        <v>50</v>
      </c>
      <c r="S1047">
        <v>45</v>
      </c>
    </row>
    <row r="1048" spans="1:19" x14ac:dyDescent="0.25">
      <c r="A1048">
        <v>18087</v>
      </c>
      <c r="B1048" t="s">
        <v>72</v>
      </c>
      <c r="C1048">
        <v>14</v>
      </c>
      <c r="D1048">
        <v>58.464587865603001</v>
      </c>
      <c r="E1048">
        <v>1.7429296591733101</v>
      </c>
      <c r="F1048">
        <f t="shared" si="33"/>
        <v>3</v>
      </c>
      <c r="G1048">
        <v>0</v>
      </c>
      <c r="H1048">
        <v>0</v>
      </c>
      <c r="I1048">
        <v>1</v>
      </c>
      <c r="J1048">
        <v>0</v>
      </c>
      <c r="K1048">
        <v>1</v>
      </c>
      <c r="L1048">
        <v>1</v>
      </c>
      <c r="M1048">
        <f t="shared" si="32"/>
        <v>110</v>
      </c>
      <c r="N1048">
        <v>0</v>
      </c>
      <c r="O1048">
        <v>0</v>
      </c>
      <c r="P1048">
        <v>15</v>
      </c>
      <c r="Q1048">
        <v>0</v>
      </c>
      <c r="R1048">
        <v>50</v>
      </c>
      <c r="S1048">
        <v>45</v>
      </c>
    </row>
    <row r="1049" spans="1:19" x14ac:dyDescent="0.25">
      <c r="A1049">
        <v>18087</v>
      </c>
      <c r="B1049" t="s">
        <v>72</v>
      </c>
      <c r="C1049">
        <v>15</v>
      </c>
      <c r="D1049">
        <v>60.910804931109404</v>
      </c>
      <c r="E1049">
        <v>1.2536862460720299</v>
      </c>
      <c r="F1049">
        <f t="shared" si="33"/>
        <v>3</v>
      </c>
      <c r="G1049">
        <v>0</v>
      </c>
      <c r="H1049">
        <v>0</v>
      </c>
      <c r="I1049">
        <v>1</v>
      </c>
      <c r="J1049">
        <v>0</v>
      </c>
      <c r="K1049">
        <v>1</v>
      </c>
      <c r="L1049">
        <v>1</v>
      </c>
      <c r="M1049">
        <f t="shared" si="32"/>
        <v>110</v>
      </c>
      <c r="N1049">
        <v>0</v>
      </c>
      <c r="O1049">
        <v>0</v>
      </c>
      <c r="P1049">
        <v>15</v>
      </c>
      <c r="Q1049">
        <v>0</v>
      </c>
      <c r="R1049">
        <v>50</v>
      </c>
      <c r="S1049">
        <v>45</v>
      </c>
    </row>
    <row r="1050" spans="1:19" x14ac:dyDescent="0.25">
      <c r="A1050">
        <v>18087</v>
      </c>
      <c r="B1050" t="s">
        <v>72</v>
      </c>
      <c r="C1050">
        <v>16</v>
      </c>
      <c r="D1050">
        <v>66.323060188542399</v>
      </c>
      <c r="E1050">
        <v>0.73386511965192103</v>
      </c>
      <c r="F1050">
        <f t="shared" si="33"/>
        <v>3</v>
      </c>
      <c r="G1050">
        <v>0</v>
      </c>
      <c r="H1050">
        <v>0</v>
      </c>
      <c r="I1050">
        <v>1</v>
      </c>
      <c r="J1050">
        <v>0</v>
      </c>
      <c r="K1050">
        <v>1</v>
      </c>
      <c r="L1050">
        <v>1</v>
      </c>
      <c r="M1050">
        <f t="shared" si="32"/>
        <v>110</v>
      </c>
      <c r="N1050">
        <v>0</v>
      </c>
      <c r="O1050">
        <v>0</v>
      </c>
      <c r="P1050">
        <v>15</v>
      </c>
      <c r="Q1050">
        <v>0</v>
      </c>
      <c r="R1050">
        <v>50</v>
      </c>
      <c r="S1050">
        <v>45</v>
      </c>
    </row>
    <row r="1051" spans="1:19" x14ac:dyDescent="0.25">
      <c r="A1051">
        <v>18087</v>
      </c>
      <c r="B1051" t="s">
        <v>72</v>
      </c>
      <c r="C1051">
        <v>17</v>
      </c>
      <c r="D1051">
        <v>69.992385786802004</v>
      </c>
      <c r="E1051">
        <v>0.55039883973894099</v>
      </c>
      <c r="F1051">
        <f t="shared" si="33"/>
        <v>3</v>
      </c>
      <c r="G1051">
        <v>0</v>
      </c>
      <c r="H1051">
        <v>0</v>
      </c>
      <c r="I1051">
        <v>1</v>
      </c>
      <c r="J1051">
        <v>0</v>
      </c>
      <c r="K1051">
        <v>1</v>
      </c>
      <c r="L1051">
        <v>1</v>
      </c>
      <c r="M1051">
        <f t="shared" si="32"/>
        <v>110</v>
      </c>
      <c r="N1051">
        <v>0</v>
      </c>
      <c r="O1051">
        <v>0</v>
      </c>
      <c r="P1051">
        <v>15</v>
      </c>
      <c r="Q1051">
        <v>0</v>
      </c>
      <c r="R1051">
        <v>50</v>
      </c>
      <c r="S1051">
        <v>45</v>
      </c>
    </row>
    <row r="1052" spans="1:19" x14ac:dyDescent="0.25">
      <c r="A1052">
        <v>18087</v>
      </c>
      <c r="B1052" t="s">
        <v>72</v>
      </c>
      <c r="C1052">
        <v>18</v>
      </c>
      <c r="D1052">
        <v>77.789702683103698</v>
      </c>
      <c r="E1052">
        <v>0.39751027314478998</v>
      </c>
      <c r="F1052">
        <f t="shared" si="33"/>
        <v>3</v>
      </c>
      <c r="G1052">
        <v>0</v>
      </c>
      <c r="H1052">
        <v>0</v>
      </c>
      <c r="I1052">
        <v>1</v>
      </c>
      <c r="J1052">
        <v>0</v>
      </c>
      <c r="K1052">
        <v>1</v>
      </c>
      <c r="L1052">
        <v>1</v>
      </c>
      <c r="M1052">
        <f t="shared" si="32"/>
        <v>110</v>
      </c>
      <c r="N1052">
        <v>0</v>
      </c>
      <c r="O1052">
        <v>0</v>
      </c>
      <c r="P1052">
        <v>15</v>
      </c>
      <c r="Q1052">
        <v>0</v>
      </c>
      <c r="R1052">
        <v>50</v>
      </c>
      <c r="S1052">
        <v>45</v>
      </c>
    </row>
    <row r="1053" spans="1:19" x14ac:dyDescent="0.25">
      <c r="A1053">
        <v>18087</v>
      </c>
      <c r="B1053" t="s">
        <v>72</v>
      </c>
      <c r="C1053">
        <v>19</v>
      </c>
      <c r="D1053">
        <v>87.819192651679899</v>
      </c>
      <c r="E1053">
        <v>0.33635484650712999</v>
      </c>
      <c r="F1053">
        <f t="shared" si="33"/>
        <v>3</v>
      </c>
      <c r="G1053">
        <v>0</v>
      </c>
      <c r="H1053">
        <v>0</v>
      </c>
      <c r="I1053">
        <v>1</v>
      </c>
      <c r="J1053">
        <v>0</v>
      </c>
      <c r="K1053">
        <v>1</v>
      </c>
      <c r="L1053">
        <v>1</v>
      </c>
      <c r="M1053">
        <f t="shared" si="32"/>
        <v>110</v>
      </c>
      <c r="N1053">
        <v>0</v>
      </c>
      <c r="O1053">
        <v>0</v>
      </c>
      <c r="P1053">
        <v>15</v>
      </c>
      <c r="Q1053">
        <v>0</v>
      </c>
      <c r="R1053">
        <v>50</v>
      </c>
      <c r="S1053">
        <v>45</v>
      </c>
    </row>
    <row r="1054" spans="1:19" x14ac:dyDescent="0.25">
      <c r="A1054">
        <v>18087</v>
      </c>
      <c r="B1054" t="s">
        <v>72</v>
      </c>
      <c r="C1054">
        <v>20</v>
      </c>
      <c r="D1054">
        <v>98.399081459995102</v>
      </c>
      <c r="E1054">
        <v>0.24462170655064</v>
      </c>
      <c r="F1054">
        <f t="shared" si="33"/>
        <v>3</v>
      </c>
      <c r="G1054">
        <v>0</v>
      </c>
      <c r="H1054">
        <v>0</v>
      </c>
      <c r="I1054">
        <v>1</v>
      </c>
      <c r="J1054">
        <v>0</v>
      </c>
      <c r="K1054">
        <v>1</v>
      </c>
      <c r="L1054">
        <v>1</v>
      </c>
      <c r="M1054">
        <f t="shared" si="32"/>
        <v>110</v>
      </c>
      <c r="N1054">
        <v>0</v>
      </c>
      <c r="O1054">
        <v>0</v>
      </c>
      <c r="P1054">
        <v>15</v>
      </c>
      <c r="Q1054">
        <v>0</v>
      </c>
      <c r="R1054">
        <v>50</v>
      </c>
      <c r="S1054">
        <v>45</v>
      </c>
    </row>
    <row r="1055" spans="1:19" x14ac:dyDescent="0.25">
      <c r="A1055">
        <v>18087</v>
      </c>
      <c r="B1055" t="s">
        <v>72</v>
      </c>
      <c r="C1055">
        <v>21</v>
      </c>
      <c r="D1055">
        <v>105.737732656514</v>
      </c>
      <c r="E1055">
        <v>0.45866569978245098</v>
      </c>
      <c r="F1055">
        <f t="shared" si="33"/>
        <v>3</v>
      </c>
      <c r="G1055">
        <v>0</v>
      </c>
      <c r="H1055">
        <v>0</v>
      </c>
      <c r="I1055">
        <v>1</v>
      </c>
      <c r="J1055">
        <v>0</v>
      </c>
      <c r="K1055">
        <v>1</v>
      </c>
      <c r="L1055">
        <v>1</v>
      </c>
      <c r="M1055">
        <f t="shared" si="32"/>
        <v>110</v>
      </c>
      <c r="N1055">
        <v>0</v>
      </c>
      <c r="O1055">
        <v>0</v>
      </c>
      <c r="P1055">
        <v>15</v>
      </c>
      <c r="Q1055">
        <v>0</v>
      </c>
      <c r="R1055">
        <v>50</v>
      </c>
      <c r="S1055">
        <v>45</v>
      </c>
    </row>
    <row r="1056" spans="1:19" x14ac:dyDescent="0.25">
      <c r="A1056">
        <v>18087</v>
      </c>
      <c r="B1056" t="s">
        <v>72</v>
      </c>
      <c r="C1056">
        <v>22</v>
      </c>
      <c r="D1056">
        <v>111.08883248730901</v>
      </c>
      <c r="E1056">
        <v>0.91733139956490195</v>
      </c>
      <c r="F1056">
        <f t="shared" si="33"/>
        <v>3</v>
      </c>
      <c r="G1056">
        <v>0</v>
      </c>
      <c r="H1056">
        <v>0</v>
      </c>
      <c r="I1056">
        <v>1</v>
      </c>
      <c r="J1056">
        <v>0</v>
      </c>
      <c r="K1056">
        <v>1</v>
      </c>
      <c r="L1056">
        <v>1</v>
      </c>
      <c r="M1056">
        <f t="shared" si="32"/>
        <v>110</v>
      </c>
      <c r="N1056">
        <v>0</v>
      </c>
      <c r="O1056">
        <v>0</v>
      </c>
      <c r="P1056">
        <v>15</v>
      </c>
      <c r="Q1056">
        <v>0</v>
      </c>
      <c r="R1056">
        <v>50</v>
      </c>
      <c r="S1056">
        <v>45</v>
      </c>
    </row>
    <row r="1057" spans="1:19" x14ac:dyDescent="0.25">
      <c r="A1057">
        <v>18087</v>
      </c>
      <c r="B1057" t="s">
        <v>72</v>
      </c>
      <c r="C1057">
        <v>23</v>
      </c>
      <c r="D1057">
        <v>117.26553057771299</v>
      </c>
      <c r="E1057">
        <v>1.4065748126661799</v>
      </c>
      <c r="F1057">
        <f t="shared" si="33"/>
        <v>3</v>
      </c>
      <c r="G1057">
        <v>0</v>
      </c>
      <c r="H1057">
        <v>0</v>
      </c>
      <c r="I1057">
        <v>1</v>
      </c>
      <c r="J1057">
        <v>0</v>
      </c>
      <c r="K1057">
        <v>1</v>
      </c>
      <c r="L1057">
        <v>1</v>
      </c>
      <c r="M1057">
        <f t="shared" si="32"/>
        <v>110</v>
      </c>
      <c r="N1057">
        <v>0</v>
      </c>
      <c r="O1057">
        <v>0</v>
      </c>
      <c r="P1057">
        <v>15</v>
      </c>
      <c r="Q1057">
        <v>0</v>
      </c>
      <c r="R1057">
        <v>50</v>
      </c>
      <c r="S1057">
        <v>45</v>
      </c>
    </row>
    <row r="1058" spans="1:19" x14ac:dyDescent="0.25">
      <c r="A1058">
        <v>18089</v>
      </c>
      <c r="B1058" t="s">
        <v>73</v>
      </c>
      <c r="C1058">
        <v>0</v>
      </c>
      <c r="D1058">
        <v>1582.1670809470199</v>
      </c>
      <c r="E1058">
        <v>38.623883389660797</v>
      </c>
      <c r="F1058">
        <f t="shared" si="33"/>
        <v>16</v>
      </c>
      <c r="G1058">
        <v>6</v>
      </c>
      <c r="H1058">
        <v>2</v>
      </c>
      <c r="I1058">
        <v>7</v>
      </c>
      <c r="J1058">
        <v>0</v>
      </c>
      <c r="K1058">
        <v>0</v>
      </c>
      <c r="L1058">
        <v>1</v>
      </c>
      <c r="M1058">
        <f t="shared" si="32"/>
        <v>1611</v>
      </c>
      <c r="N1058">
        <v>1320</v>
      </c>
      <c r="O1058">
        <v>170</v>
      </c>
      <c r="P1058">
        <v>81</v>
      </c>
      <c r="Q1058">
        <v>0</v>
      </c>
      <c r="R1058">
        <v>0</v>
      </c>
      <c r="S1058">
        <v>40</v>
      </c>
    </row>
    <row r="1059" spans="1:19" x14ac:dyDescent="0.25">
      <c r="A1059">
        <v>18089</v>
      </c>
      <c r="B1059" t="s">
        <v>73</v>
      </c>
      <c r="C1059">
        <v>1</v>
      </c>
      <c r="D1059">
        <v>1572.4729442069299</v>
      </c>
      <c r="E1059">
        <v>40.761173379602504</v>
      </c>
      <c r="F1059">
        <f t="shared" si="33"/>
        <v>16</v>
      </c>
      <c r="G1059">
        <v>6</v>
      </c>
      <c r="H1059">
        <v>2</v>
      </c>
      <c r="I1059">
        <v>7</v>
      </c>
      <c r="J1059">
        <v>0</v>
      </c>
      <c r="K1059">
        <v>0</v>
      </c>
      <c r="L1059">
        <v>1</v>
      </c>
      <c r="M1059">
        <f t="shared" si="32"/>
        <v>1611</v>
      </c>
      <c r="N1059">
        <v>1320</v>
      </c>
      <c r="O1059">
        <v>170</v>
      </c>
      <c r="P1059">
        <v>81</v>
      </c>
      <c r="Q1059">
        <v>0</v>
      </c>
      <c r="R1059">
        <v>0</v>
      </c>
      <c r="S1059">
        <v>40</v>
      </c>
    </row>
    <row r="1060" spans="1:19" x14ac:dyDescent="0.25">
      <c r="A1060">
        <v>18089</v>
      </c>
      <c r="B1060" t="s">
        <v>73</v>
      </c>
      <c r="C1060">
        <v>2</v>
      </c>
      <c r="D1060">
        <v>1553.5044955461999</v>
      </c>
      <c r="E1060">
        <v>41.906150159928401</v>
      </c>
      <c r="F1060">
        <f t="shared" si="33"/>
        <v>16</v>
      </c>
      <c r="G1060">
        <v>6</v>
      </c>
      <c r="H1060">
        <v>2</v>
      </c>
      <c r="I1060">
        <v>7</v>
      </c>
      <c r="J1060">
        <v>0</v>
      </c>
      <c r="K1060">
        <v>0</v>
      </c>
      <c r="L1060">
        <v>1</v>
      </c>
      <c r="M1060">
        <f t="shared" si="32"/>
        <v>1611</v>
      </c>
      <c r="N1060">
        <v>1320</v>
      </c>
      <c r="O1060">
        <v>170</v>
      </c>
      <c r="P1060">
        <v>81</v>
      </c>
      <c r="Q1060">
        <v>0</v>
      </c>
      <c r="R1060">
        <v>0</v>
      </c>
      <c r="S1060">
        <v>40</v>
      </c>
    </row>
    <row r="1061" spans="1:19" x14ac:dyDescent="0.25">
      <c r="A1061">
        <v>18089</v>
      </c>
      <c r="B1061" t="s">
        <v>73</v>
      </c>
      <c r="C1061">
        <v>3</v>
      </c>
      <c r="D1061">
        <v>1515.68209590276</v>
      </c>
      <c r="E1061">
        <v>45.226582822873603</v>
      </c>
      <c r="F1061">
        <f t="shared" si="33"/>
        <v>16</v>
      </c>
      <c r="G1061">
        <v>6</v>
      </c>
      <c r="H1061">
        <v>2</v>
      </c>
      <c r="I1061">
        <v>7</v>
      </c>
      <c r="J1061">
        <v>0</v>
      </c>
      <c r="K1061">
        <v>0</v>
      </c>
      <c r="L1061">
        <v>1</v>
      </c>
      <c r="M1061">
        <f t="shared" si="32"/>
        <v>1611</v>
      </c>
      <c r="N1061">
        <v>1320</v>
      </c>
      <c r="O1061">
        <v>170</v>
      </c>
      <c r="P1061">
        <v>81</v>
      </c>
      <c r="Q1061">
        <v>0</v>
      </c>
      <c r="R1061">
        <v>0</v>
      </c>
      <c r="S1061">
        <v>40</v>
      </c>
    </row>
    <row r="1062" spans="1:19" x14ac:dyDescent="0.25">
      <c r="A1062">
        <v>18089</v>
      </c>
      <c r="B1062" t="s">
        <v>73</v>
      </c>
      <c r="C1062">
        <v>4</v>
      </c>
      <c r="D1062">
        <v>1434.1215832508799</v>
      </c>
      <c r="E1062">
        <v>52.020111719474002</v>
      </c>
      <c r="F1062">
        <f t="shared" si="33"/>
        <v>16</v>
      </c>
      <c r="G1062">
        <v>6</v>
      </c>
      <c r="H1062">
        <v>2</v>
      </c>
      <c r="I1062">
        <v>7</v>
      </c>
      <c r="J1062">
        <v>0</v>
      </c>
      <c r="K1062">
        <v>0</v>
      </c>
      <c r="L1062">
        <v>1</v>
      </c>
      <c r="M1062">
        <f t="shared" si="32"/>
        <v>1611</v>
      </c>
      <c r="N1062">
        <v>1320</v>
      </c>
      <c r="O1062">
        <v>170</v>
      </c>
      <c r="P1062">
        <v>81</v>
      </c>
      <c r="Q1062">
        <v>0</v>
      </c>
      <c r="R1062">
        <v>0</v>
      </c>
      <c r="S1062">
        <v>40</v>
      </c>
    </row>
    <row r="1063" spans="1:19" x14ac:dyDescent="0.25">
      <c r="A1063">
        <v>18089</v>
      </c>
      <c r="B1063" t="s">
        <v>73</v>
      </c>
      <c r="C1063">
        <v>5</v>
      </c>
      <c r="D1063">
        <v>1309.2809483026799</v>
      </c>
      <c r="E1063">
        <v>60.034949181755401</v>
      </c>
      <c r="F1063">
        <f t="shared" si="33"/>
        <v>16</v>
      </c>
      <c r="G1063">
        <v>6</v>
      </c>
      <c r="H1063">
        <v>2</v>
      </c>
      <c r="I1063">
        <v>7</v>
      </c>
      <c r="J1063">
        <v>0</v>
      </c>
      <c r="K1063">
        <v>0</v>
      </c>
      <c r="L1063">
        <v>1</v>
      </c>
      <c r="M1063">
        <f t="shared" si="32"/>
        <v>1611</v>
      </c>
      <c r="N1063">
        <v>1320</v>
      </c>
      <c r="O1063">
        <v>170</v>
      </c>
      <c r="P1063">
        <v>81</v>
      </c>
      <c r="Q1063">
        <v>0</v>
      </c>
      <c r="R1063">
        <v>0</v>
      </c>
      <c r="S1063">
        <v>40</v>
      </c>
    </row>
    <row r="1064" spans="1:19" x14ac:dyDescent="0.25">
      <c r="A1064">
        <v>18089</v>
      </c>
      <c r="B1064" t="s">
        <v>73</v>
      </c>
      <c r="C1064">
        <v>6</v>
      </c>
      <c r="D1064">
        <v>1124.2145347093301</v>
      </c>
      <c r="E1064">
        <v>68.927602175619995</v>
      </c>
      <c r="F1064">
        <f t="shared" si="33"/>
        <v>16</v>
      </c>
      <c r="G1064">
        <v>6</v>
      </c>
      <c r="H1064">
        <v>2</v>
      </c>
      <c r="I1064">
        <v>7</v>
      </c>
      <c r="J1064">
        <v>0</v>
      </c>
      <c r="K1064">
        <v>0</v>
      </c>
      <c r="L1064">
        <v>1</v>
      </c>
      <c r="M1064">
        <f t="shared" si="32"/>
        <v>1611</v>
      </c>
      <c r="N1064">
        <v>1320</v>
      </c>
      <c r="O1064">
        <v>170</v>
      </c>
      <c r="P1064">
        <v>81</v>
      </c>
      <c r="Q1064">
        <v>0</v>
      </c>
      <c r="R1064">
        <v>0</v>
      </c>
      <c r="S1064">
        <v>40</v>
      </c>
    </row>
    <row r="1065" spans="1:19" x14ac:dyDescent="0.25">
      <c r="A1065">
        <v>18089</v>
      </c>
      <c r="B1065" t="s">
        <v>73</v>
      </c>
      <c r="C1065">
        <v>7</v>
      </c>
      <c r="D1065">
        <v>921.24831745023096</v>
      </c>
      <c r="E1065">
        <v>84.155793353954707</v>
      </c>
      <c r="F1065">
        <f t="shared" si="33"/>
        <v>16</v>
      </c>
      <c r="G1065">
        <v>6</v>
      </c>
      <c r="H1065">
        <v>2</v>
      </c>
      <c r="I1065">
        <v>7</v>
      </c>
      <c r="J1065">
        <v>0</v>
      </c>
      <c r="K1065">
        <v>0</v>
      </c>
      <c r="L1065">
        <v>1</v>
      </c>
      <c r="M1065">
        <f t="shared" si="32"/>
        <v>1611</v>
      </c>
      <c r="N1065">
        <v>1320</v>
      </c>
      <c r="O1065">
        <v>170</v>
      </c>
      <c r="P1065">
        <v>81</v>
      </c>
      <c r="Q1065">
        <v>0</v>
      </c>
      <c r="R1065">
        <v>0</v>
      </c>
      <c r="S1065">
        <v>40</v>
      </c>
    </row>
    <row r="1066" spans="1:19" x14ac:dyDescent="0.25">
      <c r="A1066">
        <v>18089</v>
      </c>
      <c r="B1066" t="s">
        <v>73</v>
      </c>
      <c r="C1066">
        <v>8</v>
      </c>
      <c r="D1066">
        <v>755.87550447849105</v>
      </c>
      <c r="E1066">
        <v>95.376565801148601</v>
      </c>
      <c r="F1066">
        <f t="shared" si="33"/>
        <v>16</v>
      </c>
      <c r="G1066">
        <v>6</v>
      </c>
      <c r="H1066">
        <v>2</v>
      </c>
      <c r="I1066">
        <v>7</v>
      </c>
      <c r="J1066">
        <v>0</v>
      </c>
      <c r="K1066">
        <v>0</v>
      </c>
      <c r="L1066">
        <v>1</v>
      </c>
      <c r="M1066">
        <f t="shared" si="32"/>
        <v>1611</v>
      </c>
      <c r="N1066">
        <v>1320</v>
      </c>
      <c r="O1066">
        <v>170</v>
      </c>
      <c r="P1066">
        <v>81</v>
      </c>
      <c r="Q1066">
        <v>0</v>
      </c>
      <c r="R1066">
        <v>0</v>
      </c>
      <c r="S1066">
        <v>40</v>
      </c>
    </row>
    <row r="1067" spans="1:19" x14ac:dyDescent="0.25">
      <c r="A1067">
        <v>18089</v>
      </c>
      <c r="B1067" t="s">
        <v>73</v>
      </c>
      <c r="C1067">
        <v>9</v>
      </c>
      <c r="D1067">
        <v>677.82625395294099</v>
      </c>
      <c r="E1067">
        <v>91.407312962685495</v>
      </c>
      <c r="F1067">
        <f t="shared" si="33"/>
        <v>16</v>
      </c>
      <c r="G1067">
        <v>6</v>
      </c>
      <c r="H1067">
        <v>2</v>
      </c>
      <c r="I1067">
        <v>7</v>
      </c>
      <c r="J1067">
        <v>0</v>
      </c>
      <c r="K1067">
        <v>0</v>
      </c>
      <c r="L1067">
        <v>1</v>
      </c>
      <c r="M1067">
        <f t="shared" si="32"/>
        <v>1611</v>
      </c>
      <c r="N1067">
        <v>1320</v>
      </c>
      <c r="O1067">
        <v>170</v>
      </c>
      <c r="P1067">
        <v>81</v>
      </c>
      <c r="Q1067">
        <v>0</v>
      </c>
      <c r="R1067">
        <v>0</v>
      </c>
      <c r="S1067">
        <v>40</v>
      </c>
    </row>
    <row r="1068" spans="1:19" x14ac:dyDescent="0.25">
      <c r="A1068">
        <v>18089</v>
      </c>
      <c r="B1068" t="s">
        <v>73</v>
      </c>
      <c r="C1068">
        <v>10</v>
      </c>
      <c r="D1068">
        <v>627.90526633073102</v>
      </c>
      <c r="E1068">
        <v>76.446283033093493</v>
      </c>
      <c r="F1068">
        <f t="shared" si="33"/>
        <v>16</v>
      </c>
      <c r="G1068">
        <v>6</v>
      </c>
      <c r="H1068">
        <v>2</v>
      </c>
      <c r="I1068">
        <v>7</v>
      </c>
      <c r="J1068">
        <v>0</v>
      </c>
      <c r="K1068">
        <v>0</v>
      </c>
      <c r="L1068">
        <v>1</v>
      </c>
      <c r="M1068">
        <f t="shared" si="32"/>
        <v>1611</v>
      </c>
      <c r="N1068">
        <v>1320</v>
      </c>
      <c r="O1068">
        <v>170</v>
      </c>
      <c r="P1068">
        <v>81</v>
      </c>
      <c r="Q1068">
        <v>0</v>
      </c>
      <c r="R1068">
        <v>0</v>
      </c>
      <c r="S1068">
        <v>40</v>
      </c>
    </row>
    <row r="1069" spans="1:19" x14ac:dyDescent="0.25">
      <c r="A1069">
        <v>18089</v>
      </c>
      <c r="B1069" t="s">
        <v>73</v>
      </c>
      <c r="C1069">
        <v>11</v>
      </c>
      <c r="D1069">
        <v>598.17403593493498</v>
      </c>
      <c r="E1069">
        <v>68.240616107424501</v>
      </c>
      <c r="F1069">
        <f t="shared" si="33"/>
        <v>16</v>
      </c>
      <c r="G1069">
        <v>6</v>
      </c>
      <c r="H1069">
        <v>2</v>
      </c>
      <c r="I1069">
        <v>7</v>
      </c>
      <c r="J1069">
        <v>0</v>
      </c>
      <c r="K1069">
        <v>0</v>
      </c>
      <c r="L1069">
        <v>1</v>
      </c>
      <c r="M1069">
        <f t="shared" si="32"/>
        <v>1611</v>
      </c>
      <c r="N1069">
        <v>1320</v>
      </c>
      <c r="O1069">
        <v>170</v>
      </c>
      <c r="P1069">
        <v>81</v>
      </c>
      <c r="Q1069">
        <v>0</v>
      </c>
      <c r="R1069">
        <v>0</v>
      </c>
      <c r="S1069">
        <v>40</v>
      </c>
    </row>
    <row r="1070" spans="1:19" x14ac:dyDescent="0.25">
      <c r="A1070">
        <v>18089</v>
      </c>
      <c r="B1070" t="s">
        <v>73</v>
      </c>
      <c r="C1070">
        <v>12</v>
      </c>
      <c r="D1070">
        <v>618.13479780528303</v>
      </c>
      <c r="E1070">
        <v>64.538524517704005</v>
      </c>
      <c r="F1070">
        <f t="shared" si="33"/>
        <v>16</v>
      </c>
      <c r="G1070">
        <v>6</v>
      </c>
      <c r="H1070">
        <v>2</v>
      </c>
      <c r="I1070">
        <v>7</v>
      </c>
      <c r="J1070">
        <v>0</v>
      </c>
      <c r="K1070">
        <v>0</v>
      </c>
      <c r="L1070">
        <v>1</v>
      </c>
      <c r="M1070">
        <f t="shared" si="32"/>
        <v>1611</v>
      </c>
      <c r="N1070">
        <v>1320</v>
      </c>
      <c r="O1070">
        <v>170</v>
      </c>
      <c r="P1070">
        <v>81</v>
      </c>
      <c r="Q1070">
        <v>0</v>
      </c>
      <c r="R1070">
        <v>0</v>
      </c>
      <c r="S1070">
        <v>40</v>
      </c>
    </row>
    <row r="1071" spans="1:19" x14ac:dyDescent="0.25">
      <c r="A1071">
        <v>18089</v>
      </c>
      <c r="B1071" t="s">
        <v>73</v>
      </c>
      <c r="C1071">
        <v>13</v>
      </c>
      <c r="D1071">
        <v>657.44566726313997</v>
      </c>
      <c r="E1071">
        <v>52.707097787669603</v>
      </c>
      <c r="F1071">
        <f t="shared" si="33"/>
        <v>16</v>
      </c>
      <c r="G1071">
        <v>6</v>
      </c>
      <c r="H1071">
        <v>2</v>
      </c>
      <c r="I1071">
        <v>7</v>
      </c>
      <c r="J1071">
        <v>0</v>
      </c>
      <c r="K1071">
        <v>0</v>
      </c>
      <c r="L1071">
        <v>1</v>
      </c>
      <c r="M1071">
        <f t="shared" si="32"/>
        <v>1611</v>
      </c>
      <c r="N1071">
        <v>1320</v>
      </c>
      <c r="O1071">
        <v>170</v>
      </c>
      <c r="P1071">
        <v>81</v>
      </c>
      <c r="Q1071">
        <v>0</v>
      </c>
      <c r="R1071">
        <v>0</v>
      </c>
      <c r="S1071">
        <v>40</v>
      </c>
    </row>
    <row r="1072" spans="1:19" x14ac:dyDescent="0.25">
      <c r="A1072">
        <v>18089</v>
      </c>
      <c r="B1072" t="s">
        <v>73</v>
      </c>
      <c r="C1072">
        <v>14</v>
      </c>
      <c r="D1072">
        <v>718.35843197647796</v>
      </c>
      <c r="E1072">
        <v>38.623883389660797</v>
      </c>
      <c r="F1072">
        <f t="shared" si="33"/>
        <v>16</v>
      </c>
      <c r="G1072">
        <v>6</v>
      </c>
      <c r="H1072">
        <v>2</v>
      </c>
      <c r="I1072">
        <v>7</v>
      </c>
      <c r="J1072">
        <v>0</v>
      </c>
      <c r="K1072">
        <v>0</v>
      </c>
      <c r="L1072">
        <v>1</v>
      </c>
      <c r="M1072">
        <f t="shared" si="32"/>
        <v>1611</v>
      </c>
      <c r="N1072">
        <v>1320</v>
      </c>
      <c r="O1072">
        <v>170</v>
      </c>
      <c r="P1072">
        <v>81</v>
      </c>
      <c r="Q1072">
        <v>0</v>
      </c>
      <c r="R1072">
        <v>0</v>
      </c>
      <c r="S1072">
        <v>40</v>
      </c>
    </row>
    <row r="1073" spans="1:19" x14ac:dyDescent="0.25">
      <c r="A1073">
        <v>18089</v>
      </c>
      <c r="B1073" t="s">
        <v>73</v>
      </c>
      <c r="C1073">
        <v>15</v>
      </c>
      <c r="D1073">
        <v>810.98705350484499</v>
      </c>
      <c r="E1073">
        <v>34.463801087809998</v>
      </c>
      <c r="F1073">
        <f t="shared" si="33"/>
        <v>16</v>
      </c>
      <c r="G1073">
        <v>6</v>
      </c>
      <c r="H1073">
        <v>2</v>
      </c>
      <c r="I1073">
        <v>7</v>
      </c>
      <c r="J1073">
        <v>0</v>
      </c>
      <c r="K1073">
        <v>0</v>
      </c>
      <c r="L1073">
        <v>1</v>
      </c>
      <c r="M1073">
        <f t="shared" si="32"/>
        <v>1611</v>
      </c>
      <c r="N1073">
        <v>1320</v>
      </c>
      <c r="O1073">
        <v>170</v>
      </c>
      <c r="P1073">
        <v>81</v>
      </c>
      <c r="Q1073">
        <v>0</v>
      </c>
      <c r="R1073">
        <v>0</v>
      </c>
      <c r="S1073">
        <v>40</v>
      </c>
    </row>
    <row r="1074" spans="1:19" x14ac:dyDescent="0.25">
      <c r="A1074">
        <v>18089</v>
      </c>
      <c r="B1074" t="s">
        <v>73</v>
      </c>
      <c r="C1074">
        <v>16</v>
      </c>
      <c r="D1074">
        <v>934.22472096059096</v>
      </c>
      <c r="E1074">
        <v>27.326779157111801</v>
      </c>
      <c r="F1074">
        <f t="shared" si="33"/>
        <v>16</v>
      </c>
      <c r="G1074">
        <v>6</v>
      </c>
      <c r="H1074">
        <v>2</v>
      </c>
      <c r="I1074">
        <v>7</v>
      </c>
      <c r="J1074">
        <v>0</v>
      </c>
      <c r="K1074">
        <v>0</v>
      </c>
      <c r="L1074">
        <v>1</v>
      </c>
      <c r="M1074">
        <f t="shared" si="32"/>
        <v>1611</v>
      </c>
      <c r="N1074">
        <v>1320</v>
      </c>
      <c r="O1074">
        <v>170</v>
      </c>
      <c r="P1074">
        <v>81</v>
      </c>
      <c r="Q1074">
        <v>0</v>
      </c>
      <c r="R1074">
        <v>0</v>
      </c>
      <c r="S1074">
        <v>40</v>
      </c>
    </row>
    <row r="1075" spans="1:19" x14ac:dyDescent="0.25">
      <c r="A1075">
        <v>18089</v>
      </c>
      <c r="B1075" t="s">
        <v>73</v>
      </c>
      <c r="C1075">
        <v>17</v>
      </c>
      <c r="D1075">
        <v>1073.45389744822</v>
      </c>
      <c r="E1075">
        <v>25.952807020720702</v>
      </c>
      <c r="F1075">
        <f t="shared" si="33"/>
        <v>16</v>
      </c>
      <c r="G1075">
        <v>6</v>
      </c>
      <c r="H1075">
        <v>2</v>
      </c>
      <c r="I1075">
        <v>7</v>
      </c>
      <c r="J1075">
        <v>0</v>
      </c>
      <c r="K1075">
        <v>0</v>
      </c>
      <c r="L1075">
        <v>1</v>
      </c>
      <c r="M1075">
        <f t="shared" si="32"/>
        <v>1611</v>
      </c>
      <c r="N1075">
        <v>1320</v>
      </c>
      <c r="O1075">
        <v>170</v>
      </c>
      <c r="P1075">
        <v>81</v>
      </c>
      <c r="Q1075">
        <v>0</v>
      </c>
      <c r="R1075">
        <v>0</v>
      </c>
      <c r="S1075">
        <v>40</v>
      </c>
    </row>
    <row r="1076" spans="1:19" x14ac:dyDescent="0.25">
      <c r="A1076">
        <v>18089</v>
      </c>
      <c r="B1076" t="s">
        <v>73</v>
      </c>
      <c r="C1076">
        <v>18</v>
      </c>
      <c r="D1076">
        <v>1219.8964276519</v>
      </c>
      <c r="E1076">
        <v>26.448963625528599</v>
      </c>
      <c r="F1076">
        <f t="shared" si="33"/>
        <v>16</v>
      </c>
      <c r="G1076">
        <v>6</v>
      </c>
      <c r="H1076">
        <v>2</v>
      </c>
      <c r="I1076">
        <v>7</v>
      </c>
      <c r="J1076">
        <v>0</v>
      </c>
      <c r="K1076">
        <v>0</v>
      </c>
      <c r="L1076">
        <v>1</v>
      </c>
      <c r="M1076">
        <f t="shared" si="32"/>
        <v>1611</v>
      </c>
      <c r="N1076">
        <v>1320</v>
      </c>
      <c r="O1076">
        <v>170</v>
      </c>
      <c r="P1076">
        <v>81</v>
      </c>
      <c r="Q1076">
        <v>0</v>
      </c>
      <c r="R1076">
        <v>0</v>
      </c>
      <c r="S1076">
        <v>40</v>
      </c>
    </row>
    <row r="1077" spans="1:19" x14ac:dyDescent="0.25">
      <c r="A1077">
        <v>18089</v>
      </c>
      <c r="B1077" t="s">
        <v>73</v>
      </c>
      <c r="C1077">
        <v>19</v>
      </c>
      <c r="D1077">
        <v>1346.1110347365</v>
      </c>
      <c r="E1077">
        <v>28.090097010662401</v>
      </c>
      <c r="F1077">
        <f t="shared" si="33"/>
        <v>16</v>
      </c>
      <c r="G1077">
        <v>6</v>
      </c>
      <c r="H1077">
        <v>2</v>
      </c>
      <c r="I1077">
        <v>7</v>
      </c>
      <c r="J1077">
        <v>0</v>
      </c>
      <c r="K1077">
        <v>0</v>
      </c>
      <c r="L1077">
        <v>1</v>
      </c>
      <c r="M1077">
        <f t="shared" si="32"/>
        <v>1611</v>
      </c>
      <c r="N1077">
        <v>1320</v>
      </c>
      <c r="O1077">
        <v>170</v>
      </c>
      <c r="P1077">
        <v>81</v>
      </c>
      <c r="Q1077">
        <v>0</v>
      </c>
      <c r="R1077">
        <v>0</v>
      </c>
      <c r="S1077">
        <v>40</v>
      </c>
    </row>
    <row r="1078" spans="1:19" x14ac:dyDescent="0.25">
      <c r="A1078">
        <v>18089</v>
      </c>
      <c r="B1078" t="s">
        <v>73</v>
      </c>
      <c r="C1078">
        <v>20</v>
      </c>
      <c r="D1078">
        <v>1445.57135105414</v>
      </c>
      <c r="E1078">
        <v>30.723543605412001</v>
      </c>
      <c r="F1078">
        <f t="shared" si="33"/>
        <v>16</v>
      </c>
      <c r="G1078">
        <v>6</v>
      </c>
      <c r="H1078">
        <v>2</v>
      </c>
      <c r="I1078">
        <v>7</v>
      </c>
      <c r="J1078">
        <v>0</v>
      </c>
      <c r="K1078">
        <v>0</v>
      </c>
      <c r="L1078">
        <v>1</v>
      </c>
      <c r="M1078">
        <f t="shared" si="32"/>
        <v>1611</v>
      </c>
      <c r="N1078">
        <v>1320</v>
      </c>
      <c r="O1078">
        <v>170</v>
      </c>
      <c r="P1078">
        <v>81</v>
      </c>
      <c r="Q1078">
        <v>0</v>
      </c>
      <c r="R1078">
        <v>0</v>
      </c>
      <c r="S1078">
        <v>40</v>
      </c>
    </row>
    <row r="1079" spans="1:19" x14ac:dyDescent="0.25">
      <c r="A1079">
        <v>18089</v>
      </c>
      <c r="B1079" t="s">
        <v>73</v>
      </c>
      <c r="C1079">
        <v>21</v>
      </c>
      <c r="D1079">
        <v>1520.3765007021</v>
      </c>
      <c r="E1079">
        <v>33.242492522128998</v>
      </c>
      <c r="F1079">
        <f t="shared" si="33"/>
        <v>16</v>
      </c>
      <c r="G1079">
        <v>6</v>
      </c>
      <c r="H1079">
        <v>2</v>
      </c>
      <c r="I1079">
        <v>7</v>
      </c>
      <c r="J1079">
        <v>0</v>
      </c>
      <c r="K1079">
        <v>0</v>
      </c>
      <c r="L1079">
        <v>1</v>
      </c>
      <c r="M1079">
        <f t="shared" si="32"/>
        <v>1611</v>
      </c>
      <c r="N1079">
        <v>1320</v>
      </c>
      <c r="O1079">
        <v>170</v>
      </c>
      <c r="P1079">
        <v>81</v>
      </c>
      <c r="Q1079">
        <v>0</v>
      </c>
      <c r="R1079">
        <v>0</v>
      </c>
      <c r="S1079">
        <v>40</v>
      </c>
    </row>
    <row r="1080" spans="1:19" x14ac:dyDescent="0.25">
      <c r="A1080">
        <v>18089</v>
      </c>
      <c r="B1080" t="s">
        <v>73</v>
      </c>
      <c r="C1080">
        <v>22</v>
      </c>
      <c r="D1080">
        <v>1564.5726044226799</v>
      </c>
      <c r="E1080">
        <v>35.799607331523497</v>
      </c>
      <c r="F1080">
        <f t="shared" si="33"/>
        <v>16</v>
      </c>
      <c r="G1080">
        <v>6</v>
      </c>
      <c r="H1080">
        <v>2</v>
      </c>
      <c r="I1080">
        <v>7</v>
      </c>
      <c r="J1080">
        <v>0</v>
      </c>
      <c r="K1080">
        <v>0</v>
      </c>
      <c r="L1080">
        <v>1</v>
      </c>
      <c r="M1080">
        <f t="shared" si="32"/>
        <v>1611</v>
      </c>
      <c r="N1080">
        <v>1320</v>
      </c>
      <c r="O1080">
        <v>170</v>
      </c>
      <c r="P1080">
        <v>81</v>
      </c>
      <c r="Q1080">
        <v>0</v>
      </c>
      <c r="R1080">
        <v>0</v>
      </c>
      <c r="S1080">
        <v>40</v>
      </c>
    </row>
    <row r="1081" spans="1:19" x14ac:dyDescent="0.25">
      <c r="A1081">
        <v>18089</v>
      </c>
      <c r="B1081" t="s">
        <v>73</v>
      </c>
      <c r="C1081">
        <v>23</v>
      </c>
      <c r="D1081">
        <v>1579.4573025669199</v>
      </c>
      <c r="E1081">
        <v>36.486593399719098</v>
      </c>
      <c r="F1081">
        <f t="shared" si="33"/>
        <v>16</v>
      </c>
      <c r="G1081">
        <v>6</v>
      </c>
      <c r="H1081">
        <v>2</v>
      </c>
      <c r="I1081">
        <v>7</v>
      </c>
      <c r="J1081">
        <v>0</v>
      </c>
      <c r="K1081">
        <v>0</v>
      </c>
      <c r="L1081">
        <v>1</v>
      </c>
      <c r="M1081">
        <f t="shared" si="32"/>
        <v>1611</v>
      </c>
      <c r="N1081">
        <v>1320</v>
      </c>
      <c r="O1081">
        <v>170</v>
      </c>
      <c r="P1081">
        <v>81</v>
      </c>
      <c r="Q1081">
        <v>0</v>
      </c>
      <c r="R1081">
        <v>0</v>
      </c>
      <c r="S1081">
        <v>40</v>
      </c>
    </row>
    <row r="1082" spans="1:19" x14ac:dyDescent="0.25">
      <c r="A1082">
        <v>18091</v>
      </c>
      <c r="B1082" t="s">
        <v>74</v>
      </c>
      <c r="C1082">
        <v>0</v>
      </c>
      <c r="D1082">
        <v>318.02003024176997</v>
      </c>
      <c r="E1082">
        <v>27.638430223722001</v>
      </c>
      <c r="F1082">
        <f t="shared" si="33"/>
        <v>10</v>
      </c>
      <c r="G1082">
        <v>0</v>
      </c>
      <c r="H1082">
        <v>0</v>
      </c>
      <c r="I1082">
        <v>5</v>
      </c>
      <c r="J1082">
        <v>3</v>
      </c>
      <c r="K1082">
        <v>1</v>
      </c>
      <c r="L1082">
        <v>1</v>
      </c>
      <c r="M1082">
        <f t="shared" si="32"/>
        <v>669</v>
      </c>
      <c r="N1082">
        <v>0</v>
      </c>
      <c r="O1082">
        <v>0</v>
      </c>
      <c r="P1082">
        <v>106</v>
      </c>
      <c r="Q1082">
        <v>457</v>
      </c>
      <c r="R1082">
        <v>80</v>
      </c>
      <c r="S1082">
        <v>26</v>
      </c>
    </row>
    <row r="1083" spans="1:19" x14ac:dyDescent="0.25">
      <c r="A1083">
        <v>18091</v>
      </c>
      <c r="B1083" t="s">
        <v>74</v>
      </c>
      <c r="C1083">
        <v>1</v>
      </c>
      <c r="D1083">
        <v>327.42279516324197</v>
      </c>
      <c r="E1083">
        <v>29.169941176840599</v>
      </c>
      <c r="F1083">
        <f t="shared" si="33"/>
        <v>10</v>
      </c>
      <c r="G1083">
        <v>0</v>
      </c>
      <c r="H1083">
        <v>0</v>
      </c>
      <c r="I1083">
        <v>5</v>
      </c>
      <c r="J1083">
        <v>3</v>
      </c>
      <c r="K1083">
        <v>1</v>
      </c>
      <c r="L1083">
        <v>1</v>
      </c>
      <c r="M1083">
        <f t="shared" si="32"/>
        <v>669</v>
      </c>
      <c r="N1083">
        <v>0</v>
      </c>
      <c r="O1083">
        <v>0</v>
      </c>
      <c r="P1083">
        <v>106</v>
      </c>
      <c r="Q1083">
        <v>457</v>
      </c>
      <c r="R1083">
        <v>80</v>
      </c>
      <c r="S1083">
        <v>26</v>
      </c>
    </row>
    <row r="1084" spans="1:19" x14ac:dyDescent="0.25">
      <c r="A1084">
        <v>18091</v>
      </c>
      <c r="B1084" t="s">
        <v>74</v>
      </c>
      <c r="C1084">
        <v>2</v>
      </c>
      <c r="D1084">
        <v>331.803628819837</v>
      </c>
      <c r="E1084">
        <v>30.5946025285788</v>
      </c>
      <c r="F1084">
        <f t="shared" si="33"/>
        <v>10</v>
      </c>
      <c r="G1084">
        <v>0</v>
      </c>
      <c r="H1084">
        <v>0</v>
      </c>
      <c r="I1084">
        <v>5</v>
      </c>
      <c r="J1084">
        <v>3</v>
      </c>
      <c r="K1084">
        <v>1</v>
      </c>
      <c r="L1084">
        <v>1</v>
      </c>
      <c r="M1084">
        <f t="shared" si="32"/>
        <v>669</v>
      </c>
      <c r="N1084">
        <v>0</v>
      </c>
      <c r="O1084">
        <v>0</v>
      </c>
      <c r="P1084">
        <v>106</v>
      </c>
      <c r="Q1084">
        <v>457</v>
      </c>
      <c r="R1084">
        <v>80</v>
      </c>
      <c r="S1084">
        <v>26</v>
      </c>
    </row>
    <row r="1085" spans="1:19" x14ac:dyDescent="0.25">
      <c r="A1085">
        <v>18091</v>
      </c>
      <c r="B1085" t="s">
        <v>74</v>
      </c>
      <c r="C1085">
        <v>3</v>
      </c>
      <c r="D1085">
        <v>330.69951627223998</v>
      </c>
      <c r="E1085">
        <v>33.230226029294599</v>
      </c>
      <c r="F1085">
        <f t="shared" si="33"/>
        <v>10</v>
      </c>
      <c r="G1085">
        <v>0</v>
      </c>
      <c r="H1085">
        <v>0</v>
      </c>
      <c r="I1085">
        <v>5</v>
      </c>
      <c r="J1085">
        <v>3</v>
      </c>
      <c r="K1085">
        <v>1</v>
      </c>
      <c r="L1085">
        <v>1</v>
      </c>
      <c r="M1085">
        <f t="shared" si="32"/>
        <v>669</v>
      </c>
      <c r="N1085">
        <v>0</v>
      </c>
      <c r="O1085">
        <v>0</v>
      </c>
      <c r="P1085">
        <v>106</v>
      </c>
      <c r="Q1085">
        <v>457</v>
      </c>
      <c r="R1085">
        <v>80</v>
      </c>
      <c r="S1085">
        <v>26</v>
      </c>
    </row>
    <row r="1086" spans="1:19" x14ac:dyDescent="0.25">
      <c r="A1086">
        <v>18091</v>
      </c>
      <c r="B1086" t="s">
        <v>74</v>
      </c>
      <c r="C1086">
        <v>4</v>
      </c>
      <c r="D1086">
        <v>324.07484098665702</v>
      </c>
      <c r="E1086">
        <v>31.698715076176001</v>
      </c>
      <c r="F1086">
        <f t="shared" si="33"/>
        <v>10</v>
      </c>
      <c r="G1086">
        <v>0</v>
      </c>
      <c r="H1086">
        <v>0</v>
      </c>
      <c r="I1086">
        <v>5</v>
      </c>
      <c r="J1086">
        <v>3</v>
      </c>
      <c r="K1086">
        <v>1</v>
      </c>
      <c r="L1086">
        <v>1</v>
      </c>
      <c r="M1086">
        <f t="shared" si="32"/>
        <v>669</v>
      </c>
      <c r="N1086">
        <v>0</v>
      </c>
      <c r="O1086">
        <v>0</v>
      </c>
      <c r="P1086">
        <v>106</v>
      </c>
      <c r="Q1086">
        <v>457</v>
      </c>
      <c r="R1086">
        <v>80</v>
      </c>
      <c r="S1086">
        <v>26</v>
      </c>
    </row>
    <row r="1087" spans="1:19" x14ac:dyDescent="0.25">
      <c r="A1087">
        <v>18091</v>
      </c>
      <c r="B1087" t="s">
        <v>74</v>
      </c>
      <c r="C1087">
        <v>5</v>
      </c>
      <c r="D1087">
        <v>305.76794261682102</v>
      </c>
      <c r="E1087">
        <v>26.961716081646301</v>
      </c>
      <c r="F1087">
        <f t="shared" si="33"/>
        <v>10</v>
      </c>
      <c r="G1087">
        <v>0</v>
      </c>
      <c r="H1087">
        <v>0</v>
      </c>
      <c r="I1087">
        <v>5</v>
      </c>
      <c r="J1087">
        <v>3</v>
      </c>
      <c r="K1087">
        <v>1</v>
      </c>
      <c r="L1087">
        <v>1</v>
      </c>
      <c r="M1087">
        <f t="shared" si="32"/>
        <v>669</v>
      </c>
      <c r="N1087">
        <v>0</v>
      </c>
      <c r="O1087">
        <v>0</v>
      </c>
      <c r="P1087">
        <v>106</v>
      </c>
      <c r="Q1087">
        <v>457</v>
      </c>
      <c r="R1087">
        <v>80</v>
      </c>
      <c r="S1087">
        <v>26</v>
      </c>
    </row>
    <row r="1088" spans="1:19" x14ac:dyDescent="0.25">
      <c r="A1088">
        <v>18091</v>
      </c>
      <c r="B1088" t="s">
        <v>74</v>
      </c>
      <c r="C1088">
        <v>6</v>
      </c>
      <c r="D1088">
        <v>264.84454528814001</v>
      </c>
      <c r="E1088">
        <v>22.9726642967792</v>
      </c>
      <c r="F1088">
        <f t="shared" si="33"/>
        <v>10</v>
      </c>
      <c r="G1088">
        <v>0</v>
      </c>
      <c r="H1088">
        <v>0</v>
      </c>
      <c r="I1088">
        <v>5</v>
      </c>
      <c r="J1088">
        <v>3</v>
      </c>
      <c r="K1088">
        <v>1</v>
      </c>
      <c r="L1088">
        <v>1</v>
      </c>
      <c r="M1088">
        <f t="shared" si="32"/>
        <v>669</v>
      </c>
      <c r="N1088">
        <v>0</v>
      </c>
      <c r="O1088">
        <v>0</v>
      </c>
      <c r="P1088">
        <v>106</v>
      </c>
      <c r="Q1088">
        <v>457</v>
      </c>
      <c r="R1088">
        <v>80</v>
      </c>
      <c r="S1088">
        <v>26</v>
      </c>
    </row>
    <row r="1089" spans="1:19" x14ac:dyDescent="0.25">
      <c r="A1089">
        <v>18091</v>
      </c>
      <c r="B1089" t="s">
        <v>74</v>
      </c>
      <c r="C1089">
        <v>7</v>
      </c>
      <c r="D1089">
        <v>210.92111312484701</v>
      </c>
      <c r="E1089">
        <v>21.263070674693299</v>
      </c>
      <c r="F1089">
        <f t="shared" si="33"/>
        <v>10</v>
      </c>
      <c r="G1089">
        <v>0</v>
      </c>
      <c r="H1089">
        <v>0</v>
      </c>
      <c r="I1089">
        <v>5</v>
      </c>
      <c r="J1089">
        <v>3</v>
      </c>
      <c r="K1089">
        <v>1</v>
      </c>
      <c r="L1089">
        <v>1</v>
      </c>
      <c r="M1089">
        <f t="shared" si="32"/>
        <v>669</v>
      </c>
      <c r="N1089">
        <v>0</v>
      </c>
      <c r="O1089">
        <v>0</v>
      </c>
      <c r="P1089">
        <v>106</v>
      </c>
      <c r="Q1089">
        <v>457</v>
      </c>
      <c r="R1089">
        <v>80</v>
      </c>
      <c r="S1089">
        <v>26</v>
      </c>
    </row>
    <row r="1090" spans="1:19" x14ac:dyDescent="0.25">
      <c r="A1090">
        <v>18091</v>
      </c>
      <c r="B1090" t="s">
        <v>74</v>
      </c>
      <c r="C1090">
        <v>8</v>
      </c>
      <c r="D1090">
        <v>165.723731740951</v>
      </c>
      <c r="E1090">
        <v>18.342514903629901</v>
      </c>
      <c r="F1090">
        <f t="shared" si="33"/>
        <v>10</v>
      </c>
      <c r="G1090">
        <v>0</v>
      </c>
      <c r="H1090">
        <v>0</v>
      </c>
      <c r="I1090">
        <v>5</v>
      </c>
      <c r="J1090">
        <v>3</v>
      </c>
      <c r="K1090">
        <v>1</v>
      </c>
      <c r="L1090">
        <v>1</v>
      </c>
      <c r="M1090">
        <f t="shared" ref="M1090:M1153" si="34">SUM(N1090:S1090)</f>
        <v>669</v>
      </c>
      <c r="N1090">
        <v>0</v>
      </c>
      <c r="O1090">
        <v>0</v>
      </c>
      <c r="P1090">
        <v>106</v>
      </c>
      <c r="Q1090">
        <v>457</v>
      </c>
      <c r="R1090">
        <v>80</v>
      </c>
      <c r="S1090">
        <v>26</v>
      </c>
    </row>
    <row r="1091" spans="1:19" x14ac:dyDescent="0.25">
      <c r="A1091">
        <v>18091</v>
      </c>
      <c r="B1091" t="s">
        <v>74</v>
      </c>
      <c r="C1091">
        <v>9</v>
      </c>
      <c r="D1091">
        <v>134.77296387443801</v>
      </c>
      <c r="E1091">
        <v>18.841146376738301</v>
      </c>
      <c r="F1091">
        <f t="shared" ref="F1091:F1154" si="35">SUM(G1091:L1091)</f>
        <v>10</v>
      </c>
      <c r="G1091">
        <v>0</v>
      </c>
      <c r="H1091">
        <v>0</v>
      </c>
      <c r="I1091">
        <v>5</v>
      </c>
      <c r="J1091">
        <v>3</v>
      </c>
      <c r="K1091">
        <v>1</v>
      </c>
      <c r="L1091">
        <v>1</v>
      </c>
      <c r="M1091">
        <f t="shared" si="34"/>
        <v>669</v>
      </c>
      <c r="N1091">
        <v>0</v>
      </c>
      <c r="O1091">
        <v>0</v>
      </c>
      <c r="P1091">
        <v>106</v>
      </c>
      <c r="Q1091">
        <v>457</v>
      </c>
      <c r="R1091">
        <v>80</v>
      </c>
      <c r="S1091">
        <v>26</v>
      </c>
    </row>
    <row r="1092" spans="1:19" x14ac:dyDescent="0.25">
      <c r="A1092">
        <v>18091</v>
      </c>
      <c r="B1092" t="s">
        <v>74</v>
      </c>
      <c r="C1092">
        <v>10</v>
      </c>
      <c r="D1092">
        <v>123.76745493225999</v>
      </c>
      <c r="E1092">
        <v>17.808266896728</v>
      </c>
      <c r="F1092">
        <f t="shared" si="35"/>
        <v>10</v>
      </c>
      <c r="G1092">
        <v>0</v>
      </c>
      <c r="H1092">
        <v>0</v>
      </c>
      <c r="I1092">
        <v>5</v>
      </c>
      <c r="J1092">
        <v>3</v>
      </c>
      <c r="K1092">
        <v>1</v>
      </c>
      <c r="L1092">
        <v>1</v>
      </c>
      <c r="M1092">
        <f t="shared" si="34"/>
        <v>669</v>
      </c>
      <c r="N1092">
        <v>0</v>
      </c>
      <c r="O1092">
        <v>0</v>
      </c>
      <c r="P1092">
        <v>106</v>
      </c>
      <c r="Q1092">
        <v>457</v>
      </c>
      <c r="R1092">
        <v>80</v>
      </c>
      <c r="S1092">
        <v>26</v>
      </c>
    </row>
    <row r="1093" spans="1:19" x14ac:dyDescent="0.25">
      <c r="A1093">
        <v>18091</v>
      </c>
      <c r="B1093" t="s">
        <v>74</v>
      </c>
      <c r="C1093">
        <v>11</v>
      </c>
      <c r="D1093">
        <v>122.342793580522</v>
      </c>
      <c r="E1093">
        <v>17.380868491206598</v>
      </c>
      <c r="F1093">
        <f t="shared" si="35"/>
        <v>10</v>
      </c>
      <c r="G1093">
        <v>0</v>
      </c>
      <c r="H1093">
        <v>0</v>
      </c>
      <c r="I1093">
        <v>5</v>
      </c>
      <c r="J1093">
        <v>3</v>
      </c>
      <c r="K1093">
        <v>1</v>
      </c>
      <c r="L1093">
        <v>1</v>
      </c>
      <c r="M1093">
        <f t="shared" si="34"/>
        <v>669</v>
      </c>
      <c r="N1093">
        <v>0</v>
      </c>
      <c r="O1093">
        <v>0</v>
      </c>
      <c r="P1093">
        <v>106</v>
      </c>
      <c r="Q1093">
        <v>457</v>
      </c>
      <c r="R1093">
        <v>80</v>
      </c>
      <c r="S1093">
        <v>26</v>
      </c>
    </row>
    <row r="1094" spans="1:19" x14ac:dyDescent="0.25">
      <c r="A1094">
        <v>18091</v>
      </c>
      <c r="B1094" t="s">
        <v>74</v>
      </c>
      <c r="C1094">
        <v>12</v>
      </c>
      <c r="D1094">
        <v>123.090740790184</v>
      </c>
      <c r="E1094">
        <v>18.093199167075699</v>
      </c>
      <c r="F1094">
        <f t="shared" si="35"/>
        <v>10</v>
      </c>
      <c r="G1094">
        <v>0</v>
      </c>
      <c r="H1094">
        <v>0</v>
      </c>
      <c r="I1094">
        <v>5</v>
      </c>
      <c r="J1094">
        <v>3</v>
      </c>
      <c r="K1094">
        <v>1</v>
      </c>
      <c r="L1094">
        <v>1</v>
      </c>
      <c r="M1094">
        <f t="shared" si="34"/>
        <v>669</v>
      </c>
      <c r="N1094">
        <v>0</v>
      </c>
      <c r="O1094">
        <v>0</v>
      </c>
      <c r="P1094">
        <v>106</v>
      </c>
      <c r="Q1094">
        <v>457</v>
      </c>
      <c r="R1094">
        <v>80</v>
      </c>
      <c r="S1094">
        <v>26</v>
      </c>
    </row>
    <row r="1095" spans="1:19" x14ac:dyDescent="0.25">
      <c r="A1095">
        <v>18091</v>
      </c>
      <c r="B1095" t="s">
        <v>74</v>
      </c>
      <c r="C1095">
        <v>13</v>
      </c>
      <c r="D1095">
        <v>124.87156747985701</v>
      </c>
      <c r="E1095">
        <v>16.5260716801636</v>
      </c>
      <c r="F1095">
        <f t="shared" si="35"/>
        <v>10</v>
      </c>
      <c r="G1095">
        <v>0</v>
      </c>
      <c r="H1095">
        <v>0</v>
      </c>
      <c r="I1095">
        <v>5</v>
      </c>
      <c r="J1095">
        <v>3</v>
      </c>
      <c r="K1095">
        <v>1</v>
      </c>
      <c r="L1095">
        <v>1</v>
      </c>
      <c r="M1095">
        <f t="shared" si="34"/>
        <v>669</v>
      </c>
      <c r="N1095">
        <v>0</v>
      </c>
      <c r="O1095">
        <v>0</v>
      </c>
      <c r="P1095">
        <v>106</v>
      </c>
      <c r="Q1095">
        <v>457</v>
      </c>
      <c r="R1095">
        <v>80</v>
      </c>
      <c r="S1095">
        <v>26</v>
      </c>
    </row>
    <row r="1096" spans="1:19" x14ac:dyDescent="0.25">
      <c r="A1096">
        <v>18091</v>
      </c>
      <c r="B1096" t="s">
        <v>74</v>
      </c>
      <c r="C1096">
        <v>14</v>
      </c>
      <c r="D1096">
        <v>126.04691309504101</v>
      </c>
      <c r="E1096">
        <v>16.205522876022499</v>
      </c>
      <c r="F1096">
        <f t="shared" si="35"/>
        <v>10</v>
      </c>
      <c r="G1096">
        <v>0</v>
      </c>
      <c r="H1096">
        <v>0</v>
      </c>
      <c r="I1096">
        <v>5</v>
      </c>
      <c r="J1096">
        <v>3</v>
      </c>
      <c r="K1096">
        <v>1</v>
      </c>
      <c r="L1096">
        <v>1</v>
      </c>
      <c r="M1096">
        <f t="shared" si="34"/>
        <v>669</v>
      </c>
      <c r="N1096">
        <v>0</v>
      </c>
      <c r="O1096">
        <v>0</v>
      </c>
      <c r="P1096">
        <v>106</v>
      </c>
      <c r="Q1096">
        <v>457</v>
      </c>
      <c r="R1096">
        <v>80</v>
      </c>
      <c r="S1096">
        <v>26</v>
      </c>
    </row>
    <row r="1097" spans="1:19" x14ac:dyDescent="0.25">
      <c r="A1097">
        <v>18091</v>
      </c>
      <c r="B1097" t="s">
        <v>74</v>
      </c>
      <c r="C1097">
        <v>15</v>
      </c>
      <c r="D1097">
        <v>131.175693961299</v>
      </c>
      <c r="E1097">
        <v>14.389079652556299</v>
      </c>
      <c r="F1097">
        <f t="shared" si="35"/>
        <v>10</v>
      </c>
      <c r="G1097">
        <v>0</v>
      </c>
      <c r="H1097">
        <v>0</v>
      </c>
      <c r="I1097">
        <v>5</v>
      </c>
      <c r="J1097">
        <v>3</v>
      </c>
      <c r="K1097">
        <v>1</v>
      </c>
      <c r="L1097">
        <v>1</v>
      </c>
      <c r="M1097">
        <f t="shared" si="34"/>
        <v>669</v>
      </c>
      <c r="N1097">
        <v>0</v>
      </c>
      <c r="O1097">
        <v>0</v>
      </c>
      <c r="P1097">
        <v>106</v>
      </c>
      <c r="Q1097">
        <v>457</v>
      </c>
      <c r="R1097">
        <v>80</v>
      </c>
      <c r="S1097">
        <v>26</v>
      </c>
    </row>
    <row r="1098" spans="1:19" x14ac:dyDescent="0.25">
      <c r="A1098">
        <v>18091</v>
      </c>
      <c r="B1098" t="s">
        <v>74</v>
      </c>
      <c r="C1098">
        <v>16</v>
      </c>
      <c r="D1098">
        <v>144.38942799867101</v>
      </c>
      <c r="E1098">
        <v>13.641132442893699</v>
      </c>
      <c r="F1098">
        <f t="shared" si="35"/>
        <v>10</v>
      </c>
      <c r="G1098">
        <v>0</v>
      </c>
      <c r="H1098">
        <v>0</v>
      </c>
      <c r="I1098">
        <v>5</v>
      </c>
      <c r="J1098">
        <v>3</v>
      </c>
      <c r="K1098">
        <v>1</v>
      </c>
      <c r="L1098">
        <v>1</v>
      </c>
      <c r="M1098">
        <f t="shared" si="34"/>
        <v>669</v>
      </c>
      <c r="N1098">
        <v>0</v>
      </c>
      <c r="O1098">
        <v>0</v>
      </c>
      <c r="P1098">
        <v>106</v>
      </c>
      <c r="Q1098">
        <v>457</v>
      </c>
      <c r="R1098">
        <v>80</v>
      </c>
      <c r="S1098">
        <v>26</v>
      </c>
    </row>
    <row r="1099" spans="1:19" x14ac:dyDescent="0.25">
      <c r="A1099">
        <v>18091</v>
      </c>
      <c r="B1099" t="s">
        <v>74</v>
      </c>
      <c r="C1099">
        <v>17</v>
      </c>
      <c r="D1099">
        <v>162.30454449677899</v>
      </c>
      <c r="E1099">
        <v>13.6055159091002</v>
      </c>
      <c r="F1099">
        <f t="shared" si="35"/>
        <v>10</v>
      </c>
      <c r="G1099">
        <v>0</v>
      </c>
      <c r="H1099">
        <v>0</v>
      </c>
      <c r="I1099">
        <v>5</v>
      </c>
      <c r="J1099">
        <v>3</v>
      </c>
      <c r="K1099">
        <v>1</v>
      </c>
      <c r="L1099">
        <v>1</v>
      </c>
      <c r="M1099">
        <f t="shared" si="34"/>
        <v>669</v>
      </c>
      <c r="N1099">
        <v>0</v>
      </c>
      <c r="O1099">
        <v>0</v>
      </c>
      <c r="P1099">
        <v>106</v>
      </c>
      <c r="Q1099">
        <v>457</v>
      </c>
      <c r="R1099">
        <v>80</v>
      </c>
      <c r="S1099">
        <v>26</v>
      </c>
    </row>
    <row r="1100" spans="1:19" x14ac:dyDescent="0.25">
      <c r="A1100">
        <v>18091</v>
      </c>
      <c r="B1100" t="s">
        <v>74</v>
      </c>
      <c r="C1100">
        <v>18</v>
      </c>
      <c r="D1100">
        <v>189.01694484187101</v>
      </c>
      <c r="E1100">
        <v>15.172643396012299</v>
      </c>
      <c r="F1100">
        <f t="shared" si="35"/>
        <v>10</v>
      </c>
      <c r="G1100">
        <v>0</v>
      </c>
      <c r="H1100">
        <v>0</v>
      </c>
      <c r="I1100">
        <v>5</v>
      </c>
      <c r="J1100">
        <v>3</v>
      </c>
      <c r="K1100">
        <v>1</v>
      </c>
      <c r="L1100">
        <v>1</v>
      </c>
      <c r="M1100">
        <f t="shared" si="34"/>
        <v>669</v>
      </c>
      <c r="N1100">
        <v>0</v>
      </c>
      <c r="O1100">
        <v>0</v>
      </c>
      <c r="P1100">
        <v>106</v>
      </c>
      <c r="Q1100">
        <v>457</v>
      </c>
      <c r="R1100">
        <v>80</v>
      </c>
      <c r="S1100">
        <v>26</v>
      </c>
    </row>
    <row r="1101" spans="1:19" x14ac:dyDescent="0.25">
      <c r="A1101">
        <v>18091</v>
      </c>
      <c r="B1101" t="s">
        <v>74</v>
      </c>
      <c r="C1101">
        <v>19</v>
      </c>
      <c r="D1101">
        <v>213.80605236211699</v>
      </c>
      <c r="E1101">
        <v>15.6356583353272</v>
      </c>
      <c r="F1101">
        <f t="shared" si="35"/>
        <v>10</v>
      </c>
      <c r="G1101">
        <v>0</v>
      </c>
      <c r="H1101">
        <v>0</v>
      </c>
      <c r="I1101">
        <v>5</v>
      </c>
      <c r="J1101">
        <v>3</v>
      </c>
      <c r="K1101">
        <v>1</v>
      </c>
      <c r="L1101">
        <v>1</v>
      </c>
      <c r="M1101">
        <f t="shared" si="34"/>
        <v>669</v>
      </c>
      <c r="N1101">
        <v>0</v>
      </c>
      <c r="O1101">
        <v>0</v>
      </c>
      <c r="P1101">
        <v>106</v>
      </c>
      <c r="Q1101">
        <v>457</v>
      </c>
      <c r="R1101">
        <v>80</v>
      </c>
      <c r="S1101">
        <v>26</v>
      </c>
    </row>
    <row r="1102" spans="1:19" x14ac:dyDescent="0.25">
      <c r="A1102">
        <v>18091</v>
      </c>
      <c r="B1102" t="s">
        <v>74</v>
      </c>
      <c r="C1102">
        <v>20</v>
      </c>
      <c r="D1102">
        <v>237.491047334765</v>
      </c>
      <c r="E1102">
        <v>17.345251957413101</v>
      </c>
      <c r="F1102">
        <f t="shared" si="35"/>
        <v>10</v>
      </c>
      <c r="G1102">
        <v>0</v>
      </c>
      <c r="H1102">
        <v>0</v>
      </c>
      <c r="I1102">
        <v>5</v>
      </c>
      <c r="J1102">
        <v>3</v>
      </c>
      <c r="K1102">
        <v>1</v>
      </c>
      <c r="L1102">
        <v>1</v>
      </c>
      <c r="M1102">
        <f t="shared" si="34"/>
        <v>669</v>
      </c>
      <c r="N1102">
        <v>0</v>
      </c>
      <c r="O1102">
        <v>0</v>
      </c>
      <c r="P1102">
        <v>106</v>
      </c>
      <c r="Q1102">
        <v>457</v>
      </c>
      <c r="R1102">
        <v>80</v>
      </c>
      <c r="S1102">
        <v>26</v>
      </c>
    </row>
    <row r="1103" spans="1:19" x14ac:dyDescent="0.25">
      <c r="A1103">
        <v>18091</v>
      </c>
      <c r="B1103" t="s">
        <v>74</v>
      </c>
      <c r="C1103">
        <v>21</v>
      </c>
      <c r="D1103">
        <v>260.71302736809901</v>
      </c>
      <c r="E1103">
        <v>20.479506931237299</v>
      </c>
      <c r="F1103">
        <f t="shared" si="35"/>
        <v>10</v>
      </c>
      <c r="G1103">
        <v>0</v>
      </c>
      <c r="H1103">
        <v>0</v>
      </c>
      <c r="I1103">
        <v>5</v>
      </c>
      <c r="J1103">
        <v>3</v>
      </c>
      <c r="K1103">
        <v>1</v>
      </c>
      <c r="L1103">
        <v>1</v>
      </c>
      <c r="M1103">
        <f t="shared" si="34"/>
        <v>669</v>
      </c>
      <c r="N1103">
        <v>0</v>
      </c>
      <c r="O1103">
        <v>0</v>
      </c>
      <c r="P1103">
        <v>106</v>
      </c>
      <c r="Q1103">
        <v>457</v>
      </c>
      <c r="R1103">
        <v>80</v>
      </c>
      <c r="S1103">
        <v>26</v>
      </c>
    </row>
    <row r="1104" spans="1:19" x14ac:dyDescent="0.25">
      <c r="A1104">
        <v>18091</v>
      </c>
      <c r="B1104" t="s">
        <v>74</v>
      </c>
      <c r="C1104">
        <v>22</v>
      </c>
      <c r="D1104">
        <v>282.332263380727</v>
      </c>
      <c r="E1104">
        <v>23.328829634713799</v>
      </c>
      <c r="F1104">
        <f t="shared" si="35"/>
        <v>10</v>
      </c>
      <c r="G1104">
        <v>0</v>
      </c>
      <c r="H1104">
        <v>0</v>
      </c>
      <c r="I1104">
        <v>5</v>
      </c>
      <c r="J1104">
        <v>3</v>
      </c>
      <c r="K1104">
        <v>1</v>
      </c>
      <c r="L1104">
        <v>1</v>
      </c>
      <c r="M1104">
        <f t="shared" si="34"/>
        <v>669</v>
      </c>
      <c r="N1104">
        <v>0</v>
      </c>
      <c r="O1104">
        <v>0</v>
      </c>
      <c r="P1104">
        <v>106</v>
      </c>
      <c r="Q1104">
        <v>457</v>
      </c>
      <c r="R1104">
        <v>80</v>
      </c>
      <c r="S1104">
        <v>26</v>
      </c>
    </row>
    <row r="1105" spans="1:19" x14ac:dyDescent="0.25">
      <c r="A1105">
        <v>18091</v>
      </c>
      <c r="B1105" t="s">
        <v>74</v>
      </c>
      <c r="C1105">
        <v>23</v>
      </c>
      <c r="D1105">
        <v>301.67204123057297</v>
      </c>
      <c r="E1105">
        <v>26.178152338190301</v>
      </c>
      <c r="F1105">
        <f t="shared" si="35"/>
        <v>10</v>
      </c>
      <c r="G1105">
        <v>0</v>
      </c>
      <c r="H1105">
        <v>0</v>
      </c>
      <c r="I1105">
        <v>5</v>
      </c>
      <c r="J1105">
        <v>3</v>
      </c>
      <c r="K1105">
        <v>1</v>
      </c>
      <c r="L1105">
        <v>1</v>
      </c>
      <c r="M1105">
        <f t="shared" si="34"/>
        <v>669</v>
      </c>
      <c r="N1105">
        <v>0</v>
      </c>
      <c r="O1105">
        <v>0</v>
      </c>
      <c r="P1105">
        <v>106</v>
      </c>
      <c r="Q1105">
        <v>457</v>
      </c>
      <c r="R1105">
        <v>80</v>
      </c>
      <c r="S1105">
        <v>26</v>
      </c>
    </row>
    <row r="1106" spans="1:19" x14ac:dyDescent="0.25">
      <c r="A1106">
        <v>18093</v>
      </c>
      <c r="B1106" t="s">
        <v>75</v>
      </c>
      <c r="C1106">
        <v>0</v>
      </c>
      <c r="D1106">
        <v>1.30425908223553</v>
      </c>
      <c r="E1106">
        <v>0.54344128426480398</v>
      </c>
      <c r="F1106">
        <f t="shared" si="35"/>
        <v>2</v>
      </c>
      <c r="G1106">
        <v>0</v>
      </c>
      <c r="H1106">
        <v>0</v>
      </c>
      <c r="I1106">
        <v>2</v>
      </c>
      <c r="J1106">
        <v>0</v>
      </c>
      <c r="K1106">
        <v>0</v>
      </c>
      <c r="L1106">
        <v>0</v>
      </c>
      <c r="M1106">
        <f t="shared" si="34"/>
        <v>23</v>
      </c>
      <c r="N1106">
        <v>0</v>
      </c>
      <c r="O1106">
        <v>0</v>
      </c>
      <c r="P1106">
        <v>23</v>
      </c>
      <c r="Q1106">
        <v>0</v>
      </c>
      <c r="R1106">
        <v>0</v>
      </c>
      <c r="S1106">
        <v>0</v>
      </c>
    </row>
    <row r="1107" spans="1:19" x14ac:dyDescent="0.25">
      <c r="A1107">
        <v>18093</v>
      </c>
      <c r="B1107" t="s">
        <v>75</v>
      </c>
      <c r="C1107">
        <v>1</v>
      </c>
      <c r="D1107">
        <v>1.34048850118651</v>
      </c>
      <c r="E1107">
        <v>0.54344128426480398</v>
      </c>
      <c r="F1107">
        <f t="shared" si="35"/>
        <v>2</v>
      </c>
      <c r="G1107">
        <v>0</v>
      </c>
      <c r="H1107">
        <v>0</v>
      </c>
      <c r="I1107">
        <v>2</v>
      </c>
      <c r="J1107">
        <v>0</v>
      </c>
      <c r="K1107">
        <v>0</v>
      </c>
      <c r="L1107">
        <v>0</v>
      </c>
      <c r="M1107">
        <f t="shared" si="34"/>
        <v>23</v>
      </c>
      <c r="N1107">
        <v>0</v>
      </c>
      <c r="O1107">
        <v>0</v>
      </c>
      <c r="P1107">
        <v>23</v>
      </c>
      <c r="Q1107">
        <v>0</v>
      </c>
      <c r="R1107">
        <v>0</v>
      </c>
      <c r="S1107">
        <v>0</v>
      </c>
    </row>
    <row r="1108" spans="1:19" x14ac:dyDescent="0.25">
      <c r="A1108">
        <v>18093</v>
      </c>
      <c r="B1108" t="s">
        <v>75</v>
      </c>
      <c r="C1108">
        <v>2</v>
      </c>
      <c r="D1108">
        <v>1.30425908223553</v>
      </c>
      <c r="E1108">
        <v>0.54344128426480398</v>
      </c>
      <c r="F1108">
        <f t="shared" si="35"/>
        <v>2</v>
      </c>
      <c r="G1108">
        <v>0</v>
      </c>
      <c r="H1108">
        <v>0</v>
      </c>
      <c r="I1108">
        <v>2</v>
      </c>
      <c r="J1108">
        <v>0</v>
      </c>
      <c r="K1108">
        <v>0</v>
      </c>
      <c r="L1108">
        <v>0</v>
      </c>
      <c r="M1108">
        <f t="shared" si="34"/>
        <v>23</v>
      </c>
      <c r="N1108">
        <v>0</v>
      </c>
      <c r="O1108">
        <v>0</v>
      </c>
      <c r="P1108">
        <v>23</v>
      </c>
      <c r="Q1108">
        <v>0</v>
      </c>
      <c r="R1108">
        <v>0</v>
      </c>
      <c r="S1108">
        <v>0</v>
      </c>
    </row>
    <row r="1109" spans="1:19" x14ac:dyDescent="0.25">
      <c r="A1109">
        <v>18093</v>
      </c>
      <c r="B1109" t="s">
        <v>75</v>
      </c>
      <c r="C1109">
        <v>3</v>
      </c>
      <c r="D1109">
        <v>1.34048850118651</v>
      </c>
      <c r="E1109">
        <v>0.54344128426480398</v>
      </c>
      <c r="F1109">
        <f t="shared" si="35"/>
        <v>2</v>
      </c>
      <c r="G1109">
        <v>0</v>
      </c>
      <c r="H1109">
        <v>0</v>
      </c>
      <c r="I1109">
        <v>2</v>
      </c>
      <c r="J1109">
        <v>0</v>
      </c>
      <c r="K1109">
        <v>0</v>
      </c>
      <c r="L1109">
        <v>0</v>
      </c>
      <c r="M1109">
        <f t="shared" si="34"/>
        <v>23</v>
      </c>
      <c r="N1109">
        <v>0</v>
      </c>
      <c r="O1109">
        <v>0</v>
      </c>
      <c r="P1109">
        <v>23</v>
      </c>
      <c r="Q1109">
        <v>0</v>
      </c>
      <c r="R1109">
        <v>0</v>
      </c>
      <c r="S1109">
        <v>0</v>
      </c>
    </row>
    <row r="1110" spans="1:19" x14ac:dyDescent="0.25">
      <c r="A1110">
        <v>18093</v>
      </c>
      <c r="B1110" t="s">
        <v>75</v>
      </c>
      <c r="C1110">
        <v>4</v>
      </c>
      <c r="D1110">
        <v>1.34048850118651</v>
      </c>
      <c r="E1110">
        <v>0.54344128426480398</v>
      </c>
      <c r="F1110">
        <f t="shared" si="35"/>
        <v>2</v>
      </c>
      <c r="G1110">
        <v>0</v>
      </c>
      <c r="H1110">
        <v>0</v>
      </c>
      <c r="I1110">
        <v>2</v>
      </c>
      <c r="J1110">
        <v>0</v>
      </c>
      <c r="K1110">
        <v>0</v>
      </c>
      <c r="L1110">
        <v>0</v>
      </c>
      <c r="M1110">
        <f t="shared" si="34"/>
        <v>23</v>
      </c>
      <c r="N1110">
        <v>0</v>
      </c>
      <c r="O1110">
        <v>0</v>
      </c>
      <c r="P1110">
        <v>23</v>
      </c>
      <c r="Q1110">
        <v>0</v>
      </c>
      <c r="R1110">
        <v>0</v>
      </c>
      <c r="S1110">
        <v>0</v>
      </c>
    </row>
    <row r="1111" spans="1:19" x14ac:dyDescent="0.25">
      <c r="A1111">
        <v>18093</v>
      </c>
      <c r="B1111" t="s">
        <v>75</v>
      </c>
      <c r="C1111">
        <v>5</v>
      </c>
      <c r="D1111">
        <v>1.2318002443335501</v>
      </c>
      <c r="E1111">
        <v>1.7027826906963801</v>
      </c>
      <c r="F1111">
        <f t="shared" si="35"/>
        <v>2</v>
      </c>
      <c r="G1111">
        <v>0</v>
      </c>
      <c r="H1111">
        <v>0</v>
      </c>
      <c r="I1111">
        <v>2</v>
      </c>
      <c r="J1111">
        <v>0</v>
      </c>
      <c r="K1111">
        <v>0</v>
      </c>
      <c r="L1111">
        <v>0</v>
      </c>
      <c r="M1111">
        <f t="shared" si="34"/>
        <v>23</v>
      </c>
      <c r="N1111">
        <v>0</v>
      </c>
      <c r="O1111">
        <v>0</v>
      </c>
      <c r="P1111">
        <v>23</v>
      </c>
      <c r="Q1111">
        <v>0</v>
      </c>
      <c r="R1111">
        <v>0</v>
      </c>
      <c r="S1111">
        <v>0</v>
      </c>
    </row>
    <row r="1112" spans="1:19" x14ac:dyDescent="0.25">
      <c r="A1112">
        <v>18093</v>
      </c>
      <c r="B1112" t="s">
        <v>75</v>
      </c>
      <c r="C1112">
        <v>6</v>
      </c>
      <c r="D1112">
        <v>1.59409443384342</v>
      </c>
      <c r="E1112">
        <v>6.6299836680306097</v>
      </c>
      <c r="F1112">
        <f t="shared" si="35"/>
        <v>2</v>
      </c>
      <c r="G1112">
        <v>0</v>
      </c>
      <c r="H1112">
        <v>0</v>
      </c>
      <c r="I1112">
        <v>2</v>
      </c>
      <c r="J1112">
        <v>0</v>
      </c>
      <c r="K1112">
        <v>0</v>
      </c>
      <c r="L1112">
        <v>0</v>
      </c>
      <c r="M1112">
        <f t="shared" si="34"/>
        <v>23</v>
      </c>
      <c r="N1112">
        <v>0</v>
      </c>
      <c r="O1112">
        <v>0</v>
      </c>
      <c r="P1112">
        <v>23</v>
      </c>
      <c r="Q1112">
        <v>0</v>
      </c>
      <c r="R1112">
        <v>0</v>
      </c>
      <c r="S1112">
        <v>0</v>
      </c>
    </row>
    <row r="1113" spans="1:19" x14ac:dyDescent="0.25">
      <c r="A1113">
        <v>18093</v>
      </c>
      <c r="B1113" t="s">
        <v>75</v>
      </c>
      <c r="C1113">
        <v>7</v>
      </c>
      <c r="D1113">
        <v>3.8765478277556</v>
      </c>
      <c r="E1113">
        <v>8.6588311292858808</v>
      </c>
      <c r="F1113">
        <f t="shared" si="35"/>
        <v>2</v>
      </c>
      <c r="G1113">
        <v>0</v>
      </c>
      <c r="H1113">
        <v>0</v>
      </c>
      <c r="I1113">
        <v>2</v>
      </c>
      <c r="J1113">
        <v>0</v>
      </c>
      <c r="K1113">
        <v>0</v>
      </c>
      <c r="L1113">
        <v>0</v>
      </c>
      <c r="M1113">
        <f t="shared" si="34"/>
        <v>23</v>
      </c>
      <c r="N1113">
        <v>0</v>
      </c>
      <c r="O1113">
        <v>0</v>
      </c>
      <c r="P1113">
        <v>23</v>
      </c>
      <c r="Q1113">
        <v>0</v>
      </c>
      <c r="R1113">
        <v>0</v>
      </c>
      <c r="S1113">
        <v>0</v>
      </c>
    </row>
    <row r="1114" spans="1:19" x14ac:dyDescent="0.25">
      <c r="A1114">
        <v>18093</v>
      </c>
      <c r="B1114" t="s">
        <v>75</v>
      </c>
      <c r="C1114">
        <v>8</v>
      </c>
      <c r="D1114">
        <v>4.0576949225105396</v>
      </c>
      <c r="E1114">
        <v>8.3327663587269996</v>
      </c>
      <c r="F1114">
        <f t="shared" si="35"/>
        <v>2</v>
      </c>
      <c r="G1114">
        <v>0</v>
      </c>
      <c r="H1114">
        <v>0</v>
      </c>
      <c r="I1114">
        <v>2</v>
      </c>
      <c r="J1114">
        <v>0</v>
      </c>
      <c r="K1114">
        <v>0</v>
      </c>
      <c r="L1114">
        <v>0</v>
      </c>
      <c r="M1114">
        <f t="shared" si="34"/>
        <v>23</v>
      </c>
      <c r="N1114">
        <v>0</v>
      </c>
      <c r="O1114">
        <v>0</v>
      </c>
      <c r="P1114">
        <v>23</v>
      </c>
      <c r="Q1114">
        <v>0</v>
      </c>
      <c r="R1114">
        <v>0</v>
      </c>
      <c r="S1114">
        <v>0</v>
      </c>
    </row>
    <row r="1115" spans="1:19" x14ac:dyDescent="0.25">
      <c r="A1115">
        <v>18093</v>
      </c>
      <c r="B1115" t="s">
        <v>75</v>
      </c>
      <c r="C1115">
        <v>9</v>
      </c>
      <c r="D1115">
        <v>1.9563886233532899</v>
      </c>
      <c r="E1115">
        <v>8.9486664808937793</v>
      </c>
      <c r="F1115">
        <f t="shared" si="35"/>
        <v>2</v>
      </c>
      <c r="G1115">
        <v>0</v>
      </c>
      <c r="H1115">
        <v>0</v>
      </c>
      <c r="I1115">
        <v>2</v>
      </c>
      <c r="J1115">
        <v>0</v>
      </c>
      <c r="K1115">
        <v>0</v>
      </c>
      <c r="L1115">
        <v>0</v>
      </c>
      <c r="M1115">
        <f t="shared" si="34"/>
        <v>23</v>
      </c>
      <c r="N1115">
        <v>0</v>
      </c>
      <c r="O1115">
        <v>0</v>
      </c>
      <c r="P1115">
        <v>23</v>
      </c>
      <c r="Q1115">
        <v>0</v>
      </c>
      <c r="R1115">
        <v>0</v>
      </c>
      <c r="S1115">
        <v>0</v>
      </c>
    </row>
    <row r="1116" spans="1:19" x14ac:dyDescent="0.25">
      <c r="A1116">
        <v>18093</v>
      </c>
      <c r="B1116" t="s">
        <v>75</v>
      </c>
      <c r="C1116">
        <v>10</v>
      </c>
      <c r="D1116">
        <v>2.1737651370592102</v>
      </c>
      <c r="E1116">
        <v>8.1153898450210793</v>
      </c>
      <c r="F1116">
        <f t="shared" si="35"/>
        <v>2</v>
      </c>
      <c r="G1116">
        <v>0</v>
      </c>
      <c r="H1116">
        <v>0</v>
      </c>
      <c r="I1116">
        <v>2</v>
      </c>
      <c r="J1116">
        <v>0</v>
      </c>
      <c r="K1116">
        <v>0</v>
      </c>
      <c r="L1116">
        <v>0</v>
      </c>
      <c r="M1116">
        <f t="shared" si="34"/>
        <v>23</v>
      </c>
      <c r="N1116">
        <v>0</v>
      </c>
      <c r="O1116">
        <v>0</v>
      </c>
      <c r="P1116">
        <v>23</v>
      </c>
      <c r="Q1116">
        <v>0</v>
      </c>
      <c r="R1116">
        <v>0</v>
      </c>
      <c r="S1116">
        <v>0</v>
      </c>
    </row>
    <row r="1117" spans="1:19" x14ac:dyDescent="0.25">
      <c r="A1117">
        <v>18093</v>
      </c>
      <c r="B1117" t="s">
        <v>75</v>
      </c>
      <c r="C1117">
        <v>11</v>
      </c>
      <c r="D1117">
        <v>3.6591713140496802</v>
      </c>
      <c r="E1117">
        <v>7.2458837901973903</v>
      </c>
      <c r="F1117">
        <f t="shared" si="35"/>
        <v>2</v>
      </c>
      <c r="G1117">
        <v>0</v>
      </c>
      <c r="H1117">
        <v>0</v>
      </c>
      <c r="I1117">
        <v>2</v>
      </c>
      <c r="J1117">
        <v>0</v>
      </c>
      <c r="K1117">
        <v>0</v>
      </c>
      <c r="L1117">
        <v>0</v>
      </c>
      <c r="M1117">
        <f t="shared" si="34"/>
        <v>23</v>
      </c>
      <c r="N1117">
        <v>0</v>
      </c>
      <c r="O1117">
        <v>0</v>
      </c>
      <c r="P1117">
        <v>23</v>
      </c>
      <c r="Q1117">
        <v>0</v>
      </c>
      <c r="R1117">
        <v>0</v>
      </c>
      <c r="S1117">
        <v>0</v>
      </c>
    </row>
    <row r="1118" spans="1:19" x14ac:dyDescent="0.25">
      <c r="A1118">
        <v>18093</v>
      </c>
      <c r="B1118" t="s">
        <v>75</v>
      </c>
      <c r="C1118">
        <v>12</v>
      </c>
      <c r="D1118">
        <v>2.8258946781769798</v>
      </c>
      <c r="E1118">
        <v>4.8909715583832396</v>
      </c>
      <c r="F1118">
        <f t="shared" si="35"/>
        <v>2</v>
      </c>
      <c r="G1118">
        <v>0</v>
      </c>
      <c r="H1118">
        <v>0</v>
      </c>
      <c r="I1118">
        <v>2</v>
      </c>
      <c r="J1118">
        <v>0</v>
      </c>
      <c r="K1118">
        <v>0</v>
      </c>
      <c r="L1118">
        <v>0</v>
      </c>
      <c r="M1118">
        <f t="shared" si="34"/>
        <v>23</v>
      </c>
      <c r="N1118">
        <v>0</v>
      </c>
      <c r="O1118">
        <v>0</v>
      </c>
      <c r="P1118">
        <v>23</v>
      </c>
      <c r="Q1118">
        <v>0</v>
      </c>
      <c r="R1118">
        <v>0</v>
      </c>
      <c r="S1118">
        <v>0</v>
      </c>
    </row>
    <row r="1119" spans="1:19" x14ac:dyDescent="0.25">
      <c r="A1119">
        <v>18093</v>
      </c>
      <c r="B1119" t="s">
        <v>75</v>
      </c>
      <c r="C1119">
        <v>13</v>
      </c>
      <c r="D1119">
        <v>1.4129473390884899</v>
      </c>
      <c r="E1119">
        <v>2.7172064213240201</v>
      </c>
      <c r="F1119">
        <f t="shared" si="35"/>
        <v>2</v>
      </c>
      <c r="G1119">
        <v>0</v>
      </c>
      <c r="H1119">
        <v>0</v>
      </c>
      <c r="I1119">
        <v>2</v>
      </c>
      <c r="J1119">
        <v>0</v>
      </c>
      <c r="K1119">
        <v>0</v>
      </c>
      <c r="L1119">
        <v>0</v>
      </c>
      <c r="M1119">
        <f t="shared" si="34"/>
        <v>23</v>
      </c>
      <c r="N1119">
        <v>0</v>
      </c>
      <c r="O1119">
        <v>0</v>
      </c>
      <c r="P1119">
        <v>23</v>
      </c>
      <c r="Q1119">
        <v>0</v>
      </c>
      <c r="R1119">
        <v>0</v>
      </c>
      <c r="S1119">
        <v>0</v>
      </c>
    </row>
    <row r="1120" spans="1:19" x14ac:dyDescent="0.25">
      <c r="A1120">
        <v>18093</v>
      </c>
      <c r="B1120" t="s">
        <v>75</v>
      </c>
      <c r="C1120">
        <v>14</v>
      </c>
      <c r="D1120">
        <v>0.94196489272566097</v>
      </c>
      <c r="E1120">
        <v>1.34048850118651</v>
      </c>
      <c r="F1120">
        <f t="shared" si="35"/>
        <v>2</v>
      </c>
      <c r="G1120">
        <v>0</v>
      </c>
      <c r="H1120">
        <v>0</v>
      </c>
      <c r="I1120">
        <v>2</v>
      </c>
      <c r="J1120">
        <v>0</v>
      </c>
      <c r="K1120">
        <v>0</v>
      </c>
      <c r="L1120">
        <v>0</v>
      </c>
      <c r="M1120">
        <f t="shared" si="34"/>
        <v>23</v>
      </c>
      <c r="N1120">
        <v>0</v>
      </c>
      <c r="O1120">
        <v>0</v>
      </c>
      <c r="P1120">
        <v>23</v>
      </c>
      <c r="Q1120">
        <v>0</v>
      </c>
      <c r="R1120">
        <v>0</v>
      </c>
      <c r="S1120">
        <v>0</v>
      </c>
    </row>
    <row r="1121" spans="1:19" x14ac:dyDescent="0.25">
      <c r="A1121">
        <v>18093</v>
      </c>
      <c r="B1121" t="s">
        <v>75</v>
      </c>
      <c r="C1121">
        <v>15</v>
      </c>
      <c r="D1121">
        <v>0.905735473774674</v>
      </c>
      <c r="E1121">
        <v>0.72458837901973905</v>
      </c>
      <c r="F1121">
        <f t="shared" si="35"/>
        <v>2</v>
      </c>
      <c r="G1121">
        <v>0</v>
      </c>
      <c r="H1121">
        <v>0</v>
      </c>
      <c r="I1121">
        <v>2</v>
      </c>
      <c r="J1121">
        <v>0</v>
      </c>
      <c r="K1121">
        <v>0</v>
      </c>
      <c r="L1121">
        <v>0</v>
      </c>
      <c r="M1121">
        <f t="shared" si="34"/>
        <v>23</v>
      </c>
      <c r="N1121">
        <v>0</v>
      </c>
      <c r="O1121">
        <v>0</v>
      </c>
      <c r="P1121">
        <v>23</v>
      </c>
      <c r="Q1121">
        <v>0</v>
      </c>
      <c r="R1121">
        <v>0</v>
      </c>
      <c r="S1121">
        <v>0</v>
      </c>
    </row>
    <row r="1122" spans="1:19" x14ac:dyDescent="0.25">
      <c r="A1122">
        <v>18093</v>
      </c>
      <c r="B1122" t="s">
        <v>75</v>
      </c>
      <c r="C1122">
        <v>16</v>
      </c>
      <c r="D1122">
        <v>0.79704721692171299</v>
      </c>
      <c r="E1122">
        <v>0.61590012216677803</v>
      </c>
      <c r="F1122">
        <f t="shared" si="35"/>
        <v>2</v>
      </c>
      <c r="G1122">
        <v>0</v>
      </c>
      <c r="H1122">
        <v>0</v>
      </c>
      <c r="I1122">
        <v>2</v>
      </c>
      <c r="J1122">
        <v>0</v>
      </c>
      <c r="K1122">
        <v>0</v>
      </c>
      <c r="L1122">
        <v>0</v>
      </c>
      <c r="M1122">
        <f t="shared" si="34"/>
        <v>23</v>
      </c>
      <c r="N1122">
        <v>0</v>
      </c>
      <c r="O1122">
        <v>0</v>
      </c>
      <c r="P1122">
        <v>23</v>
      </c>
      <c r="Q1122">
        <v>0</v>
      </c>
      <c r="R1122">
        <v>0</v>
      </c>
      <c r="S1122">
        <v>0</v>
      </c>
    </row>
    <row r="1123" spans="1:19" x14ac:dyDescent="0.25">
      <c r="A1123">
        <v>18093</v>
      </c>
      <c r="B1123" t="s">
        <v>75</v>
      </c>
      <c r="C1123">
        <v>17</v>
      </c>
      <c r="D1123">
        <v>0.905735473774674</v>
      </c>
      <c r="E1123">
        <v>0.326064770558882</v>
      </c>
      <c r="F1123">
        <f t="shared" si="35"/>
        <v>2</v>
      </c>
      <c r="G1123">
        <v>0</v>
      </c>
      <c r="H1123">
        <v>0</v>
      </c>
      <c r="I1123">
        <v>2</v>
      </c>
      <c r="J1123">
        <v>0</v>
      </c>
      <c r="K1123">
        <v>0</v>
      </c>
      <c r="L1123">
        <v>0</v>
      </c>
      <c r="M1123">
        <f t="shared" si="34"/>
        <v>23</v>
      </c>
      <c r="N1123">
        <v>0</v>
      </c>
      <c r="O1123">
        <v>0</v>
      </c>
      <c r="P1123">
        <v>23</v>
      </c>
      <c r="Q1123">
        <v>0</v>
      </c>
      <c r="R1123">
        <v>0</v>
      </c>
      <c r="S1123">
        <v>0</v>
      </c>
    </row>
    <row r="1124" spans="1:19" x14ac:dyDescent="0.25">
      <c r="A1124">
        <v>18093</v>
      </c>
      <c r="B1124" t="s">
        <v>75</v>
      </c>
      <c r="C1124">
        <v>18</v>
      </c>
      <c r="D1124">
        <v>0.76081779797072602</v>
      </c>
      <c r="E1124">
        <v>0.25360593265690801</v>
      </c>
      <c r="F1124">
        <f t="shared" si="35"/>
        <v>2</v>
      </c>
      <c r="G1124">
        <v>0</v>
      </c>
      <c r="H1124">
        <v>0</v>
      </c>
      <c r="I1124">
        <v>2</v>
      </c>
      <c r="J1124">
        <v>0</v>
      </c>
      <c r="K1124">
        <v>0</v>
      </c>
      <c r="L1124">
        <v>0</v>
      </c>
      <c r="M1124">
        <f t="shared" si="34"/>
        <v>23</v>
      </c>
      <c r="N1124">
        <v>0</v>
      </c>
      <c r="O1124">
        <v>0</v>
      </c>
      <c r="P1124">
        <v>23</v>
      </c>
      <c r="Q1124">
        <v>0</v>
      </c>
      <c r="R1124">
        <v>0</v>
      </c>
      <c r="S1124">
        <v>0</v>
      </c>
    </row>
    <row r="1125" spans="1:19" x14ac:dyDescent="0.25">
      <c r="A1125">
        <v>18093</v>
      </c>
      <c r="B1125" t="s">
        <v>75</v>
      </c>
      <c r="C1125">
        <v>19</v>
      </c>
      <c r="D1125">
        <v>0.83327663587269996</v>
      </c>
      <c r="E1125">
        <v>0.25360593265690801</v>
      </c>
      <c r="F1125">
        <f t="shared" si="35"/>
        <v>2</v>
      </c>
      <c r="G1125">
        <v>0</v>
      </c>
      <c r="H1125">
        <v>0</v>
      </c>
      <c r="I1125">
        <v>2</v>
      </c>
      <c r="J1125">
        <v>0</v>
      </c>
      <c r="K1125">
        <v>0</v>
      </c>
      <c r="L1125">
        <v>0</v>
      </c>
      <c r="M1125">
        <f t="shared" si="34"/>
        <v>23</v>
      </c>
      <c r="N1125">
        <v>0</v>
      </c>
      <c r="O1125">
        <v>0</v>
      </c>
      <c r="P1125">
        <v>23</v>
      </c>
      <c r="Q1125">
        <v>0</v>
      </c>
      <c r="R1125">
        <v>0</v>
      </c>
      <c r="S1125">
        <v>0</v>
      </c>
    </row>
    <row r="1126" spans="1:19" x14ac:dyDescent="0.25">
      <c r="A1126">
        <v>18093</v>
      </c>
      <c r="B1126" t="s">
        <v>75</v>
      </c>
      <c r="C1126">
        <v>20</v>
      </c>
      <c r="D1126">
        <v>0.97819431167664805</v>
      </c>
      <c r="E1126">
        <v>0.43475302741184302</v>
      </c>
      <c r="F1126">
        <f t="shared" si="35"/>
        <v>2</v>
      </c>
      <c r="G1126">
        <v>0</v>
      </c>
      <c r="H1126">
        <v>0</v>
      </c>
      <c r="I1126">
        <v>2</v>
      </c>
      <c r="J1126">
        <v>0</v>
      </c>
      <c r="K1126">
        <v>0</v>
      </c>
      <c r="L1126">
        <v>0</v>
      </c>
      <c r="M1126">
        <f t="shared" si="34"/>
        <v>23</v>
      </c>
      <c r="N1126">
        <v>0</v>
      </c>
      <c r="O1126">
        <v>0</v>
      </c>
      <c r="P1126">
        <v>23</v>
      </c>
      <c r="Q1126">
        <v>0</v>
      </c>
      <c r="R1126">
        <v>0</v>
      </c>
      <c r="S1126">
        <v>0</v>
      </c>
    </row>
    <row r="1127" spans="1:19" x14ac:dyDescent="0.25">
      <c r="A1127">
        <v>18093</v>
      </c>
      <c r="B1127" t="s">
        <v>75</v>
      </c>
      <c r="C1127">
        <v>21</v>
      </c>
      <c r="D1127">
        <v>1.1231119874805899</v>
      </c>
      <c r="E1127">
        <v>0.54344128426480398</v>
      </c>
      <c r="F1127">
        <f t="shared" si="35"/>
        <v>2</v>
      </c>
      <c r="G1127">
        <v>0</v>
      </c>
      <c r="H1127">
        <v>0</v>
      </c>
      <c r="I1127">
        <v>2</v>
      </c>
      <c r="J1127">
        <v>0</v>
      </c>
      <c r="K1127">
        <v>0</v>
      </c>
      <c r="L1127">
        <v>0</v>
      </c>
      <c r="M1127">
        <f t="shared" si="34"/>
        <v>23</v>
      </c>
      <c r="N1127">
        <v>0</v>
      </c>
      <c r="O1127">
        <v>0</v>
      </c>
      <c r="P1127">
        <v>23</v>
      </c>
      <c r="Q1127">
        <v>0</v>
      </c>
      <c r="R1127">
        <v>0</v>
      </c>
      <c r="S1127">
        <v>0</v>
      </c>
    </row>
    <row r="1128" spans="1:19" x14ac:dyDescent="0.25">
      <c r="A1128">
        <v>18093</v>
      </c>
      <c r="B1128" t="s">
        <v>75</v>
      </c>
      <c r="C1128">
        <v>22</v>
      </c>
      <c r="D1128">
        <v>1.1593414064315799</v>
      </c>
      <c r="E1128">
        <v>0.47098244636282999</v>
      </c>
      <c r="F1128">
        <f t="shared" si="35"/>
        <v>2</v>
      </c>
      <c r="G1128">
        <v>0</v>
      </c>
      <c r="H1128">
        <v>0</v>
      </c>
      <c r="I1128">
        <v>2</v>
      </c>
      <c r="J1128">
        <v>0</v>
      </c>
      <c r="K1128">
        <v>0</v>
      </c>
      <c r="L1128">
        <v>0</v>
      </c>
      <c r="M1128">
        <f t="shared" si="34"/>
        <v>23</v>
      </c>
      <c r="N1128">
        <v>0</v>
      </c>
      <c r="O1128">
        <v>0</v>
      </c>
      <c r="P1128">
        <v>23</v>
      </c>
      <c r="Q1128">
        <v>0</v>
      </c>
      <c r="R1128">
        <v>0</v>
      </c>
      <c r="S1128">
        <v>0</v>
      </c>
    </row>
    <row r="1129" spans="1:19" x14ac:dyDescent="0.25">
      <c r="A1129">
        <v>18093</v>
      </c>
      <c r="B1129" t="s">
        <v>75</v>
      </c>
      <c r="C1129">
        <v>23</v>
      </c>
      <c r="D1129">
        <v>1.2318002443335501</v>
      </c>
      <c r="E1129">
        <v>0.43475302741184302</v>
      </c>
      <c r="F1129">
        <f t="shared" si="35"/>
        <v>2</v>
      </c>
      <c r="G1129">
        <v>0</v>
      </c>
      <c r="H1129">
        <v>0</v>
      </c>
      <c r="I1129">
        <v>2</v>
      </c>
      <c r="J1129">
        <v>0</v>
      </c>
      <c r="K1129">
        <v>0</v>
      </c>
      <c r="L1129">
        <v>0</v>
      </c>
      <c r="M1129">
        <f t="shared" si="34"/>
        <v>23</v>
      </c>
      <c r="N1129">
        <v>0</v>
      </c>
      <c r="O1129">
        <v>0</v>
      </c>
      <c r="P1129">
        <v>23</v>
      </c>
      <c r="Q1129">
        <v>0</v>
      </c>
      <c r="R1129">
        <v>0</v>
      </c>
      <c r="S1129">
        <v>0</v>
      </c>
    </row>
    <row r="1130" spans="1:19" x14ac:dyDescent="0.25">
      <c r="A1130">
        <v>18095</v>
      </c>
      <c r="B1130" t="s">
        <v>76</v>
      </c>
      <c r="C1130">
        <v>0</v>
      </c>
      <c r="D1130">
        <v>74.834420946591393</v>
      </c>
      <c r="E1130">
        <v>10.9317195189568</v>
      </c>
      <c r="F1130">
        <f t="shared" si="35"/>
        <v>1</v>
      </c>
      <c r="G1130">
        <v>1</v>
      </c>
      <c r="H1130">
        <v>0</v>
      </c>
      <c r="I1130">
        <v>0</v>
      </c>
      <c r="J1130">
        <v>0</v>
      </c>
      <c r="K1130">
        <v>0</v>
      </c>
      <c r="L1130">
        <v>0</v>
      </c>
      <c r="M1130">
        <f t="shared" si="34"/>
        <v>100</v>
      </c>
      <c r="N1130">
        <v>100</v>
      </c>
      <c r="O1130">
        <v>0</v>
      </c>
      <c r="P1130">
        <v>0</v>
      </c>
      <c r="Q1130">
        <v>0</v>
      </c>
      <c r="R1130">
        <v>0</v>
      </c>
      <c r="S1130">
        <v>0</v>
      </c>
    </row>
    <row r="1131" spans="1:19" x14ac:dyDescent="0.25">
      <c r="A1131">
        <v>18095</v>
      </c>
      <c r="B1131" t="s">
        <v>76</v>
      </c>
      <c r="C1131">
        <v>1</v>
      </c>
      <c r="D1131">
        <v>76.295341988295306</v>
      </c>
      <c r="E1131">
        <v>12.417828854483201</v>
      </c>
      <c r="F1131">
        <f t="shared" si="35"/>
        <v>1</v>
      </c>
      <c r="G1131">
        <v>1</v>
      </c>
      <c r="H1131">
        <v>0</v>
      </c>
      <c r="I1131">
        <v>0</v>
      </c>
      <c r="J1131">
        <v>0</v>
      </c>
      <c r="K1131">
        <v>0</v>
      </c>
      <c r="L1131">
        <v>0</v>
      </c>
      <c r="M1131">
        <f t="shared" si="34"/>
        <v>100</v>
      </c>
      <c r="N1131">
        <v>100</v>
      </c>
      <c r="O1131">
        <v>0</v>
      </c>
      <c r="P1131">
        <v>0</v>
      </c>
      <c r="Q1131">
        <v>0</v>
      </c>
      <c r="R1131">
        <v>0</v>
      </c>
      <c r="S1131">
        <v>0</v>
      </c>
    </row>
    <row r="1132" spans="1:19" x14ac:dyDescent="0.25">
      <c r="A1132">
        <v>18095</v>
      </c>
      <c r="B1132" t="s">
        <v>76</v>
      </c>
      <c r="C1132">
        <v>2</v>
      </c>
      <c r="D1132">
        <v>78.663041607608605</v>
      </c>
      <c r="E1132">
        <v>14.1558211282344</v>
      </c>
      <c r="F1132">
        <f t="shared" si="35"/>
        <v>1</v>
      </c>
      <c r="G1132">
        <v>1</v>
      </c>
      <c r="H1132">
        <v>0</v>
      </c>
      <c r="I1132">
        <v>0</v>
      </c>
      <c r="J1132">
        <v>0</v>
      </c>
      <c r="K1132">
        <v>0</v>
      </c>
      <c r="L1132">
        <v>0</v>
      </c>
      <c r="M1132">
        <f t="shared" si="34"/>
        <v>100</v>
      </c>
      <c r="N1132">
        <v>100</v>
      </c>
      <c r="O1132">
        <v>0</v>
      </c>
      <c r="P1132">
        <v>0</v>
      </c>
      <c r="Q1132">
        <v>0</v>
      </c>
      <c r="R1132">
        <v>0</v>
      </c>
      <c r="S1132">
        <v>0</v>
      </c>
    </row>
    <row r="1133" spans="1:19" x14ac:dyDescent="0.25">
      <c r="A1133">
        <v>18095</v>
      </c>
      <c r="B1133" t="s">
        <v>76</v>
      </c>
      <c r="C1133">
        <v>3</v>
      </c>
      <c r="D1133">
        <v>78.209652318803904</v>
      </c>
      <c r="E1133">
        <v>14.1810094220568</v>
      </c>
      <c r="F1133">
        <f t="shared" si="35"/>
        <v>1</v>
      </c>
      <c r="G1133">
        <v>1</v>
      </c>
      <c r="H1133">
        <v>0</v>
      </c>
      <c r="I1133">
        <v>0</v>
      </c>
      <c r="J1133">
        <v>0</v>
      </c>
      <c r="K1133">
        <v>0</v>
      </c>
      <c r="L1133">
        <v>0</v>
      </c>
      <c r="M1133">
        <f t="shared" si="34"/>
        <v>100</v>
      </c>
      <c r="N1133">
        <v>100</v>
      </c>
      <c r="O1133">
        <v>0</v>
      </c>
      <c r="P1133">
        <v>0</v>
      </c>
      <c r="Q1133">
        <v>0</v>
      </c>
      <c r="R1133">
        <v>0</v>
      </c>
      <c r="S1133">
        <v>0</v>
      </c>
    </row>
    <row r="1134" spans="1:19" x14ac:dyDescent="0.25">
      <c r="A1134">
        <v>18095</v>
      </c>
      <c r="B1134" t="s">
        <v>76</v>
      </c>
      <c r="C1134">
        <v>4</v>
      </c>
      <c r="D1134">
        <v>69.872327063562693</v>
      </c>
      <c r="E1134">
        <v>14.0550679529444</v>
      </c>
      <c r="F1134">
        <f t="shared" si="35"/>
        <v>1</v>
      </c>
      <c r="G1134">
        <v>1</v>
      </c>
      <c r="H1134">
        <v>0</v>
      </c>
      <c r="I1134">
        <v>0</v>
      </c>
      <c r="J1134">
        <v>0</v>
      </c>
      <c r="K1134">
        <v>0</v>
      </c>
      <c r="L1134">
        <v>0</v>
      </c>
      <c r="M1134">
        <f t="shared" si="34"/>
        <v>100</v>
      </c>
      <c r="N1134">
        <v>100</v>
      </c>
      <c r="O1134">
        <v>0</v>
      </c>
      <c r="P1134">
        <v>0</v>
      </c>
      <c r="Q1134">
        <v>0</v>
      </c>
      <c r="R1134">
        <v>0</v>
      </c>
      <c r="S1134">
        <v>0</v>
      </c>
    </row>
    <row r="1135" spans="1:19" x14ac:dyDescent="0.25">
      <c r="A1135">
        <v>18095</v>
      </c>
      <c r="B1135" t="s">
        <v>76</v>
      </c>
      <c r="C1135">
        <v>5</v>
      </c>
      <c r="D1135">
        <v>61.761696452723697</v>
      </c>
      <c r="E1135">
        <v>13.400172313559899</v>
      </c>
      <c r="F1135">
        <f t="shared" si="35"/>
        <v>1</v>
      </c>
      <c r="G1135">
        <v>1</v>
      </c>
      <c r="H1135">
        <v>0</v>
      </c>
      <c r="I1135">
        <v>0</v>
      </c>
      <c r="J1135">
        <v>0</v>
      </c>
      <c r="K1135">
        <v>0</v>
      </c>
      <c r="L1135">
        <v>0</v>
      </c>
      <c r="M1135">
        <f t="shared" si="34"/>
        <v>100</v>
      </c>
      <c r="N1135">
        <v>100</v>
      </c>
      <c r="O1135">
        <v>0</v>
      </c>
      <c r="P1135">
        <v>0</v>
      </c>
      <c r="Q1135">
        <v>0</v>
      </c>
      <c r="R1135">
        <v>0</v>
      </c>
      <c r="S1135">
        <v>0</v>
      </c>
    </row>
    <row r="1136" spans="1:19" x14ac:dyDescent="0.25">
      <c r="A1136">
        <v>18095</v>
      </c>
      <c r="B1136" t="s">
        <v>76</v>
      </c>
      <c r="C1136">
        <v>6</v>
      </c>
      <c r="D1136">
        <v>57.429309915257001</v>
      </c>
      <c r="E1136">
        <v>15.0374114120212</v>
      </c>
      <c r="F1136">
        <f t="shared" si="35"/>
        <v>1</v>
      </c>
      <c r="G1136">
        <v>1</v>
      </c>
      <c r="H1136">
        <v>0</v>
      </c>
      <c r="I1136">
        <v>0</v>
      </c>
      <c r="J1136">
        <v>0</v>
      </c>
      <c r="K1136">
        <v>0</v>
      </c>
      <c r="L1136">
        <v>0</v>
      </c>
      <c r="M1136">
        <f t="shared" si="34"/>
        <v>100</v>
      </c>
      <c r="N1136">
        <v>100</v>
      </c>
      <c r="O1136">
        <v>0</v>
      </c>
      <c r="P1136">
        <v>0</v>
      </c>
      <c r="Q1136">
        <v>0</v>
      </c>
      <c r="R1136">
        <v>0</v>
      </c>
      <c r="S1136">
        <v>0</v>
      </c>
    </row>
    <row r="1137" spans="1:19" x14ac:dyDescent="0.25">
      <c r="A1137">
        <v>18095</v>
      </c>
      <c r="B1137" t="s">
        <v>76</v>
      </c>
      <c r="C1137">
        <v>7</v>
      </c>
      <c r="D1137">
        <v>52.845040439565402</v>
      </c>
      <c r="E1137">
        <v>14.9618465305537</v>
      </c>
      <c r="F1137">
        <f t="shared" si="35"/>
        <v>1</v>
      </c>
      <c r="G1137">
        <v>1</v>
      </c>
      <c r="H1137">
        <v>0</v>
      </c>
      <c r="I1137">
        <v>0</v>
      </c>
      <c r="J1137">
        <v>0</v>
      </c>
      <c r="K1137">
        <v>0</v>
      </c>
      <c r="L1137">
        <v>0</v>
      </c>
      <c r="M1137">
        <f t="shared" si="34"/>
        <v>100</v>
      </c>
      <c r="N1137">
        <v>100</v>
      </c>
      <c r="O1137">
        <v>0</v>
      </c>
      <c r="P1137">
        <v>0</v>
      </c>
      <c r="Q1137">
        <v>0</v>
      </c>
      <c r="R1137">
        <v>0</v>
      </c>
      <c r="S1137">
        <v>0</v>
      </c>
    </row>
    <row r="1138" spans="1:19" x14ac:dyDescent="0.25">
      <c r="A1138">
        <v>18095</v>
      </c>
      <c r="B1138" t="s">
        <v>76</v>
      </c>
      <c r="C1138">
        <v>8</v>
      </c>
      <c r="D1138">
        <v>48.3111475515188</v>
      </c>
      <c r="E1138">
        <v>14.508457241749101</v>
      </c>
      <c r="F1138">
        <f t="shared" si="35"/>
        <v>1</v>
      </c>
      <c r="G1138">
        <v>1</v>
      </c>
      <c r="H1138">
        <v>0</v>
      </c>
      <c r="I1138">
        <v>0</v>
      </c>
      <c r="J1138">
        <v>0</v>
      </c>
      <c r="K1138">
        <v>0</v>
      </c>
      <c r="L1138">
        <v>0</v>
      </c>
      <c r="M1138">
        <f t="shared" si="34"/>
        <v>100</v>
      </c>
      <c r="N1138">
        <v>100</v>
      </c>
      <c r="O1138">
        <v>0</v>
      </c>
      <c r="P1138">
        <v>0</v>
      </c>
      <c r="Q1138">
        <v>0</v>
      </c>
      <c r="R1138">
        <v>0</v>
      </c>
      <c r="S1138">
        <v>0</v>
      </c>
    </row>
    <row r="1139" spans="1:19" x14ac:dyDescent="0.25">
      <c r="A1139">
        <v>18095</v>
      </c>
      <c r="B1139" t="s">
        <v>76</v>
      </c>
      <c r="C1139">
        <v>9</v>
      </c>
      <c r="D1139">
        <v>45.767129875448198</v>
      </c>
      <c r="E1139">
        <v>13.4505489012049</v>
      </c>
      <c r="F1139">
        <f t="shared" si="35"/>
        <v>1</v>
      </c>
      <c r="G1139">
        <v>1</v>
      </c>
      <c r="H1139">
        <v>0</v>
      </c>
      <c r="I1139">
        <v>0</v>
      </c>
      <c r="J1139">
        <v>0</v>
      </c>
      <c r="K1139">
        <v>0</v>
      </c>
      <c r="L1139">
        <v>0</v>
      </c>
      <c r="M1139">
        <f t="shared" si="34"/>
        <v>100</v>
      </c>
      <c r="N1139">
        <v>100</v>
      </c>
      <c r="O1139">
        <v>0</v>
      </c>
      <c r="P1139">
        <v>0</v>
      </c>
      <c r="Q1139">
        <v>0</v>
      </c>
      <c r="R1139">
        <v>0</v>
      </c>
      <c r="S1139">
        <v>0</v>
      </c>
    </row>
    <row r="1140" spans="1:19" x14ac:dyDescent="0.25">
      <c r="A1140">
        <v>18095</v>
      </c>
      <c r="B1140" t="s">
        <v>76</v>
      </c>
      <c r="C1140">
        <v>10</v>
      </c>
      <c r="D1140">
        <v>45.238175705176097</v>
      </c>
      <c r="E1140">
        <v>13.1482893753351</v>
      </c>
      <c r="F1140">
        <f t="shared" si="35"/>
        <v>1</v>
      </c>
      <c r="G1140">
        <v>1</v>
      </c>
      <c r="H1140">
        <v>0</v>
      </c>
      <c r="I1140">
        <v>0</v>
      </c>
      <c r="J1140">
        <v>0</v>
      </c>
      <c r="K1140">
        <v>0</v>
      </c>
      <c r="L1140">
        <v>0</v>
      </c>
      <c r="M1140">
        <f t="shared" si="34"/>
        <v>100</v>
      </c>
      <c r="N1140">
        <v>100</v>
      </c>
      <c r="O1140">
        <v>0</v>
      </c>
      <c r="P1140">
        <v>0</v>
      </c>
      <c r="Q1140">
        <v>0</v>
      </c>
      <c r="R1140">
        <v>0</v>
      </c>
      <c r="S1140">
        <v>0</v>
      </c>
    </row>
    <row r="1141" spans="1:19" x14ac:dyDescent="0.25">
      <c r="A1141">
        <v>18095</v>
      </c>
      <c r="B1141" t="s">
        <v>76</v>
      </c>
      <c r="C1141">
        <v>11</v>
      </c>
      <c r="D1141">
        <v>47.127297741862201</v>
      </c>
      <c r="E1141">
        <v>14.105444540589399</v>
      </c>
      <c r="F1141">
        <f t="shared" si="35"/>
        <v>1</v>
      </c>
      <c r="G1141">
        <v>1</v>
      </c>
      <c r="H1141">
        <v>0</v>
      </c>
      <c r="I1141">
        <v>0</v>
      </c>
      <c r="J1141">
        <v>0</v>
      </c>
      <c r="K1141">
        <v>0</v>
      </c>
      <c r="L1141">
        <v>0</v>
      </c>
      <c r="M1141">
        <f t="shared" si="34"/>
        <v>100</v>
      </c>
      <c r="N1141">
        <v>100</v>
      </c>
      <c r="O1141">
        <v>0</v>
      </c>
      <c r="P1141">
        <v>0</v>
      </c>
      <c r="Q1141">
        <v>0</v>
      </c>
      <c r="R1141">
        <v>0</v>
      </c>
      <c r="S1141">
        <v>0</v>
      </c>
    </row>
    <row r="1142" spans="1:19" x14ac:dyDescent="0.25">
      <c r="A1142">
        <v>18095</v>
      </c>
      <c r="B1142" t="s">
        <v>76</v>
      </c>
      <c r="C1142">
        <v>12</v>
      </c>
      <c r="D1142">
        <v>48.865290015613397</v>
      </c>
      <c r="E1142">
        <v>13.929126483832</v>
      </c>
      <c r="F1142">
        <f t="shared" si="35"/>
        <v>1</v>
      </c>
      <c r="G1142">
        <v>1</v>
      </c>
      <c r="H1142">
        <v>0</v>
      </c>
      <c r="I1142">
        <v>0</v>
      </c>
      <c r="J1142">
        <v>0</v>
      </c>
      <c r="K1142">
        <v>0</v>
      </c>
      <c r="L1142">
        <v>0</v>
      </c>
      <c r="M1142">
        <f t="shared" si="34"/>
        <v>100</v>
      </c>
      <c r="N1142">
        <v>100</v>
      </c>
      <c r="O1142">
        <v>0</v>
      </c>
      <c r="P1142">
        <v>0</v>
      </c>
      <c r="Q1142">
        <v>0</v>
      </c>
      <c r="R1142">
        <v>0</v>
      </c>
      <c r="S1142">
        <v>0</v>
      </c>
    </row>
    <row r="1143" spans="1:19" x14ac:dyDescent="0.25">
      <c r="A1143">
        <v>18095</v>
      </c>
      <c r="B1143" t="s">
        <v>76</v>
      </c>
      <c r="C1143">
        <v>13</v>
      </c>
      <c r="D1143">
        <v>52.114579918713403</v>
      </c>
      <c r="E1143">
        <v>11.1836024571816</v>
      </c>
      <c r="F1143">
        <f t="shared" si="35"/>
        <v>1</v>
      </c>
      <c r="G1143">
        <v>1</v>
      </c>
      <c r="H1143">
        <v>0</v>
      </c>
      <c r="I1143">
        <v>0</v>
      </c>
      <c r="J1143">
        <v>0</v>
      </c>
      <c r="K1143">
        <v>0</v>
      </c>
      <c r="L1143">
        <v>0</v>
      </c>
      <c r="M1143">
        <f t="shared" si="34"/>
        <v>100</v>
      </c>
      <c r="N1143">
        <v>100</v>
      </c>
      <c r="O1143">
        <v>0</v>
      </c>
      <c r="P1143">
        <v>0</v>
      </c>
      <c r="Q1143">
        <v>0</v>
      </c>
      <c r="R1143">
        <v>0</v>
      </c>
      <c r="S1143">
        <v>0</v>
      </c>
    </row>
    <row r="1144" spans="1:19" x14ac:dyDescent="0.25">
      <c r="A1144">
        <v>18095</v>
      </c>
      <c r="B1144" t="s">
        <v>76</v>
      </c>
      <c r="C1144">
        <v>14</v>
      </c>
      <c r="D1144">
        <v>56.270648399422797</v>
      </c>
      <c r="E1144">
        <v>7.1030988579396803</v>
      </c>
      <c r="F1144">
        <f t="shared" si="35"/>
        <v>1</v>
      </c>
      <c r="G1144">
        <v>1</v>
      </c>
      <c r="H1144">
        <v>0</v>
      </c>
      <c r="I1144">
        <v>0</v>
      </c>
      <c r="J1144">
        <v>0</v>
      </c>
      <c r="K1144">
        <v>0</v>
      </c>
      <c r="L1144">
        <v>0</v>
      </c>
      <c r="M1144">
        <f t="shared" si="34"/>
        <v>100</v>
      </c>
      <c r="N1144">
        <v>100</v>
      </c>
      <c r="O1144">
        <v>0</v>
      </c>
      <c r="P1144">
        <v>0</v>
      </c>
      <c r="Q1144">
        <v>0</v>
      </c>
      <c r="R1144">
        <v>0</v>
      </c>
      <c r="S1144">
        <v>0</v>
      </c>
    </row>
    <row r="1145" spans="1:19" x14ac:dyDescent="0.25">
      <c r="A1145">
        <v>18095</v>
      </c>
      <c r="B1145" t="s">
        <v>76</v>
      </c>
      <c r="C1145">
        <v>15</v>
      </c>
      <c r="D1145">
        <v>57.454498209079397</v>
      </c>
      <c r="E1145">
        <v>8.5892081934660691</v>
      </c>
      <c r="F1145">
        <f t="shared" si="35"/>
        <v>1</v>
      </c>
      <c r="G1145">
        <v>1</v>
      </c>
      <c r="H1145">
        <v>0</v>
      </c>
      <c r="I1145">
        <v>0</v>
      </c>
      <c r="J1145">
        <v>0</v>
      </c>
      <c r="K1145">
        <v>0</v>
      </c>
      <c r="L1145">
        <v>0</v>
      </c>
      <c r="M1145">
        <f t="shared" si="34"/>
        <v>100</v>
      </c>
      <c r="N1145">
        <v>100</v>
      </c>
      <c r="O1145">
        <v>0</v>
      </c>
      <c r="P1145">
        <v>0</v>
      </c>
      <c r="Q1145">
        <v>0</v>
      </c>
      <c r="R1145">
        <v>0</v>
      </c>
      <c r="S1145">
        <v>0</v>
      </c>
    </row>
    <row r="1146" spans="1:19" x14ac:dyDescent="0.25">
      <c r="A1146">
        <v>18095</v>
      </c>
      <c r="B1146" t="s">
        <v>76</v>
      </c>
      <c r="C1146">
        <v>16</v>
      </c>
      <c r="D1146">
        <v>60.225210529552399</v>
      </c>
      <c r="E1146">
        <v>7.4053583838094497</v>
      </c>
      <c r="F1146">
        <f t="shared" si="35"/>
        <v>1</v>
      </c>
      <c r="G1146">
        <v>1</v>
      </c>
      <c r="H1146">
        <v>0</v>
      </c>
      <c r="I1146">
        <v>0</v>
      </c>
      <c r="J1146">
        <v>0</v>
      </c>
      <c r="K1146">
        <v>0</v>
      </c>
      <c r="L1146">
        <v>0</v>
      </c>
      <c r="M1146">
        <f t="shared" si="34"/>
        <v>100</v>
      </c>
      <c r="N1146">
        <v>100</v>
      </c>
      <c r="O1146">
        <v>0</v>
      </c>
      <c r="P1146">
        <v>0</v>
      </c>
      <c r="Q1146">
        <v>0</v>
      </c>
      <c r="R1146">
        <v>0</v>
      </c>
      <c r="S1146">
        <v>0</v>
      </c>
    </row>
    <row r="1147" spans="1:19" x14ac:dyDescent="0.25">
      <c r="A1147">
        <v>18095</v>
      </c>
      <c r="B1147" t="s">
        <v>76</v>
      </c>
      <c r="C1147">
        <v>17</v>
      </c>
      <c r="D1147">
        <v>63.927889721457099</v>
      </c>
      <c r="E1147">
        <v>6.1711319865078798</v>
      </c>
      <c r="F1147">
        <f t="shared" si="35"/>
        <v>1</v>
      </c>
      <c r="G1147">
        <v>1</v>
      </c>
      <c r="H1147">
        <v>0</v>
      </c>
      <c r="I1147">
        <v>0</v>
      </c>
      <c r="J1147">
        <v>0</v>
      </c>
      <c r="K1147">
        <v>0</v>
      </c>
      <c r="L1147">
        <v>0</v>
      </c>
      <c r="M1147">
        <f t="shared" si="34"/>
        <v>100</v>
      </c>
      <c r="N1147">
        <v>100</v>
      </c>
      <c r="O1147">
        <v>0</v>
      </c>
      <c r="P1147">
        <v>0</v>
      </c>
      <c r="Q1147">
        <v>0</v>
      </c>
      <c r="R1147">
        <v>0</v>
      </c>
      <c r="S1147">
        <v>0</v>
      </c>
    </row>
    <row r="1148" spans="1:19" x14ac:dyDescent="0.25">
      <c r="A1148">
        <v>18095</v>
      </c>
      <c r="B1148" t="s">
        <v>76</v>
      </c>
      <c r="C1148">
        <v>18</v>
      </c>
      <c r="D1148">
        <v>66.597848866640106</v>
      </c>
      <c r="E1148">
        <v>6.0703788112179504</v>
      </c>
      <c r="F1148">
        <f t="shared" si="35"/>
        <v>1</v>
      </c>
      <c r="G1148">
        <v>1</v>
      </c>
      <c r="H1148">
        <v>0</v>
      </c>
      <c r="I1148">
        <v>0</v>
      </c>
      <c r="J1148">
        <v>0</v>
      </c>
      <c r="K1148">
        <v>0</v>
      </c>
      <c r="L1148">
        <v>0</v>
      </c>
      <c r="M1148">
        <f t="shared" si="34"/>
        <v>100</v>
      </c>
      <c r="N1148">
        <v>100</v>
      </c>
      <c r="O1148">
        <v>0</v>
      </c>
      <c r="P1148">
        <v>0</v>
      </c>
      <c r="Q1148">
        <v>0</v>
      </c>
      <c r="R1148">
        <v>0</v>
      </c>
      <c r="S1148">
        <v>0</v>
      </c>
    </row>
    <row r="1149" spans="1:19" x14ac:dyDescent="0.25">
      <c r="A1149">
        <v>18095</v>
      </c>
      <c r="B1149" t="s">
        <v>76</v>
      </c>
      <c r="C1149">
        <v>19</v>
      </c>
      <c r="D1149">
        <v>68.1595230836339</v>
      </c>
      <c r="E1149">
        <v>5.8940607544605799</v>
      </c>
      <c r="F1149">
        <f t="shared" si="35"/>
        <v>1</v>
      </c>
      <c r="G1149">
        <v>1</v>
      </c>
      <c r="H1149">
        <v>0</v>
      </c>
      <c r="I1149">
        <v>0</v>
      </c>
      <c r="J1149">
        <v>0</v>
      </c>
      <c r="K1149">
        <v>0</v>
      </c>
      <c r="L1149">
        <v>0</v>
      </c>
      <c r="M1149">
        <f t="shared" si="34"/>
        <v>100</v>
      </c>
      <c r="N1149">
        <v>100</v>
      </c>
      <c r="O1149">
        <v>0</v>
      </c>
      <c r="P1149">
        <v>0</v>
      </c>
      <c r="Q1149">
        <v>0</v>
      </c>
      <c r="R1149">
        <v>0</v>
      </c>
      <c r="S1149">
        <v>0</v>
      </c>
    </row>
    <row r="1150" spans="1:19" x14ac:dyDescent="0.25">
      <c r="A1150">
        <v>18095</v>
      </c>
      <c r="B1150" t="s">
        <v>76</v>
      </c>
      <c r="C1150">
        <v>20</v>
      </c>
      <c r="D1150">
        <v>69.947891945030094</v>
      </c>
      <c r="E1150">
        <v>6.9519690950047899</v>
      </c>
      <c r="F1150">
        <f t="shared" si="35"/>
        <v>1</v>
      </c>
      <c r="G1150">
        <v>1</v>
      </c>
      <c r="H1150">
        <v>0</v>
      </c>
      <c r="I1150">
        <v>0</v>
      </c>
      <c r="J1150">
        <v>0</v>
      </c>
      <c r="K1150">
        <v>0</v>
      </c>
      <c r="L1150">
        <v>0</v>
      </c>
      <c r="M1150">
        <f t="shared" si="34"/>
        <v>100</v>
      </c>
      <c r="N1150">
        <v>100</v>
      </c>
      <c r="O1150">
        <v>0</v>
      </c>
      <c r="P1150">
        <v>0</v>
      </c>
      <c r="Q1150">
        <v>0</v>
      </c>
      <c r="R1150">
        <v>0</v>
      </c>
      <c r="S1150">
        <v>0</v>
      </c>
    </row>
    <row r="1151" spans="1:19" x14ac:dyDescent="0.25">
      <c r="A1151">
        <v>18095</v>
      </c>
      <c r="B1151" t="s">
        <v>76</v>
      </c>
      <c r="C1151">
        <v>21</v>
      </c>
      <c r="D1151">
        <v>72.240026682875893</v>
      </c>
      <c r="E1151">
        <v>7.53129985292186</v>
      </c>
      <c r="F1151">
        <f t="shared" si="35"/>
        <v>1</v>
      </c>
      <c r="G1151">
        <v>1</v>
      </c>
      <c r="H1151">
        <v>0</v>
      </c>
      <c r="I1151">
        <v>0</v>
      </c>
      <c r="J1151">
        <v>0</v>
      </c>
      <c r="K1151">
        <v>0</v>
      </c>
      <c r="L1151">
        <v>0</v>
      </c>
      <c r="M1151">
        <f t="shared" si="34"/>
        <v>100</v>
      </c>
      <c r="N1151">
        <v>100</v>
      </c>
      <c r="O1151">
        <v>0</v>
      </c>
      <c r="P1151">
        <v>0</v>
      </c>
      <c r="Q1151">
        <v>0</v>
      </c>
      <c r="R1151">
        <v>0</v>
      </c>
      <c r="S1151">
        <v>0</v>
      </c>
    </row>
    <row r="1152" spans="1:19" x14ac:dyDescent="0.25">
      <c r="A1152">
        <v>18095</v>
      </c>
      <c r="B1152" t="s">
        <v>76</v>
      </c>
      <c r="C1152">
        <v>22</v>
      </c>
      <c r="D1152">
        <v>72.920110616082894</v>
      </c>
      <c r="E1152">
        <v>8.2113837861288506</v>
      </c>
      <c r="F1152">
        <f t="shared" si="35"/>
        <v>1</v>
      </c>
      <c r="G1152">
        <v>1</v>
      </c>
      <c r="H1152">
        <v>0</v>
      </c>
      <c r="I1152">
        <v>0</v>
      </c>
      <c r="J1152">
        <v>0</v>
      </c>
      <c r="K1152">
        <v>0</v>
      </c>
      <c r="L1152">
        <v>0</v>
      </c>
      <c r="M1152">
        <f t="shared" si="34"/>
        <v>100</v>
      </c>
      <c r="N1152">
        <v>100</v>
      </c>
      <c r="O1152">
        <v>0</v>
      </c>
      <c r="P1152">
        <v>0</v>
      </c>
      <c r="Q1152">
        <v>0</v>
      </c>
      <c r="R1152">
        <v>0</v>
      </c>
      <c r="S1152">
        <v>0</v>
      </c>
    </row>
    <row r="1153" spans="1:19" x14ac:dyDescent="0.25">
      <c r="A1153">
        <v>18095</v>
      </c>
      <c r="B1153" t="s">
        <v>76</v>
      </c>
      <c r="C1153">
        <v>23</v>
      </c>
      <c r="D1153">
        <v>73.323123317242604</v>
      </c>
      <c r="E1153">
        <v>9.9997526475250105</v>
      </c>
      <c r="F1153">
        <f t="shared" si="35"/>
        <v>1</v>
      </c>
      <c r="G1153">
        <v>1</v>
      </c>
      <c r="H1153">
        <v>0</v>
      </c>
      <c r="I1153">
        <v>0</v>
      </c>
      <c r="J1153">
        <v>0</v>
      </c>
      <c r="K1153">
        <v>0</v>
      </c>
      <c r="L1153">
        <v>0</v>
      </c>
      <c r="M1153">
        <f t="shared" si="34"/>
        <v>100</v>
      </c>
      <c r="N1153">
        <v>100</v>
      </c>
      <c r="O1153">
        <v>0</v>
      </c>
      <c r="P1153">
        <v>0</v>
      </c>
      <c r="Q1153">
        <v>0</v>
      </c>
      <c r="R1153">
        <v>0</v>
      </c>
      <c r="S1153">
        <v>0</v>
      </c>
    </row>
    <row r="1154" spans="1:19" x14ac:dyDescent="0.25">
      <c r="A1154">
        <v>18097</v>
      </c>
      <c r="B1154" t="s">
        <v>77</v>
      </c>
      <c r="C1154">
        <v>0</v>
      </c>
      <c r="D1154">
        <v>123.50932376508101</v>
      </c>
      <c r="E1154">
        <v>53.874685859193697</v>
      </c>
      <c r="F1154">
        <f t="shared" si="35"/>
        <v>5</v>
      </c>
      <c r="G1154">
        <v>1</v>
      </c>
      <c r="H1154">
        <v>0</v>
      </c>
      <c r="I1154">
        <v>4</v>
      </c>
      <c r="J1154">
        <v>0</v>
      </c>
      <c r="K1154">
        <v>0</v>
      </c>
      <c r="L1154">
        <v>0</v>
      </c>
      <c r="M1154">
        <f t="shared" ref="M1154:M1217" si="36">SUM(N1154:S1154)</f>
        <v>168</v>
      </c>
      <c r="N1154">
        <v>100</v>
      </c>
      <c r="O1154">
        <v>0</v>
      </c>
      <c r="P1154">
        <v>68</v>
      </c>
      <c r="Q1154">
        <v>0</v>
      </c>
      <c r="R1154">
        <v>0</v>
      </c>
      <c r="S1154">
        <v>0</v>
      </c>
    </row>
    <row r="1155" spans="1:19" x14ac:dyDescent="0.25">
      <c r="A1155">
        <v>18097</v>
      </c>
      <c r="B1155" t="s">
        <v>77</v>
      </c>
      <c r="C1155">
        <v>1</v>
      </c>
      <c r="D1155">
        <v>123.64460232342201</v>
      </c>
      <c r="E1155">
        <v>57.527206934393298</v>
      </c>
      <c r="F1155">
        <f t="shared" ref="F1155:F1218" si="37">SUM(G1155:L1155)</f>
        <v>5</v>
      </c>
      <c r="G1155">
        <v>1</v>
      </c>
      <c r="H1155">
        <v>0</v>
      </c>
      <c r="I1155">
        <v>4</v>
      </c>
      <c r="J1155">
        <v>0</v>
      </c>
      <c r="K1155">
        <v>0</v>
      </c>
      <c r="L1155">
        <v>0</v>
      </c>
      <c r="M1155">
        <f t="shared" si="36"/>
        <v>168</v>
      </c>
      <c r="N1155">
        <v>100</v>
      </c>
      <c r="O1155">
        <v>0</v>
      </c>
      <c r="P1155">
        <v>68</v>
      </c>
      <c r="Q1155">
        <v>0</v>
      </c>
      <c r="R1155">
        <v>0</v>
      </c>
      <c r="S1155">
        <v>0</v>
      </c>
    </row>
    <row r="1156" spans="1:19" x14ac:dyDescent="0.25">
      <c r="A1156">
        <v>18097</v>
      </c>
      <c r="B1156" t="s">
        <v>77</v>
      </c>
      <c r="C1156">
        <v>2</v>
      </c>
      <c r="D1156">
        <v>125.098846825585</v>
      </c>
      <c r="E1156">
        <v>56.4111588280823</v>
      </c>
      <c r="F1156">
        <f t="shared" si="37"/>
        <v>5</v>
      </c>
      <c r="G1156">
        <v>1</v>
      </c>
      <c r="H1156">
        <v>0</v>
      </c>
      <c r="I1156">
        <v>4</v>
      </c>
      <c r="J1156">
        <v>0</v>
      </c>
      <c r="K1156">
        <v>0</v>
      </c>
      <c r="L1156">
        <v>0</v>
      </c>
      <c r="M1156">
        <f t="shared" si="36"/>
        <v>168</v>
      </c>
      <c r="N1156">
        <v>100</v>
      </c>
      <c r="O1156">
        <v>0</v>
      </c>
      <c r="P1156">
        <v>68</v>
      </c>
      <c r="Q1156">
        <v>0</v>
      </c>
      <c r="R1156">
        <v>0</v>
      </c>
      <c r="S1156">
        <v>0</v>
      </c>
    </row>
    <row r="1157" spans="1:19" x14ac:dyDescent="0.25">
      <c r="A1157">
        <v>18097</v>
      </c>
      <c r="B1157" t="s">
        <v>77</v>
      </c>
      <c r="C1157">
        <v>3</v>
      </c>
      <c r="D1157">
        <v>122.3256363796</v>
      </c>
      <c r="E1157">
        <v>53.908505498778901</v>
      </c>
      <c r="F1157">
        <f t="shared" si="37"/>
        <v>5</v>
      </c>
      <c r="G1157">
        <v>1</v>
      </c>
      <c r="H1157">
        <v>0</v>
      </c>
      <c r="I1157">
        <v>4</v>
      </c>
      <c r="J1157">
        <v>0</v>
      </c>
      <c r="K1157">
        <v>0</v>
      </c>
      <c r="L1157">
        <v>0</v>
      </c>
      <c r="M1157">
        <f t="shared" si="36"/>
        <v>168</v>
      </c>
      <c r="N1157">
        <v>100</v>
      </c>
      <c r="O1157">
        <v>0</v>
      </c>
      <c r="P1157">
        <v>68</v>
      </c>
      <c r="Q1157">
        <v>0</v>
      </c>
      <c r="R1157">
        <v>0</v>
      </c>
      <c r="S1157">
        <v>0</v>
      </c>
    </row>
    <row r="1158" spans="1:19" x14ac:dyDescent="0.25">
      <c r="A1158">
        <v>18097</v>
      </c>
      <c r="B1158" t="s">
        <v>77</v>
      </c>
      <c r="C1158">
        <v>4</v>
      </c>
      <c r="D1158">
        <v>117.793804675186</v>
      </c>
      <c r="E1158">
        <v>60.097499542867098</v>
      </c>
      <c r="F1158">
        <f t="shared" si="37"/>
        <v>5</v>
      </c>
      <c r="G1158">
        <v>1</v>
      </c>
      <c r="H1158">
        <v>0</v>
      </c>
      <c r="I1158">
        <v>4</v>
      </c>
      <c r="J1158">
        <v>0</v>
      </c>
      <c r="K1158">
        <v>0</v>
      </c>
      <c r="L1158">
        <v>0</v>
      </c>
      <c r="M1158">
        <f t="shared" si="36"/>
        <v>168</v>
      </c>
      <c r="N1158">
        <v>100</v>
      </c>
      <c r="O1158">
        <v>0</v>
      </c>
      <c r="P1158">
        <v>68</v>
      </c>
      <c r="Q1158">
        <v>0</v>
      </c>
      <c r="R1158">
        <v>0</v>
      </c>
      <c r="S1158">
        <v>0</v>
      </c>
    </row>
    <row r="1159" spans="1:19" x14ac:dyDescent="0.25">
      <c r="A1159">
        <v>18097</v>
      </c>
      <c r="B1159" t="s">
        <v>77</v>
      </c>
      <c r="C1159">
        <v>5</v>
      </c>
      <c r="D1159">
        <v>116.069003056342</v>
      </c>
      <c r="E1159">
        <v>58.237419365682101</v>
      </c>
      <c r="F1159">
        <f t="shared" si="37"/>
        <v>5</v>
      </c>
      <c r="G1159">
        <v>1</v>
      </c>
      <c r="H1159">
        <v>0</v>
      </c>
      <c r="I1159">
        <v>4</v>
      </c>
      <c r="J1159">
        <v>0</v>
      </c>
      <c r="K1159">
        <v>0</v>
      </c>
      <c r="L1159">
        <v>0</v>
      </c>
      <c r="M1159">
        <f t="shared" si="36"/>
        <v>168</v>
      </c>
      <c r="N1159">
        <v>100</v>
      </c>
      <c r="O1159">
        <v>0</v>
      </c>
      <c r="P1159">
        <v>68</v>
      </c>
      <c r="Q1159">
        <v>0</v>
      </c>
      <c r="R1159">
        <v>0</v>
      </c>
      <c r="S1159">
        <v>0</v>
      </c>
    </row>
    <row r="1160" spans="1:19" x14ac:dyDescent="0.25">
      <c r="A1160">
        <v>18097</v>
      </c>
      <c r="B1160" t="s">
        <v>77</v>
      </c>
      <c r="C1160">
        <v>6</v>
      </c>
      <c r="D1160">
        <v>113.22815333118599</v>
      </c>
      <c r="E1160">
        <v>47.516593617179602</v>
      </c>
      <c r="F1160">
        <f t="shared" si="37"/>
        <v>5</v>
      </c>
      <c r="G1160">
        <v>1</v>
      </c>
      <c r="H1160">
        <v>0</v>
      </c>
      <c r="I1160">
        <v>4</v>
      </c>
      <c r="J1160">
        <v>0</v>
      </c>
      <c r="K1160">
        <v>0</v>
      </c>
      <c r="L1160">
        <v>0</v>
      </c>
      <c r="M1160">
        <f t="shared" si="36"/>
        <v>168</v>
      </c>
      <c r="N1160">
        <v>100</v>
      </c>
      <c r="O1160">
        <v>0</v>
      </c>
      <c r="P1160">
        <v>68</v>
      </c>
      <c r="Q1160">
        <v>0</v>
      </c>
      <c r="R1160">
        <v>0</v>
      </c>
      <c r="S1160">
        <v>0</v>
      </c>
    </row>
    <row r="1161" spans="1:19" x14ac:dyDescent="0.25">
      <c r="A1161">
        <v>18097</v>
      </c>
      <c r="B1161" t="s">
        <v>77</v>
      </c>
      <c r="C1161">
        <v>7</v>
      </c>
      <c r="D1161">
        <v>103.251359653558</v>
      </c>
      <c r="E1161">
        <v>51.946966402838399</v>
      </c>
      <c r="F1161">
        <f t="shared" si="37"/>
        <v>5</v>
      </c>
      <c r="G1161">
        <v>1</v>
      </c>
      <c r="H1161">
        <v>0</v>
      </c>
      <c r="I1161">
        <v>4</v>
      </c>
      <c r="J1161">
        <v>0</v>
      </c>
      <c r="K1161">
        <v>0</v>
      </c>
      <c r="L1161">
        <v>0</v>
      </c>
      <c r="M1161">
        <f t="shared" si="36"/>
        <v>168</v>
      </c>
      <c r="N1161">
        <v>100</v>
      </c>
      <c r="O1161">
        <v>0</v>
      </c>
      <c r="P1161">
        <v>68</v>
      </c>
      <c r="Q1161">
        <v>0</v>
      </c>
      <c r="R1161">
        <v>0</v>
      </c>
      <c r="S1161">
        <v>0</v>
      </c>
    </row>
    <row r="1162" spans="1:19" x14ac:dyDescent="0.25">
      <c r="A1162">
        <v>18097</v>
      </c>
      <c r="B1162" t="s">
        <v>77</v>
      </c>
      <c r="C1162">
        <v>8</v>
      </c>
      <c r="D1162">
        <v>94.255335523900101</v>
      </c>
      <c r="E1162">
        <v>77.920449604257598</v>
      </c>
      <c r="F1162">
        <f t="shared" si="37"/>
        <v>5</v>
      </c>
      <c r="G1162">
        <v>1</v>
      </c>
      <c r="H1162">
        <v>0</v>
      </c>
      <c r="I1162">
        <v>4</v>
      </c>
      <c r="J1162">
        <v>0</v>
      </c>
      <c r="K1162">
        <v>0</v>
      </c>
      <c r="L1162">
        <v>0</v>
      </c>
      <c r="M1162">
        <f t="shared" si="36"/>
        <v>168</v>
      </c>
      <c r="N1162">
        <v>100</v>
      </c>
      <c r="O1162">
        <v>0</v>
      </c>
      <c r="P1162">
        <v>68</v>
      </c>
      <c r="Q1162">
        <v>0</v>
      </c>
      <c r="R1162">
        <v>0</v>
      </c>
      <c r="S1162">
        <v>0</v>
      </c>
    </row>
    <row r="1163" spans="1:19" x14ac:dyDescent="0.25">
      <c r="A1163">
        <v>18097</v>
      </c>
      <c r="B1163" t="s">
        <v>77</v>
      </c>
      <c r="C1163">
        <v>9</v>
      </c>
      <c r="D1163">
        <v>87.2208504901824</v>
      </c>
      <c r="E1163">
        <v>85.9695238255307</v>
      </c>
      <c r="F1163">
        <f t="shared" si="37"/>
        <v>5</v>
      </c>
      <c r="G1163">
        <v>1</v>
      </c>
      <c r="H1163">
        <v>0</v>
      </c>
      <c r="I1163">
        <v>4</v>
      </c>
      <c r="J1163">
        <v>0</v>
      </c>
      <c r="K1163">
        <v>0</v>
      </c>
      <c r="L1163">
        <v>0</v>
      </c>
      <c r="M1163">
        <f t="shared" si="36"/>
        <v>168</v>
      </c>
      <c r="N1163">
        <v>100</v>
      </c>
      <c r="O1163">
        <v>0</v>
      </c>
      <c r="P1163">
        <v>68</v>
      </c>
      <c r="Q1163">
        <v>0</v>
      </c>
      <c r="R1163">
        <v>0</v>
      </c>
      <c r="S1163">
        <v>0</v>
      </c>
    </row>
    <row r="1164" spans="1:19" x14ac:dyDescent="0.25">
      <c r="A1164">
        <v>18097</v>
      </c>
      <c r="B1164" t="s">
        <v>77</v>
      </c>
      <c r="C1164">
        <v>10</v>
      </c>
      <c r="D1164">
        <v>82.046445633649697</v>
      </c>
      <c r="E1164">
        <v>90.907191204967205</v>
      </c>
      <c r="F1164">
        <f t="shared" si="37"/>
        <v>5</v>
      </c>
      <c r="G1164">
        <v>1</v>
      </c>
      <c r="H1164">
        <v>0</v>
      </c>
      <c r="I1164">
        <v>4</v>
      </c>
      <c r="J1164">
        <v>0</v>
      </c>
      <c r="K1164">
        <v>0</v>
      </c>
      <c r="L1164">
        <v>0</v>
      </c>
      <c r="M1164">
        <f t="shared" si="36"/>
        <v>168</v>
      </c>
      <c r="N1164">
        <v>100</v>
      </c>
      <c r="O1164">
        <v>0</v>
      </c>
      <c r="P1164">
        <v>68</v>
      </c>
      <c r="Q1164">
        <v>0</v>
      </c>
      <c r="R1164">
        <v>0</v>
      </c>
      <c r="S1164">
        <v>0</v>
      </c>
    </row>
    <row r="1165" spans="1:19" x14ac:dyDescent="0.25">
      <c r="A1165">
        <v>18097</v>
      </c>
      <c r="B1165" t="s">
        <v>77</v>
      </c>
      <c r="C1165">
        <v>11</v>
      </c>
      <c r="D1165">
        <v>84.278541846271693</v>
      </c>
      <c r="E1165">
        <v>86.984113013086201</v>
      </c>
      <c r="F1165">
        <f t="shared" si="37"/>
        <v>5</v>
      </c>
      <c r="G1165">
        <v>1</v>
      </c>
      <c r="H1165">
        <v>0</v>
      </c>
      <c r="I1165">
        <v>4</v>
      </c>
      <c r="J1165">
        <v>0</v>
      </c>
      <c r="K1165">
        <v>0</v>
      </c>
      <c r="L1165">
        <v>0</v>
      </c>
      <c r="M1165">
        <f t="shared" si="36"/>
        <v>168</v>
      </c>
      <c r="N1165">
        <v>100</v>
      </c>
      <c r="O1165">
        <v>0</v>
      </c>
      <c r="P1165">
        <v>68</v>
      </c>
      <c r="Q1165">
        <v>0</v>
      </c>
      <c r="R1165">
        <v>0</v>
      </c>
      <c r="S1165">
        <v>0</v>
      </c>
    </row>
    <row r="1166" spans="1:19" x14ac:dyDescent="0.25">
      <c r="A1166">
        <v>18097</v>
      </c>
      <c r="B1166" t="s">
        <v>77</v>
      </c>
      <c r="C1166">
        <v>12</v>
      </c>
      <c r="D1166">
        <v>86.984113013086201</v>
      </c>
      <c r="E1166">
        <v>82.317002750331099</v>
      </c>
      <c r="F1166">
        <f t="shared" si="37"/>
        <v>5</v>
      </c>
      <c r="G1166">
        <v>1</v>
      </c>
      <c r="H1166">
        <v>0</v>
      </c>
      <c r="I1166">
        <v>4</v>
      </c>
      <c r="J1166">
        <v>0</v>
      </c>
      <c r="K1166">
        <v>0</v>
      </c>
      <c r="L1166">
        <v>0</v>
      </c>
      <c r="M1166">
        <f t="shared" si="36"/>
        <v>168</v>
      </c>
      <c r="N1166">
        <v>100</v>
      </c>
      <c r="O1166">
        <v>0</v>
      </c>
      <c r="P1166">
        <v>68</v>
      </c>
      <c r="Q1166">
        <v>0</v>
      </c>
      <c r="R1166">
        <v>0</v>
      </c>
      <c r="S1166">
        <v>0</v>
      </c>
    </row>
    <row r="1167" spans="1:19" x14ac:dyDescent="0.25">
      <c r="A1167">
        <v>18097</v>
      </c>
      <c r="B1167" t="s">
        <v>77</v>
      </c>
      <c r="C1167">
        <v>13</v>
      </c>
      <c r="D1167">
        <v>89.216209225708099</v>
      </c>
      <c r="E1167">
        <v>73.050421503991501</v>
      </c>
      <c r="F1167">
        <f t="shared" si="37"/>
        <v>5</v>
      </c>
      <c r="G1167">
        <v>1</v>
      </c>
      <c r="H1167">
        <v>0</v>
      </c>
      <c r="I1167">
        <v>4</v>
      </c>
      <c r="J1167">
        <v>0</v>
      </c>
      <c r="K1167">
        <v>0</v>
      </c>
      <c r="L1167">
        <v>0</v>
      </c>
      <c r="M1167">
        <f t="shared" si="36"/>
        <v>168</v>
      </c>
      <c r="N1167">
        <v>100</v>
      </c>
      <c r="O1167">
        <v>0</v>
      </c>
      <c r="P1167">
        <v>68</v>
      </c>
      <c r="Q1167">
        <v>0</v>
      </c>
      <c r="R1167">
        <v>0</v>
      </c>
      <c r="S1167">
        <v>0</v>
      </c>
    </row>
    <row r="1168" spans="1:19" x14ac:dyDescent="0.25">
      <c r="A1168">
        <v>18097</v>
      </c>
      <c r="B1168" t="s">
        <v>77</v>
      </c>
      <c r="C1168">
        <v>14</v>
      </c>
      <c r="D1168">
        <v>88.539816434004507</v>
      </c>
      <c r="E1168">
        <v>60.6724334158151</v>
      </c>
      <c r="F1168">
        <f t="shared" si="37"/>
        <v>5</v>
      </c>
      <c r="G1168">
        <v>1</v>
      </c>
      <c r="H1168">
        <v>0</v>
      </c>
      <c r="I1168">
        <v>4</v>
      </c>
      <c r="J1168">
        <v>0</v>
      </c>
      <c r="K1168">
        <v>0</v>
      </c>
      <c r="L1168">
        <v>0</v>
      </c>
      <c r="M1168">
        <f t="shared" si="36"/>
        <v>168</v>
      </c>
      <c r="N1168">
        <v>100</v>
      </c>
      <c r="O1168">
        <v>0</v>
      </c>
      <c r="P1168">
        <v>68</v>
      </c>
      <c r="Q1168">
        <v>0</v>
      </c>
      <c r="R1168">
        <v>0</v>
      </c>
      <c r="S1168">
        <v>0</v>
      </c>
    </row>
    <row r="1169" spans="1:19" x14ac:dyDescent="0.25">
      <c r="A1169">
        <v>18097</v>
      </c>
      <c r="B1169" t="s">
        <v>77</v>
      </c>
      <c r="C1169">
        <v>15</v>
      </c>
      <c r="D1169">
        <v>89.047111027782194</v>
      </c>
      <c r="E1169">
        <v>46.603463348379698</v>
      </c>
      <c r="F1169">
        <f t="shared" si="37"/>
        <v>5</v>
      </c>
      <c r="G1169">
        <v>1</v>
      </c>
      <c r="H1169">
        <v>0</v>
      </c>
      <c r="I1169">
        <v>4</v>
      </c>
      <c r="J1169">
        <v>0</v>
      </c>
      <c r="K1169">
        <v>0</v>
      </c>
      <c r="L1169">
        <v>0</v>
      </c>
      <c r="M1169">
        <f t="shared" si="36"/>
        <v>168</v>
      </c>
      <c r="N1169">
        <v>100</v>
      </c>
      <c r="O1169">
        <v>0</v>
      </c>
      <c r="P1169">
        <v>68</v>
      </c>
      <c r="Q1169">
        <v>0</v>
      </c>
      <c r="R1169">
        <v>0</v>
      </c>
      <c r="S1169">
        <v>0</v>
      </c>
    </row>
    <row r="1170" spans="1:19" x14ac:dyDescent="0.25">
      <c r="A1170">
        <v>18097</v>
      </c>
      <c r="B1170" t="s">
        <v>77</v>
      </c>
      <c r="C1170">
        <v>16</v>
      </c>
      <c r="D1170">
        <v>90.399896611189504</v>
      </c>
      <c r="E1170">
        <v>37.505980299965998</v>
      </c>
      <c r="F1170">
        <f t="shared" si="37"/>
        <v>5</v>
      </c>
      <c r="G1170">
        <v>1</v>
      </c>
      <c r="H1170">
        <v>0</v>
      </c>
      <c r="I1170">
        <v>4</v>
      </c>
      <c r="J1170">
        <v>0</v>
      </c>
      <c r="K1170">
        <v>0</v>
      </c>
      <c r="L1170">
        <v>0</v>
      </c>
      <c r="M1170">
        <f t="shared" si="36"/>
        <v>168</v>
      </c>
      <c r="N1170">
        <v>100</v>
      </c>
      <c r="O1170">
        <v>0</v>
      </c>
      <c r="P1170">
        <v>68</v>
      </c>
      <c r="Q1170">
        <v>0</v>
      </c>
      <c r="R1170">
        <v>0</v>
      </c>
      <c r="S1170">
        <v>0</v>
      </c>
    </row>
    <row r="1171" spans="1:19" x14ac:dyDescent="0.25">
      <c r="A1171">
        <v>18097</v>
      </c>
      <c r="B1171" t="s">
        <v>77</v>
      </c>
      <c r="C1171">
        <v>17</v>
      </c>
      <c r="D1171">
        <v>96.284513899011003</v>
      </c>
      <c r="E1171">
        <v>36.525210751995701</v>
      </c>
      <c r="F1171">
        <f t="shared" si="37"/>
        <v>5</v>
      </c>
      <c r="G1171">
        <v>1</v>
      </c>
      <c r="H1171">
        <v>0</v>
      </c>
      <c r="I1171">
        <v>4</v>
      </c>
      <c r="J1171">
        <v>0</v>
      </c>
      <c r="K1171">
        <v>0</v>
      </c>
      <c r="L1171">
        <v>0</v>
      </c>
      <c r="M1171">
        <f t="shared" si="36"/>
        <v>168</v>
      </c>
      <c r="N1171">
        <v>100</v>
      </c>
      <c r="O1171">
        <v>0</v>
      </c>
      <c r="P1171">
        <v>68</v>
      </c>
      <c r="Q1171">
        <v>0</v>
      </c>
      <c r="R1171">
        <v>0</v>
      </c>
      <c r="S1171">
        <v>0</v>
      </c>
    </row>
    <row r="1172" spans="1:19" x14ac:dyDescent="0.25">
      <c r="A1172">
        <v>18097</v>
      </c>
      <c r="B1172" t="s">
        <v>77</v>
      </c>
      <c r="C1172">
        <v>18</v>
      </c>
      <c r="D1172">
        <v>102.94698289729099</v>
      </c>
      <c r="E1172">
        <v>35.747359041536598</v>
      </c>
      <c r="F1172">
        <f t="shared" si="37"/>
        <v>5</v>
      </c>
      <c r="G1172">
        <v>1</v>
      </c>
      <c r="H1172">
        <v>0</v>
      </c>
      <c r="I1172">
        <v>4</v>
      </c>
      <c r="J1172">
        <v>0</v>
      </c>
      <c r="K1172">
        <v>0</v>
      </c>
      <c r="L1172">
        <v>0</v>
      </c>
      <c r="M1172">
        <f t="shared" si="36"/>
        <v>168</v>
      </c>
      <c r="N1172">
        <v>100</v>
      </c>
      <c r="O1172">
        <v>0</v>
      </c>
      <c r="P1172">
        <v>68</v>
      </c>
      <c r="Q1172">
        <v>0</v>
      </c>
      <c r="R1172">
        <v>0</v>
      </c>
      <c r="S1172">
        <v>0</v>
      </c>
    </row>
    <row r="1173" spans="1:19" x14ac:dyDescent="0.25">
      <c r="A1173">
        <v>18097</v>
      </c>
      <c r="B1173" t="s">
        <v>77</v>
      </c>
      <c r="C1173">
        <v>19</v>
      </c>
      <c r="D1173">
        <v>109.74473045391299</v>
      </c>
      <c r="E1173">
        <v>35.713539401951401</v>
      </c>
      <c r="F1173">
        <f t="shared" si="37"/>
        <v>5</v>
      </c>
      <c r="G1173">
        <v>1</v>
      </c>
      <c r="H1173">
        <v>0</v>
      </c>
      <c r="I1173">
        <v>4</v>
      </c>
      <c r="J1173">
        <v>0</v>
      </c>
      <c r="K1173">
        <v>0</v>
      </c>
      <c r="L1173">
        <v>0</v>
      </c>
      <c r="M1173">
        <f t="shared" si="36"/>
        <v>168</v>
      </c>
      <c r="N1173">
        <v>100</v>
      </c>
      <c r="O1173">
        <v>0</v>
      </c>
      <c r="P1173">
        <v>68</v>
      </c>
      <c r="Q1173">
        <v>0</v>
      </c>
      <c r="R1173">
        <v>0</v>
      </c>
      <c r="S1173">
        <v>0</v>
      </c>
    </row>
    <row r="1174" spans="1:19" x14ac:dyDescent="0.25">
      <c r="A1174">
        <v>18097</v>
      </c>
      <c r="B1174" t="s">
        <v>77</v>
      </c>
      <c r="C1174">
        <v>20</v>
      </c>
      <c r="D1174">
        <v>116.407199452193</v>
      </c>
      <c r="E1174">
        <v>53.299751986245603</v>
      </c>
      <c r="F1174">
        <f t="shared" si="37"/>
        <v>5</v>
      </c>
      <c r="G1174">
        <v>1</v>
      </c>
      <c r="H1174">
        <v>0</v>
      </c>
      <c r="I1174">
        <v>4</v>
      </c>
      <c r="J1174">
        <v>0</v>
      </c>
      <c r="K1174">
        <v>0</v>
      </c>
      <c r="L1174">
        <v>0</v>
      </c>
      <c r="M1174">
        <f t="shared" si="36"/>
        <v>168</v>
      </c>
      <c r="N1174">
        <v>100</v>
      </c>
      <c r="O1174">
        <v>0</v>
      </c>
      <c r="P1174">
        <v>68</v>
      </c>
      <c r="Q1174">
        <v>0</v>
      </c>
      <c r="R1174">
        <v>0</v>
      </c>
      <c r="S1174">
        <v>0</v>
      </c>
    </row>
    <row r="1175" spans="1:19" x14ac:dyDescent="0.25">
      <c r="A1175">
        <v>18097</v>
      </c>
      <c r="B1175" t="s">
        <v>77</v>
      </c>
      <c r="C1175">
        <v>21</v>
      </c>
      <c r="D1175">
        <v>120.093540166978</v>
      </c>
      <c r="E1175">
        <v>55.430389280112003</v>
      </c>
      <c r="F1175">
        <f t="shared" si="37"/>
        <v>5</v>
      </c>
      <c r="G1175">
        <v>1</v>
      </c>
      <c r="H1175">
        <v>0</v>
      </c>
      <c r="I1175">
        <v>4</v>
      </c>
      <c r="J1175">
        <v>0</v>
      </c>
      <c r="K1175">
        <v>0</v>
      </c>
      <c r="L1175">
        <v>0</v>
      </c>
      <c r="M1175">
        <f t="shared" si="36"/>
        <v>168</v>
      </c>
      <c r="N1175">
        <v>100</v>
      </c>
      <c r="O1175">
        <v>0</v>
      </c>
      <c r="P1175">
        <v>68</v>
      </c>
      <c r="Q1175">
        <v>0</v>
      </c>
      <c r="R1175">
        <v>0</v>
      </c>
      <c r="S1175">
        <v>0</v>
      </c>
    </row>
    <row r="1176" spans="1:19" x14ac:dyDescent="0.25">
      <c r="A1176">
        <v>18097</v>
      </c>
      <c r="B1176" t="s">
        <v>77</v>
      </c>
      <c r="C1176">
        <v>22</v>
      </c>
      <c r="D1176">
        <v>121.446325750385</v>
      </c>
      <c r="E1176">
        <v>52.5219002757865</v>
      </c>
      <c r="F1176">
        <f t="shared" si="37"/>
        <v>5</v>
      </c>
      <c r="G1176">
        <v>1</v>
      </c>
      <c r="H1176">
        <v>0</v>
      </c>
      <c r="I1176">
        <v>4</v>
      </c>
      <c r="J1176">
        <v>0</v>
      </c>
      <c r="K1176">
        <v>0</v>
      </c>
      <c r="L1176">
        <v>0</v>
      </c>
      <c r="M1176">
        <f t="shared" si="36"/>
        <v>168</v>
      </c>
      <c r="N1176">
        <v>100</v>
      </c>
      <c r="O1176">
        <v>0</v>
      </c>
      <c r="P1176">
        <v>68</v>
      </c>
      <c r="Q1176">
        <v>0</v>
      </c>
      <c r="R1176">
        <v>0</v>
      </c>
      <c r="S1176">
        <v>0</v>
      </c>
    </row>
    <row r="1177" spans="1:19" x14ac:dyDescent="0.25">
      <c r="A1177">
        <v>18097</v>
      </c>
      <c r="B1177" t="s">
        <v>77</v>
      </c>
      <c r="C1177">
        <v>23</v>
      </c>
      <c r="D1177">
        <v>122.79911133379299</v>
      </c>
      <c r="E1177">
        <v>53.299751986245603</v>
      </c>
      <c r="F1177">
        <f t="shared" si="37"/>
        <v>5</v>
      </c>
      <c r="G1177">
        <v>1</v>
      </c>
      <c r="H1177">
        <v>0</v>
      </c>
      <c r="I1177">
        <v>4</v>
      </c>
      <c r="J1177">
        <v>0</v>
      </c>
      <c r="K1177">
        <v>0</v>
      </c>
      <c r="L1177">
        <v>0</v>
      </c>
      <c r="M1177">
        <f t="shared" si="36"/>
        <v>168</v>
      </c>
      <c r="N1177">
        <v>100</v>
      </c>
      <c r="O1177">
        <v>0</v>
      </c>
      <c r="P1177">
        <v>68</v>
      </c>
      <c r="Q1177">
        <v>0</v>
      </c>
      <c r="R1177">
        <v>0</v>
      </c>
      <c r="S1177">
        <v>0</v>
      </c>
    </row>
    <row r="1178" spans="1:19" x14ac:dyDescent="0.25">
      <c r="A1178">
        <v>18099</v>
      </c>
      <c r="B1178" t="s">
        <v>78</v>
      </c>
      <c r="C1178">
        <v>0</v>
      </c>
      <c r="D1178">
        <v>116.100912961482</v>
      </c>
      <c r="E1178">
        <v>2.24740443208445</v>
      </c>
      <c r="F1178">
        <f t="shared" si="37"/>
        <v>4</v>
      </c>
      <c r="G1178">
        <v>0</v>
      </c>
      <c r="H1178">
        <v>1</v>
      </c>
      <c r="I1178">
        <v>3</v>
      </c>
      <c r="J1178">
        <v>0</v>
      </c>
      <c r="K1178">
        <v>0</v>
      </c>
      <c r="L1178">
        <v>0</v>
      </c>
      <c r="M1178">
        <f t="shared" si="36"/>
        <v>135</v>
      </c>
      <c r="N1178">
        <v>0</v>
      </c>
      <c r="O1178">
        <v>59</v>
      </c>
      <c r="P1178">
        <v>76</v>
      </c>
      <c r="Q1178">
        <v>0</v>
      </c>
      <c r="R1178">
        <v>0</v>
      </c>
      <c r="S1178">
        <v>0</v>
      </c>
    </row>
    <row r="1179" spans="1:19" x14ac:dyDescent="0.25">
      <c r="A1179">
        <v>18099</v>
      </c>
      <c r="B1179" t="s">
        <v>78</v>
      </c>
      <c r="C1179">
        <v>1</v>
      </c>
      <c r="D1179">
        <v>117.38193348777</v>
      </c>
      <c r="E1179">
        <v>2.3822486980095099</v>
      </c>
      <c r="F1179">
        <f t="shared" si="37"/>
        <v>4</v>
      </c>
      <c r="G1179">
        <v>0</v>
      </c>
      <c r="H1179">
        <v>1</v>
      </c>
      <c r="I1179">
        <v>3</v>
      </c>
      <c r="J1179">
        <v>0</v>
      </c>
      <c r="K1179">
        <v>0</v>
      </c>
      <c r="L1179">
        <v>0</v>
      </c>
      <c r="M1179">
        <f t="shared" si="36"/>
        <v>135</v>
      </c>
      <c r="N1179">
        <v>0</v>
      </c>
      <c r="O1179">
        <v>59</v>
      </c>
      <c r="P1179">
        <v>76</v>
      </c>
      <c r="Q1179">
        <v>0</v>
      </c>
      <c r="R1179">
        <v>0</v>
      </c>
      <c r="S1179">
        <v>0</v>
      </c>
    </row>
    <row r="1180" spans="1:19" x14ac:dyDescent="0.25">
      <c r="A1180">
        <v>18099</v>
      </c>
      <c r="B1180" t="s">
        <v>78</v>
      </c>
      <c r="C1180">
        <v>2</v>
      </c>
      <c r="D1180">
        <v>117.6291479753</v>
      </c>
      <c r="E1180">
        <v>2.5395670082554198</v>
      </c>
      <c r="F1180">
        <f t="shared" si="37"/>
        <v>4</v>
      </c>
      <c r="G1180">
        <v>0</v>
      </c>
      <c r="H1180">
        <v>1</v>
      </c>
      <c r="I1180">
        <v>3</v>
      </c>
      <c r="J1180">
        <v>0</v>
      </c>
      <c r="K1180">
        <v>0</v>
      </c>
      <c r="L1180">
        <v>0</v>
      </c>
      <c r="M1180">
        <f t="shared" si="36"/>
        <v>135</v>
      </c>
      <c r="N1180">
        <v>0</v>
      </c>
      <c r="O1180">
        <v>59</v>
      </c>
      <c r="P1180">
        <v>76</v>
      </c>
      <c r="Q1180">
        <v>0</v>
      </c>
      <c r="R1180">
        <v>0</v>
      </c>
      <c r="S1180">
        <v>0</v>
      </c>
    </row>
    <row r="1181" spans="1:19" x14ac:dyDescent="0.25">
      <c r="A1181">
        <v>18099</v>
      </c>
      <c r="B1181" t="s">
        <v>78</v>
      </c>
      <c r="C1181">
        <v>3</v>
      </c>
      <c r="D1181">
        <v>114.685048169269</v>
      </c>
      <c r="E1181">
        <v>3.48347686973089</v>
      </c>
      <c r="F1181">
        <f t="shared" si="37"/>
        <v>4</v>
      </c>
      <c r="G1181">
        <v>0</v>
      </c>
      <c r="H1181">
        <v>1</v>
      </c>
      <c r="I1181">
        <v>3</v>
      </c>
      <c r="J1181">
        <v>0</v>
      </c>
      <c r="K1181">
        <v>0</v>
      </c>
      <c r="L1181">
        <v>0</v>
      </c>
      <c r="M1181">
        <f t="shared" si="36"/>
        <v>135</v>
      </c>
      <c r="N1181">
        <v>0</v>
      </c>
      <c r="O1181">
        <v>59</v>
      </c>
      <c r="P1181">
        <v>76</v>
      </c>
      <c r="Q1181">
        <v>0</v>
      </c>
      <c r="R1181">
        <v>0</v>
      </c>
      <c r="S1181">
        <v>0</v>
      </c>
    </row>
    <row r="1182" spans="1:19" x14ac:dyDescent="0.25">
      <c r="A1182">
        <v>18099</v>
      </c>
      <c r="B1182" t="s">
        <v>78</v>
      </c>
      <c r="C1182">
        <v>4</v>
      </c>
      <c r="D1182">
        <v>108.32489362647</v>
      </c>
      <c r="E1182">
        <v>3.93295775614778</v>
      </c>
      <c r="F1182">
        <f t="shared" si="37"/>
        <v>4</v>
      </c>
      <c r="G1182">
        <v>0</v>
      </c>
      <c r="H1182">
        <v>1</v>
      </c>
      <c r="I1182">
        <v>3</v>
      </c>
      <c r="J1182">
        <v>0</v>
      </c>
      <c r="K1182">
        <v>0</v>
      </c>
      <c r="L1182">
        <v>0</v>
      </c>
      <c r="M1182">
        <f t="shared" si="36"/>
        <v>135</v>
      </c>
      <c r="N1182">
        <v>0</v>
      </c>
      <c r="O1182">
        <v>59</v>
      </c>
      <c r="P1182">
        <v>76</v>
      </c>
      <c r="Q1182">
        <v>0</v>
      </c>
      <c r="R1182">
        <v>0</v>
      </c>
      <c r="S1182">
        <v>0</v>
      </c>
    </row>
    <row r="1183" spans="1:19" x14ac:dyDescent="0.25">
      <c r="A1183">
        <v>18099</v>
      </c>
      <c r="B1183" t="s">
        <v>78</v>
      </c>
      <c r="C1183">
        <v>5</v>
      </c>
      <c r="D1183">
        <v>100.301659803929</v>
      </c>
      <c r="E1183">
        <v>3.0115219389931598</v>
      </c>
      <c r="F1183">
        <f t="shared" si="37"/>
        <v>4</v>
      </c>
      <c r="G1183">
        <v>0</v>
      </c>
      <c r="H1183">
        <v>1</v>
      </c>
      <c r="I1183">
        <v>3</v>
      </c>
      <c r="J1183">
        <v>0</v>
      </c>
      <c r="K1183">
        <v>0</v>
      </c>
      <c r="L1183">
        <v>0</v>
      </c>
      <c r="M1183">
        <f t="shared" si="36"/>
        <v>135</v>
      </c>
      <c r="N1183">
        <v>0</v>
      </c>
      <c r="O1183">
        <v>59</v>
      </c>
      <c r="P1183">
        <v>76</v>
      </c>
      <c r="Q1183">
        <v>0</v>
      </c>
      <c r="R1183">
        <v>0</v>
      </c>
      <c r="S1183">
        <v>0</v>
      </c>
    </row>
    <row r="1184" spans="1:19" x14ac:dyDescent="0.25">
      <c r="A1184">
        <v>18099</v>
      </c>
      <c r="B1184" t="s">
        <v>78</v>
      </c>
      <c r="C1184">
        <v>6</v>
      </c>
      <c r="D1184">
        <v>90.997405455099397</v>
      </c>
      <c r="E1184">
        <v>1.8878197229509299</v>
      </c>
      <c r="F1184">
        <f t="shared" si="37"/>
        <v>4</v>
      </c>
      <c r="G1184">
        <v>0</v>
      </c>
      <c r="H1184">
        <v>1</v>
      </c>
      <c r="I1184">
        <v>3</v>
      </c>
      <c r="J1184">
        <v>0</v>
      </c>
      <c r="K1184">
        <v>0</v>
      </c>
      <c r="L1184">
        <v>0</v>
      </c>
      <c r="M1184">
        <f t="shared" si="36"/>
        <v>135</v>
      </c>
      <c r="N1184">
        <v>0</v>
      </c>
      <c r="O1184">
        <v>59</v>
      </c>
      <c r="P1184">
        <v>76</v>
      </c>
      <c r="Q1184">
        <v>0</v>
      </c>
      <c r="R1184">
        <v>0</v>
      </c>
      <c r="S1184">
        <v>0</v>
      </c>
    </row>
    <row r="1185" spans="1:19" x14ac:dyDescent="0.25">
      <c r="A1185">
        <v>18099</v>
      </c>
      <c r="B1185" t="s">
        <v>78</v>
      </c>
      <c r="C1185">
        <v>7</v>
      </c>
      <c r="D1185">
        <v>72.411370801760995</v>
      </c>
      <c r="E1185">
        <v>2.0001899445551601</v>
      </c>
      <c r="F1185">
        <f t="shared" si="37"/>
        <v>4</v>
      </c>
      <c r="G1185">
        <v>0</v>
      </c>
      <c r="H1185">
        <v>1</v>
      </c>
      <c r="I1185">
        <v>3</v>
      </c>
      <c r="J1185">
        <v>0</v>
      </c>
      <c r="K1185">
        <v>0</v>
      </c>
      <c r="L1185">
        <v>0</v>
      </c>
      <c r="M1185">
        <f t="shared" si="36"/>
        <v>135</v>
      </c>
      <c r="N1185">
        <v>0</v>
      </c>
      <c r="O1185">
        <v>59</v>
      </c>
      <c r="P1185">
        <v>76</v>
      </c>
      <c r="Q1185">
        <v>0</v>
      </c>
      <c r="R1185">
        <v>0</v>
      </c>
      <c r="S1185">
        <v>0</v>
      </c>
    </row>
    <row r="1186" spans="1:19" x14ac:dyDescent="0.25">
      <c r="A1186">
        <v>18099</v>
      </c>
      <c r="B1186" t="s">
        <v>78</v>
      </c>
      <c r="C1186">
        <v>8</v>
      </c>
      <c r="D1186">
        <v>59.331477007029399</v>
      </c>
      <c r="E1186">
        <v>1.4158647922131999</v>
      </c>
      <c r="F1186">
        <f t="shared" si="37"/>
        <v>4</v>
      </c>
      <c r="G1186">
        <v>0</v>
      </c>
      <c r="H1186">
        <v>1</v>
      </c>
      <c r="I1186">
        <v>3</v>
      </c>
      <c r="J1186">
        <v>0</v>
      </c>
      <c r="K1186">
        <v>0</v>
      </c>
      <c r="L1186">
        <v>0</v>
      </c>
      <c r="M1186">
        <f t="shared" si="36"/>
        <v>135</v>
      </c>
      <c r="N1186">
        <v>0</v>
      </c>
      <c r="O1186">
        <v>59</v>
      </c>
      <c r="P1186">
        <v>76</v>
      </c>
      <c r="Q1186">
        <v>0</v>
      </c>
      <c r="R1186">
        <v>0</v>
      </c>
      <c r="S1186">
        <v>0</v>
      </c>
    </row>
    <row r="1187" spans="1:19" x14ac:dyDescent="0.25">
      <c r="A1187">
        <v>18099</v>
      </c>
      <c r="B1187" t="s">
        <v>78</v>
      </c>
      <c r="C1187">
        <v>9</v>
      </c>
      <c r="D1187">
        <v>46.948278586244101</v>
      </c>
      <c r="E1187">
        <v>1.4158647922131999</v>
      </c>
      <c r="F1187">
        <f t="shared" si="37"/>
        <v>4</v>
      </c>
      <c r="G1187">
        <v>0</v>
      </c>
      <c r="H1187">
        <v>1</v>
      </c>
      <c r="I1187">
        <v>3</v>
      </c>
      <c r="J1187">
        <v>0</v>
      </c>
      <c r="K1187">
        <v>0</v>
      </c>
      <c r="L1187">
        <v>0</v>
      </c>
      <c r="M1187">
        <f t="shared" si="36"/>
        <v>135</v>
      </c>
      <c r="N1187">
        <v>0</v>
      </c>
      <c r="O1187">
        <v>59</v>
      </c>
      <c r="P1187">
        <v>76</v>
      </c>
      <c r="Q1187">
        <v>0</v>
      </c>
      <c r="R1187">
        <v>0</v>
      </c>
      <c r="S1187">
        <v>0</v>
      </c>
    </row>
    <row r="1188" spans="1:19" x14ac:dyDescent="0.25">
      <c r="A1188">
        <v>18099</v>
      </c>
      <c r="B1188" t="s">
        <v>78</v>
      </c>
      <c r="C1188">
        <v>10</v>
      </c>
      <c r="D1188">
        <v>43.2850093619465</v>
      </c>
      <c r="E1188">
        <v>1.4832869251757299</v>
      </c>
      <c r="F1188">
        <f t="shared" si="37"/>
        <v>4</v>
      </c>
      <c r="G1188">
        <v>0</v>
      </c>
      <c r="H1188">
        <v>1</v>
      </c>
      <c r="I1188">
        <v>3</v>
      </c>
      <c r="J1188">
        <v>0</v>
      </c>
      <c r="K1188">
        <v>0</v>
      </c>
      <c r="L1188">
        <v>0</v>
      </c>
      <c r="M1188">
        <f t="shared" si="36"/>
        <v>135</v>
      </c>
      <c r="N1188">
        <v>0</v>
      </c>
      <c r="O1188">
        <v>59</v>
      </c>
      <c r="P1188">
        <v>76</v>
      </c>
      <c r="Q1188">
        <v>0</v>
      </c>
      <c r="R1188">
        <v>0</v>
      </c>
      <c r="S1188">
        <v>0</v>
      </c>
    </row>
    <row r="1189" spans="1:19" x14ac:dyDescent="0.25">
      <c r="A1189">
        <v>18099</v>
      </c>
      <c r="B1189" t="s">
        <v>78</v>
      </c>
      <c r="C1189">
        <v>11</v>
      </c>
      <c r="D1189">
        <v>47.173019029452597</v>
      </c>
      <c r="E1189">
        <v>1.4608128808548899</v>
      </c>
      <c r="F1189">
        <f t="shared" si="37"/>
        <v>4</v>
      </c>
      <c r="G1189">
        <v>0</v>
      </c>
      <c r="H1189">
        <v>1</v>
      </c>
      <c r="I1189">
        <v>3</v>
      </c>
      <c r="J1189">
        <v>0</v>
      </c>
      <c r="K1189">
        <v>0</v>
      </c>
      <c r="L1189">
        <v>0</v>
      </c>
      <c r="M1189">
        <f t="shared" si="36"/>
        <v>135</v>
      </c>
      <c r="N1189">
        <v>0</v>
      </c>
      <c r="O1189">
        <v>59</v>
      </c>
      <c r="P1189">
        <v>76</v>
      </c>
      <c r="Q1189">
        <v>0</v>
      </c>
      <c r="R1189">
        <v>0</v>
      </c>
      <c r="S1189">
        <v>0</v>
      </c>
    </row>
    <row r="1190" spans="1:19" x14ac:dyDescent="0.25">
      <c r="A1190">
        <v>18099</v>
      </c>
      <c r="B1190" t="s">
        <v>78</v>
      </c>
      <c r="C1190">
        <v>12</v>
      </c>
      <c r="D1190">
        <v>51.016080608316997</v>
      </c>
      <c r="E1190">
        <v>1.75297545702587</v>
      </c>
      <c r="F1190">
        <f t="shared" si="37"/>
        <v>4</v>
      </c>
      <c r="G1190">
        <v>0</v>
      </c>
      <c r="H1190">
        <v>1</v>
      </c>
      <c r="I1190">
        <v>3</v>
      </c>
      <c r="J1190">
        <v>0</v>
      </c>
      <c r="K1190">
        <v>0</v>
      </c>
      <c r="L1190">
        <v>0</v>
      </c>
      <c r="M1190">
        <f t="shared" si="36"/>
        <v>135</v>
      </c>
      <c r="N1190">
        <v>0</v>
      </c>
      <c r="O1190">
        <v>59</v>
      </c>
      <c r="P1190">
        <v>76</v>
      </c>
      <c r="Q1190">
        <v>0</v>
      </c>
      <c r="R1190">
        <v>0</v>
      </c>
      <c r="S1190">
        <v>0</v>
      </c>
    </row>
    <row r="1191" spans="1:19" x14ac:dyDescent="0.25">
      <c r="A1191">
        <v>18099</v>
      </c>
      <c r="B1191" t="s">
        <v>78</v>
      </c>
      <c r="C1191">
        <v>13</v>
      </c>
      <c r="D1191">
        <v>54.139972768914397</v>
      </c>
      <c r="E1191">
        <v>1.6406052354216401</v>
      </c>
      <c r="F1191">
        <f t="shared" si="37"/>
        <v>4</v>
      </c>
      <c r="G1191">
        <v>0</v>
      </c>
      <c r="H1191">
        <v>1</v>
      </c>
      <c r="I1191">
        <v>3</v>
      </c>
      <c r="J1191">
        <v>0</v>
      </c>
      <c r="K1191">
        <v>0</v>
      </c>
      <c r="L1191">
        <v>0</v>
      </c>
      <c r="M1191">
        <f t="shared" si="36"/>
        <v>135</v>
      </c>
      <c r="N1191">
        <v>0</v>
      </c>
      <c r="O1191">
        <v>59</v>
      </c>
      <c r="P1191">
        <v>76</v>
      </c>
      <c r="Q1191">
        <v>0</v>
      </c>
      <c r="R1191">
        <v>0</v>
      </c>
      <c r="S1191">
        <v>0</v>
      </c>
    </row>
    <row r="1192" spans="1:19" x14ac:dyDescent="0.25">
      <c r="A1192">
        <v>18099</v>
      </c>
      <c r="B1192" t="s">
        <v>78</v>
      </c>
      <c r="C1192">
        <v>14</v>
      </c>
      <c r="D1192">
        <v>58.7246778103666</v>
      </c>
      <c r="E1192">
        <v>2.0451380331968498</v>
      </c>
      <c r="F1192">
        <f t="shared" si="37"/>
        <v>4</v>
      </c>
      <c r="G1192">
        <v>0</v>
      </c>
      <c r="H1192">
        <v>1</v>
      </c>
      <c r="I1192">
        <v>3</v>
      </c>
      <c r="J1192">
        <v>0</v>
      </c>
      <c r="K1192">
        <v>0</v>
      </c>
      <c r="L1192">
        <v>0</v>
      </c>
      <c r="M1192">
        <f t="shared" si="36"/>
        <v>135</v>
      </c>
      <c r="N1192">
        <v>0</v>
      </c>
      <c r="O1192">
        <v>59</v>
      </c>
      <c r="P1192">
        <v>76</v>
      </c>
      <c r="Q1192">
        <v>0</v>
      </c>
      <c r="R1192">
        <v>0</v>
      </c>
      <c r="S1192">
        <v>0</v>
      </c>
    </row>
    <row r="1193" spans="1:19" x14ac:dyDescent="0.25">
      <c r="A1193">
        <v>18099</v>
      </c>
      <c r="B1193" t="s">
        <v>78</v>
      </c>
      <c r="C1193">
        <v>15</v>
      </c>
      <c r="D1193">
        <v>67.332236785250103</v>
      </c>
      <c r="E1193">
        <v>2.0001899445551601</v>
      </c>
      <c r="F1193">
        <f t="shared" si="37"/>
        <v>4</v>
      </c>
      <c r="G1193">
        <v>0</v>
      </c>
      <c r="H1193">
        <v>1</v>
      </c>
      <c r="I1193">
        <v>3</v>
      </c>
      <c r="J1193">
        <v>0</v>
      </c>
      <c r="K1193">
        <v>0</v>
      </c>
      <c r="L1193">
        <v>0</v>
      </c>
      <c r="M1193">
        <f t="shared" si="36"/>
        <v>135</v>
      </c>
      <c r="N1193">
        <v>0</v>
      </c>
      <c r="O1193">
        <v>59</v>
      </c>
      <c r="P1193">
        <v>76</v>
      </c>
      <c r="Q1193">
        <v>0</v>
      </c>
      <c r="R1193">
        <v>0</v>
      </c>
      <c r="S1193">
        <v>0</v>
      </c>
    </row>
    <row r="1194" spans="1:19" x14ac:dyDescent="0.25">
      <c r="A1194">
        <v>18099</v>
      </c>
      <c r="B1194" t="s">
        <v>78</v>
      </c>
      <c r="C1194">
        <v>16</v>
      </c>
      <c r="D1194">
        <v>75.108256120262297</v>
      </c>
      <c r="E1194">
        <v>2.3373006093678201</v>
      </c>
      <c r="F1194">
        <f t="shared" si="37"/>
        <v>4</v>
      </c>
      <c r="G1194">
        <v>0</v>
      </c>
      <c r="H1194">
        <v>1</v>
      </c>
      <c r="I1194">
        <v>3</v>
      </c>
      <c r="J1194">
        <v>0</v>
      </c>
      <c r="K1194">
        <v>0</v>
      </c>
      <c r="L1194">
        <v>0</v>
      </c>
      <c r="M1194">
        <f t="shared" si="36"/>
        <v>135</v>
      </c>
      <c r="N1194">
        <v>0</v>
      </c>
      <c r="O1194">
        <v>59</v>
      </c>
      <c r="P1194">
        <v>76</v>
      </c>
      <c r="Q1194">
        <v>0</v>
      </c>
      <c r="R1194">
        <v>0</v>
      </c>
      <c r="S1194">
        <v>0</v>
      </c>
    </row>
    <row r="1195" spans="1:19" x14ac:dyDescent="0.25">
      <c r="A1195">
        <v>18099</v>
      </c>
      <c r="B1195" t="s">
        <v>78</v>
      </c>
      <c r="C1195">
        <v>17</v>
      </c>
      <c r="D1195">
        <v>83.3562303860122</v>
      </c>
      <c r="E1195">
        <v>2.24740443208445</v>
      </c>
      <c r="F1195">
        <f t="shared" si="37"/>
        <v>4</v>
      </c>
      <c r="G1195">
        <v>0</v>
      </c>
      <c r="H1195">
        <v>1</v>
      </c>
      <c r="I1195">
        <v>3</v>
      </c>
      <c r="J1195">
        <v>0</v>
      </c>
      <c r="K1195">
        <v>0</v>
      </c>
      <c r="L1195">
        <v>0</v>
      </c>
      <c r="M1195">
        <f t="shared" si="36"/>
        <v>135</v>
      </c>
      <c r="N1195">
        <v>0</v>
      </c>
      <c r="O1195">
        <v>59</v>
      </c>
      <c r="P1195">
        <v>76</v>
      </c>
      <c r="Q1195">
        <v>0</v>
      </c>
      <c r="R1195">
        <v>0</v>
      </c>
      <c r="S1195">
        <v>0</v>
      </c>
    </row>
    <row r="1196" spans="1:19" x14ac:dyDescent="0.25">
      <c r="A1196">
        <v>18099</v>
      </c>
      <c r="B1196" t="s">
        <v>78</v>
      </c>
      <c r="C1196">
        <v>18</v>
      </c>
      <c r="D1196">
        <v>90.345658169794902</v>
      </c>
      <c r="E1196">
        <v>1.5057609694965799</v>
      </c>
      <c r="F1196">
        <f t="shared" si="37"/>
        <v>4</v>
      </c>
      <c r="G1196">
        <v>0</v>
      </c>
      <c r="H1196">
        <v>1</v>
      </c>
      <c r="I1196">
        <v>3</v>
      </c>
      <c r="J1196">
        <v>0</v>
      </c>
      <c r="K1196">
        <v>0</v>
      </c>
      <c r="L1196">
        <v>0</v>
      </c>
      <c r="M1196">
        <f t="shared" si="36"/>
        <v>135</v>
      </c>
      <c r="N1196">
        <v>0</v>
      </c>
      <c r="O1196">
        <v>59</v>
      </c>
      <c r="P1196">
        <v>76</v>
      </c>
      <c r="Q1196">
        <v>0</v>
      </c>
      <c r="R1196">
        <v>0</v>
      </c>
      <c r="S1196">
        <v>0</v>
      </c>
    </row>
    <row r="1197" spans="1:19" x14ac:dyDescent="0.25">
      <c r="A1197">
        <v>18099</v>
      </c>
      <c r="B1197" t="s">
        <v>78</v>
      </c>
      <c r="C1197">
        <v>19</v>
      </c>
      <c r="D1197">
        <v>99.020639277640896</v>
      </c>
      <c r="E1197">
        <v>1.5956571467799501</v>
      </c>
      <c r="F1197">
        <f t="shared" si="37"/>
        <v>4</v>
      </c>
      <c r="G1197">
        <v>0</v>
      </c>
      <c r="H1197">
        <v>1</v>
      </c>
      <c r="I1197">
        <v>3</v>
      </c>
      <c r="J1197">
        <v>0</v>
      </c>
      <c r="K1197">
        <v>0</v>
      </c>
      <c r="L1197">
        <v>0</v>
      </c>
      <c r="M1197">
        <f t="shared" si="36"/>
        <v>135</v>
      </c>
      <c r="N1197">
        <v>0</v>
      </c>
      <c r="O1197">
        <v>59</v>
      </c>
      <c r="P1197">
        <v>76</v>
      </c>
      <c r="Q1197">
        <v>0</v>
      </c>
      <c r="R1197">
        <v>0</v>
      </c>
      <c r="S1197">
        <v>0</v>
      </c>
    </row>
    <row r="1198" spans="1:19" x14ac:dyDescent="0.25">
      <c r="A1198">
        <v>18099</v>
      </c>
      <c r="B1198" t="s">
        <v>78</v>
      </c>
      <c r="C1198">
        <v>20</v>
      </c>
      <c r="D1198">
        <v>106.010067061423</v>
      </c>
      <c r="E1198">
        <v>1.5282350138174201</v>
      </c>
      <c r="F1198">
        <f t="shared" si="37"/>
        <v>4</v>
      </c>
      <c r="G1198">
        <v>0</v>
      </c>
      <c r="H1198">
        <v>1</v>
      </c>
      <c r="I1198">
        <v>3</v>
      </c>
      <c r="J1198">
        <v>0</v>
      </c>
      <c r="K1198">
        <v>0</v>
      </c>
      <c r="L1198">
        <v>0</v>
      </c>
      <c r="M1198">
        <f t="shared" si="36"/>
        <v>135</v>
      </c>
      <c r="N1198">
        <v>0</v>
      </c>
      <c r="O1198">
        <v>59</v>
      </c>
      <c r="P1198">
        <v>76</v>
      </c>
      <c r="Q1198">
        <v>0</v>
      </c>
      <c r="R1198">
        <v>0</v>
      </c>
      <c r="S1198">
        <v>0</v>
      </c>
    </row>
    <row r="1199" spans="1:19" x14ac:dyDescent="0.25">
      <c r="A1199">
        <v>18099</v>
      </c>
      <c r="B1199" t="s">
        <v>78</v>
      </c>
      <c r="C1199">
        <v>21</v>
      </c>
      <c r="D1199">
        <v>110.86446063472501</v>
      </c>
      <c r="E1199">
        <v>1.5507090581382701</v>
      </c>
      <c r="F1199">
        <f t="shared" si="37"/>
        <v>4</v>
      </c>
      <c r="G1199">
        <v>0</v>
      </c>
      <c r="H1199">
        <v>1</v>
      </c>
      <c r="I1199">
        <v>3</v>
      </c>
      <c r="J1199">
        <v>0</v>
      </c>
      <c r="K1199">
        <v>0</v>
      </c>
      <c r="L1199">
        <v>0</v>
      </c>
      <c r="M1199">
        <f t="shared" si="36"/>
        <v>135</v>
      </c>
      <c r="N1199">
        <v>0</v>
      </c>
      <c r="O1199">
        <v>59</v>
      </c>
      <c r="P1199">
        <v>76</v>
      </c>
      <c r="Q1199">
        <v>0</v>
      </c>
      <c r="R1199">
        <v>0</v>
      </c>
      <c r="S1199">
        <v>0</v>
      </c>
    </row>
    <row r="1200" spans="1:19" x14ac:dyDescent="0.25">
      <c r="A1200">
        <v>18099</v>
      </c>
      <c r="B1200" t="s">
        <v>78</v>
      </c>
      <c r="C1200">
        <v>22</v>
      </c>
      <c r="D1200">
        <v>114.32546346013601</v>
      </c>
      <c r="E1200">
        <v>1.70802736838418</v>
      </c>
      <c r="F1200">
        <f t="shared" si="37"/>
        <v>4</v>
      </c>
      <c r="G1200">
        <v>0</v>
      </c>
      <c r="H1200">
        <v>1</v>
      </c>
      <c r="I1200">
        <v>3</v>
      </c>
      <c r="J1200">
        <v>0</v>
      </c>
      <c r="K1200">
        <v>0</v>
      </c>
      <c r="L1200">
        <v>0</v>
      </c>
      <c r="M1200">
        <f t="shared" si="36"/>
        <v>135</v>
      </c>
      <c r="N1200">
        <v>0</v>
      </c>
      <c r="O1200">
        <v>59</v>
      </c>
      <c r="P1200">
        <v>76</v>
      </c>
      <c r="Q1200">
        <v>0</v>
      </c>
      <c r="R1200">
        <v>0</v>
      </c>
      <c r="S1200">
        <v>0</v>
      </c>
    </row>
    <row r="1201" spans="1:19" x14ac:dyDescent="0.25">
      <c r="A1201">
        <v>18099</v>
      </c>
      <c r="B1201" t="s">
        <v>78</v>
      </c>
      <c r="C1201">
        <v>23</v>
      </c>
      <c r="D1201">
        <v>115.988542739878</v>
      </c>
      <c r="E1201">
        <v>1.8653456786300899</v>
      </c>
      <c r="F1201">
        <f t="shared" si="37"/>
        <v>4</v>
      </c>
      <c r="G1201">
        <v>0</v>
      </c>
      <c r="H1201">
        <v>1</v>
      </c>
      <c r="I1201">
        <v>3</v>
      </c>
      <c r="J1201">
        <v>0</v>
      </c>
      <c r="K1201">
        <v>0</v>
      </c>
      <c r="L1201">
        <v>0</v>
      </c>
      <c r="M1201">
        <f t="shared" si="36"/>
        <v>135</v>
      </c>
      <c r="N1201">
        <v>0</v>
      </c>
      <c r="O1201">
        <v>59</v>
      </c>
      <c r="P1201">
        <v>76</v>
      </c>
      <c r="Q1201">
        <v>0</v>
      </c>
      <c r="R1201">
        <v>0</v>
      </c>
      <c r="S1201">
        <v>0</v>
      </c>
    </row>
    <row r="1202" spans="1:19" x14ac:dyDescent="0.25">
      <c r="A1202">
        <v>18101</v>
      </c>
      <c r="B1202" t="s">
        <v>79</v>
      </c>
      <c r="C1202">
        <v>0</v>
      </c>
      <c r="D1202">
        <v>0</v>
      </c>
      <c r="E1202">
        <v>0.15471531873003699</v>
      </c>
      <c r="F1202">
        <f t="shared" si="37"/>
        <v>0</v>
      </c>
      <c r="G1202">
        <v>0</v>
      </c>
      <c r="H1202">
        <v>0</v>
      </c>
      <c r="I1202">
        <v>0</v>
      </c>
      <c r="J1202">
        <v>0</v>
      </c>
      <c r="K1202">
        <v>0</v>
      </c>
      <c r="L1202">
        <v>0</v>
      </c>
      <c r="M1202">
        <f t="shared" si="36"/>
        <v>0</v>
      </c>
      <c r="N1202">
        <v>0</v>
      </c>
      <c r="O1202">
        <v>0</v>
      </c>
      <c r="P1202">
        <v>0</v>
      </c>
      <c r="Q1202">
        <v>0</v>
      </c>
      <c r="R1202">
        <v>0</v>
      </c>
      <c r="S1202">
        <v>0</v>
      </c>
    </row>
    <row r="1203" spans="1:19" x14ac:dyDescent="0.25">
      <c r="A1203">
        <v>18101</v>
      </c>
      <c r="B1203" t="s">
        <v>79</v>
      </c>
      <c r="C1203">
        <v>1</v>
      </c>
      <c r="D1203">
        <v>0</v>
      </c>
      <c r="E1203">
        <v>0.15471531873003699</v>
      </c>
      <c r="F1203">
        <f t="shared" si="37"/>
        <v>0</v>
      </c>
      <c r="G1203">
        <v>0</v>
      </c>
      <c r="H1203">
        <v>0</v>
      </c>
      <c r="I1203">
        <v>0</v>
      </c>
      <c r="J1203">
        <v>0</v>
      </c>
      <c r="K1203">
        <v>0</v>
      </c>
      <c r="L1203">
        <v>0</v>
      </c>
      <c r="M1203">
        <f t="shared" si="36"/>
        <v>0</v>
      </c>
      <c r="N1203">
        <v>0</v>
      </c>
      <c r="O1203">
        <v>0</v>
      </c>
      <c r="P1203">
        <v>0</v>
      </c>
      <c r="Q1203">
        <v>0</v>
      </c>
      <c r="R1203">
        <v>0</v>
      </c>
      <c r="S1203">
        <v>0</v>
      </c>
    </row>
    <row r="1204" spans="1:19" x14ac:dyDescent="0.25">
      <c r="A1204">
        <v>18101</v>
      </c>
      <c r="B1204" t="s">
        <v>79</v>
      </c>
      <c r="C1204">
        <v>2</v>
      </c>
      <c r="D1204">
        <v>0</v>
      </c>
      <c r="E1204">
        <v>0.30943063746007399</v>
      </c>
      <c r="F1204">
        <f t="shared" si="37"/>
        <v>0</v>
      </c>
      <c r="G1204">
        <v>0</v>
      </c>
      <c r="H1204">
        <v>0</v>
      </c>
      <c r="I1204">
        <v>0</v>
      </c>
      <c r="J1204">
        <v>0</v>
      </c>
      <c r="K1204">
        <v>0</v>
      </c>
      <c r="L1204">
        <v>0</v>
      </c>
      <c r="M1204">
        <f t="shared" si="36"/>
        <v>0</v>
      </c>
      <c r="N1204">
        <v>0</v>
      </c>
      <c r="O1204">
        <v>0</v>
      </c>
      <c r="P1204">
        <v>0</v>
      </c>
      <c r="Q1204">
        <v>0</v>
      </c>
      <c r="R1204">
        <v>0</v>
      </c>
      <c r="S1204">
        <v>0</v>
      </c>
    </row>
    <row r="1205" spans="1:19" x14ac:dyDescent="0.25">
      <c r="A1205">
        <v>18101</v>
      </c>
      <c r="B1205" t="s">
        <v>79</v>
      </c>
      <c r="C1205">
        <v>3</v>
      </c>
      <c r="D1205">
        <v>0</v>
      </c>
      <c r="E1205">
        <v>0.30943063746007399</v>
      </c>
      <c r="F1205">
        <f t="shared" si="37"/>
        <v>0</v>
      </c>
      <c r="G1205">
        <v>0</v>
      </c>
      <c r="H1205">
        <v>0</v>
      </c>
      <c r="I1205">
        <v>0</v>
      </c>
      <c r="J1205">
        <v>0</v>
      </c>
      <c r="K1205">
        <v>0</v>
      </c>
      <c r="L1205">
        <v>0</v>
      </c>
      <c r="M1205">
        <f t="shared" si="36"/>
        <v>0</v>
      </c>
      <c r="N1205">
        <v>0</v>
      </c>
      <c r="O1205">
        <v>0</v>
      </c>
      <c r="P1205">
        <v>0</v>
      </c>
      <c r="Q1205">
        <v>0</v>
      </c>
      <c r="R1205">
        <v>0</v>
      </c>
      <c r="S1205">
        <v>0</v>
      </c>
    </row>
    <row r="1206" spans="1:19" x14ac:dyDescent="0.25">
      <c r="A1206">
        <v>18101</v>
      </c>
      <c r="B1206" t="s">
        <v>79</v>
      </c>
      <c r="C1206">
        <v>4</v>
      </c>
      <c r="D1206">
        <v>0</v>
      </c>
      <c r="E1206">
        <v>0.30943063746007399</v>
      </c>
      <c r="F1206">
        <f t="shared" si="37"/>
        <v>0</v>
      </c>
      <c r="G1206">
        <v>0</v>
      </c>
      <c r="H1206">
        <v>0</v>
      </c>
      <c r="I1206">
        <v>0</v>
      </c>
      <c r="J1206">
        <v>0</v>
      </c>
      <c r="K1206">
        <v>0</v>
      </c>
      <c r="L1206">
        <v>0</v>
      </c>
      <c r="M1206">
        <f t="shared" si="36"/>
        <v>0</v>
      </c>
      <c r="N1206">
        <v>0</v>
      </c>
      <c r="O1206">
        <v>0</v>
      </c>
      <c r="P1206">
        <v>0</v>
      </c>
      <c r="Q1206">
        <v>0</v>
      </c>
      <c r="R1206">
        <v>0</v>
      </c>
      <c r="S1206">
        <v>0</v>
      </c>
    </row>
    <row r="1207" spans="1:19" x14ac:dyDescent="0.25">
      <c r="A1207">
        <v>18101</v>
      </c>
      <c r="B1207" t="s">
        <v>79</v>
      </c>
      <c r="C1207">
        <v>5</v>
      </c>
      <c r="D1207">
        <v>0</v>
      </c>
      <c r="E1207">
        <v>1.1603648904752699</v>
      </c>
      <c r="F1207">
        <f t="shared" si="37"/>
        <v>0</v>
      </c>
      <c r="G1207">
        <v>0</v>
      </c>
      <c r="H1207">
        <v>0</v>
      </c>
      <c r="I1207">
        <v>0</v>
      </c>
      <c r="J1207">
        <v>0</v>
      </c>
      <c r="K1207">
        <v>0</v>
      </c>
      <c r="L1207">
        <v>0</v>
      </c>
      <c r="M1207">
        <f t="shared" si="36"/>
        <v>0</v>
      </c>
      <c r="N1207">
        <v>0</v>
      </c>
      <c r="O1207">
        <v>0</v>
      </c>
      <c r="P1207">
        <v>0</v>
      </c>
      <c r="Q1207">
        <v>0</v>
      </c>
      <c r="R1207">
        <v>0</v>
      </c>
      <c r="S1207">
        <v>0</v>
      </c>
    </row>
    <row r="1208" spans="1:19" x14ac:dyDescent="0.25">
      <c r="A1208">
        <v>18101</v>
      </c>
      <c r="B1208" t="s">
        <v>79</v>
      </c>
      <c r="C1208">
        <v>6</v>
      </c>
      <c r="D1208">
        <v>0</v>
      </c>
      <c r="E1208">
        <v>0.85093425301520398</v>
      </c>
      <c r="F1208">
        <f t="shared" si="37"/>
        <v>0</v>
      </c>
      <c r="G1208">
        <v>0</v>
      </c>
      <c r="H1208">
        <v>0</v>
      </c>
      <c r="I1208">
        <v>0</v>
      </c>
      <c r="J1208">
        <v>0</v>
      </c>
      <c r="K1208">
        <v>0</v>
      </c>
      <c r="L1208">
        <v>0</v>
      </c>
      <c r="M1208">
        <f t="shared" si="36"/>
        <v>0</v>
      </c>
      <c r="N1208">
        <v>0</v>
      </c>
      <c r="O1208">
        <v>0</v>
      </c>
      <c r="P1208">
        <v>0</v>
      </c>
      <c r="Q1208">
        <v>0</v>
      </c>
      <c r="R1208">
        <v>0</v>
      </c>
      <c r="S1208">
        <v>0</v>
      </c>
    </row>
    <row r="1209" spans="1:19" x14ac:dyDescent="0.25">
      <c r="A1209">
        <v>18101</v>
      </c>
      <c r="B1209" t="s">
        <v>79</v>
      </c>
      <c r="C1209">
        <v>7</v>
      </c>
      <c r="D1209">
        <v>0</v>
      </c>
      <c r="E1209">
        <v>2.0112991434904801</v>
      </c>
      <c r="F1209">
        <f t="shared" si="37"/>
        <v>0</v>
      </c>
      <c r="G1209">
        <v>0</v>
      </c>
      <c r="H1209">
        <v>0</v>
      </c>
      <c r="I1209">
        <v>0</v>
      </c>
      <c r="J1209">
        <v>0</v>
      </c>
      <c r="K1209">
        <v>0</v>
      </c>
      <c r="L1209">
        <v>0</v>
      </c>
      <c r="M1209">
        <f t="shared" si="36"/>
        <v>0</v>
      </c>
      <c r="N1209">
        <v>0</v>
      </c>
      <c r="O1209">
        <v>0</v>
      </c>
      <c r="P1209">
        <v>0</v>
      </c>
      <c r="Q1209">
        <v>0</v>
      </c>
      <c r="R1209">
        <v>0</v>
      </c>
      <c r="S1209">
        <v>0</v>
      </c>
    </row>
    <row r="1210" spans="1:19" x14ac:dyDescent="0.25">
      <c r="A1210">
        <v>18101</v>
      </c>
      <c r="B1210" t="s">
        <v>79</v>
      </c>
      <c r="C1210">
        <v>8</v>
      </c>
      <c r="D1210">
        <v>0</v>
      </c>
      <c r="E1210">
        <v>2.24337212158553</v>
      </c>
      <c r="F1210">
        <f t="shared" si="37"/>
        <v>0</v>
      </c>
      <c r="G1210">
        <v>0</v>
      </c>
      <c r="H1210">
        <v>0</v>
      </c>
      <c r="I1210">
        <v>0</v>
      </c>
      <c r="J1210">
        <v>0</v>
      </c>
      <c r="K1210">
        <v>0</v>
      </c>
      <c r="L1210">
        <v>0</v>
      </c>
      <c r="M1210">
        <f t="shared" si="36"/>
        <v>0</v>
      </c>
      <c r="N1210">
        <v>0</v>
      </c>
      <c r="O1210">
        <v>0</v>
      </c>
      <c r="P1210">
        <v>0</v>
      </c>
      <c r="Q1210">
        <v>0</v>
      </c>
      <c r="R1210">
        <v>0</v>
      </c>
      <c r="S1210">
        <v>0</v>
      </c>
    </row>
    <row r="1211" spans="1:19" x14ac:dyDescent="0.25">
      <c r="A1211">
        <v>18101</v>
      </c>
      <c r="B1211" t="s">
        <v>79</v>
      </c>
      <c r="C1211">
        <v>9</v>
      </c>
      <c r="D1211">
        <v>0</v>
      </c>
      <c r="E1211">
        <v>2.24337212158553</v>
      </c>
      <c r="F1211">
        <f t="shared" si="37"/>
        <v>0</v>
      </c>
      <c r="G1211">
        <v>0</v>
      </c>
      <c r="H1211">
        <v>0</v>
      </c>
      <c r="I1211">
        <v>0</v>
      </c>
      <c r="J1211">
        <v>0</v>
      </c>
      <c r="K1211">
        <v>0</v>
      </c>
      <c r="L1211">
        <v>0</v>
      </c>
      <c r="M1211">
        <f t="shared" si="36"/>
        <v>0</v>
      </c>
      <c r="N1211">
        <v>0</v>
      </c>
      <c r="O1211">
        <v>0</v>
      </c>
      <c r="P1211">
        <v>0</v>
      </c>
      <c r="Q1211">
        <v>0</v>
      </c>
      <c r="R1211">
        <v>0</v>
      </c>
      <c r="S1211">
        <v>0</v>
      </c>
    </row>
    <row r="1212" spans="1:19" x14ac:dyDescent="0.25">
      <c r="A1212">
        <v>18101</v>
      </c>
      <c r="B1212" t="s">
        <v>79</v>
      </c>
      <c r="C1212">
        <v>10</v>
      </c>
      <c r="D1212">
        <v>0</v>
      </c>
      <c r="E1212">
        <v>4.6414595619011099</v>
      </c>
      <c r="F1212">
        <f t="shared" si="37"/>
        <v>0</v>
      </c>
      <c r="G1212">
        <v>0</v>
      </c>
      <c r="H1212">
        <v>0</v>
      </c>
      <c r="I1212">
        <v>0</v>
      </c>
      <c r="J1212">
        <v>0</v>
      </c>
      <c r="K1212">
        <v>0</v>
      </c>
      <c r="L1212">
        <v>0</v>
      </c>
      <c r="M1212">
        <f t="shared" si="36"/>
        <v>0</v>
      </c>
      <c r="N1212">
        <v>0</v>
      </c>
      <c r="O1212">
        <v>0</v>
      </c>
      <c r="P1212">
        <v>0</v>
      </c>
      <c r="Q1212">
        <v>0</v>
      </c>
      <c r="R1212">
        <v>0</v>
      </c>
      <c r="S1212">
        <v>0</v>
      </c>
    </row>
    <row r="1213" spans="1:19" x14ac:dyDescent="0.25">
      <c r="A1213">
        <v>18101</v>
      </c>
      <c r="B1213" t="s">
        <v>79</v>
      </c>
      <c r="C1213">
        <v>11</v>
      </c>
      <c r="D1213">
        <v>0</v>
      </c>
      <c r="E1213">
        <v>4.2546712650760101</v>
      </c>
      <c r="F1213">
        <f t="shared" si="37"/>
        <v>0</v>
      </c>
      <c r="G1213">
        <v>0</v>
      </c>
      <c r="H1213">
        <v>0</v>
      </c>
      <c r="I1213">
        <v>0</v>
      </c>
      <c r="J1213">
        <v>0</v>
      </c>
      <c r="K1213">
        <v>0</v>
      </c>
      <c r="L1213">
        <v>0</v>
      </c>
      <c r="M1213">
        <f t="shared" si="36"/>
        <v>0</v>
      </c>
      <c r="N1213">
        <v>0</v>
      </c>
      <c r="O1213">
        <v>0</v>
      </c>
      <c r="P1213">
        <v>0</v>
      </c>
      <c r="Q1213">
        <v>0</v>
      </c>
      <c r="R1213">
        <v>0</v>
      </c>
      <c r="S1213">
        <v>0</v>
      </c>
    </row>
    <row r="1214" spans="1:19" x14ac:dyDescent="0.25">
      <c r="A1214">
        <v>18101</v>
      </c>
      <c r="B1214" t="s">
        <v>79</v>
      </c>
      <c r="C1214">
        <v>12</v>
      </c>
      <c r="D1214">
        <v>0</v>
      </c>
      <c r="E1214">
        <v>2.7848757371406601</v>
      </c>
      <c r="F1214">
        <f t="shared" si="37"/>
        <v>0</v>
      </c>
      <c r="G1214">
        <v>0</v>
      </c>
      <c r="H1214">
        <v>0</v>
      </c>
      <c r="I1214">
        <v>0</v>
      </c>
      <c r="J1214">
        <v>0</v>
      </c>
      <c r="K1214">
        <v>0</v>
      </c>
      <c r="L1214">
        <v>0</v>
      </c>
      <c r="M1214">
        <f t="shared" si="36"/>
        <v>0</v>
      </c>
      <c r="N1214">
        <v>0</v>
      </c>
      <c r="O1214">
        <v>0</v>
      </c>
      <c r="P1214">
        <v>0</v>
      </c>
      <c r="Q1214">
        <v>0</v>
      </c>
      <c r="R1214">
        <v>0</v>
      </c>
      <c r="S1214">
        <v>0</v>
      </c>
    </row>
    <row r="1215" spans="1:19" x14ac:dyDescent="0.25">
      <c r="A1215">
        <v>18101</v>
      </c>
      <c r="B1215" t="s">
        <v>79</v>
      </c>
      <c r="C1215">
        <v>13</v>
      </c>
      <c r="D1215">
        <v>0</v>
      </c>
      <c r="E1215">
        <v>1.5471531873003701</v>
      </c>
      <c r="F1215">
        <f t="shared" si="37"/>
        <v>0</v>
      </c>
      <c r="G1215">
        <v>0</v>
      </c>
      <c r="H1215">
        <v>0</v>
      </c>
      <c r="I1215">
        <v>0</v>
      </c>
      <c r="J1215">
        <v>0</v>
      </c>
      <c r="K1215">
        <v>0</v>
      </c>
      <c r="L1215">
        <v>0</v>
      </c>
      <c r="M1215">
        <f t="shared" si="36"/>
        <v>0</v>
      </c>
      <c r="N1215">
        <v>0</v>
      </c>
      <c r="O1215">
        <v>0</v>
      </c>
      <c r="P1215">
        <v>0</v>
      </c>
      <c r="Q1215">
        <v>0</v>
      </c>
      <c r="R1215">
        <v>0</v>
      </c>
      <c r="S1215">
        <v>0</v>
      </c>
    </row>
    <row r="1216" spans="1:19" x14ac:dyDescent="0.25">
      <c r="A1216">
        <v>18101</v>
      </c>
      <c r="B1216" t="s">
        <v>79</v>
      </c>
      <c r="C1216">
        <v>14</v>
      </c>
      <c r="D1216">
        <v>0</v>
      </c>
      <c r="E1216">
        <v>0.85093425301520398</v>
      </c>
      <c r="F1216">
        <f t="shared" si="37"/>
        <v>0</v>
      </c>
      <c r="G1216">
        <v>0</v>
      </c>
      <c r="H1216">
        <v>0</v>
      </c>
      <c r="I1216">
        <v>0</v>
      </c>
      <c r="J1216">
        <v>0</v>
      </c>
      <c r="K1216">
        <v>0</v>
      </c>
      <c r="L1216">
        <v>0</v>
      </c>
      <c r="M1216">
        <f t="shared" si="36"/>
        <v>0</v>
      </c>
      <c r="N1216">
        <v>0</v>
      </c>
      <c r="O1216">
        <v>0</v>
      </c>
      <c r="P1216">
        <v>0</v>
      </c>
      <c r="Q1216">
        <v>0</v>
      </c>
      <c r="R1216">
        <v>0</v>
      </c>
      <c r="S1216">
        <v>0</v>
      </c>
    </row>
    <row r="1217" spans="1:19" x14ac:dyDescent="0.25">
      <c r="A1217">
        <v>18101</v>
      </c>
      <c r="B1217" t="s">
        <v>79</v>
      </c>
      <c r="C1217">
        <v>15</v>
      </c>
      <c r="D1217">
        <v>0</v>
      </c>
      <c r="E1217">
        <v>0.30943063746007399</v>
      </c>
      <c r="F1217">
        <f t="shared" si="37"/>
        <v>0</v>
      </c>
      <c r="G1217">
        <v>0</v>
      </c>
      <c r="H1217">
        <v>0</v>
      </c>
      <c r="I1217">
        <v>0</v>
      </c>
      <c r="J1217">
        <v>0</v>
      </c>
      <c r="K1217">
        <v>0</v>
      </c>
      <c r="L1217">
        <v>0</v>
      </c>
      <c r="M1217">
        <f t="shared" si="36"/>
        <v>0</v>
      </c>
      <c r="N1217">
        <v>0</v>
      </c>
      <c r="O1217">
        <v>0</v>
      </c>
      <c r="P1217">
        <v>0</v>
      </c>
      <c r="Q1217">
        <v>0</v>
      </c>
      <c r="R1217">
        <v>0</v>
      </c>
      <c r="S1217">
        <v>0</v>
      </c>
    </row>
    <row r="1218" spans="1:19" x14ac:dyDescent="0.25">
      <c r="A1218">
        <v>18101</v>
      </c>
      <c r="B1218" t="s">
        <v>79</v>
      </c>
      <c r="C1218">
        <v>16</v>
      </c>
      <c r="D1218">
        <v>0</v>
      </c>
      <c r="E1218">
        <v>0.15471531873003699</v>
      </c>
      <c r="F1218">
        <f t="shared" si="37"/>
        <v>0</v>
      </c>
      <c r="G1218">
        <v>0</v>
      </c>
      <c r="H1218">
        <v>0</v>
      </c>
      <c r="I1218">
        <v>0</v>
      </c>
      <c r="J1218">
        <v>0</v>
      </c>
      <c r="K1218">
        <v>0</v>
      </c>
      <c r="L1218">
        <v>0</v>
      </c>
      <c r="M1218">
        <f t="shared" ref="M1218:M1281" si="38">SUM(N1218:S1218)</f>
        <v>0</v>
      </c>
      <c r="N1218">
        <v>0</v>
      </c>
      <c r="O1218">
        <v>0</v>
      </c>
      <c r="P1218">
        <v>0</v>
      </c>
      <c r="Q1218">
        <v>0</v>
      </c>
      <c r="R1218">
        <v>0</v>
      </c>
      <c r="S1218">
        <v>0</v>
      </c>
    </row>
    <row r="1219" spans="1:19" x14ac:dyDescent="0.25">
      <c r="A1219">
        <v>18101</v>
      </c>
      <c r="B1219" t="s">
        <v>79</v>
      </c>
      <c r="C1219">
        <v>17</v>
      </c>
      <c r="D1219">
        <v>0</v>
      </c>
      <c r="E1219">
        <v>0.15471531873003699</v>
      </c>
      <c r="F1219">
        <f t="shared" ref="F1219:F1282" si="39">SUM(G1219:L1219)</f>
        <v>0</v>
      </c>
      <c r="G1219">
        <v>0</v>
      </c>
      <c r="H1219">
        <v>0</v>
      </c>
      <c r="I1219">
        <v>0</v>
      </c>
      <c r="J1219">
        <v>0</v>
      </c>
      <c r="K1219">
        <v>0</v>
      </c>
      <c r="L1219">
        <v>0</v>
      </c>
      <c r="M1219">
        <f t="shared" si="38"/>
        <v>0</v>
      </c>
      <c r="N1219">
        <v>0</v>
      </c>
      <c r="O1219">
        <v>0</v>
      </c>
      <c r="P1219">
        <v>0</v>
      </c>
      <c r="Q1219">
        <v>0</v>
      </c>
      <c r="R1219">
        <v>0</v>
      </c>
      <c r="S1219">
        <v>0</v>
      </c>
    </row>
    <row r="1220" spans="1:19" x14ac:dyDescent="0.25">
      <c r="A1220">
        <v>18101</v>
      </c>
      <c r="B1220" t="s">
        <v>79</v>
      </c>
      <c r="C1220">
        <v>18</v>
      </c>
      <c r="D1220">
        <v>0</v>
      </c>
      <c r="E1220">
        <v>0.15471531873003699</v>
      </c>
      <c r="F1220">
        <f t="shared" si="39"/>
        <v>0</v>
      </c>
      <c r="G1220">
        <v>0</v>
      </c>
      <c r="H1220">
        <v>0</v>
      </c>
      <c r="I1220">
        <v>0</v>
      </c>
      <c r="J1220">
        <v>0</v>
      </c>
      <c r="K1220">
        <v>0</v>
      </c>
      <c r="L1220">
        <v>0</v>
      </c>
      <c r="M1220">
        <f t="shared" si="38"/>
        <v>0</v>
      </c>
      <c r="N1220">
        <v>0</v>
      </c>
      <c r="O1220">
        <v>0</v>
      </c>
      <c r="P1220">
        <v>0</v>
      </c>
      <c r="Q1220">
        <v>0</v>
      </c>
      <c r="R1220">
        <v>0</v>
      </c>
      <c r="S1220">
        <v>0</v>
      </c>
    </row>
    <row r="1221" spans="1:19" x14ac:dyDescent="0.25">
      <c r="A1221">
        <v>18101</v>
      </c>
      <c r="B1221" t="s">
        <v>79</v>
      </c>
      <c r="C1221">
        <v>19</v>
      </c>
      <c r="D1221">
        <v>0</v>
      </c>
      <c r="E1221">
        <v>0.54150361555512905</v>
      </c>
      <c r="F1221">
        <f t="shared" si="39"/>
        <v>0</v>
      </c>
      <c r="G1221">
        <v>0</v>
      </c>
      <c r="H1221">
        <v>0</v>
      </c>
      <c r="I1221">
        <v>0</v>
      </c>
      <c r="J1221">
        <v>0</v>
      </c>
      <c r="K1221">
        <v>0</v>
      </c>
      <c r="L1221">
        <v>0</v>
      </c>
      <c r="M1221">
        <f t="shared" si="38"/>
        <v>0</v>
      </c>
      <c r="N1221">
        <v>0</v>
      </c>
      <c r="O1221">
        <v>0</v>
      </c>
      <c r="P1221">
        <v>0</v>
      </c>
      <c r="Q1221">
        <v>0</v>
      </c>
      <c r="R1221">
        <v>0</v>
      </c>
      <c r="S1221">
        <v>0</v>
      </c>
    </row>
    <row r="1222" spans="1:19" x14ac:dyDescent="0.25">
      <c r="A1222">
        <v>18101</v>
      </c>
      <c r="B1222" t="s">
        <v>79</v>
      </c>
      <c r="C1222">
        <v>20</v>
      </c>
      <c r="D1222">
        <v>0</v>
      </c>
      <c r="E1222">
        <v>0.38678829682509203</v>
      </c>
      <c r="F1222">
        <f t="shared" si="39"/>
        <v>0</v>
      </c>
      <c r="G1222">
        <v>0</v>
      </c>
      <c r="H1222">
        <v>0</v>
      </c>
      <c r="I1222">
        <v>0</v>
      </c>
      <c r="J1222">
        <v>0</v>
      </c>
      <c r="K1222">
        <v>0</v>
      </c>
      <c r="L1222">
        <v>0</v>
      </c>
      <c r="M1222">
        <f t="shared" si="38"/>
        <v>0</v>
      </c>
      <c r="N1222">
        <v>0</v>
      </c>
      <c r="O1222">
        <v>0</v>
      </c>
      <c r="P1222">
        <v>0</v>
      </c>
      <c r="Q1222">
        <v>0</v>
      </c>
      <c r="R1222">
        <v>0</v>
      </c>
      <c r="S1222">
        <v>0</v>
      </c>
    </row>
    <row r="1223" spans="1:19" x14ac:dyDescent="0.25">
      <c r="A1223">
        <v>18101</v>
      </c>
      <c r="B1223" t="s">
        <v>79</v>
      </c>
      <c r="C1223">
        <v>21</v>
      </c>
      <c r="D1223">
        <v>0</v>
      </c>
      <c r="E1223">
        <v>0.15471531873003699</v>
      </c>
      <c r="F1223">
        <f t="shared" si="39"/>
        <v>0</v>
      </c>
      <c r="G1223">
        <v>0</v>
      </c>
      <c r="H1223">
        <v>0</v>
      </c>
      <c r="I1223">
        <v>0</v>
      </c>
      <c r="J1223">
        <v>0</v>
      </c>
      <c r="K1223">
        <v>0</v>
      </c>
      <c r="L1223">
        <v>0</v>
      </c>
      <c r="M1223">
        <f t="shared" si="38"/>
        <v>0</v>
      </c>
      <c r="N1223">
        <v>0</v>
      </c>
      <c r="O1223">
        <v>0</v>
      </c>
      <c r="P1223">
        <v>0</v>
      </c>
      <c r="Q1223">
        <v>0</v>
      </c>
      <c r="R1223">
        <v>0</v>
      </c>
      <c r="S1223">
        <v>0</v>
      </c>
    </row>
    <row r="1224" spans="1:19" x14ac:dyDescent="0.25">
      <c r="A1224">
        <v>18101</v>
      </c>
      <c r="B1224" t="s">
        <v>79</v>
      </c>
      <c r="C1224">
        <v>22</v>
      </c>
      <c r="D1224">
        <v>0</v>
      </c>
      <c r="E1224">
        <v>0.15471531873003699</v>
      </c>
      <c r="F1224">
        <f t="shared" si="39"/>
        <v>0</v>
      </c>
      <c r="G1224">
        <v>0</v>
      </c>
      <c r="H1224">
        <v>0</v>
      </c>
      <c r="I1224">
        <v>0</v>
      </c>
      <c r="J1224">
        <v>0</v>
      </c>
      <c r="K1224">
        <v>0</v>
      </c>
      <c r="L1224">
        <v>0</v>
      </c>
      <c r="M1224">
        <f t="shared" si="38"/>
        <v>0</v>
      </c>
      <c r="N1224">
        <v>0</v>
      </c>
      <c r="O1224">
        <v>0</v>
      </c>
      <c r="P1224">
        <v>0</v>
      </c>
      <c r="Q1224">
        <v>0</v>
      </c>
      <c r="R1224">
        <v>0</v>
      </c>
      <c r="S1224">
        <v>0</v>
      </c>
    </row>
    <row r="1225" spans="1:19" x14ac:dyDescent="0.25">
      <c r="A1225">
        <v>18101</v>
      </c>
      <c r="B1225" t="s">
        <v>79</v>
      </c>
      <c r="C1225">
        <v>23</v>
      </c>
      <c r="D1225">
        <v>0</v>
      </c>
      <c r="E1225">
        <v>0.15471531873003699</v>
      </c>
      <c r="F1225">
        <f t="shared" si="39"/>
        <v>0</v>
      </c>
      <c r="G1225">
        <v>0</v>
      </c>
      <c r="H1225">
        <v>0</v>
      </c>
      <c r="I1225">
        <v>0</v>
      </c>
      <c r="J1225">
        <v>0</v>
      </c>
      <c r="K1225">
        <v>0</v>
      </c>
      <c r="L1225">
        <v>0</v>
      </c>
      <c r="M1225">
        <f t="shared" si="38"/>
        <v>0</v>
      </c>
      <c r="N1225">
        <v>0</v>
      </c>
      <c r="O1225">
        <v>0</v>
      </c>
      <c r="P1225">
        <v>0</v>
      </c>
      <c r="Q1225">
        <v>0</v>
      </c>
      <c r="R1225">
        <v>0</v>
      </c>
      <c r="S1225">
        <v>0</v>
      </c>
    </row>
    <row r="1226" spans="1:19" x14ac:dyDescent="0.25">
      <c r="A1226">
        <v>18103</v>
      </c>
      <c r="B1226" t="s">
        <v>80</v>
      </c>
      <c r="C1226">
        <v>0</v>
      </c>
      <c r="D1226">
        <v>81.736107436601102</v>
      </c>
      <c r="E1226">
        <v>0</v>
      </c>
      <c r="F1226">
        <f t="shared" si="39"/>
        <v>2</v>
      </c>
      <c r="G1226">
        <v>0</v>
      </c>
      <c r="H1226">
        <v>1</v>
      </c>
      <c r="I1226">
        <v>1</v>
      </c>
      <c r="J1226">
        <v>0</v>
      </c>
      <c r="K1226">
        <v>0</v>
      </c>
      <c r="L1226">
        <v>0</v>
      </c>
      <c r="M1226">
        <f t="shared" si="38"/>
        <v>97</v>
      </c>
      <c r="N1226">
        <v>0</v>
      </c>
      <c r="O1226">
        <v>80</v>
      </c>
      <c r="P1226">
        <v>17</v>
      </c>
      <c r="Q1226">
        <v>0</v>
      </c>
      <c r="R1226">
        <v>0</v>
      </c>
      <c r="S1226">
        <v>0</v>
      </c>
    </row>
    <row r="1227" spans="1:19" x14ac:dyDescent="0.25">
      <c r="A1227">
        <v>18103</v>
      </c>
      <c r="B1227" t="s">
        <v>80</v>
      </c>
      <c r="C1227">
        <v>1</v>
      </c>
      <c r="D1227">
        <v>83.605332346793702</v>
      </c>
      <c r="E1227">
        <v>0</v>
      </c>
      <c r="F1227">
        <f t="shared" si="39"/>
        <v>2</v>
      </c>
      <c r="G1227">
        <v>0</v>
      </c>
      <c r="H1227">
        <v>1</v>
      </c>
      <c r="I1227">
        <v>1</v>
      </c>
      <c r="J1227">
        <v>0</v>
      </c>
      <c r="K1227">
        <v>0</v>
      </c>
      <c r="L1227">
        <v>0</v>
      </c>
      <c r="M1227">
        <f t="shared" si="38"/>
        <v>97</v>
      </c>
      <c r="N1227">
        <v>0</v>
      </c>
      <c r="O1227">
        <v>80</v>
      </c>
      <c r="P1227">
        <v>17</v>
      </c>
      <c r="Q1227">
        <v>0</v>
      </c>
      <c r="R1227">
        <v>0</v>
      </c>
      <c r="S1227">
        <v>0</v>
      </c>
    </row>
    <row r="1228" spans="1:19" x14ac:dyDescent="0.25">
      <c r="A1228">
        <v>18103</v>
      </c>
      <c r="B1228" t="s">
        <v>80</v>
      </c>
      <c r="C1228">
        <v>2</v>
      </c>
      <c r="D1228">
        <v>84.030156190019198</v>
      </c>
      <c r="E1228">
        <v>0</v>
      </c>
      <c r="F1228">
        <f t="shared" si="39"/>
        <v>2</v>
      </c>
      <c r="G1228">
        <v>0</v>
      </c>
      <c r="H1228">
        <v>1</v>
      </c>
      <c r="I1228">
        <v>1</v>
      </c>
      <c r="J1228">
        <v>0</v>
      </c>
      <c r="K1228">
        <v>0</v>
      </c>
      <c r="L1228">
        <v>0</v>
      </c>
      <c r="M1228">
        <f t="shared" si="38"/>
        <v>97</v>
      </c>
      <c r="N1228">
        <v>0</v>
      </c>
      <c r="O1228">
        <v>80</v>
      </c>
      <c r="P1228">
        <v>17</v>
      </c>
      <c r="Q1228">
        <v>0</v>
      </c>
      <c r="R1228">
        <v>0</v>
      </c>
      <c r="S1228">
        <v>0</v>
      </c>
    </row>
    <row r="1229" spans="1:19" x14ac:dyDescent="0.25">
      <c r="A1229">
        <v>18103</v>
      </c>
      <c r="B1229" t="s">
        <v>80</v>
      </c>
      <c r="C1229">
        <v>3</v>
      </c>
      <c r="D1229">
        <v>83.945191421374105</v>
      </c>
      <c r="E1229">
        <v>0.25489430593534601</v>
      </c>
      <c r="F1229">
        <f t="shared" si="39"/>
        <v>2</v>
      </c>
      <c r="G1229">
        <v>0</v>
      </c>
      <c r="H1229">
        <v>1</v>
      </c>
      <c r="I1229">
        <v>1</v>
      </c>
      <c r="J1229">
        <v>0</v>
      </c>
      <c r="K1229">
        <v>0</v>
      </c>
      <c r="L1229">
        <v>0</v>
      </c>
      <c r="M1229">
        <f t="shared" si="38"/>
        <v>97</v>
      </c>
      <c r="N1229">
        <v>0</v>
      </c>
      <c r="O1229">
        <v>80</v>
      </c>
      <c r="P1229">
        <v>17</v>
      </c>
      <c r="Q1229">
        <v>0</v>
      </c>
      <c r="R1229">
        <v>0</v>
      </c>
      <c r="S1229">
        <v>0</v>
      </c>
    </row>
    <row r="1230" spans="1:19" x14ac:dyDescent="0.25">
      <c r="A1230">
        <v>18103</v>
      </c>
      <c r="B1230" t="s">
        <v>80</v>
      </c>
      <c r="C1230">
        <v>4</v>
      </c>
      <c r="D1230">
        <v>79.781917757763495</v>
      </c>
      <c r="E1230">
        <v>0.339859074580462</v>
      </c>
      <c r="F1230">
        <f t="shared" si="39"/>
        <v>2</v>
      </c>
      <c r="G1230">
        <v>0</v>
      </c>
      <c r="H1230">
        <v>1</v>
      </c>
      <c r="I1230">
        <v>1</v>
      </c>
      <c r="J1230">
        <v>0</v>
      </c>
      <c r="K1230">
        <v>0</v>
      </c>
      <c r="L1230">
        <v>0</v>
      </c>
      <c r="M1230">
        <f t="shared" si="38"/>
        <v>97</v>
      </c>
      <c r="N1230">
        <v>0</v>
      </c>
      <c r="O1230">
        <v>80</v>
      </c>
      <c r="P1230">
        <v>17</v>
      </c>
      <c r="Q1230">
        <v>0</v>
      </c>
      <c r="R1230">
        <v>0</v>
      </c>
      <c r="S1230">
        <v>0</v>
      </c>
    </row>
    <row r="1231" spans="1:19" x14ac:dyDescent="0.25">
      <c r="A1231">
        <v>18103</v>
      </c>
      <c r="B1231" t="s">
        <v>80</v>
      </c>
      <c r="C1231">
        <v>5</v>
      </c>
      <c r="D1231">
        <v>79.102199608602504</v>
      </c>
      <c r="E1231">
        <v>0.339859074580462</v>
      </c>
      <c r="F1231">
        <f t="shared" si="39"/>
        <v>2</v>
      </c>
      <c r="G1231">
        <v>0</v>
      </c>
      <c r="H1231">
        <v>1</v>
      </c>
      <c r="I1231">
        <v>1</v>
      </c>
      <c r="J1231">
        <v>0</v>
      </c>
      <c r="K1231">
        <v>0</v>
      </c>
      <c r="L1231">
        <v>0</v>
      </c>
      <c r="M1231">
        <f t="shared" si="38"/>
        <v>97</v>
      </c>
      <c r="N1231">
        <v>0</v>
      </c>
      <c r="O1231">
        <v>80</v>
      </c>
      <c r="P1231">
        <v>17</v>
      </c>
      <c r="Q1231">
        <v>0</v>
      </c>
      <c r="R1231">
        <v>0</v>
      </c>
      <c r="S1231">
        <v>0</v>
      </c>
    </row>
    <row r="1232" spans="1:19" x14ac:dyDescent="0.25">
      <c r="A1232">
        <v>18103</v>
      </c>
      <c r="B1232" t="s">
        <v>80</v>
      </c>
      <c r="C1232">
        <v>6</v>
      </c>
      <c r="D1232">
        <v>79.357093914537899</v>
      </c>
      <c r="E1232">
        <v>0.934612455096271</v>
      </c>
      <c r="F1232">
        <f t="shared" si="39"/>
        <v>2</v>
      </c>
      <c r="G1232">
        <v>0</v>
      </c>
      <c r="H1232">
        <v>1</v>
      </c>
      <c r="I1232">
        <v>1</v>
      </c>
      <c r="J1232">
        <v>0</v>
      </c>
      <c r="K1232">
        <v>0</v>
      </c>
      <c r="L1232">
        <v>0</v>
      </c>
      <c r="M1232">
        <f t="shared" si="38"/>
        <v>97</v>
      </c>
      <c r="N1232">
        <v>0</v>
      </c>
      <c r="O1232">
        <v>80</v>
      </c>
      <c r="P1232">
        <v>17</v>
      </c>
      <c r="Q1232">
        <v>0</v>
      </c>
      <c r="R1232">
        <v>0</v>
      </c>
      <c r="S1232">
        <v>0</v>
      </c>
    </row>
    <row r="1233" spans="1:19" x14ac:dyDescent="0.25">
      <c r="A1233">
        <v>18103</v>
      </c>
      <c r="B1233" t="s">
        <v>80</v>
      </c>
      <c r="C1233">
        <v>7</v>
      </c>
      <c r="D1233">
        <v>72.389982885638403</v>
      </c>
      <c r="E1233">
        <v>1.01957722374138</v>
      </c>
      <c r="F1233">
        <f t="shared" si="39"/>
        <v>2</v>
      </c>
      <c r="G1233">
        <v>0</v>
      </c>
      <c r="H1233">
        <v>1</v>
      </c>
      <c r="I1233">
        <v>1</v>
      </c>
      <c r="J1233">
        <v>0</v>
      </c>
      <c r="K1233">
        <v>0</v>
      </c>
      <c r="L1233">
        <v>0</v>
      </c>
      <c r="M1233">
        <f t="shared" si="38"/>
        <v>97</v>
      </c>
      <c r="N1233">
        <v>0</v>
      </c>
      <c r="O1233">
        <v>80</v>
      </c>
      <c r="P1233">
        <v>17</v>
      </c>
      <c r="Q1233">
        <v>0</v>
      </c>
      <c r="R1233">
        <v>0</v>
      </c>
      <c r="S1233">
        <v>0</v>
      </c>
    </row>
    <row r="1234" spans="1:19" x14ac:dyDescent="0.25">
      <c r="A1234">
        <v>18103</v>
      </c>
      <c r="B1234" t="s">
        <v>80</v>
      </c>
      <c r="C1234">
        <v>8</v>
      </c>
      <c r="D1234">
        <v>55.566958693905498</v>
      </c>
      <c r="E1234">
        <v>1.1895067610316099</v>
      </c>
      <c r="F1234">
        <f t="shared" si="39"/>
        <v>2</v>
      </c>
      <c r="G1234">
        <v>0</v>
      </c>
      <c r="H1234">
        <v>1</v>
      </c>
      <c r="I1234">
        <v>1</v>
      </c>
      <c r="J1234">
        <v>0</v>
      </c>
      <c r="K1234">
        <v>0</v>
      </c>
      <c r="L1234">
        <v>0</v>
      </c>
      <c r="M1234">
        <f t="shared" si="38"/>
        <v>97</v>
      </c>
      <c r="N1234">
        <v>0</v>
      </c>
      <c r="O1234">
        <v>80</v>
      </c>
      <c r="P1234">
        <v>17</v>
      </c>
      <c r="Q1234">
        <v>0</v>
      </c>
      <c r="R1234">
        <v>0</v>
      </c>
      <c r="S1234">
        <v>0</v>
      </c>
    </row>
    <row r="1235" spans="1:19" x14ac:dyDescent="0.25">
      <c r="A1235">
        <v>18103</v>
      </c>
      <c r="B1235" t="s">
        <v>80</v>
      </c>
      <c r="C1235">
        <v>9</v>
      </c>
      <c r="D1235">
        <v>42.312454785267498</v>
      </c>
      <c r="E1235">
        <v>0.67971814916092399</v>
      </c>
      <c r="F1235">
        <f t="shared" si="39"/>
        <v>2</v>
      </c>
      <c r="G1235">
        <v>0</v>
      </c>
      <c r="H1235">
        <v>1</v>
      </c>
      <c r="I1235">
        <v>1</v>
      </c>
      <c r="J1235">
        <v>0</v>
      </c>
      <c r="K1235">
        <v>0</v>
      </c>
      <c r="L1235">
        <v>0</v>
      </c>
      <c r="M1235">
        <f t="shared" si="38"/>
        <v>97</v>
      </c>
      <c r="N1235">
        <v>0</v>
      </c>
      <c r="O1235">
        <v>80</v>
      </c>
      <c r="P1235">
        <v>17</v>
      </c>
      <c r="Q1235">
        <v>0</v>
      </c>
      <c r="R1235">
        <v>0</v>
      </c>
      <c r="S1235">
        <v>0</v>
      </c>
    </row>
    <row r="1236" spans="1:19" x14ac:dyDescent="0.25">
      <c r="A1236">
        <v>18103</v>
      </c>
      <c r="B1236" t="s">
        <v>80</v>
      </c>
      <c r="C1236">
        <v>10</v>
      </c>
      <c r="D1236">
        <v>33.391154077530402</v>
      </c>
      <c r="E1236">
        <v>2.1241192161278799</v>
      </c>
      <c r="F1236">
        <f t="shared" si="39"/>
        <v>2</v>
      </c>
      <c r="G1236">
        <v>0</v>
      </c>
      <c r="H1236">
        <v>1</v>
      </c>
      <c r="I1236">
        <v>1</v>
      </c>
      <c r="J1236">
        <v>0</v>
      </c>
      <c r="K1236">
        <v>0</v>
      </c>
      <c r="L1236">
        <v>0</v>
      </c>
      <c r="M1236">
        <f t="shared" si="38"/>
        <v>97</v>
      </c>
      <c r="N1236">
        <v>0</v>
      </c>
      <c r="O1236">
        <v>80</v>
      </c>
      <c r="P1236">
        <v>17</v>
      </c>
      <c r="Q1236">
        <v>0</v>
      </c>
      <c r="R1236">
        <v>0</v>
      </c>
      <c r="S1236">
        <v>0</v>
      </c>
    </row>
    <row r="1237" spans="1:19" x14ac:dyDescent="0.25">
      <c r="A1237">
        <v>18103</v>
      </c>
      <c r="B1237" t="s">
        <v>80</v>
      </c>
      <c r="C1237">
        <v>11</v>
      </c>
      <c r="D1237">
        <v>28.972986107984401</v>
      </c>
      <c r="E1237">
        <v>0</v>
      </c>
      <c r="F1237">
        <f t="shared" si="39"/>
        <v>2</v>
      </c>
      <c r="G1237">
        <v>0</v>
      </c>
      <c r="H1237">
        <v>1</v>
      </c>
      <c r="I1237">
        <v>1</v>
      </c>
      <c r="J1237">
        <v>0</v>
      </c>
      <c r="K1237">
        <v>0</v>
      </c>
      <c r="L1237">
        <v>0</v>
      </c>
      <c r="M1237">
        <f t="shared" si="38"/>
        <v>97</v>
      </c>
      <c r="N1237">
        <v>0</v>
      </c>
      <c r="O1237">
        <v>80</v>
      </c>
      <c r="P1237">
        <v>17</v>
      </c>
      <c r="Q1237">
        <v>0</v>
      </c>
      <c r="R1237">
        <v>0</v>
      </c>
      <c r="S1237">
        <v>0</v>
      </c>
    </row>
    <row r="1238" spans="1:19" x14ac:dyDescent="0.25">
      <c r="A1238">
        <v>18103</v>
      </c>
      <c r="B1238" t="s">
        <v>80</v>
      </c>
      <c r="C1238">
        <v>12</v>
      </c>
      <c r="D1238">
        <v>31.182070092757399</v>
      </c>
      <c r="E1238">
        <v>0.169929537290231</v>
      </c>
      <c r="F1238">
        <f t="shared" si="39"/>
        <v>2</v>
      </c>
      <c r="G1238">
        <v>0</v>
      </c>
      <c r="H1238">
        <v>1</v>
      </c>
      <c r="I1238">
        <v>1</v>
      </c>
      <c r="J1238">
        <v>0</v>
      </c>
      <c r="K1238">
        <v>0</v>
      </c>
      <c r="L1238">
        <v>0</v>
      </c>
      <c r="M1238">
        <f t="shared" si="38"/>
        <v>97</v>
      </c>
      <c r="N1238">
        <v>0</v>
      </c>
      <c r="O1238">
        <v>80</v>
      </c>
      <c r="P1238">
        <v>17</v>
      </c>
      <c r="Q1238">
        <v>0</v>
      </c>
      <c r="R1238">
        <v>0</v>
      </c>
      <c r="S1238">
        <v>0</v>
      </c>
    </row>
    <row r="1239" spans="1:19" x14ac:dyDescent="0.25">
      <c r="A1239">
        <v>18103</v>
      </c>
      <c r="B1239" t="s">
        <v>80</v>
      </c>
      <c r="C1239">
        <v>13</v>
      </c>
      <c r="D1239">
        <v>41.292877561526097</v>
      </c>
      <c r="E1239">
        <v>0.339859074580462</v>
      </c>
      <c r="F1239">
        <f t="shared" si="39"/>
        <v>2</v>
      </c>
      <c r="G1239">
        <v>0</v>
      </c>
      <c r="H1239">
        <v>1</v>
      </c>
      <c r="I1239">
        <v>1</v>
      </c>
      <c r="J1239">
        <v>0</v>
      </c>
      <c r="K1239">
        <v>0</v>
      </c>
      <c r="L1239">
        <v>0</v>
      </c>
      <c r="M1239">
        <f t="shared" si="38"/>
        <v>97</v>
      </c>
      <c r="N1239">
        <v>0</v>
      </c>
      <c r="O1239">
        <v>80</v>
      </c>
      <c r="P1239">
        <v>17</v>
      </c>
      <c r="Q1239">
        <v>0</v>
      </c>
      <c r="R1239">
        <v>0</v>
      </c>
      <c r="S1239">
        <v>0</v>
      </c>
    </row>
    <row r="1240" spans="1:19" x14ac:dyDescent="0.25">
      <c r="A1240">
        <v>18103</v>
      </c>
      <c r="B1240" t="s">
        <v>80</v>
      </c>
      <c r="C1240">
        <v>14</v>
      </c>
      <c r="D1240">
        <v>48.090059053135398</v>
      </c>
      <c r="E1240">
        <v>0.67971814916092399</v>
      </c>
      <c r="F1240">
        <f t="shared" si="39"/>
        <v>2</v>
      </c>
      <c r="G1240">
        <v>0</v>
      </c>
      <c r="H1240">
        <v>1</v>
      </c>
      <c r="I1240">
        <v>1</v>
      </c>
      <c r="J1240">
        <v>0</v>
      </c>
      <c r="K1240">
        <v>0</v>
      </c>
      <c r="L1240">
        <v>0</v>
      </c>
      <c r="M1240">
        <f t="shared" si="38"/>
        <v>97</v>
      </c>
      <c r="N1240">
        <v>0</v>
      </c>
      <c r="O1240">
        <v>80</v>
      </c>
      <c r="P1240">
        <v>17</v>
      </c>
      <c r="Q1240">
        <v>0</v>
      </c>
      <c r="R1240">
        <v>0</v>
      </c>
      <c r="S1240">
        <v>0</v>
      </c>
    </row>
    <row r="1241" spans="1:19" x14ac:dyDescent="0.25">
      <c r="A1241">
        <v>18103</v>
      </c>
      <c r="B1241" t="s">
        <v>80</v>
      </c>
      <c r="C1241">
        <v>15</v>
      </c>
      <c r="D1241">
        <v>37.044639129270301</v>
      </c>
      <c r="E1241">
        <v>0.42482384322557698</v>
      </c>
      <c r="F1241">
        <f t="shared" si="39"/>
        <v>2</v>
      </c>
      <c r="G1241">
        <v>0</v>
      </c>
      <c r="H1241">
        <v>1</v>
      </c>
      <c r="I1241">
        <v>1</v>
      </c>
      <c r="J1241">
        <v>0</v>
      </c>
      <c r="K1241">
        <v>0</v>
      </c>
      <c r="L1241">
        <v>0</v>
      </c>
      <c r="M1241">
        <f t="shared" si="38"/>
        <v>97</v>
      </c>
      <c r="N1241">
        <v>0</v>
      </c>
      <c r="O1241">
        <v>80</v>
      </c>
      <c r="P1241">
        <v>17</v>
      </c>
      <c r="Q1241">
        <v>0</v>
      </c>
      <c r="R1241">
        <v>0</v>
      </c>
      <c r="S1241">
        <v>0</v>
      </c>
    </row>
    <row r="1242" spans="1:19" x14ac:dyDescent="0.25">
      <c r="A1242">
        <v>18103</v>
      </c>
      <c r="B1242" t="s">
        <v>80</v>
      </c>
      <c r="C1242">
        <v>16</v>
      </c>
      <c r="D1242">
        <v>37.639392509786099</v>
      </c>
      <c r="E1242">
        <v>0.42482384322557698</v>
      </c>
      <c r="F1242">
        <f t="shared" si="39"/>
        <v>2</v>
      </c>
      <c r="G1242">
        <v>0</v>
      </c>
      <c r="H1242">
        <v>1</v>
      </c>
      <c r="I1242">
        <v>1</v>
      </c>
      <c r="J1242">
        <v>0</v>
      </c>
      <c r="K1242">
        <v>0</v>
      </c>
      <c r="L1242">
        <v>0</v>
      </c>
      <c r="M1242">
        <f t="shared" si="38"/>
        <v>97</v>
      </c>
      <c r="N1242">
        <v>0</v>
      </c>
      <c r="O1242">
        <v>80</v>
      </c>
      <c r="P1242">
        <v>17</v>
      </c>
      <c r="Q1242">
        <v>0</v>
      </c>
      <c r="R1242">
        <v>0</v>
      </c>
      <c r="S1242">
        <v>0</v>
      </c>
    </row>
    <row r="1243" spans="1:19" x14ac:dyDescent="0.25">
      <c r="A1243">
        <v>18103</v>
      </c>
      <c r="B1243" t="s">
        <v>80</v>
      </c>
      <c r="C1243">
        <v>17</v>
      </c>
      <c r="D1243">
        <v>43.077137703073497</v>
      </c>
      <c r="E1243">
        <v>0</v>
      </c>
      <c r="F1243">
        <f t="shared" si="39"/>
        <v>2</v>
      </c>
      <c r="G1243">
        <v>0</v>
      </c>
      <c r="H1243">
        <v>1</v>
      </c>
      <c r="I1243">
        <v>1</v>
      </c>
      <c r="J1243">
        <v>0</v>
      </c>
      <c r="K1243">
        <v>0</v>
      </c>
      <c r="L1243">
        <v>0</v>
      </c>
      <c r="M1243">
        <f t="shared" si="38"/>
        <v>97</v>
      </c>
      <c r="N1243">
        <v>0</v>
      </c>
      <c r="O1243">
        <v>80</v>
      </c>
      <c r="P1243">
        <v>17</v>
      </c>
      <c r="Q1243">
        <v>0</v>
      </c>
      <c r="R1243">
        <v>0</v>
      </c>
      <c r="S1243">
        <v>0</v>
      </c>
    </row>
    <row r="1244" spans="1:19" x14ac:dyDescent="0.25">
      <c r="A1244">
        <v>18103</v>
      </c>
      <c r="B1244" t="s">
        <v>80</v>
      </c>
      <c r="C1244">
        <v>18</v>
      </c>
      <c r="D1244">
        <v>50.214178269263201</v>
      </c>
      <c r="E1244">
        <v>0</v>
      </c>
      <c r="F1244">
        <f t="shared" si="39"/>
        <v>2</v>
      </c>
      <c r="G1244">
        <v>0</v>
      </c>
      <c r="H1244">
        <v>1</v>
      </c>
      <c r="I1244">
        <v>1</v>
      </c>
      <c r="J1244">
        <v>0</v>
      </c>
      <c r="K1244">
        <v>0</v>
      </c>
      <c r="L1244">
        <v>0</v>
      </c>
      <c r="M1244">
        <f t="shared" si="38"/>
        <v>97</v>
      </c>
      <c r="N1244">
        <v>0</v>
      </c>
      <c r="O1244">
        <v>80</v>
      </c>
      <c r="P1244">
        <v>17</v>
      </c>
      <c r="Q1244">
        <v>0</v>
      </c>
      <c r="R1244">
        <v>0</v>
      </c>
      <c r="S1244">
        <v>0</v>
      </c>
    </row>
    <row r="1245" spans="1:19" x14ac:dyDescent="0.25">
      <c r="A1245">
        <v>18103</v>
      </c>
      <c r="B1245" t="s">
        <v>80</v>
      </c>
      <c r="C1245">
        <v>19</v>
      </c>
      <c r="D1245">
        <v>59.305408514290598</v>
      </c>
      <c r="E1245">
        <v>0</v>
      </c>
      <c r="F1245">
        <f t="shared" si="39"/>
        <v>2</v>
      </c>
      <c r="G1245">
        <v>0</v>
      </c>
      <c r="H1245">
        <v>1</v>
      </c>
      <c r="I1245">
        <v>1</v>
      </c>
      <c r="J1245">
        <v>0</v>
      </c>
      <c r="K1245">
        <v>0</v>
      </c>
      <c r="L1245">
        <v>0</v>
      </c>
      <c r="M1245">
        <f t="shared" si="38"/>
        <v>97</v>
      </c>
      <c r="N1245">
        <v>0</v>
      </c>
      <c r="O1245">
        <v>80</v>
      </c>
      <c r="P1245">
        <v>17</v>
      </c>
      <c r="Q1245">
        <v>0</v>
      </c>
      <c r="R1245">
        <v>0</v>
      </c>
      <c r="S1245">
        <v>0</v>
      </c>
    </row>
    <row r="1246" spans="1:19" x14ac:dyDescent="0.25">
      <c r="A1246">
        <v>18103</v>
      </c>
      <c r="B1246" t="s">
        <v>80</v>
      </c>
      <c r="C1246">
        <v>20</v>
      </c>
      <c r="D1246">
        <v>68.056779684737506</v>
      </c>
      <c r="E1246">
        <v>0</v>
      </c>
      <c r="F1246">
        <f t="shared" si="39"/>
        <v>2</v>
      </c>
      <c r="G1246">
        <v>0</v>
      </c>
      <c r="H1246">
        <v>1</v>
      </c>
      <c r="I1246">
        <v>1</v>
      </c>
      <c r="J1246">
        <v>0</v>
      </c>
      <c r="K1246">
        <v>0</v>
      </c>
      <c r="L1246">
        <v>0</v>
      </c>
      <c r="M1246">
        <f t="shared" si="38"/>
        <v>97</v>
      </c>
      <c r="N1246">
        <v>0</v>
      </c>
      <c r="O1246">
        <v>80</v>
      </c>
      <c r="P1246">
        <v>17</v>
      </c>
      <c r="Q1246">
        <v>0</v>
      </c>
      <c r="R1246">
        <v>0</v>
      </c>
      <c r="S1246">
        <v>0</v>
      </c>
    </row>
    <row r="1247" spans="1:19" x14ac:dyDescent="0.25">
      <c r="A1247">
        <v>18103</v>
      </c>
      <c r="B1247" t="s">
        <v>80</v>
      </c>
      <c r="C1247">
        <v>21</v>
      </c>
      <c r="D1247">
        <v>72.899771497509093</v>
      </c>
      <c r="E1247">
        <v>0</v>
      </c>
      <c r="F1247">
        <f t="shared" si="39"/>
        <v>2</v>
      </c>
      <c r="G1247">
        <v>0</v>
      </c>
      <c r="H1247">
        <v>1</v>
      </c>
      <c r="I1247">
        <v>1</v>
      </c>
      <c r="J1247">
        <v>0</v>
      </c>
      <c r="K1247">
        <v>0</v>
      </c>
      <c r="L1247">
        <v>0</v>
      </c>
      <c r="M1247">
        <f t="shared" si="38"/>
        <v>97</v>
      </c>
      <c r="N1247">
        <v>0</v>
      </c>
      <c r="O1247">
        <v>80</v>
      </c>
      <c r="P1247">
        <v>17</v>
      </c>
      <c r="Q1247">
        <v>0</v>
      </c>
      <c r="R1247">
        <v>0</v>
      </c>
      <c r="S1247">
        <v>0</v>
      </c>
    </row>
    <row r="1248" spans="1:19" x14ac:dyDescent="0.25">
      <c r="A1248">
        <v>18103</v>
      </c>
      <c r="B1248" t="s">
        <v>80</v>
      </c>
      <c r="C1248">
        <v>22</v>
      </c>
      <c r="D1248">
        <v>75.873538400088094</v>
      </c>
      <c r="E1248">
        <v>0</v>
      </c>
      <c r="F1248">
        <f t="shared" si="39"/>
        <v>2</v>
      </c>
      <c r="G1248">
        <v>0</v>
      </c>
      <c r="H1248">
        <v>1</v>
      </c>
      <c r="I1248">
        <v>1</v>
      </c>
      <c r="J1248">
        <v>0</v>
      </c>
      <c r="K1248">
        <v>0</v>
      </c>
      <c r="L1248">
        <v>0</v>
      </c>
      <c r="M1248">
        <f t="shared" si="38"/>
        <v>97</v>
      </c>
      <c r="N1248">
        <v>0</v>
      </c>
      <c r="O1248">
        <v>80</v>
      </c>
      <c r="P1248">
        <v>17</v>
      </c>
      <c r="Q1248">
        <v>0</v>
      </c>
      <c r="R1248">
        <v>0</v>
      </c>
      <c r="S1248">
        <v>0</v>
      </c>
    </row>
    <row r="1249" spans="1:19" x14ac:dyDescent="0.25">
      <c r="A1249">
        <v>18103</v>
      </c>
      <c r="B1249" t="s">
        <v>80</v>
      </c>
      <c r="C1249">
        <v>23</v>
      </c>
      <c r="D1249">
        <v>79.696952989118302</v>
      </c>
      <c r="E1249">
        <v>0</v>
      </c>
      <c r="F1249">
        <f t="shared" si="39"/>
        <v>2</v>
      </c>
      <c r="G1249">
        <v>0</v>
      </c>
      <c r="H1249">
        <v>1</v>
      </c>
      <c r="I1249">
        <v>1</v>
      </c>
      <c r="J1249">
        <v>0</v>
      </c>
      <c r="K1249">
        <v>0</v>
      </c>
      <c r="L1249">
        <v>0</v>
      </c>
      <c r="M1249">
        <f t="shared" si="38"/>
        <v>97</v>
      </c>
      <c r="N1249">
        <v>0</v>
      </c>
      <c r="O1249">
        <v>80</v>
      </c>
      <c r="P1249">
        <v>17</v>
      </c>
      <c r="Q1249">
        <v>0</v>
      </c>
      <c r="R1249">
        <v>0</v>
      </c>
      <c r="S1249">
        <v>0</v>
      </c>
    </row>
    <row r="1250" spans="1:19" x14ac:dyDescent="0.25">
      <c r="A1250">
        <v>18105</v>
      </c>
      <c r="B1250" t="s">
        <v>81</v>
      </c>
      <c r="C1250">
        <v>0</v>
      </c>
      <c r="D1250">
        <v>2.9624658880317898</v>
      </c>
      <c r="E1250">
        <v>1.54856171419843</v>
      </c>
      <c r="F1250">
        <f t="shared" si="39"/>
        <v>1</v>
      </c>
      <c r="G1250">
        <v>0</v>
      </c>
      <c r="H1250">
        <v>0</v>
      </c>
      <c r="I1250">
        <v>1</v>
      </c>
      <c r="J1250">
        <v>0</v>
      </c>
      <c r="K1250">
        <v>0</v>
      </c>
      <c r="L1250">
        <v>0</v>
      </c>
      <c r="M1250">
        <f t="shared" si="38"/>
        <v>18</v>
      </c>
      <c r="N1250">
        <v>0</v>
      </c>
      <c r="O1250">
        <v>0</v>
      </c>
      <c r="P1250">
        <v>18</v>
      </c>
      <c r="Q1250">
        <v>0</v>
      </c>
      <c r="R1250">
        <v>0</v>
      </c>
      <c r="S1250">
        <v>0</v>
      </c>
    </row>
    <row r="1251" spans="1:19" x14ac:dyDescent="0.25">
      <c r="A1251">
        <v>18105</v>
      </c>
      <c r="B1251" t="s">
        <v>81</v>
      </c>
      <c r="C1251">
        <v>1</v>
      </c>
      <c r="D1251">
        <v>3.1644521985794101</v>
      </c>
      <c r="E1251">
        <v>1.7505480247460501</v>
      </c>
      <c r="F1251">
        <f t="shared" si="39"/>
        <v>1</v>
      </c>
      <c r="G1251">
        <v>0</v>
      </c>
      <c r="H1251">
        <v>0</v>
      </c>
      <c r="I1251">
        <v>1</v>
      </c>
      <c r="J1251">
        <v>0</v>
      </c>
      <c r="K1251">
        <v>0</v>
      </c>
      <c r="L1251">
        <v>0</v>
      </c>
      <c r="M1251">
        <f t="shared" si="38"/>
        <v>18</v>
      </c>
      <c r="N1251">
        <v>0</v>
      </c>
      <c r="O1251">
        <v>0</v>
      </c>
      <c r="P1251">
        <v>18</v>
      </c>
      <c r="Q1251">
        <v>0</v>
      </c>
      <c r="R1251">
        <v>0</v>
      </c>
      <c r="S1251">
        <v>0</v>
      </c>
    </row>
    <row r="1252" spans="1:19" x14ac:dyDescent="0.25">
      <c r="A1252">
        <v>18105</v>
      </c>
      <c r="B1252" t="s">
        <v>81</v>
      </c>
      <c r="C1252">
        <v>2</v>
      </c>
      <c r="D1252">
        <v>3.83773990040482</v>
      </c>
      <c r="E1252">
        <v>2.1545206458413002</v>
      </c>
      <c r="F1252">
        <f t="shared" si="39"/>
        <v>1</v>
      </c>
      <c r="G1252">
        <v>0</v>
      </c>
      <c r="H1252">
        <v>0</v>
      </c>
      <c r="I1252">
        <v>1</v>
      </c>
      <c r="J1252">
        <v>0</v>
      </c>
      <c r="K1252">
        <v>0</v>
      </c>
      <c r="L1252">
        <v>0</v>
      </c>
      <c r="M1252">
        <f t="shared" si="38"/>
        <v>18</v>
      </c>
      <c r="N1252">
        <v>0</v>
      </c>
      <c r="O1252">
        <v>0</v>
      </c>
      <c r="P1252">
        <v>18</v>
      </c>
      <c r="Q1252">
        <v>0</v>
      </c>
      <c r="R1252">
        <v>0</v>
      </c>
      <c r="S1252">
        <v>0</v>
      </c>
    </row>
    <row r="1253" spans="1:19" x14ac:dyDescent="0.25">
      <c r="A1253">
        <v>18105</v>
      </c>
      <c r="B1253" t="s">
        <v>81</v>
      </c>
      <c r="C1253">
        <v>3</v>
      </c>
      <c r="D1253">
        <v>3.56842481967466</v>
      </c>
      <c r="E1253">
        <v>1.6832192545635101</v>
      </c>
      <c r="F1253">
        <f t="shared" si="39"/>
        <v>1</v>
      </c>
      <c r="G1253">
        <v>0</v>
      </c>
      <c r="H1253">
        <v>0</v>
      </c>
      <c r="I1253">
        <v>1</v>
      </c>
      <c r="J1253">
        <v>0</v>
      </c>
      <c r="K1253">
        <v>0</v>
      </c>
      <c r="L1253">
        <v>0</v>
      </c>
      <c r="M1253">
        <f t="shared" si="38"/>
        <v>18</v>
      </c>
      <c r="N1253">
        <v>0</v>
      </c>
      <c r="O1253">
        <v>0</v>
      </c>
      <c r="P1253">
        <v>18</v>
      </c>
      <c r="Q1253">
        <v>0</v>
      </c>
      <c r="R1253">
        <v>0</v>
      </c>
      <c r="S1253">
        <v>0</v>
      </c>
    </row>
    <row r="1254" spans="1:19" x14ac:dyDescent="0.25">
      <c r="A1254">
        <v>18105</v>
      </c>
      <c r="B1254" t="s">
        <v>81</v>
      </c>
      <c r="C1254">
        <v>4</v>
      </c>
      <c r="D1254">
        <v>4.1743837513175199</v>
      </c>
      <c r="E1254">
        <v>2.2891781862063798</v>
      </c>
      <c r="F1254">
        <f t="shared" si="39"/>
        <v>1</v>
      </c>
      <c r="G1254">
        <v>0</v>
      </c>
      <c r="H1254">
        <v>0</v>
      </c>
      <c r="I1254">
        <v>1</v>
      </c>
      <c r="J1254">
        <v>0</v>
      </c>
      <c r="K1254">
        <v>0</v>
      </c>
      <c r="L1254">
        <v>0</v>
      </c>
      <c r="M1254">
        <f t="shared" si="38"/>
        <v>18</v>
      </c>
      <c r="N1254">
        <v>0</v>
      </c>
      <c r="O1254">
        <v>0</v>
      </c>
      <c r="P1254">
        <v>18</v>
      </c>
      <c r="Q1254">
        <v>0</v>
      </c>
      <c r="R1254">
        <v>0</v>
      </c>
      <c r="S1254">
        <v>0</v>
      </c>
    </row>
    <row r="1255" spans="1:19" x14ac:dyDescent="0.25">
      <c r="A1255">
        <v>18105</v>
      </c>
      <c r="B1255" t="s">
        <v>81</v>
      </c>
      <c r="C1255">
        <v>5</v>
      </c>
      <c r="D1255">
        <v>6.1269180866112096</v>
      </c>
      <c r="E1255">
        <v>2.22184941602384</v>
      </c>
      <c r="F1255">
        <f t="shared" si="39"/>
        <v>1</v>
      </c>
      <c r="G1255">
        <v>0</v>
      </c>
      <c r="H1255">
        <v>0</v>
      </c>
      <c r="I1255">
        <v>1</v>
      </c>
      <c r="J1255">
        <v>0</v>
      </c>
      <c r="K1255">
        <v>0</v>
      </c>
      <c r="L1255">
        <v>0</v>
      </c>
      <c r="M1255">
        <f t="shared" si="38"/>
        <v>18</v>
      </c>
      <c r="N1255">
        <v>0</v>
      </c>
      <c r="O1255">
        <v>0</v>
      </c>
      <c r="P1255">
        <v>18</v>
      </c>
      <c r="Q1255">
        <v>0</v>
      </c>
      <c r="R1255">
        <v>0</v>
      </c>
      <c r="S1255">
        <v>0</v>
      </c>
    </row>
    <row r="1256" spans="1:19" x14ac:dyDescent="0.25">
      <c r="A1256">
        <v>18105</v>
      </c>
      <c r="B1256" t="s">
        <v>81</v>
      </c>
      <c r="C1256">
        <v>6</v>
      </c>
      <c r="D1256">
        <v>6.1269180866112096</v>
      </c>
      <c r="E1256">
        <v>7.2041784095318597</v>
      </c>
      <c r="F1256">
        <f t="shared" si="39"/>
        <v>1</v>
      </c>
      <c r="G1256">
        <v>0</v>
      </c>
      <c r="H1256">
        <v>0</v>
      </c>
      <c r="I1256">
        <v>1</v>
      </c>
      <c r="J1256">
        <v>0</v>
      </c>
      <c r="K1256">
        <v>0</v>
      </c>
      <c r="L1256">
        <v>0</v>
      </c>
      <c r="M1256">
        <f t="shared" si="38"/>
        <v>18</v>
      </c>
      <c r="N1256">
        <v>0</v>
      </c>
      <c r="O1256">
        <v>0</v>
      </c>
      <c r="P1256">
        <v>18</v>
      </c>
      <c r="Q1256">
        <v>0</v>
      </c>
      <c r="R1256">
        <v>0</v>
      </c>
      <c r="S1256">
        <v>0</v>
      </c>
    </row>
    <row r="1257" spans="1:19" x14ac:dyDescent="0.25">
      <c r="A1257">
        <v>18105</v>
      </c>
      <c r="B1257" t="s">
        <v>81</v>
      </c>
      <c r="C1257">
        <v>7</v>
      </c>
      <c r="D1257">
        <v>7.40616472007948</v>
      </c>
      <c r="E1257">
        <v>14.8796582103415</v>
      </c>
      <c r="F1257">
        <f t="shared" si="39"/>
        <v>1</v>
      </c>
      <c r="G1257">
        <v>0</v>
      </c>
      <c r="H1257">
        <v>0</v>
      </c>
      <c r="I1257">
        <v>1</v>
      </c>
      <c r="J1257">
        <v>0</v>
      </c>
      <c r="K1257">
        <v>0</v>
      </c>
      <c r="L1257">
        <v>0</v>
      </c>
      <c r="M1257">
        <f t="shared" si="38"/>
        <v>18</v>
      </c>
      <c r="N1257">
        <v>0</v>
      </c>
      <c r="O1257">
        <v>0</v>
      </c>
      <c r="P1257">
        <v>18</v>
      </c>
      <c r="Q1257">
        <v>0</v>
      </c>
      <c r="R1257">
        <v>0</v>
      </c>
      <c r="S1257">
        <v>0</v>
      </c>
    </row>
    <row r="1258" spans="1:19" x14ac:dyDescent="0.25">
      <c r="A1258">
        <v>18105</v>
      </c>
      <c r="B1258" t="s">
        <v>81</v>
      </c>
      <c r="C1258">
        <v>8</v>
      </c>
      <c r="D1258">
        <v>9.2240415150080803</v>
      </c>
      <c r="E1258">
        <v>18.044110408920901</v>
      </c>
      <c r="F1258">
        <f t="shared" si="39"/>
        <v>1</v>
      </c>
      <c r="G1258">
        <v>0</v>
      </c>
      <c r="H1258">
        <v>0</v>
      </c>
      <c r="I1258">
        <v>1</v>
      </c>
      <c r="J1258">
        <v>0</v>
      </c>
      <c r="K1258">
        <v>0</v>
      </c>
      <c r="L1258">
        <v>0</v>
      </c>
      <c r="M1258">
        <f t="shared" si="38"/>
        <v>18</v>
      </c>
      <c r="N1258">
        <v>0</v>
      </c>
      <c r="O1258">
        <v>0</v>
      </c>
      <c r="P1258">
        <v>18</v>
      </c>
      <c r="Q1258">
        <v>0</v>
      </c>
      <c r="R1258">
        <v>0</v>
      </c>
      <c r="S1258">
        <v>0</v>
      </c>
    </row>
    <row r="1259" spans="1:19" x14ac:dyDescent="0.25">
      <c r="A1259">
        <v>18105</v>
      </c>
      <c r="B1259" t="s">
        <v>81</v>
      </c>
      <c r="C1259">
        <v>9</v>
      </c>
      <c r="D1259">
        <v>8.7527401237303</v>
      </c>
      <c r="E1259">
        <v>15.0816445208891</v>
      </c>
      <c r="F1259">
        <f t="shared" si="39"/>
        <v>1</v>
      </c>
      <c r="G1259">
        <v>0</v>
      </c>
      <c r="H1259">
        <v>0</v>
      </c>
      <c r="I1259">
        <v>1</v>
      </c>
      <c r="J1259">
        <v>0</v>
      </c>
      <c r="K1259">
        <v>0</v>
      </c>
      <c r="L1259">
        <v>0</v>
      </c>
      <c r="M1259">
        <f t="shared" si="38"/>
        <v>18</v>
      </c>
      <c r="N1259">
        <v>0</v>
      </c>
      <c r="O1259">
        <v>0</v>
      </c>
      <c r="P1259">
        <v>18</v>
      </c>
      <c r="Q1259">
        <v>0</v>
      </c>
      <c r="R1259">
        <v>0</v>
      </c>
      <c r="S1259">
        <v>0</v>
      </c>
    </row>
    <row r="1260" spans="1:19" x14ac:dyDescent="0.25">
      <c r="A1260">
        <v>18105</v>
      </c>
      <c r="B1260" t="s">
        <v>81</v>
      </c>
      <c r="C1260">
        <v>10</v>
      </c>
      <c r="D1260">
        <v>6.1942468567937503</v>
      </c>
      <c r="E1260">
        <v>13.129110185595399</v>
      </c>
      <c r="F1260">
        <f t="shared" si="39"/>
        <v>1</v>
      </c>
      <c r="G1260">
        <v>0</v>
      </c>
      <c r="H1260">
        <v>0</v>
      </c>
      <c r="I1260">
        <v>1</v>
      </c>
      <c r="J1260">
        <v>0</v>
      </c>
      <c r="K1260">
        <v>0</v>
      </c>
      <c r="L1260">
        <v>0</v>
      </c>
      <c r="M1260">
        <f t="shared" si="38"/>
        <v>18</v>
      </c>
      <c r="N1260">
        <v>0</v>
      </c>
      <c r="O1260">
        <v>0</v>
      </c>
      <c r="P1260">
        <v>18</v>
      </c>
      <c r="Q1260">
        <v>0</v>
      </c>
      <c r="R1260">
        <v>0</v>
      </c>
      <c r="S1260">
        <v>0</v>
      </c>
    </row>
    <row r="1261" spans="1:19" x14ac:dyDescent="0.25">
      <c r="A1261">
        <v>18105</v>
      </c>
      <c r="B1261" t="s">
        <v>81</v>
      </c>
      <c r="C1261">
        <v>11</v>
      </c>
      <c r="D1261">
        <v>5.1843153040556302</v>
      </c>
      <c r="E1261">
        <v>12.7924663346827</v>
      </c>
      <c r="F1261">
        <f t="shared" si="39"/>
        <v>1</v>
      </c>
      <c r="G1261">
        <v>0</v>
      </c>
      <c r="H1261">
        <v>0</v>
      </c>
      <c r="I1261">
        <v>1</v>
      </c>
      <c r="J1261">
        <v>0</v>
      </c>
      <c r="K1261">
        <v>0</v>
      </c>
      <c r="L1261">
        <v>0</v>
      </c>
      <c r="M1261">
        <f t="shared" si="38"/>
        <v>18</v>
      </c>
      <c r="N1261">
        <v>0</v>
      </c>
      <c r="O1261">
        <v>0</v>
      </c>
      <c r="P1261">
        <v>18</v>
      </c>
      <c r="Q1261">
        <v>0</v>
      </c>
      <c r="R1261">
        <v>0</v>
      </c>
      <c r="S1261">
        <v>0</v>
      </c>
    </row>
    <row r="1262" spans="1:19" x14ac:dyDescent="0.25">
      <c r="A1262">
        <v>18105</v>
      </c>
      <c r="B1262" t="s">
        <v>81</v>
      </c>
      <c r="C1262">
        <v>12</v>
      </c>
      <c r="D1262">
        <v>5.9922605462461203</v>
      </c>
      <c r="E1262">
        <v>10.1666442975636</v>
      </c>
      <c r="F1262">
        <f t="shared" si="39"/>
        <v>1</v>
      </c>
      <c r="G1262">
        <v>0</v>
      </c>
      <c r="H1262">
        <v>0</v>
      </c>
      <c r="I1262">
        <v>1</v>
      </c>
      <c r="J1262">
        <v>0</v>
      </c>
      <c r="K1262">
        <v>0</v>
      </c>
      <c r="L1262">
        <v>0</v>
      </c>
      <c r="M1262">
        <f t="shared" si="38"/>
        <v>18</v>
      </c>
      <c r="N1262">
        <v>0</v>
      </c>
      <c r="O1262">
        <v>0</v>
      </c>
      <c r="P1262">
        <v>18</v>
      </c>
      <c r="Q1262">
        <v>0</v>
      </c>
      <c r="R1262">
        <v>0</v>
      </c>
      <c r="S1262">
        <v>0</v>
      </c>
    </row>
    <row r="1263" spans="1:19" x14ac:dyDescent="0.25">
      <c r="A1263">
        <v>18105</v>
      </c>
      <c r="B1263" t="s">
        <v>81</v>
      </c>
      <c r="C1263">
        <v>13</v>
      </c>
      <c r="D1263">
        <v>7.8101373411747304</v>
      </c>
      <c r="E1263">
        <v>6.7328770182540696</v>
      </c>
      <c r="F1263">
        <f t="shared" si="39"/>
        <v>1</v>
      </c>
      <c r="G1263">
        <v>0</v>
      </c>
      <c r="H1263">
        <v>0</v>
      </c>
      <c r="I1263">
        <v>1</v>
      </c>
      <c r="J1263">
        <v>0</v>
      </c>
      <c r="K1263">
        <v>0</v>
      </c>
      <c r="L1263">
        <v>0</v>
      </c>
      <c r="M1263">
        <f t="shared" si="38"/>
        <v>18</v>
      </c>
      <c r="N1263">
        <v>0</v>
      </c>
      <c r="O1263">
        <v>0</v>
      </c>
      <c r="P1263">
        <v>18</v>
      </c>
      <c r="Q1263">
        <v>0</v>
      </c>
      <c r="R1263">
        <v>0</v>
      </c>
      <c r="S1263">
        <v>0</v>
      </c>
    </row>
    <row r="1264" spans="1:19" x14ac:dyDescent="0.25">
      <c r="A1264">
        <v>18105</v>
      </c>
      <c r="B1264" t="s">
        <v>81</v>
      </c>
      <c r="C1264">
        <v>14</v>
      </c>
      <c r="D1264">
        <v>6.1269180866112096</v>
      </c>
      <c r="E1264">
        <v>3.02979465821433</v>
      </c>
      <c r="F1264">
        <f t="shared" si="39"/>
        <v>1</v>
      </c>
      <c r="G1264">
        <v>0</v>
      </c>
      <c r="H1264">
        <v>0</v>
      </c>
      <c r="I1264">
        <v>1</v>
      </c>
      <c r="J1264">
        <v>0</v>
      </c>
      <c r="K1264">
        <v>0</v>
      </c>
      <c r="L1264">
        <v>0</v>
      </c>
      <c r="M1264">
        <f t="shared" si="38"/>
        <v>18</v>
      </c>
      <c r="N1264">
        <v>0</v>
      </c>
      <c r="O1264">
        <v>0</v>
      </c>
      <c r="P1264">
        <v>18</v>
      </c>
      <c r="Q1264">
        <v>0</v>
      </c>
      <c r="R1264">
        <v>0</v>
      </c>
      <c r="S1264">
        <v>0</v>
      </c>
    </row>
    <row r="1265" spans="1:19" x14ac:dyDescent="0.25">
      <c r="A1265">
        <v>18105</v>
      </c>
      <c r="B1265" t="s">
        <v>81</v>
      </c>
      <c r="C1265">
        <v>15</v>
      </c>
      <c r="D1265">
        <v>4.4436988320476898</v>
      </c>
      <c r="E1265">
        <v>0.60595893164286696</v>
      </c>
      <c r="F1265">
        <f t="shared" si="39"/>
        <v>1</v>
      </c>
      <c r="G1265">
        <v>0</v>
      </c>
      <c r="H1265">
        <v>0</v>
      </c>
      <c r="I1265">
        <v>1</v>
      </c>
      <c r="J1265">
        <v>0</v>
      </c>
      <c r="K1265">
        <v>0</v>
      </c>
      <c r="L1265">
        <v>0</v>
      </c>
      <c r="M1265">
        <f t="shared" si="38"/>
        <v>18</v>
      </c>
      <c r="N1265">
        <v>0</v>
      </c>
      <c r="O1265">
        <v>0</v>
      </c>
      <c r="P1265">
        <v>18</v>
      </c>
      <c r="Q1265">
        <v>0</v>
      </c>
      <c r="R1265">
        <v>0</v>
      </c>
      <c r="S1265">
        <v>0</v>
      </c>
    </row>
    <row r="1266" spans="1:19" x14ac:dyDescent="0.25">
      <c r="A1266">
        <v>18105</v>
      </c>
      <c r="B1266" t="s">
        <v>81</v>
      </c>
      <c r="C1266">
        <v>16</v>
      </c>
      <c r="D1266">
        <v>4.4436988320476898</v>
      </c>
      <c r="E1266">
        <v>0.67328770182540698</v>
      </c>
      <c r="F1266">
        <f t="shared" si="39"/>
        <v>1</v>
      </c>
      <c r="G1266">
        <v>0</v>
      </c>
      <c r="H1266">
        <v>0</v>
      </c>
      <c r="I1266">
        <v>1</v>
      </c>
      <c r="J1266">
        <v>0</v>
      </c>
      <c r="K1266">
        <v>0</v>
      </c>
      <c r="L1266">
        <v>0</v>
      </c>
      <c r="M1266">
        <f t="shared" si="38"/>
        <v>18</v>
      </c>
      <c r="N1266">
        <v>0</v>
      </c>
      <c r="O1266">
        <v>0</v>
      </c>
      <c r="P1266">
        <v>18</v>
      </c>
      <c r="Q1266">
        <v>0</v>
      </c>
      <c r="R1266">
        <v>0</v>
      </c>
      <c r="S1266">
        <v>0</v>
      </c>
    </row>
    <row r="1267" spans="1:19" x14ac:dyDescent="0.25">
      <c r="A1267">
        <v>18105</v>
      </c>
      <c r="B1267" t="s">
        <v>81</v>
      </c>
      <c r="C1267">
        <v>17</v>
      </c>
      <c r="D1267">
        <v>4.8476714531429304</v>
      </c>
      <c r="E1267">
        <v>0.60595893164286696</v>
      </c>
      <c r="F1267">
        <f t="shared" si="39"/>
        <v>1</v>
      </c>
      <c r="G1267">
        <v>0</v>
      </c>
      <c r="H1267">
        <v>0</v>
      </c>
      <c r="I1267">
        <v>1</v>
      </c>
      <c r="J1267">
        <v>0</v>
      </c>
      <c r="K1267">
        <v>0</v>
      </c>
      <c r="L1267">
        <v>0</v>
      </c>
      <c r="M1267">
        <f t="shared" si="38"/>
        <v>18</v>
      </c>
      <c r="N1267">
        <v>0</v>
      </c>
      <c r="O1267">
        <v>0</v>
      </c>
      <c r="P1267">
        <v>18</v>
      </c>
      <c r="Q1267">
        <v>0</v>
      </c>
      <c r="R1267">
        <v>0</v>
      </c>
      <c r="S1267">
        <v>0</v>
      </c>
    </row>
    <row r="1268" spans="1:19" x14ac:dyDescent="0.25">
      <c r="A1268">
        <v>18105</v>
      </c>
      <c r="B1268" t="s">
        <v>81</v>
      </c>
      <c r="C1268">
        <v>18</v>
      </c>
      <c r="D1268">
        <v>4.9150002233254702</v>
      </c>
      <c r="E1268">
        <v>0.67328770182540698</v>
      </c>
      <c r="F1268">
        <f t="shared" si="39"/>
        <v>1</v>
      </c>
      <c r="G1268">
        <v>0</v>
      </c>
      <c r="H1268">
        <v>0</v>
      </c>
      <c r="I1268">
        <v>1</v>
      </c>
      <c r="J1268">
        <v>0</v>
      </c>
      <c r="K1268">
        <v>0</v>
      </c>
      <c r="L1268">
        <v>0</v>
      </c>
      <c r="M1268">
        <f t="shared" si="38"/>
        <v>18</v>
      </c>
      <c r="N1268">
        <v>0</v>
      </c>
      <c r="O1268">
        <v>0</v>
      </c>
      <c r="P1268">
        <v>18</v>
      </c>
      <c r="Q1268">
        <v>0</v>
      </c>
      <c r="R1268">
        <v>0</v>
      </c>
      <c r="S1268">
        <v>0</v>
      </c>
    </row>
    <row r="1269" spans="1:19" x14ac:dyDescent="0.25">
      <c r="A1269">
        <v>18105</v>
      </c>
      <c r="B1269" t="s">
        <v>81</v>
      </c>
      <c r="C1269">
        <v>19</v>
      </c>
      <c r="D1269">
        <v>4.4436988320476898</v>
      </c>
      <c r="E1269">
        <v>0.80794524219048902</v>
      </c>
      <c r="F1269">
        <f t="shared" si="39"/>
        <v>1</v>
      </c>
      <c r="G1269">
        <v>0</v>
      </c>
      <c r="H1269">
        <v>0</v>
      </c>
      <c r="I1269">
        <v>1</v>
      </c>
      <c r="J1269">
        <v>0</v>
      </c>
      <c r="K1269">
        <v>0</v>
      </c>
      <c r="L1269">
        <v>0</v>
      </c>
      <c r="M1269">
        <f t="shared" si="38"/>
        <v>18</v>
      </c>
      <c r="N1269">
        <v>0</v>
      </c>
      <c r="O1269">
        <v>0</v>
      </c>
      <c r="P1269">
        <v>18</v>
      </c>
      <c r="Q1269">
        <v>0</v>
      </c>
      <c r="R1269">
        <v>0</v>
      </c>
      <c r="S1269">
        <v>0</v>
      </c>
    </row>
    <row r="1270" spans="1:19" x14ac:dyDescent="0.25">
      <c r="A1270">
        <v>18105</v>
      </c>
      <c r="B1270" t="s">
        <v>81</v>
      </c>
      <c r="C1270">
        <v>20</v>
      </c>
      <c r="D1270">
        <v>3.7704111302222798</v>
      </c>
      <c r="E1270">
        <v>1.2792466334682699</v>
      </c>
      <c r="F1270">
        <f t="shared" si="39"/>
        <v>1</v>
      </c>
      <c r="G1270">
        <v>0</v>
      </c>
      <c r="H1270">
        <v>0</v>
      </c>
      <c r="I1270">
        <v>1</v>
      </c>
      <c r="J1270">
        <v>0</v>
      </c>
      <c r="K1270">
        <v>0</v>
      </c>
      <c r="L1270">
        <v>0</v>
      </c>
      <c r="M1270">
        <f t="shared" si="38"/>
        <v>18</v>
      </c>
      <c r="N1270">
        <v>0</v>
      </c>
      <c r="O1270">
        <v>0</v>
      </c>
      <c r="P1270">
        <v>18</v>
      </c>
      <c r="Q1270">
        <v>0</v>
      </c>
      <c r="R1270">
        <v>0</v>
      </c>
      <c r="S1270">
        <v>0</v>
      </c>
    </row>
    <row r="1271" spans="1:19" x14ac:dyDescent="0.25">
      <c r="A1271">
        <v>18105</v>
      </c>
      <c r="B1271" t="s">
        <v>81</v>
      </c>
      <c r="C1271">
        <v>21</v>
      </c>
      <c r="D1271">
        <v>3.0971234283968698</v>
      </c>
      <c r="E1271">
        <v>1.54856171419843</v>
      </c>
      <c r="F1271">
        <f t="shared" si="39"/>
        <v>1</v>
      </c>
      <c r="G1271">
        <v>0</v>
      </c>
      <c r="H1271">
        <v>0</v>
      </c>
      <c r="I1271">
        <v>1</v>
      </c>
      <c r="J1271">
        <v>0</v>
      </c>
      <c r="K1271">
        <v>0</v>
      </c>
      <c r="L1271">
        <v>0</v>
      </c>
      <c r="M1271">
        <f t="shared" si="38"/>
        <v>18</v>
      </c>
      <c r="N1271">
        <v>0</v>
      </c>
      <c r="O1271">
        <v>0</v>
      </c>
      <c r="P1271">
        <v>18</v>
      </c>
      <c r="Q1271">
        <v>0</v>
      </c>
      <c r="R1271">
        <v>0</v>
      </c>
      <c r="S1271">
        <v>0</v>
      </c>
    </row>
    <row r="1272" spans="1:19" x14ac:dyDescent="0.25">
      <c r="A1272">
        <v>18105</v>
      </c>
      <c r="B1272" t="s">
        <v>81</v>
      </c>
      <c r="C1272">
        <v>22</v>
      </c>
      <c r="D1272">
        <v>2.9624658880317898</v>
      </c>
      <c r="E1272">
        <v>1.6832192545635101</v>
      </c>
      <c r="F1272">
        <f t="shared" si="39"/>
        <v>1</v>
      </c>
      <c r="G1272">
        <v>0</v>
      </c>
      <c r="H1272">
        <v>0</v>
      </c>
      <c r="I1272">
        <v>1</v>
      </c>
      <c r="J1272">
        <v>0</v>
      </c>
      <c r="K1272">
        <v>0</v>
      </c>
      <c r="L1272">
        <v>0</v>
      </c>
      <c r="M1272">
        <f t="shared" si="38"/>
        <v>18</v>
      </c>
      <c r="N1272">
        <v>0</v>
      </c>
      <c r="O1272">
        <v>0</v>
      </c>
      <c r="P1272">
        <v>18</v>
      </c>
      <c r="Q1272">
        <v>0</v>
      </c>
      <c r="R1272">
        <v>0</v>
      </c>
      <c r="S1272">
        <v>0</v>
      </c>
    </row>
    <row r="1273" spans="1:19" x14ac:dyDescent="0.25">
      <c r="A1273">
        <v>18105</v>
      </c>
      <c r="B1273" t="s">
        <v>81</v>
      </c>
      <c r="C1273">
        <v>23</v>
      </c>
      <c r="D1273">
        <v>3.0971234283968698</v>
      </c>
      <c r="E1273">
        <v>1.8852055651111399</v>
      </c>
      <c r="F1273">
        <f t="shared" si="39"/>
        <v>1</v>
      </c>
      <c r="G1273">
        <v>0</v>
      </c>
      <c r="H1273">
        <v>0</v>
      </c>
      <c r="I1273">
        <v>1</v>
      </c>
      <c r="J1273">
        <v>0</v>
      </c>
      <c r="K1273">
        <v>0</v>
      </c>
      <c r="L1273">
        <v>0</v>
      </c>
      <c r="M1273">
        <f t="shared" si="38"/>
        <v>18</v>
      </c>
      <c r="N1273">
        <v>0</v>
      </c>
      <c r="O1273">
        <v>0</v>
      </c>
      <c r="P1273">
        <v>18</v>
      </c>
      <c r="Q1273">
        <v>0</v>
      </c>
      <c r="R1273">
        <v>0</v>
      </c>
      <c r="S1273">
        <v>0</v>
      </c>
    </row>
    <row r="1274" spans="1:19" x14ac:dyDescent="0.25">
      <c r="A1274">
        <v>18107</v>
      </c>
      <c r="B1274" t="s">
        <v>82</v>
      </c>
      <c r="C1274">
        <v>0</v>
      </c>
      <c r="D1274">
        <v>118.44999999999899</v>
      </c>
      <c r="E1274">
        <v>4.2150482509047</v>
      </c>
      <c r="F1274">
        <f t="shared" si="39"/>
        <v>2</v>
      </c>
      <c r="G1274">
        <v>0</v>
      </c>
      <c r="H1274">
        <v>1</v>
      </c>
      <c r="I1274">
        <v>1</v>
      </c>
      <c r="J1274">
        <v>0</v>
      </c>
      <c r="K1274">
        <v>0</v>
      </c>
      <c r="L1274">
        <v>0</v>
      </c>
      <c r="M1274">
        <f t="shared" si="38"/>
        <v>103</v>
      </c>
      <c r="N1274">
        <v>0</v>
      </c>
      <c r="O1274">
        <v>65</v>
      </c>
      <c r="P1274">
        <v>38</v>
      </c>
      <c r="Q1274">
        <v>0</v>
      </c>
      <c r="R1274">
        <v>0</v>
      </c>
      <c r="S1274">
        <v>0</v>
      </c>
    </row>
    <row r="1275" spans="1:19" x14ac:dyDescent="0.25">
      <c r="A1275">
        <v>18107</v>
      </c>
      <c r="B1275" t="s">
        <v>82</v>
      </c>
      <c r="C1275">
        <v>1</v>
      </c>
      <c r="D1275">
        <v>118.271396260554</v>
      </c>
      <c r="E1275">
        <v>4.4650934861278602</v>
      </c>
      <c r="F1275">
        <f t="shared" si="39"/>
        <v>2</v>
      </c>
      <c r="G1275">
        <v>0</v>
      </c>
      <c r="H1275">
        <v>1</v>
      </c>
      <c r="I1275">
        <v>1</v>
      </c>
      <c r="J1275">
        <v>0</v>
      </c>
      <c r="K1275">
        <v>0</v>
      </c>
      <c r="L1275">
        <v>0</v>
      </c>
      <c r="M1275">
        <f t="shared" si="38"/>
        <v>103</v>
      </c>
      <c r="N1275">
        <v>0</v>
      </c>
      <c r="O1275">
        <v>65</v>
      </c>
      <c r="P1275">
        <v>38</v>
      </c>
      <c r="Q1275">
        <v>0</v>
      </c>
      <c r="R1275">
        <v>0</v>
      </c>
      <c r="S1275">
        <v>0</v>
      </c>
    </row>
    <row r="1276" spans="1:19" x14ac:dyDescent="0.25">
      <c r="A1276">
        <v>18107</v>
      </c>
      <c r="B1276" t="s">
        <v>82</v>
      </c>
      <c r="C1276">
        <v>2</v>
      </c>
      <c r="D1276">
        <v>117.128332328106</v>
      </c>
      <c r="E1276">
        <v>5.0009047044632</v>
      </c>
      <c r="F1276">
        <f t="shared" si="39"/>
        <v>2</v>
      </c>
      <c r="G1276">
        <v>0</v>
      </c>
      <c r="H1276">
        <v>1</v>
      </c>
      <c r="I1276">
        <v>1</v>
      </c>
      <c r="J1276">
        <v>0</v>
      </c>
      <c r="K1276">
        <v>0</v>
      </c>
      <c r="L1276">
        <v>0</v>
      </c>
      <c r="M1276">
        <f t="shared" si="38"/>
        <v>103</v>
      </c>
      <c r="N1276">
        <v>0</v>
      </c>
      <c r="O1276">
        <v>65</v>
      </c>
      <c r="P1276">
        <v>38</v>
      </c>
      <c r="Q1276">
        <v>0</v>
      </c>
      <c r="R1276">
        <v>0</v>
      </c>
      <c r="S1276">
        <v>0</v>
      </c>
    </row>
    <row r="1277" spans="1:19" x14ac:dyDescent="0.25">
      <c r="A1277">
        <v>18107</v>
      </c>
      <c r="B1277" t="s">
        <v>82</v>
      </c>
      <c r="C1277">
        <v>3</v>
      </c>
      <c r="D1277">
        <v>114.84220446320801</v>
      </c>
      <c r="E1277">
        <v>6.0368063932448699</v>
      </c>
      <c r="F1277">
        <f t="shared" si="39"/>
        <v>2</v>
      </c>
      <c r="G1277">
        <v>0</v>
      </c>
      <c r="H1277">
        <v>1</v>
      </c>
      <c r="I1277">
        <v>1</v>
      </c>
      <c r="J1277">
        <v>0</v>
      </c>
      <c r="K1277">
        <v>0</v>
      </c>
      <c r="L1277">
        <v>0</v>
      </c>
      <c r="M1277">
        <f t="shared" si="38"/>
        <v>103</v>
      </c>
      <c r="N1277">
        <v>0</v>
      </c>
      <c r="O1277">
        <v>65</v>
      </c>
      <c r="P1277">
        <v>38</v>
      </c>
      <c r="Q1277">
        <v>0</v>
      </c>
      <c r="R1277">
        <v>0</v>
      </c>
      <c r="S1277">
        <v>0</v>
      </c>
    </row>
    <row r="1278" spans="1:19" x14ac:dyDescent="0.25">
      <c r="A1278">
        <v>18107</v>
      </c>
      <c r="B1278" t="s">
        <v>82</v>
      </c>
      <c r="C1278">
        <v>4</v>
      </c>
      <c r="D1278">
        <v>111.12724668275</v>
      </c>
      <c r="E1278">
        <v>6.5011761158021697</v>
      </c>
      <c r="F1278">
        <f t="shared" si="39"/>
        <v>2</v>
      </c>
      <c r="G1278">
        <v>0</v>
      </c>
      <c r="H1278">
        <v>1</v>
      </c>
      <c r="I1278">
        <v>1</v>
      </c>
      <c r="J1278">
        <v>0</v>
      </c>
      <c r="K1278">
        <v>0</v>
      </c>
      <c r="L1278">
        <v>0</v>
      </c>
      <c r="M1278">
        <f t="shared" si="38"/>
        <v>103</v>
      </c>
      <c r="N1278">
        <v>0</v>
      </c>
      <c r="O1278">
        <v>65</v>
      </c>
      <c r="P1278">
        <v>38</v>
      </c>
      <c r="Q1278">
        <v>0</v>
      </c>
      <c r="R1278">
        <v>0</v>
      </c>
      <c r="S1278">
        <v>0</v>
      </c>
    </row>
    <row r="1279" spans="1:19" x14ac:dyDescent="0.25">
      <c r="A1279">
        <v>18107</v>
      </c>
      <c r="B1279" t="s">
        <v>82</v>
      </c>
      <c r="C1279">
        <v>5</v>
      </c>
      <c r="D1279">
        <v>106.19778347406501</v>
      </c>
      <c r="E1279">
        <v>6.6440591073582604</v>
      </c>
      <c r="F1279">
        <f t="shared" si="39"/>
        <v>2</v>
      </c>
      <c r="G1279">
        <v>0</v>
      </c>
      <c r="H1279">
        <v>1</v>
      </c>
      <c r="I1279">
        <v>1</v>
      </c>
      <c r="J1279">
        <v>0</v>
      </c>
      <c r="K1279">
        <v>0</v>
      </c>
      <c r="L1279">
        <v>0</v>
      </c>
      <c r="M1279">
        <f t="shared" si="38"/>
        <v>103</v>
      </c>
      <c r="N1279">
        <v>0</v>
      </c>
      <c r="O1279">
        <v>65</v>
      </c>
      <c r="P1279">
        <v>38</v>
      </c>
      <c r="Q1279">
        <v>0</v>
      </c>
      <c r="R1279">
        <v>0</v>
      </c>
      <c r="S1279">
        <v>0</v>
      </c>
    </row>
    <row r="1280" spans="1:19" x14ac:dyDescent="0.25">
      <c r="A1280">
        <v>18107</v>
      </c>
      <c r="B1280" t="s">
        <v>82</v>
      </c>
      <c r="C1280">
        <v>6</v>
      </c>
      <c r="D1280">
        <v>96.303136308805705</v>
      </c>
      <c r="E1280">
        <v>7.39419481302774</v>
      </c>
      <c r="F1280">
        <f t="shared" si="39"/>
        <v>2</v>
      </c>
      <c r="G1280">
        <v>0</v>
      </c>
      <c r="H1280">
        <v>1</v>
      </c>
      <c r="I1280">
        <v>1</v>
      </c>
      <c r="J1280">
        <v>0</v>
      </c>
      <c r="K1280">
        <v>0</v>
      </c>
      <c r="L1280">
        <v>0</v>
      </c>
      <c r="M1280">
        <f t="shared" si="38"/>
        <v>103</v>
      </c>
      <c r="N1280">
        <v>0</v>
      </c>
      <c r="O1280">
        <v>65</v>
      </c>
      <c r="P1280">
        <v>38</v>
      </c>
      <c r="Q1280">
        <v>0</v>
      </c>
      <c r="R1280">
        <v>0</v>
      </c>
      <c r="S1280">
        <v>0</v>
      </c>
    </row>
    <row r="1281" spans="1:19" x14ac:dyDescent="0.25">
      <c r="A1281">
        <v>18107</v>
      </c>
      <c r="B1281" t="s">
        <v>82</v>
      </c>
      <c r="C1281">
        <v>7</v>
      </c>
      <c r="D1281">
        <v>80.443124246079506</v>
      </c>
      <c r="E1281">
        <v>7.5013570566948102</v>
      </c>
      <c r="F1281">
        <f t="shared" si="39"/>
        <v>2</v>
      </c>
      <c r="G1281">
        <v>0</v>
      </c>
      <c r="H1281">
        <v>1</v>
      </c>
      <c r="I1281">
        <v>1</v>
      </c>
      <c r="J1281">
        <v>0</v>
      </c>
      <c r="K1281">
        <v>0</v>
      </c>
      <c r="L1281">
        <v>0</v>
      </c>
      <c r="M1281">
        <f t="shared" si="38"/>
        <v>103</v>
      </c>
      <c r="N1281">
        <v>0</v>
      </c>
      <c r="O1281">
        <v>65</v>
      </c>
      <c r="P1281">
        <v>38</v>
      </c>
      <c r="Q1281">
        <v>0</v>
      </c>
      <c r="R1281">
        <v>0</v>
      </c>
      <c r="S1281">
        <v>0</v>
      </c>
    </row>
    <row r="1282" spans="1:19" x14ac:dyDescent="0.25">
      <c r="A1282">
        <v>18107</v>
      </c>
      <c r="B1282" t="s">
        <v>82</v>
      </c>
      <c r="C1282">
        <v>8</v>
      </c>
      <c r="D1282">
        <v>63.940138721350998</v>
      </c>
      <c r="E1282">
        <v>6.8583835946924001</v>
      </c>
      <c r="F1282">
        <f t="shared" si="39"/>
        <v>2</v>
      </c>
      <c r="G1282">
        <v>0</v>
      </c>
      <c r="H1282">
        <v>1</v>
      </c>
      <c r="I1282">
        <v>1</v>
      </c>
      <c r="J1282">
        <v>0</v>
      </c>
      <c r="K1282">
        <v>0</v>
      </c>
      <c r="L1282">
        <v>0</v>
      </c>
      <c r="M1282">
        <f t="shared" ref="M1282:M1345" si="40">SUM(N1282:S1282)</f>
        <v>103</v>
      </c>
      <c r="N1282">
        <v>0</v>
      </c>
      <c r="O1282">
        <v>65</v>
      </c>
      <c r="P1282">
        <v>38</v>
      </c>
      <c r="Q1282">
        <v>0</v>
      </c>
      <c r="R1282">
        <v>0</v>
      </c>
      <c r="S1282">
        <v>0</v>
      </c>
    </row>
    <row r="1283" spans="1:19" x14ac:dyDescent="0.25">
      <c r="A1283">
        <v>18107</v>
      </c>
      <c r="B1283" t="s">
        <v>82</v>
      </c>
      <c r="C1283">
        <v>9</v>
      </c>
      <c r="D1283">
        <v>53.616842581423299</v>
      </c>
      <c r="E1283">
        <v>5.0366254523522302</v>
      </c>
      <c r="F1283">
        <f t="shared" ref="F1283:F1346" si="41">SUM(G1283:L1283)</f>
        <v>2</v>
      </c>
      <c r="G1283">
        <v>0</v>
      </c>
      <c r="H1283">
        <v>1</v>
      </c>
      <c r="I1283">
        <v>1</v>
      </c>
      <c r="J1283">
        <v>0</v>
      </c>
      <c r="K1283">
        <v>0</v>
      </c>
      <c r="L1283">
        <v>0</v>
      </c>
      <c r="M1283">
        <f t="shared" si="40"/>
        <v>103</v>
      </c>
      <c r="N1283">
        <v>0</v>
      </c>
      <c r="O1283">
        <v>65</v>
      </c>
      <c r="P1283">
        <v>38</v>
      </c>
      <c r="Q1283">
        <v>0</v>
      </c>
      <c r="R1283">
        <v>0</v>
      </c>
      <c r="S1283">
        <v>0</v>
      </c>
    </row>
    <row r="1284" spans="1:19" x14ac:dyDescent="0.25">
      <c r="A1284">
        <v>18107</v>
      </c>
      <c r="B1284" t="s">
        <v>82</v>
      </c>
      <c r="C1284">
        <v>10</v>
      </c>
      <c r="D1284">
        <v>46.401251507840698</v>
      </c>
      <c r="E1284">
        <v>3.8578407720144701</v>
      </c>
      <c r="F1284">
        <f t="shared" si="41"/>
        <v>2</v>
      </c>
      <c r="G1284">
        <v>0</v>
      </c>
      <c r="H1284">
        <v>1</v>
      </c>
      <c r="I1284">
        <v>1</v>
      </c>
      <c r="J1284">
        <v>0</v>
      </c>
      <c r="K1284">
        <v>0</v>
      </c>
      <c r="L1284">
        <v>0</v>
      </c>
      <c r="M1284">
        <f t="shared" si="40"/>
        <v>103</v>
      </c>
      <c r="N1284">
        <v>0</v>
      </c>
      <c r="O1284">
        <v>65</v>
      </c>
      <c r="P1284">
        <v>38</v>
      </c>
      <c r="Q1284">
        <v>0</v>
      </c>
      <c r="R1284">
        <v>0</v>
      </c>
      <c r="S1284">
        <v>0</v>
      </c>
    </row>
    <row r="1285" spans="1:19" x14ac:dyDescent="0.25">
      <c r="A1285">
        <v>18107</v>
      </c>
      <c r="B1285" t="s">
        <v>82</v>
      </c>
      <c r="C1285">
        <v>11</v>
      </c>
      <c r="D1285">
        <v>47.187107961399199</v>
      </c>
      <c r="E1285">
        <v>3.6077955367913099</v>
      </c>
      <c r="F1285">
        <f t="shared" si="41"/>
        <v>2</v>
      </c>
      <c r="G1285">
        <v>0</v>
      </c>
      <c r="H1285">
        <v>1</v>
      </c>
      <c r="I1285">
        <v>1</v>
      </c>
      <c r="J1285">
        <v>0</v>
      </c>
      <c r="K1285">
        <v>0</v>
      </c>
      <c r="L1285">
        <v>0</v>
      </c>
      <c r="M1285">
        <f t="shared" si="40"/>
        <v>103</v>
      </c>
      <c r="N1285">
        <v>0</v>
      </c>
      <c r="O1285">
        <v>65</v>
      </c>
      <c r="P1285">
        <v>38</v>
      </c>
      <c r="Q1285">
        <v>0</v>
      </c>
      <c r="R1285">
        <v>0</v>
      </c>
      <c r="S1285">
        <v>0</v>
      </c>
    </row>
    <row r="1286" spans="1:19" x14ac:dyDescent="0.25">
      <c r="A1286">
        <v>18107</v>
      </c>
      <c r="B1286" t="s">
        <v>82</v>
      </c>
      <c r="C1286">
        <v>12</v>
      </c>
      <c r="D1286">
        <v>48.294451145958902</v>
      </c>
      <c r="E1286">
        <v>3.4291917973462001</v>
      </c>
      <c r="F1286">
        <f t="shared" si="41"/>
        <v>2</v>
      </c>
      <c r="G1286">
        <v>0</v>
      </c>
      <c r="H1286">
        <v>1</v>
      </c>
      <c r="I1286">
        <v>1</v>
      </c>
      <c r="J1286">
        <v>0</v>
      </c>
      <c r="K1286">
        <v>0</v>
      </c>
      <c r="L1286">
        <v>0</v>
      </c>
      <c r="M1286">
        <f t="shared" si="40"/>
        <v>103</v>
      </c>
      <c r="N1286">
        <v>0</v>
      </c>
      <c r="O1286">
        <v>65</v>
      </c>
      <c r="P1286">
        <v>38</v>
      </c>
      <c r="Q1286">
        <v>0</v>
      </c>
      <c r="R1286">
        <v>0</v>
      </c>
      <c r="S1286">
        <v>0</v>
      </c>
    </row>
    <row r="1287" spans="1:19" x14ac:dyDescent="0.25">
      <c r="A1287">
        <v>18107</v>
      </c>
      <c r="B1287" t="s">
        <v>82</v>
      </c>
      <c r="C1287">
        <v>13</v>
      </c>
      <c r="D1287">
        <v>49.544677322074698</v>
      </c>
      <c r="E1287">
        <v>3.1077050663449901</v>
      </c>
      <c r="F1287">
        <f t="shared" si="41"/>
        <v>2</v>
      </c>
      <c r="G1287">
        <v>0</v>
      </c>
      <c r="H1287">
        <v>1</v>
      </c>
      <c r="I1287">
        <v>1</v>
      </c>
      <c r="J1287">
        <v>0</v>
      </c>
      <c r="K1287">
        <v>0</v>
      </c>
      <c r="L1287">
        <v>0</v>
      </c>
      <c r="M1287">
        <f t="shared" si="40"/>
        <v>103</v>
      </c>
      <c r="N1287">
        <v>0</v>
      </c>
      <c r="O1287">
        <v>65</v>
      </c>
      <c r="P1287">
        <v>38</v>
      </c>
      <c r="Q1287">
        <v>0</v>
      </c>
      <c r="R1287">
        <v>0</v>
      </c>
      <c r="S1287">
        <v>0</v>
      </c>
    </row>
    <row r="1288" spans="1:19" x14ac:dyDescent="0.25">
      <c r="A1288">
        <v>18107</v>
      </c>
      <c r="B1288" t="s">
        <v>82</v>
      </c>
      <c r="C1288">
        <v>14</v>
      </c>
      <c r="D1288">
        <v>50.687741254523502</v>
      </c>
      <c r="E1288">
        <v>2.4290108564535502</v>
      </c>
      <c r="F1288">
        <f t="shared" si="41"/>
        <v>2</v>
      </c>
      <c r="G1288">
        <v>0</v>
      </c>
      <c r="H1288">
        <v>1</v>
      </c>
      <c r="I1288">
        <v>1</v>
      </c>
      <c r="J1288">
        <v>0</v>
      </c>
      <c r="K1288">
        <v>0</v>
      </c>
      <c r="L1288">
        <v>0</v>
      </c>
      <c r="M1288">
        <f t="shared" si="40"/>
        <v>103</v>
      </c>
      <c r="N1288">
        <v>0</v>
      </c>
      <c r="O1288">
        <v>65</v>
      </c>
      <c r="P1288">
        <v>38</v>
      </c>
      <c r="Q1288">
        <v>0</v>
      </c>
      <c r="R1288">
        <v>0</v>
      </c>
      <c r="S1288">
        <v>0</v>
      </c>
    </row>
    <row r="1289" spans="1:19" x14ac:dyDescent="0.25">
      <c r="A1289">
        <v>18107</v>
      </c>
      <c r="B1289" t="s">
        <v>82</v>
      </c>
      <c r="C1289">
        <v>15</v>
      </c>
      <c r="D1289">
        <v>55.724366706875699</v>
      </c>
      <c r="E1289">
        <v>1.5359921592279799</v>
      </c>
      <c r="F1289">
        <f t="shared" si="41"/>
        <v>2</v>
      </c>
      <c r="G1289">
        <v>0</v>
      </c>
      <c r="H1289">
        <v>1</v>
      </c>
      <c r="I1289">
        <v>1</v>
      </c>
      <c r="J1289">
        <v>0</v>
      </c>
      <c r="K1289">
        <v>0</v>
      </c>
      <c r="L1289">
        <v>0</v>
      </c>
      <c r="M1289">
        <f t="shared" si="40"/>
        <v>103</v>
      </c>
      <c r="N1289">
        <v>0</v>
      </c>
      <c r="O1289">
        <v>65</v>
      </c>
      <c r="P1289">
        <v>38</v>
      </c>
      <c r="Q1289">
        <v>0</v>
      </c>
      <c r="R1289">
        <v>0</v>
      </c>
      <c r="S1289">
        <v>0</v>
      </c>
    </row>
    <row r="1290" spans="1:19" x14ac:dyDescent="0.25">
      <c r="A1290">
        <v>18107</v>
      </c>
      <c r="B1290" t="s">
        <v>82</v>
      </c>
      <c r="C1290">
        <v>16</v>
      </c>
      <c r="D1290">
        <v>62.797074788902201</v>
      </c>
      <c r="E1290">
        <v>1.1073431845597099</v>
      </c>
      <c r="F1290">
        <f t="shared" si="41"/>
        <v>2</v>
      </c>
      <c r="G1290">
        <v>0</v>
      </c>
      <c r="H1290">
        <v>1</v>
      </c>
      <c r="I1290">
        <v>1</v>
      </c>
      <c r="J1290">
        <v>0</v>
      </c>
      <c r="K1290">
        <v>0</v>
      </c>
      <c r="L1290">
        <v>0</v>
      </c>
      <c r="M1290">
        <f t="shared" si="40"/>
        <v>103</v>
      </c>
      <c r="N1290">
        <v>0</v>
      </c>
      <c r="O1290">
        <v>65</v>
      </c>
      <c r="P1290">
        <v>38</v>
      </c>
      <c r="Q1290">
        <v>0</v>
      </c>
      <c r="R1290">
        <v>0</v>
      </c>
      <c r="S1290">
        <v>0</v>
      </c>
    </row>
    <row r="1291" spans="1:19" x14ac:dyDescent="0.25">
      <c r="A1291">
        <v>18107</v>
      </c>
      <c r="B1291" t="s">
        <v>82</v>
      </c>
      <c r="C1291">
        <v>17</v>
      </c>
      <c r="D1291">
        <v>70.655639324487296</v>
      </c>
      <c r="E1291">
        <v>1.5359921592279799</v>
      </c>
      <c r="F1291">
        <f t="shared" si="41"/>
        <v>2</v>
      </c>
      <c r="G1291">
        <v>0</v>
      </c>
      <c r="H1291">
        <v>1</v>
      </c>
      <c r="I1291">
        <v>1</v>
      </c>
      <c r="J1291">
        <v>0</v>
      </c>
      <c r="K1291">
        <v>0</v>
      </c>
      <c r="L1291">
        <v>0</v>
      </c>
      <c r="M1291">
        <f t="shared" si="40"/>
        <v>103</v>
      </c>
      <c r="N1291">
        <v>0</v>
      </c>
      <c r="O1291">
        <v>65</v>
      </c>
      <c r="P1291">
        <v>38</v>
      </c>
      <c r="Q1291">
        <v>0</v>
      </c>
      <c r="R1291">
        <v>0</v>
      </c>
      <c r="S1291">
        <v>0</v>
      </c>
    </row>
    <row r="1292" spans="1:19" x14ac:dyDescent="0.25">
      <c r="A1292">
        <v>18107</v>
      </c>
      <c r="B1292" t="s">
        <v>82</v>
      </c>
      <c r="C1292">
        <v>18</v>
      </c>
      <c r="D1292">
        <v>78.799969843184499</v>
      </c>
      <c r="E1292">
        <v>2.2861278648974599</v>
      </c>
      <c r="F1292">
        <f t="shared" si="41"/>
        <v>2</v>
      </c>
      <c r="G1292">
        <v>0</v>
      </c>
      <c r="H1292">
        <v>1</v>
      </c>
      <c r="I1292">
        <v>1</v>
      </c>
      <c r="J1292">
        <v>0</v>
      </c>
      <c r="K1292">
        <v>0</v>
      </c>
      <c r="L1292">
        <v>0</v>
      </c>
      <c r="M1292">
        <f t="shared" si="40"/>
        <v>103</v>
      </c>
      <c r="N1292">
        <v>0</v>
      </c>
      <c r="O1292">
        <v>65</v>
      </c>
      <c r="P1292">
        <v>38</v>
      </c>
      <c r="Q1292">
        <v>0</v>
      </c>
      <c r="R1292">
        <v>0</v>
      </c>
      <c r="S1292">
        <v>0</v>
      </c>
    </row>
    <row r="1293" spans="1:19" x14ac:dyDescent="0.25">
      <c r="A1293">
        <v>18107</v>
      </c>
      <c r="B1293" t="s">
        <v>82</v>
      </c>
      <c r="C1293">
        <v>19</v>
      </c>
      <c r="D1293">
        <v>92.159529553679107</v>
      </c>
      <c r="E1293">
        <v>2.46473160434258</v>
      </c>
      <c r="F1293">
        <f t="shared" si="41"/>
        <v>2</v>
      </c>
      <c r="G1293">
        <v>0</v>
      </c>
      <c r="H1293">
        <v>1</v>
      </c>
      <c r="I1293">
        <v>1</v>
      </c>
      <c r="J1293">
        <v>0</v>
      </c>
      <c r="K1293">
        <v>0</v>
      </c>
      <c r="L1293">
        <v>0</v>
      </c>
      <c r="M1293">
        <f t="shared" si="40"/>
        <v>103</v>
      </c>
      <c r="N1293">
        <v>0</v>
      </c>
      <c r="O1293">
        <v>65</v>
      </c>
      <c r="P1293">
        <v>38</v>
      </c>
      <c r="Q1293">
        <v>0</v>
      </c>
      <c r="R1293">
        <v>0</v>
      </c>
      <c r="S1293">
        <v>0</v>
      </c>
    </row>
    <row r="1294" spans="1:19" x14ac:dyDescent="0.25">
      <c r="A1294">
        <v>18107</v>
      </c>
      <c r="B1294" t="s">
        <v>82</v>
      </c>
      <c r="C1294">
        <v>20</v>
      </c>
      <c r="D1294">
        <v>104.91183655006</v>
      </c>
      <c r="E1294">
        <v>2.7504975874547601</v>
      </c>
      <c r="F1294">
        <f t="shared" si="41"/>
        <v>2</v>
      </c>
      <c r="G1294">
        <v>0</v>
      </c>
      <c r="H1294">
        <v>1</v>
      </c>
      <c r="I1294">
        <v>1</v>
      </c>
      <c r="J1294">
        <v>0</v>
      </c>
      <c r="K1294">
        <v>0</v>
      </c>
      <c r="L1294">
        <v>0</v>
      </c>
      <c r="M1294">
        <f t="shared" si="40"/>
        <v>103</v>
      </c>
      <c r="N1294">
        <v>0</v>
      </c>
      <c r="O1294">
        <v>65</v>
      </c>
      <c r="P1294">
        <v>38</v>
      </c>
      <c r="Q1294">
        <v>0</v>
      </c>
      <c r="R1294">
        <v>0</v>
      </c>
      <c r="S1294">
        <v>0</v>
      </c>
    </row>
    <row r="1295" spans="1:19" x14ac:dyDescent="0.25">
      <c r="A1295">
        <v>18107</v>
      </c>
      <c r="B1295" t="s">
        <v>82</v>
      </c>
      <c r="C1295">
        <v>21</v>
      </c>
      <c r="D1295">
        <v>111.663057901085</v>
      </c>
      <c r="E1295">
        <v>2.85765983112183</v>
      </c>
      <c r="F1295">
        <f t="shared" si="41"/>
        <v>2</v>
      </c>
      <c r="G1295">
        <v>0</v>
      </c>
      <c r="H1295">
        <v>1</v>
      </c>
      <c r="I1295">
        <v>1</v>
      </c>
      <c r="J1295">
        <v>0</v>
      </c>
      <c r="K1295">
        <v>0</v>
      </c>
      <c r="L1295">
        <v>0</v>
      </c>
      <c r="M1295">
        <f t="shared" si="40"/>
        <v>103</v>
      </c>
      <c r="N1295">
        <v>0</v>
      </c>
      <c r="O1295">
        <v>65</v>
      </c>
      <c r="P1295">
        <v>38</v>
      </c>
      <c r="Q1295">
        <v>0</v>
      </c>
      <c r="R1295">
        <v>0</v>
      </c>
      <c r="S1295">
        <v>0</v>
      </c>
    </row>
    <row r="1296" spans="1:19" x14ac:dyDescent="0.25">
      <c r="A1296">
        <v>18107</v>
      </c>
      <c r="B1296" t="s">
        <v>82</v>
      </c>
      <c r="C1296">
        <v>22</v>
      </c>
      <c r="D1296">
        <v>115.270853437876</v>
      </c>
      <c r="E1296">
        <v>3.2148673100120599</v>
      </c>
      <c r="F1296">
        <f t="shared" si="41"/>
        <v>2</v>
      </c>
      <c r="G1296">
        <v>0</v>
      </c>
      <c r="H1296">
        <v>1</v>
      </c>
      <c r="I1296">
        <v>1</v>
      </c>
      <c r="J1296">
        <v>0</v>
      </c>
      <c r="K1296">
        <v>0</v>
      </c>
      <c r="L1296">
        <v>0</v>
      </c>
      <c r="M1296">
        <f t="shared" si="40"/>
        <v>103</v>
      </c>
      <c r="N1296">
        <v>0</v>
      </c>
      <c r="O1296">
        <v>65</v>
      </c>
      <c r="P1296">
        <v>38</v>
      </c>
      <c r="Q1296">
        <v>0</v>
      </c>
      <c r="R1296">
        <v>0</v>
      </c>
      <c r="S1296">
        <v>0</v>
      </c>
    </row>
    <row r="1297" spans="1:19" x14ac:dyDescent="0.25">
      <c r="A1297">
        <v>18107</v>
      </c>
      <c r="B1297" t="s">
        <v>82</v>
      </c>
      <c r="C1297">
        <v>23</v>
      </c>
      <c r="D1297">
        <v>117.235494571773</v>
      </c>
      <c r="E1297">
        <v>3.7506785283473998</v>
      </c>
      <c r="F1297">
        <f t="shared" si="41"/>
        <v>2</v>
      </c>
      <c r="G1297">
        <v>0</v>
      </c>
      <c r="H1297">
        <v>1</v>
      </c>
      <c r="I1297">
        <v>1</v>
      </c>
      <c r="J1297">
        <v>0</v>
      </c>
      <c r="K1297">
        <v>0</v>
      </c>
      <c r="L1297">
        <v>0</v>
      </c>
      <c r="M1297">
        <f t="shared" si="40"/>
        <v>103</v>
      </c>
      <c r="N1297">
        <v>0</v>
      </c>
      <c r="O1297">
        <v>65</v>
      </c>
      <c r="P1297">
        <v>38</v>
      </c>
      <c r="Q1297">
        <v>0</v>
      </c>
      <c r="R1297">
        <v>0</v>
      </c>
      <c r="S1297">
        <v>0</v>
      </c>
    </row>
    <row r="1298" spans="1:19" x14ac:dyDescent="0.25">
      <c r="A1298">
        <v>18109</v>
      </c>
      <c r="B1298" t="s">
        <v>83</v>
      </c>
      <c r="C1298">
        <v>0</v>
      </c>
      <c r="D1298">
        <v>18.549379306359299</v>
      </c>
      <c r="E1298">
        <v>7.0739158371709197</v>
      </c>
      <c r="F1298">
        <f t="shared" si="41"/>
        <v>1</v>
      </c>
      <c r="G1298">
        <v>0</v>
      </c>
      <c r="H1298">
        <v>1</v>
      </c>
      <c r="I1298">
        <v>0</v>
      </c>
      <c r="J1298">
        <v>0</v>
      </c>
      <c r="K1298">
        <v>0</v>
      </c>
      <c r="L1298">
        <v>0</v>
      </c>
      <c r="M1298">
        <f t="shared" si="40"/>
        <v>50</v>
      </c>
      <c r="N1298">
        <v>0</v>
      </c>
      <c r="O1298">
        <v>50</v>
      </c>
      <c r="P1298">
        <v>0</v>
      </c>
      <c r="Q1298">
        <v>0</v>
      </c>
      <c r="R1298">
        <v>0</v>
      </c>
      <c r="S1298">
        <v>0</v>
      </c>
    </row>
    <row r="1299" spans="1:19" x14ac:dyDescent="0.25">
      <c r="A1299">
        <v>18109</v>
      </c>
      <c r="B1299" t="s">
        <v>83</v>
      </c>
      <c r="C1299">
        <v>1</v>
      </c>
      <c r="D1299">
        <v>18.811376189217501</v>
      </c>
      <c r="E1299">
        <v>9.0126927703214701</v>
      </c>
      <c r="F1299">
        <f t="shared" si="41"/>
        <v>1</v>
      </c>
      <c r="G1299">
        <v>0</v>
      </c>
      <c r="H1299">
        <v>1</v>
      </c>
      <c r="I1299">
        <v>0</v>
      </c>
      <c r="J1299">
        <v>0</v>
      </c>
      <c r="K1299">
        <v>0</v>
      </c>
      <c r="L1299">
        <v>0</v>
      </c>
      <c r="M1299">
        <f t="shared" si="40"/>
        <v>50</v>
      </c>
      <c r="N1299">
        <v>0</v>
      </c>
      <c r="O1299">
        <v>50</v>
      </c>
      <c r="P1299">
        <v>0</v>
      </c>
      <c r="Q1299">
        <v>0</v>
      </c>
      <c r="R1299">
        <v>0</v>
      </c>
      <c r="S1299">
        <v>0</v>
      </c>
    </row>
    <row r="1300" spans="1:19" x14ac:dyDescent="0.25">
      <c r="A1300">
        <v>18109</v>
      </c>
      <c r="B1300" t="s">
        <v>83</v>
      </c>
      <c r="C1300">
        <v>2</v>
      </c>
      <c r="D1300">
        <v>19.2305712017905</v>
      </c>
      <c r="E1300">
        <v>9.9034821720392898</v>
      </c>
      <c r="F1300">
        <f t="shared" si="41"/>
        <v>1</v>
      </c>
      <c r="G1300">
        <v>0</v>
      </c>
      <c r="H1300">
        <v>1</v>
      </c>
      <c r="I1300">
        <v>0</v>
      </c>
      <c r="J1300">
        <v>0</v>
      </c>
      <c r="K1300">
        <v>0</v>
      </c>
      <c r="L1300">
        <v>0</v>
      </c>
      <c r="M1300">
        <f t="shared" si="40"/>
        <v>50</v>
      </c>
      <c r="N1300">
        <v>0</v>
      </c>
      <c r="O1300">
        <v>50</v>
      </c>
      <c r="P1300">
        <v>0</v>
      </c>
      <c r="Q1300">
        <v>0</v>
      </c>
      <c r="R1300">
        <v>0</v>
      </c>
      <c r="S1300">
        <v>0</v>
      </c>
    </row>
    <row r="1301" spans="1:19" x14ac:dyDescent="0.25">
      <c r="A1301">
        <v>18109</v>
      </c>
      <c r="B1301" t="s">
        <v>83</v>
      </c>
      <c r="C1301">
        <v>3</v>
      </c>
      <c r="D1301">
        <v>19.2305712017905</v>
      </c>
      <c r="E1301">
        <v>9.6938846657527495</v>
      </c>
      <c r="F1301">
        <f t="shared" si="41"/>
        <v>1</v>
      </c>
      <c r="G1301">
        <v>0</v>
      </c>
      <c r="H1301">
        <v>1</v>
      </c>
      <c r="I1301">
        <v>0</v>
      </c>
      <c r="J1301">
        <v>0</v>
      </c>
      <c r="K1301">
        <v>0</v>
      </c>
      <c r="L1301">
        <v>0</v>
      </c>
      <c r="M1301">
        <f t="shared" si="40"/>
        <v>50</v>
      </c>
      <c r="N1301">
        <v>0</v>
      </c>
      <c r="O1301">
        <v>50</v>
      </c>
      <c r="P1301">
        <v>0</v>
      </c>
      <c r="Q1301">
        <v>0</v>
      </c>
      <c r="R1301">
        <v>0</v>
      </c>
      <c r="S1301">
        <v>0</v>
      </c>
    </row>
    <row r="1302" spans="1:19" x14ac:dyDescent="0.25">
      <c r="A1302">
        <v>18109</v>
      </c>
      <c r="B1302" t="s">
        <v>83</v>
      </c>
      <c r="C1302">
        <v>4</v>
      </c>
      <c r="D1302">
        <v>19.1781718252189</v>
      </c>
      <c r="E1302">
        <v>11.0038690800436</v>
      </c>
      <c r="F1302">
        <f t="shared" si="41"/>
        <v>1</v>
      </c>
      <c r="G1302">
        <v>0</v>
      </c>
      <c r="H1302">
        <v>1</v>
      </c>
      <c r="I1302">
        <v>0</v>
      </c>
      <c r="J1302">
        <v>0</v>
      </c>
      <c r="K1302">
        <v>0</v>
      </c>
      <c r="L1302">
        <v>0</v>
      </c>
      <c r="M1302">
        <f t="shared" si="40"/>
        <v>50</v>
      </c>
      <c r="N1302">
        <v>0</v>
      </c>
      <c r="O1302">
        <v>50</v>
      </c>
      <c r="P1302">
        <v>0</v>
      </c>
      <c r="Q1302">
        <v>0</v>
      </c>
      <c r="R1302">
        <v>0</v>
      </c>
      <c r="S1302">
        <v>0</v>
      </c>
    </row>
    <row r="1303" spans="1:19" x14ac:dyDescent="0.25">
      <c r="A1303">
        <v>18109</v>
      </c>
      <c r="B1303" t="s">
        <v>83</v>
      </c>
      <c r="C1303">
        <v>5</v>
      </c>
      <c r="D1303">
        <v>18.549379306359299</v>
      </c>
      <c r="E1303">
        <v>11.4230640926167</v>
      </c>
      <c r="F1303">
        <f t="shared" si="41"/>
        <v>1</v>
      </c>
      <c r="G1303">
        <v>0</v>
      </c>
      <c r="H1303">
        <v>1</v>
      </c>
      <c r="I1303">
        <v>0</v>
      </c>
      <c r="J1303">
        <v>0</v>
      </c>
      <c r="K1303">
        <v>0</v>
      </c>
      <c r="L1303">
        <v>0</v>
      </c>
      <c r="M1303">
        <f t="shared" si="40"/>
        <v>50</v>
      </c>
      <c r="N1303">
        <v>0</v>
      </c>
      <c r="O1303">
        <v>50</v>
      </c>
      <c r="P1303">
        <v>0</v>
      </c>
      <c r="Q1303">
        <v>0</v>
      </c>
      <c r="R1303">
        <v>0</v>
      </c>
      <c r="S1303">
        <v>0</v>
      </c>
    </row>
    <row r="1304" spans="1:19" x14ac:dyDescent="0.25">
      <c r="A1304">
        <v>18109</v>
      </c>
      <c r="B1304" t="s">
        <v>83</v>
      </c>
      <c r="C1304">
        <v>6</v>
      </c>
      <c r="D1304">
        <v>16.4534042434938</v>
      </c>
      <c r="E1304">
        <v>16.6106023732087</v>
      </c>
      <c r="F1304">
        <f t="shared" si="41"/>
        <v>1</v>
      </c>
      <c r="G1304">
        <v>0</v>
      </c>
      <c r="H1304">
        <v>1</v>
      </c>
      <c r="I1304">
        <v>0</v>
      </c>
      <c r="J1304">
        <v>0</v>
      </c>
      <c r="K1304">
        <v>0</v>
      </c>
      <c r="L1304">
        <v>0</v>
      </c>
      <c r="M1304">
        <f t="shared" si="40"/>
        <v>50</v>
      </c>
      <c r="N1304">
        <v>0</v>
      </c>
      <c r="O1304">
        <v>50</v>
      </c>
      <c r="P1304">
        <v>0</v>
      </c>
      <c r="Q1304">
        <v>0</v>
      </c>
      <c r="R1304">
        <v>0</v>
      </c>
      <c r="S1304">
        <v>0</v>
      </c>
    </row>
    <row r="1305" spans="1:19" x14ac:dyDescent="0.25">
      <c r="A1305">
        <v>18109</v>
      </c>
      <c r="B1305" t="s">
        <v>83</v>
      </c>
      <c r="C1305">
        <v>7</v>
      </c>
      <c r="D1305">
        <v>13.466639778910499</v>
      </c>
      <c r="E1305">
        <v>20.0689612269367</v>
      </c>
      <c r="F1305">
        <f t="shared" si="41"/>
        <v>1</v>
      </c>
      <c r="G1305">
        <v>0</v>
      </c>
      <c r="H1305">
        <v>1</v>
      </c>
      <c r="I1305">
        <v>0</v>
      </c>
      <c r="J1305">
        <v>0</v>
      </c>
      <c r="K1305">
        <v>0</v>
      </c>
      <c r="L1305">
        <v>0</v>
      </c>
      <c r="M1305">
        <f t="shared" si="40"/>
        <v>50</v>
      </c>
      <c r="N1305">
        <v>0</v>
      </c>
      <c r="O1305">
        <v>50</v>
      </c>
      <c r="P1305">
        <v>0</v>
      </c>
      <c r="Q1305">
        <v>0</v>
      </c>
      <c r="R1305">
        <v>0</v>
      </c>
      <c r="S1305">
        <v>0</v>
      </c>
    </row>
    <row r="1306" spans="1:19" x14ac:dyDescent="0.25">
      <c r="A1306">
        <v>18109</v>
      </c>
      <c r="B1306" t="s">
        <v>83</v>
      </c>
      <c r="C1306">
        <v>8</v>
      </c>
      <c r="D1306">
        <v>9.6414852891811105</v>
      </c>
      <c r="E1306">
        <v>20.645354369224702</v>
      </c>
      <c r="F1306">
        <f t="shared" si="41"/>
        <v>1</v>
      </c>
      <c r="G1306">
        <v>0</v>
      </c>
      <c r="H1306">
        <v>1</v>
      </c>
      <c r="I1306">
        <v>0</v>
      </c>
      <c r="J1306">
        <v>0</v>
      </c>
      <c r="K1306">
        <v>0</v>
      </c>
      <c r="L1306">
        <v>0</v>
      </c>
      <c r="M1306">
        <f t="shared" si="40"/>
        <v>50</v>
      </c>
      <c r="N1306">
        <v>0</v>
      </c>
      <c r="O1306">
        <v>50</v>
      </c>
      <c r="P1306">
        <v>0</v>
      </c>
      <c r="Q1306">
        <v>0</v>
      </c>
      <c r="R1306">
        <v>0</v>
      </c>
      <c r="S1306">
        <v>0</v>
      </c>
    </row>
    <row r="1307" spans="1:19" x14ac:dyDescent="0.25">
      <c r="A1307">
        <v>18109</v>
      </c>
      <c r="B1307" t="s">
        <v>83</v>
      </c>
      <c r="C1307">
        <v>9</v>
      </c>
      <c r="D1307">
        <v>7.7551077326022</v>
      </c>
      <c r="E1307">
        <v>20.383357486366499</v>
      </c>
      <c r="F1307">
        <f t="shared" si="41"/>
        <v>1</v>
      </c>
      <c r="G1307">
        <v>0</v>
      </c>
      <c r="H1307">
        <v>1</v>
      </c>
      <c r="I1307">
        <v>0</v>
      </c>
      <c r="J1307">
        <v>0</v>
      </c>
      <c r="K1307">
        <v>0</v>
      </c>
      <c r="L1307">
        <v>0</v>
      </c>
      <c r="M1307">
        <f t="shared" si="40"/>
        <v>50</v>
      </c>
      <c r="N1307">
        <v>0</v>
      </c>
      <c r="O1307">
        <v>50</v>
      </c>
      <c r="P1307">
        <v>0</v>
      </c>
      <c r="Q1307">
        <v>0</v>
      </c>
      <c r="R1307">
        <v>0</v>
      </c>
      <c r="S1307">
        <v>0</v>
      </c>
    </row>
    <row r="1308" spans="1:19" x14ac:dyDescent="0.25">
      <c r="A1308">
        <v>18109</v>
      </c>
      <c r="B1308" t="s">
        <v>83</v>
      </c>
      <c r="C1308">
        <v>10</v>
      </c>
      <c r="D1308">
        <v>4.9255413977338298</v>
      </c>
      <c r="E1308">
        <v>21.0645493817978</v>
      </c>
      <c r="F1308">
        <f t="shared" si="41"/>
        <v>1</v>
      </c>
      <c r="G1308">
        <v>0</v>
      </c>
      <c r="H1308">
        <v>1</v>
      </c>
      <c r="I1308">
        <v>0</v>
      </c>
      <c r="J1308">
        <v>0</v>
      </c>
      <c r="K1308">
        <v>0</v>
      </c>
      <c r="L1308">
        <v>0</v>
      </c>
      <c r="M1308">
        <f t="shared" si="40"/>
        <v>50</v>
      </c>
      <c r="N1308">
        <v>0</v>
      </c>
      <c r="O1308">
        <v>50</v>
      </c>
      <c r="P1308">
        <v>0</v>
      </c>
      <c r="Q1308">
        <v>0</v>
      </c>
      <c r="R1308">
        <v>0</v>
      </c>
      <c r="S1308">
        <v>0</v>
      </c>
    </row>
    <row r="1309" spans="1:19" x14ac:dyDescent="0.25">
      <c r="A1309">
        <v>18109</v>
      </c>
      <c r="B1309" t="s">
        <v>83</v>
      </c>
      <c r="C1309">
        <v>11</v>
      </c>
      <c r="D1309">
        <v>3.5631576068712798</v>
      </c>
      <c r="E1309">
        <v>24.156112599524398</v>
      </c>
      <c r="F1309">
        <f t="shared" si="41"/>
        <v>1</v>
      </c>
      <c r="G1309">
        <v>0</v>
      </c>
      <c r="H1309">
        <v>1</v>
      </c>
      <c r="I1309">
        <v>0</v>
      </c>
      <c r="J1309">
        <v>0</v>
      </c>
      <c r="K1309">
        <v>0</v>
      </c>
      <c r="L1309">
        <v>0</v>
      </c>
      <c r="M1309">
        <f t="shared" si="40"/>
        <v>50</v>
      </c>
      <c r="N1309">
        <v>0</v>
      </c>
      <c r="O1309">
        <v>50</v>
      </c>
      <c r="P1309">
        <v>0</v>
      </c>
      <c r="Q1309">
        <v>0</v>
      </c>
      <c r="R1309">
        <v>0</v>
      </c>
      <c r="S1309">
        <v>0</v>
      </c>
    </row>
    <row r="1310" spans="1:19" x14ac:dyDescent="0.25">
      <c r="A1310">
        <v>18109</v>
      </c>
      <c r="B1310" t="s">
        <v>83</v>
      </c>
      <c r="C1310">
        <v>12</v>
      </c>
      <c r="D1310">
        <v>2.8295663348683702</v>
      </c>
      <c r="E1310">
        <v>17.5013917749265</v>
      </c>
      <c r="F1310">
        <f t="shared" si="41"/>
        <v>1</v>
      </c>
      <c r="G1310">
        <v>0</v>
      </c>
      <c r="H1310">
        <v>1</v>
      </c>
      <c r="I1310">
        <v>0</v>
      </c>
      <c r="J1310">
        <v>0</v>
      </c>
      <c r="K1310">
        <v>0</v>
      </c>
      <c r="L1310">
        <v>0</v>
      </c>
      <c r="M1310">
        <f t="shared" si="40"/>
        <v>50</v>
      </c>
      <c r="N1310">
        <v>0</v>
      </c>
      <c r="O1310">
        <v>50</v>
      </c>
      <c r="P1310">
        <v>0</v>
      </c>
      <c r="Q1310">
        <v>0</v>
      </c>
      <c r="R1310">
        <v>0</v>
      </c>
      <c r="S1310">
        <v>0</v>
      </c>
    </row>
    <row r="1311" spans="1:19" x14ac:dyDescent="0.25">
      <c r="A1311">
        <v>18109</v>
      </c>
      <c r="B1311" t="s">
        <v>83</v>
      </c>
      <c r="C1311">
        <v>13</v>
      </c>
      <c r="D1311">
        <v>2.8295663348683702</v>
      </c>
      <c r="E1311">
        <v>9.5366865360378394</v>
      </c>
      <c r="F1311">
        <f t="shared" si="41"/>
        <v>1</v>
      </c>
      <c r="G1311">
        <v>0</v>
      </c>
      <c r="H1311">
        <v>1</v>
      </c>
      <c r="I1311">
        <v>0</v>
      </c>
      <c r="J1311">
        <v>0</v>
      </c>
      <c r="K1311">
        <v>0</v>
      </c>
      <c r="L1311">
        <v>0</v>
      </c>
      <c r="M1311">
        <f t="shared" si="40"/>
        <v>50</v>
      </c>
      <c r="N1311">
        <v>0</v>
      </c>
      <c r="O1311">
        <v>50</v>
      </c>
      <c r="P1311">
        <v>0</v>
      </c>
      <c r="Q1311">
        <v>0</v>
      </c>
      <c r="R1311">
        <v>0</v>
      </c>
      <c r="S1311">
        <v>0</v>
      </c>
    </row>
    <row r="1312" spans="1:19" x14ac:dyDescent="0.25">
      <c r="A1312">
        <v>18109</v>
      </c>
      <c r="B1312" t="s">
        <v>83</v>
      </c>
      <c r="C1312">
        <v>14</v>
      </c>
      <c r="D1312">
        <v>2.6199688285818201</v>
      </c>
      <c r="E1312">
        <v>6.8643183308843803</v>
      </c>
      <c r="F1312">
        <f t="shared" si="41"/>
        <v>1</v>
      </c>
      <c r="G1312">
        <v>0</v>
      </c>
      <c r="H1312">
        <v>1</v>
      </c>
      <c r="I1312">
        <v>0</v>
      </c>
      <c r="J1312">
        <v>0</v>
      </c>
      <c r="K1312">
        <v>0</v>
      </c>
      <c r="L1312">
        <v>0</v>
      </c>
      <c r="M1312">
        <f t="shared" si="40"/>
        <v>50</v>
      </c>
      <c r="N1312">
        <v>0</v>
      </c>
      <c r="O1312">
        <v>50</v>
      </c>
      <c r="P1312">
        <v>0</v>
      </c>
      <c r="Q1312">
        <v>0</v>
      </c>
      <c r="R1312">
        <v>0</v>
      </c>
      <c r="S1312">
        <v>0</v>
      </c>
    </row>
    <row r="1313" spans="1:19" x14ac:dyDescent="0.25">
      <c r="A1313">
        <v>18109</v>
      </c>
      <c r="B1313" t="s">
        <v>83</v>
      </c>
      <c r="C1313">
        <v>15</v>
      </c>
      <c r="D1313">
        <v>2.6199688285818201</v>
      </c>
      <c r="E1313">
        <v>4.1919501257309104</v>
      </c>
      <c r="F1313">
        <f t="shared" si="41"/>
        <v>1</v>
      </c>
      <c r="G1313">
        <v>0</v>
      </c>
      <c r="H1313">
        <v>1</v>
      </c>
      <c r="I1313">
        <v>0</v>
      </c>
      <c r="J1313">
        <v>0</v>
      </c>
      <c r="K1313">
        <v>0</v>
      </c>
      <c r="L1313">
        <v>0</v>
      </c>
      <c r="M1313">
        <f t="shared" si="40"/>
        <v>50</v>
      </c>
      <c r="N1313">
        <v>0</v>
      </c>
      <c r="O1313">
        <v>50</v>
      </c>
      <c r="P1313">
        <v>0</v>
      </c>
      <c r="Q1313">
        <v>0</v>
      </c>
      <c r="R1313">
        <v>0</v>
      </c>
      <c r="S1313">
        <v>0</v>
      </c>
    </row>
    <row r="1314" spans="1:19" x14ac:dyDescent="0.25">
      <c r="A1314">
        <v>18109</v>
      </c>
      <c r="B1314" t="s">
        <v>83</v>
      </c>
      <c r="C1314">
        <v>16</v>
      </c>
      <c r="D1314">
        <v>2.7247675817250898</v>
      </c>
      <c r="E1314">
        <v>3.3535601005847302</v>
      </c>
      <c r="F1314">
        <f t="shared" si="41"/>
        <v>1</v>
      </c>
      <c r="G1314">
        <v>0</v>
      </c>
      <c r="H1314">
        <v>1</v>
      </c>
      <c r="I1314">
        <v>0</v>
      </c>
      <c r="J1314">
        <v>0</v>
      </c>
      <c r="K1314">
        <v>0</v>
      </c>
      <c r="L1314">
        <v>0</v>
      </c>
      <c r="M1314">
        <f t="shared" si="40"/>
        <v>50</v>
      </c>
      <c r="N1314">
        <v>0</v>
      </c>
      <c r="O1314">
        <v>50</v>
      </c>
      <c r="P1314">
        <v>0</v>
      </c>
      <c r="Q1314">
        <v>0</v>
      </c>
      <c r="R1314">
        <v>0</v>
      </c>
      <c r="S1314">
        <v>0</v>
      </c>
    </row>
    <row r="1315" spans="1:19" x14ac:dyDescent="0.25">
      <c r="A1315">
        <v>18109</v>
      </c>
      <c r="B1315" t="s">
        <v>83</v>
      </c>
      <c r="C1315">
        <v>17</v>
      </c>
      <c r="D1315">
        <v>3.7203557365861899</v>
      </c>
      <c r="E1315">
        <v>3.1963619708698201</v>
      </c>
      <c r="F1315">
        <f t="shared" si="41"/>
        <v>1</v>
      </c>
      <c r="G1315">
        <v>0</v>
      </c>
      <c r="H1315">
        <v>1</v>
      </c>
      <c r="I1315">
        <v>0</v>
      </c>
      <c r="J1315">
        <v>0</v>
      </c>
      <c r="K1315">
        <v>0</v>
      </c>
      <c r="L1315">
        <v>0</v>
      </c>
      <c r="M1315">
        <f t="shared" si="40"/>
        <v>50</v>
      </c>
      <c r="N1315">
        <v>0</v>
      </c>
      <c r="O1315">
        <v>50</v>
      </c>
      <c r="P1315">
        <v>0</v>
      </c>
      <c r="Q1315">
        <v>0</v>
      </c>
      <c r="R1315">
        <v>0</v>
      </c>
      <c r="S1315">
        <v>0</v>
      </c>
    </row>
    <row r="1316" spans="1:19" x14ac:dyDescent="0.25">
      <c r="A1316">
        <v>18109</v>
      </c>
      <c r="B1316" t="s">
        <v>83</v>
      </c>
      <c r="C1316">
        <v>18</v>
      </c>
      <c r="D1316">
        <v>4.7683432680189197</v>
      </c>
      <c r="E1316">
        <v>2.6723682051534601</v>
      </c>
      <c r="F1316">
        <f t="shared" si="41"/>
        <v>1</v>
      </c>
      <c r="G1316">
        <v>0</v>
      </c>
      <c r="H1316">
        <v>1</v>
      </c>
      <c r="I1316">
        <v>0</v>
      </c>
      <c r="J1316">
        <v>0</v>
      </c>
      <c r="K1316">
        <v>0</v>
      </c>
      <c r="L1316">
        <v>0</v>
      </c>
      <c r="M1316">
        <f t="shared" si="40"/>
        <v>50</v>
      </c>
      <c r="N1316">
        <v>0</v>
      </c>
      <c r="O1316">
        <v>50</v>
      </c>
      <c r="P1316">
        <v>0</v>
      </c>
      <c r="Q1316">
        <v>0</v>
      </c>
      <c r="R1316">
        <v>0</v>
      </c>
      <c r="S1316">
        <v>0</v>
      </c>
    </row>
    <row r="1317" spans="1:19" x14ac:dyDescent="0.25">
      <c r="A1317">
        <v>18109</v>
      </c>
      <c r="B1317" t="s">
        <v>83</v>
      </c>
      <c r="C1317">
        <v>19</v>
      </c>
      <c r="D1317">
        <v>7.9647052388887403</v>
      </c>
      <c r="E1317">
        <v>3.1963619708698201</v>
      </c>
      <c r="F1317">
        <f t="shared" si="41"/>
        <v>1</v>
      </c>
      <c r="G1317">
        <v>0</v>
      </c>
      <c r="H1317">
        <v>1</v>
      </c>
      <c r="I1317">
        <v>0</v>
      </c>
      <c r="J1317">
        <v>0</v>
      </c>
      <c r="K1317">
        <v>0</v>
      </c>
      <c r="L1317">
        <v>0</v>
      </c>
      <c r="M1317">
        <f t="shared" si="40"/>
        <v>50</v>
      </c>
      <c r="N1317">
        <v>0</v>
      </c>
      <c r="O1317">
        <v>50</v>
      </c>
      <c r="P1317">
        <v>0</v>
      </c>
      <c r="Q1317">
        <v>0</v>
      </c>
      <c r="R1317">
        <v>0</v>
      </c>
      <c r="S1317">
        <v>0</v>
      </c>
    </row>
    <row r="1318" spans="1:19" x14ac:dyDescent="0.25">
      <c r="A1318">
        <v>18109</v>
      </c>
      <c r="B1318" t="s">
        <v>83</v>
      </c>
      <c r="C1318">
        <v>20</v>
      </c>
      <c r="D1318">
        <v>11.4230640926167</v>
      </c>
      <c r="E1318">
        <v>3.3011607240130898</v>
      </c>
      <c r="F1318">
        <f t="shared" si="41"/>
        <v>1</v>
      </c>
      <c r="G1318">
        <v>0</v>
      </c>
      <c r="H1318">
        <v>1</v>
      </c>
      <c r="I1318">
        <v>0</v>
      </c>
      <c r="J1318">
        <v>0</v>
      </c>
      <c r="K1318">
        <v>0</v>
      </c>
      <c r="L1318">
        <v>0</v>
      </c>
      <c r="M1318">
        <f t="shared" si="40"/>
        <v>50</v>
      </c>
      <c r="N1318">
        <v>0</v>
      </c>
      <c r="O1318">
        <v>50</v>
      </c>
      <c r="P1318">
        <v>0</v>
      </c>
      <c r="Q1318">
        <v>0</v>
      </c>
      <c r="R1318">
        <v>0</v>
      </c>
      <c r="S1318">
        <v>0</v>
      </c>
    </row>
    <row r="1319" spans="1:19" x14ac:dyDescent="0.25">
      <c r="A1319">
        <v>18109</v>
      </c>
      <c r="B1319" t="s">
        <v>83</v>
      </c>
      <c r="C1319">
        <v>21</v>
      </c>
      <c r="D1319">
        <v>13.257042272624</v>
      </c>
      <c r="E1319">
        <v>3.1439625942981801</v>
      </c>
      <c r="F1319">
        <f t="shared" si="41"/>
        <v>1</v>
      </c>
      <c r="G1319">
        <v>0</v>
      </c>
      <c r="H1319">
        <v>1</v>
      </c>
      <c r="I1319">
        <v>0</v>
      </c>
      <c r="J1319">
        <v>0</v>
      </c>
      <c r="K1319">
        <v>0</v>
      </c>
      <c r="L1319">
        <v>0</v>
      </c>
      <c r="M1319">
        <f t="shared" si="40"/>
        <v>50</v>
      </c>
      <c r="N1319">
        <v>0</v>
      </c>
      <c r="O1319">
        <v>50</v>
      </c>
      <c r="P1319">
        <v>0</v>
      </c>
      <c r="Q1319">
        <v>0</v>
      </c>
      <c r="R1319">
        <v>0</v>
      </c>
      <c r="S1319">
        <v>0</v>
      </c>
    </row>
    <row r="1320" spans="1:19" x14ac:dyDescent="0.25">
      <c r="A1320">
        <v>18109</v>
      </c>
      <c r="B1320" t="s">
        <v>83</v>
      </c>
      <c r="C1320">
        <v>22</v>
      </c>
      <c r="D1320">
        <v>15.405416712061101</v>
      </c>
      <c r="E1320">
        <v>3.8775538663011</v>
      </c>
      <c r="F1320">
        <f t="shared" si="41"/>
        <v>1</v>
      </c>
      <c r="G1320">
        <v>0</v>
      </c>
      <c r="H1320">
        <v>1</v>
      </c>
      <c r="I1320">
        <v>0</v>
      </c>
      <c r="J1320">
        <v>0</v>
      </c>
      <c r="K1320">
        <v>0</v>
      </c>
      <c r="L1320">
        <v>0</v>
      </c>
      <c r="M1320">
        <f t="shared" si="40"/>
        <v>50</v>
      </c>
      <c r="N1320">
        <v>0</v>
      </c>
      <c r="O1320">
        <v>50</v>
      </c>
      <c r="P1320">
        <v>0</v>
      </c>
      <c r="Q1320">
        <v>0</v>
      </c>
      <c r="R1320">
        <v>0</v>
      </c>
      <c r="S1320">
        <v>0</v>
      </c>
    </row>
    <row r="1321" spans="1:19" x14ac:dyDescent="0.25">
      <c r="A1321">
        <v>18109</v>
      </c>
      <c r="B1321" t="s">
        <v>83</v>
      </c>
      <c r="C1321">
        <v>23</v>
      </c>
      <c r="D1321">
        <v>17.920586787499602</v>
      </c>
      <c r="E1321">
        <v>4.8731420211621899</v>
      </c>
      <c r="F1321">
        <f t="shared" si="41"/>
        <v>1</v>
      </c>
      <c r="G1321">
        <v>0</v>
      </c>
      <c r="H1321">
        <v>1</v>
      </c>
      <c r="I1321">
        <v>0</v>
      </c>
      <c r="J1321">
        <v>0</v>
      </c>
      <c r="K1321">
        <v>0</v>
      </c>
      <c r="L1321">
        <v>0</v>
      </c>
      <c r="M1321">
        <f t="shared" si="40"/>
        <v>50</v>
      </c>
      <c r="N1321">
        <v>0</v>
      </c>
      <c r="O1321">
        <v>50</v>
      </c>
      <c r="P1321">
        <v>0</v>
      </c>
      <c r="Q1321">
        <v>0</v>
      </c>
      <c r="R1321">
        <v>0</v>
      </c>
      <c r="S1321">
        <v>0</v>
      </c>
    </row>
    <row r="1322" spans="1:19" x14ac:dyDescent="0.25">
      <c r="A1322">
        <v>18111</v>
      </c>
      <c r="B1322" t="s">
        <v>84</v>
      </c>
      <c r="C1322">
        <v>0</v>
      </c>
      <c r="D1322">
        <v>28.019911409198901</v>
      </c>
      <c r="E1322">
        <v>0.70420412271796196</v>
      </c>
      <c r="F1322">
        <f t="shared" si="41"/>
        <v>2</v>
      </c>
      <c r="G1322">
        <v>0</v>
      </c>
      <c r="H1322">
        <v>0</v>
      </c>
      <c r="I1322">
        <v>2</v>
      </c>
      <c r="J1322">
        <v>0</v>
      </c>
      <c r="K1322">
        <v>0</v>
      </c>
      <c r="L1322">
        <v>0</v>
      </c>
      <c r="M1322">
        <f t="shared" si="40"/>
        <v>36</v>
      </c>
      <c r="N1322">
        <v>0</v>
      </c>
      <c r="O1322">
        <v>0</v>
      </c>
      <c r="P1322">
        <v>36</v>
      </c>
      <c r="Q1322">
        <v>0</v>
      </c>
      <c r="R1322">
        <v>0</v>
      </c>
      <c r="S1322">
        <v>0</v>
      </c>
    </row>
    <row r="1323" spans="1:19" x14ac:dyDescent="0.25">
      <c r="A1323">
        <v>18111</v>
      </c>
      <c r="B1323" t="s">
        <v>84</v>
      </c>
      <c r="C1323">
        <v>1</v>
      </c>
      <c r="D1323">
        <v>28.5387986575174</v>
      </c>
      <c r="E1323">
        <v>0.66714074783806898</v>
      </c>
      <c r="F1323">
        <f t="shared" si="41"/>
        <v>2</v>
      </c>
      <c r="G1323">
        <v>0</v>
      </c>
      <c r="H1323">
        <v>0</v>
      </c>
      <c r="I1323">
        <v>2</v>
      </c>
      <c r="J1323">
        <v>0</v>
      </c>
      <c r="K1323">
        <v>0</v>
      </c>
      <c r="L1323">
        <v>0</v>
      </c>
      <c r="M1323">
        <f t="shared" si="40"/>
        <v>36</v>
      </c>
      <c r="N1323">
        <v>0</v>
      </c>
      <c r="O1323">
        <v>0</v>
      </c>
      <c r="P1323">
        <v>36</v>
      </c>
      <c r="Q1323">
        <v>0</v>
      </c>
      <c r="R1323">
        <v>0</v>
      </c>
      <c r="S1323">
        <v>0</v>
      </c>
    </row>
    <row r="1324" spans="1:19" x14ac:dyDescent="0.25">
      <c r="A1324">
        <v>18111</v>
      </c>
      <c r="B1324" t="s">
        <v>84</v>
      </c>
      <c r="C1324">
        <v>2</v>
      </c>
      <c r="D1324">
        <v>28.464671907757602</v>
      </c>
      <c r="E1324">
        <v>0</v>
      </c>
      <c r="F1324">
        <f t="shared" si="41"/>
        <v>2</v>
      </c>
      <c r="G1324">
        <v>0</v>
      </c>
      <c r="H1324">
        <v>0</v>
      </c>
      <c r="I1324">
        <v>2</v>
      </c>
      <c r="J1324">
        <v>0</v>
      </c>
      <c r="K1324">
        <v>0</v>
      </c>
      <c r="L1324">
        <v>0</v>
      </c>
      <c r="M1324">
        <f t="shared" si="40"/>
        <v>36</v>
      </c>
      <c r="N1324">
        <v>0</v>
      </c>
      <c r="O1324">
        <v>0</v>
      </c>
      <c r="P1324">
        <v>36</v>
      </c>
      <c r="Q1324">
        <v>0</v>
      </c>
      <c r="R1324">
        <v>0</v>
      </c>
      <c r="S1324">
        <v>0</v>
      </c>
    </row>
    <row r="1325" spans="1:19" x14ac:dyDescent="0.25">
      <c r="A1325">
        <v>18111</v>
      </c>
      <c r="B1325" t="s">
        <v>84</v>
      </c>
      <c r="C1325">
        <v>3</v>
      </c>
      <c r="D1325">
        <v>29.205939405355402</v>
      </c>
      <c r="E1325">
        <v>0</v>
      </c>
      <c r="F1325">
        <f t="shared" si="41"/>
        <v>2</v>
      </c>
      <c r="G1325">
        <v>0</v>
      </c>
      <c r="H1325">
        <v>0</v>
      </c>
      <c r="I1325">
        <v>2</v>
      </c>
      <c r="J1325">
        <v>0</v>
      </c>
      <c r="K1325">
        <v>0</v>
      </c>
      <c r="L1325">
        <v>0</v>
      </c>
      <c r="M1325">
        <f t="shared" si="40"/>
        <v>36</v>
      </c>
      <c r="N1325">
        <v>0</v>
      </c>
      <c r="O1325">
        <v>0</v>
      </c>
      <c r="P1325">
        <v>36</v>
      </c>
      <c r="Q1325">
        <v>0</v>
      </c>
      <c r="R1325">
        <v>0</v>
      </c>
      <c r="S1325">
        <v>0</v>
      </c>
    </row>
    <row r="1326" spans="1:19" x14ac:dyDescent="0.25">
      <c r="A1326">
        <v>18111</v>
      </c>
      <c r="B1326" t="s">
        <v>84</v>
      </c>
      <c r="C1326">
        <v>4</v>
      </c>
      <c r="D1326">
        <v>30.2807772768723</v>
      </c>
      <c r="E1326">
        <v>0</v>
      </c>
      <c r="F1326">
        <f t="shared" si="41"/>
        <v>2</v>
      </c>
      <c r="G1326">
        <v>0</v>
      </c>
      <c r="H1326">
        <v>0</v>
      </c>
      <c r="I1326">
        <v>2</v>
      </c>
      <c r="J1326">
        <v>0</v>
      </c>
      <c r="K1326">
        <v>0</v>
      </c>
      <c r="L1326">
        <v>0</v>
      </c>
      <c r="M1326">
        <f t="shared" si="40"/>
        <v>36</v>
      </c>
      <c r="N1326">
        <v>0</v>
      </c>
      <c r="O1326">
        <v>0</v>
      </c>
      <c r="P1326">
        <v>36</v>
      </c>
      <c r="Q1326">
        <v>0</v>
      </c>
      <c r="R1326">
        <v>0</v>
      </c>
      <c r="S1326">
        <v>0</v>
      </c>
    </row>
    <row r="1327" spans="1:19" x14ac:dyDescent="0.25">
      <c r="A1327">
        <v>18111</v>
      </c>
      <c r="B1327" t="s">
        <v>84</v>
      </c>
      <c r="C1327">
        <v>5</v>
      </c>
      <c r="D1327">
        <v>27.6492776603999</v>
      </c>
      <c r="E1327">
        <v>7.4126749759785504E-2</v>
      </c>
      <c r="F1327">
        <f t="shared" si="41"/>
        <v>2</v>
      </c>
      <c r="G1327">
        <v>0</v>
      </c>
      <c r="H1327">
        <v>0</v>
      </c>
      <c r="I1327">
        <v>2</v>
      </c>
      <c r="J1327">
        <v>0</v>
      </c>
      <c r="K1327">
        <v>0</v>
      </c>
      <c r="L1327">
        <v>0</v>
      </c>
      <c r="M1327">
        <f t="shared" si="40"/>
        <v>36</v>
      </c>
      <c r="N1327">
        <v>0</v>
      </c>
      <c r="O1327">
        <v>0</v>
      </c>
      <c r="P1327">
        <v>36</v>
      </c>
      <c r="Q1327">
        <v>0</v>
      </c>
      <c r="R1327">
        <v>0</v>
      </c>
      <c r="S1327">
        <v>0</v>
      </c>
    </row>
    <row r="1328" spans="1:19" x14ac:dyDescent="0.25">
      <c r="A1328">
        <v>18111</v>
      </c>
      <c r="B1328" t="s">
        <v>84</v>
      </c>
      <c r="C1328">
        <v>6</v>
      </c>
      <c r="D1328">
        <v>24.165320421690001</v>
      </c>
      <c r="E1328">
        <v>0.11119012463967801</v>
      </c>
      <c r="F1328">
        <f t="shared" si="41"/>
        <v>2</v>
      </c>
      <c r="G1328">
        <v>0</v>
      </c>
      <c r="H1328">
        <v>0</v>
      </c>
      <c r="I1328">
        <v>2</v>
      </c>
      <c r="J1328">
        <v>0</v>
      </c>
      <c r="K1328">
        <v>0</v>
      </c>
      <c r="L1328">
        <v>0</v>
      </c>
      <c r="M1328">
        <f t="shared" si="40"/>
        <v>36</v>
      </c>
      <c r="N1328">
        <v>0</v>
      </c>
      <c r="O1328">
        <v>0</v>
      </c>
      <c r="P1328">
        <v>36</v>
      </c>
      <c r="Q1328">
        <v>0</v>
      </c>
      <c r="R1328">
        <v>0</v>
      </c>
      <c r="S1328">
        <v>0</v>
      </c>
    </row>
    <row r="1329" spans="1:19" x14ac:dyDescent="0.25">
      <c r="A1329">
        <v>18111</v>
      </c>
      <c r="B1329" t="s">
        <v>84</v>
      </c>
      <c r="C1329">
        <v>7</v>
      </c>
      <c r="D1329">
        <v>18.161053691147401</v>
      </c>
      <c r="E1329">
        <v>7.4126749759785504E-2</v>
      </c>
      <c r="F1329">
        <f t="shared" si="41"/>
        <v>2</v>
      </c>
      <c r="G1329">
        <v>0</v>
      </c>
      <c r="H1329">
        <v>0</v>
      </c>
      <c r="I1329">
        <v>2</v>
      </c>
      <c r="J1329">
        <v>0</v>
      </c>
      <c r="K1329">
        <v>0</v>
      </c>
      <c r="L1329">
        <v>0</v>
      </c>
      <c r="M1329">
        <f t="shared" si="40"/>
        <v>36</v>
      </c>
      <c r="N1329">
        <v>0</v>
      </c>
      <c r="O1329">
        <v>0</v>
      </c>
      <c r="P1329">
        <v>36</v>
      </c>
      <c r="Q1329">
        <v>0</v>
      </c>
      <c r="R1329">
        <v>0</v>
      </c>
      <c r="S1329">
        <v>0</v>
      </c>
    </row>
    <row r="1330" spans="1:19" x14ac:dyDescent="0.25">
      <c r="A1330">
        <v>18111</v>
      </c>
      <c r="B1330" t="s">
        <v>84</v>
      </c>
      <c r="C1330">
        <v>8</v>
      </c>
      <c r="D1330">
        <v>11.749089836926</v>
      </c>
      <c r="E1330">
        <v>7.4126749759785504E-2</v>
      </c>
      <c r="F1330">
        <f t="shared" si="41"/>
        <v>2</v>
      </c>
      <c r="G1330">
        <v>0</v>
      </c>
      <c r="H1330">
        <v>0</v>
      </c>
      <c r="I1330">
        <v>2</v>
      </c>
      <c r="J1330">
        <v>0</v>
      </c>
      <c r="K1330">
        <v>0</v>
      </c>
      <c r="L1330">
        <v>0</v>
      </c>
      <c r="M1330">
        <f t="shared" si="40"/>
        <v>36</v>
      </c>
      <c r="N1330">
        <v>0</v>
      </c>
      <c r="O1330">
        <v>0</v>
      </c>
      <c r="P1330">
        <v>36</v>
      </c>
      <c r="Q1330">
        <v>0</v>
      </c>
      <c r="R1330">
        <v>0</v>
      </c>
      <c r="S1330">
        <v>0</v>
      </c>
    </row>
    <row r="1331" spans="1:19" x14ac:dyDescent="0.25">
      <c r="A1331">
        <v>18111</v>
      </c>
      <c r="B1331" t="s">
        <v>84</v>
      </c>
      <c r="C1331">
        <v>9</v>
      </c>
      <c r="D1331">
        <v>9.3029070948530794</v>
      </c>
      <c r="E1331">
        <v>7.4126749759785504E-2</v>
      </c>
      <c r="F1331">
        <f t="shared" si="41"/>
        <v>2</v>
      </c>
      <c r="G1331">
        <v>0</v>
      </c>
      <c r="H1331">
        <v>0</v>
      </c>
      <c r="I1331">
        <v>2</v>
      </c>
      <c r="J1331">
        <v>0</v>
      </c>
      <c r="K1331">
        <v>0</v>
      </c>
      <c r="L1331">
        <v>0</v>
      </c>
      <c r="M1331">
        <f t="shared" si="40"/>
        <v>36</v>
      </c>
      <c r="N1331">
        <v>0</v>
      </c>
      <c r="O1331">
        <v>0</v>
      </c>
      <c r="P1331">
        <v>36</v>
      </c>
      <c r="Q1331">
        <v>0</v>
      </c>
      <c r="R1331">
        <v>0</v>
      </c>
      <c r="S1331">
        <v>0</v>
      </c>
    </row>
    <row r="1332" spans="1:19" x14ac:dyDescent="0.25">
      <c r="A1332">
        <v>18111</v>
      </c>
      <c r="B1332" t="s">
        <v>84</v>
      </c>
      <c r="C1332">
        <v>10</v>
      </c>
      <c r="D1332">
        <v>9.8217943431715806</v>
      </c>
      <c r="E1332">
        <v>7.4126749759785504E-2</v>
      </c>
      <c r="F1332">
        <f t="shared" si="41"/>
        <v>2</v>
      </c>
      <c r="G1332">
        <v>0</v>
      </c>
      <c r="H1332">
        <v>0</v>
      </c>
      <c r="I1332">
        <v>2</v>
      </c>
      <c r="J1332">
        <v>0</v>
      </c>
      <c r="K1332">
        <v>0</v>
      </c>
      <c r="L1332">
        <v>0</v>
      </c>
      <c r="M1332">
        <f t="shared" si="40"/>
        <v>36</v>
      </c>
      <c r="N1332">
        <v>0</v>
      </c>
      <c r="O1332">
        <v>0</v>
      </c>
      <c r="P1332">
        <v>36</v>
      </c>
      <c r="Q1332">
        <v>0</v>
      </c>
      <c r="R1332">
        <v>0</v>
      </c>
      <c r="S1332">
        <v>0</v>
      </c>
    </row>
    <row r="1333" spans="1:19" x14ac:dyDescent="0.25">
      <c r="A1333">
        <v>18111</v>
      </c>
      <c r="B1333" t="s">
        <v>84</v>
      </c>
      <c r="C1333">
        <v>11</v>
      </c>
      <c r="D1333">
        <v>10.1924280919705</v>
      </c>
      <c r="E1333">
        <v>0.40769712367881999</v>
      </c>
      <c r="F1333">
        <f t="shared" si="41"/>
        <v>2</v>
      </c>
      <c r="G1333">
        <v>0</v>
      </c>
      <c r="H1333">
        <v>0</v>
      </c>
      <c r="I1333">
        <v>2</v>
      </c>
      <c r="J1333">
        <v>0</v>
      </c>
      <c r="K1333">
        <v>0</v>
      </c>
      <c r="L1333">
        <v>0</v>
      </c>
      <c r="M1333">
        <f t="shared" si="40"/>
        <v>36</v>
      </c>
      <c r="N1333">
        <v>0</v>
      </c>
      <c r="O1333">
        <v>0</v>
      </c>
      <c r="P1333">
        <v>36</v>
      </c>
      <c r="Q1333">
        <v>0</v>
      </c>
      <c r="R1333">
        <v>0</v>
      </c>
      <c r="S1333">
        <v>0</v>
      </c>
    </row>
    <row r="1334" spans="1:19" x14ac:dyDescent="0.25">
      <c r="A1334">
        <v>18111</v>
      </c>
      <c r="B1334" t="s">
        <v>84</v>
      </c>
      <c r="C1334">
        <v>12</v>
      </c>
      <c r="D1334">
        <v>9.7476675934117907</v>
      </c>
      <c r="E1334">
        <v>0.59301399807828403</v>
      </c>
      <c r="F1334">
        <f t="shared" si="41"/>
        <v>2</v>
      </c>
      <c r="G1334">
        <v>0</v>
      </c>
      <c r="H1334">
        <v>0</v>
      </c>
      <c r="I1334">
        <v>2</v>
      </c>
      <c r="J1334">
        <v>0</v>
      </c>
      <c r="K1334">
        <v>0</v>
      </c>
      <c r="L1334">
        <v>0</v>
      </c>
      <c r="M1334">
        <f t="shared" si="40"/>
        <v>36</v>
      </c>
      <c r="N1334">
        <v>0</v>
      </c>
      <c r="O1334">
        <v>0</v>
      </c>
      <c r="P1334">
        <v>36</v>
      </c>
      <c r="Q1334">
        <v>0</v>
      </c>
      <c r="R1334">
        <v>0</v>
      </c>
      <c r="S1334">
        <v>0</v>
      </c>
    </row>
    <row r="1335" spans="1:19" x14ac:dyDescent="0.25">
      <c r="A1335">
        <v>18111</v>
      </c>
      <c r="B1335" t="s">
        <v>84</v>
      </c>
      <c r="C1335">
        <v>13</v>
      </c>
      <c r="D1335">
        <v>9.8588577180514694</v>
      </c>
      <c r="E1335">
        <v>0.66714074783806898</v>
      </c>
      <c r="F1335">
        <f t="shared" si="41"/>
        <v>2</v>
      </c>
      <c r="G1335">
        <v>0</v>
      </c>
      <c r="H1335">
        <v>0</v>
      </c>
      <c r="I1335">
        <v>2</v>
      </c>
      <c r="J1335">
        <v>0</v>
      </c>
      <c r="K1335">
        <v>0</v>
      </c>
      <c r="L1335">
        <v>0</v>
      </c>
      <c r="M1335">
        <f t="shared" si="40"/>
        <v>36</v>
      </c>
      <c r="N1335">
        <v>0</v>
      </c>
      <c r="O1335">
        <v>0</v>
      </c>
      <c r="P1335">
        <v>36</v>
      </c>
      <c r="Q1335">
        <v>0</v>
      </c>
      <c r="R1335">
        <v>0</v>
      </c>
      <c r="S1335">
        <v>0</v>
      </c>
    </row>
    <row r="1336" spans="1:19" x14ac:dyDescent="0.25">
      <c r="A1336">
        <v>18111</v>
      </c>
      <c r="B1336" t="s">
        <v>84</v>
      </c>
      <c r="C1336">
        <v>14</v>
      </c>
      <c r="D1336">
        <v>9.8959210929313599</v>
      </c>
      <c r="E1336">
        <v>0.40769712367881999</v>
      </c>
      <c r="F1336">
        <f t="shared" si="41"/>
        <v>2</v>
      </c>
      <c r="G1336">
        <v>0</v>
      </c>
      <c r="H1336">
        <v>0</v>
      </c>
      <c r="I1336">
        <v>2</v>
      </c>
      <c r="J1336">
        <v>0</v>
      </c>
      <c r="K1336">
        <v>0</v>
      </c>
      <c r="L1336">
        <v>0</v>
      </c>
      <c r="M1336">
        <f t="shared" si="40"/>
        <v>36</v>
      </c>
      <c r="N1336">
        <v>0</v>
      </c>
      <c r="O1336">
        <v>0</v>
      </c>
      <c r="P1336">
        <v>36</v>
      </c>
      <c r="Q1336">
        <v>0</v>
      </c>
      <c r="R1336">
        <v>0</v>
      </c>
      <c r="S1336">
        <v>0</v>
      </c>
    </row>
    <row r="1337" spans="1:19" x14ac:dyDescent="0.25">
      <c r="A1337">
        <v>18111</v>
      </c>
      <c r="B1337" t="s">
        <v>84</v>
      </c>
      <c r="C1337">
        <v>15</v>
      </c>
      <c r="D1337">
        <v>10.9336955895683</v>
      </c>
      <c r="E1337">
        <v>0.25944362415924899</v>
      </c>
      <c r="F1337">
        <f t="shared" si="41"/>
        <v>2</v>
      </c>
      <c r="G1337">
        <v>0</v>
      </c>
      <c r="H1337">
        <v>0</v>
      </c>
      <c r="I1337">
        <v>2</v>
      </c>
      <c r="J1337">
        <v>0</v>
      </c>
      <c r="K1337">
        <v>0</v>
      </c>
      <c r="L1337">
        <v>0</v>
      </c>
      <c r="M1337">
        <f t="shared" si="40"/>
        <v>36</v>
      </c>
      <c r="N1337">
        <v>0</v>
      </c>
      <c r="O1337">
        <v>0</v>
      </c>
      <c r="P1337">
        <v>36</v>
      </c>
      <c r="Q1337">
        <v>0</v>
      </c>
      <c r="R1337">
        <v>0</v>
      </c>
      <c r="S1337">
        <v>0</v>
      </c>
    </row>
    <row r="1338" spans="1:19" x14ac:dyDescent="0.25">
      <c r="A1338">
        <v>18111</v>
      </c>
      <c r="B1338" t="s">
        <v>84</v>
      </c>
      <c r="C1338">
        <v>16</v>
      </c>
      <c r="D1338">
        <v>10.4889350910096</v>
      </c>
      <c r="E1338">
        <v>0.55595062319839095</v>
      </c>
      <c r="F1338">
        <f t="shared" si="41"/>
        <v>2</v>
      </c>
      <c r="G1338">
        <v>0</v>
      </c>
      <c r="H1338">
        <v>0</v>
      </c>
      <c r="I1338">
        <v>2</v>
      </c>
      <c r="J1338">
        <v>0</v>
      </c>
      <c r="K1338">
        <v>0</v>
      </c>
      <c r="L1338">
        <v>0</v>
      </c>
      <c r="M1338">
        <f t="shared" si="40"/>
        <v>36</v>
      </c>
      <c r="N1338">
        <v>0</v>
      </c>
      <c r="O1338">
        <v>0</v>
      </c>
      <c r="P1338">
        <v>36</v>
      </c>
      <c r="Q1338">
        <v>0</v>
      </c>
      <c r="R1338">
        <v>0</v>
      </c>
      <c r="S1338">
        <v>0</v>
      </c>
    </row>
    <row r="1339" spans="1:19" x14ac:dyDescent="0.25">
      <c r="A1339">
        <v>18111</v>
      </c>
      <c r="B1339" t="s">
        <v>84</v>
      </c>
      <c r="C1339">
        <v>17</v>
      </c>
      <c r="D1339">
        <v>11.8232165866857</v>
      </c>
      <c r="E1339">
        <v>0.14825349951957101</v>
      </c>
      <c r="F1339">
        <f t="shared" si="41"/>
        <v>2</v>
      </c>
      <c r="G1339">
        <v>0</v>
      </c>
      <c r="H1339">
        <v>0</v>
      </c>
      <c r="I1339">
        <v>2</v>
      </c>
      <c r="J1339">
        <v>0</v>
      </c>
      <c r="K1339">
        <v>0</v>
      </c>
      <c r="L1339">
        <v>0</v>
      </c>
      <c r="M1339">
        <f t="shared" si="40"/>
        <v>36</v>
      </c>
      <c r="N1339">
        <v>0</v>
      </c>
      <c r="O1339">
        <v>0</v>
      </c>
      <c r="P1339">
        <v>36</v>
      </c>
      <c r="Q1339">
        <v>0</v>
      </c>
      <c r="R1339">
        <v>0</v>
      </c>
      <c r="S1339">
        <v>0</v>
      </c>
    </row>
    <row r="1340" spans="1:19" x14ac:dyDescent="0.25">
      <c r="A1340">
        <v>18111</v>
      </c>
      <c r="B1340" t="s">
        <v>84</v>
      </c>
      <c r="C1340">
        <v>18</v>
      </c>
      <c r="D1340">
        <v>14.8994767017168</v>
      </c>
      <c r="E1340">
        <v>7.4126749759785504E-2</v>
      </c>
      <c r="F1340">
        <f t="shared" si="41"/>
        <v>2</v>
      </c>
      <c r="G1340">
        <v>0</v>
      </c>
      <c r="H1340">
        <v>0</v>
      </c>
      <c r="I1340">
        <v>2</v>
      </c>
      <c r="J1340">
        <v>0</v>
      </c>
      <c r="K1340">
        <v>0</v>
      </c>
      <c r="L1340">
        <v>0</v>
      </c>
      <c r="M1340">
        <f t="shared" si="40"/>
        <v>36</v>
      </c>
      <c r="N1340">
        <v>0</v>
      </c>
      <c r="O1340">
        <v>0</v>
      </c>
      <c r="P1340">
        <v>36</v>
      </c>
      <c r="Q1340">
        <v>0</v>
      </c>
      <c r="R1340">
        <v>0</v>
      </c>
      <c r="S1340">
        <v>0</v>
      </c>
    </row>
    <row r="1341" spans="1:19" x14ac:dyDescent="0.25">
      <c r="A1341">
        <v>18111</v>
      </c>
      <c r="B1341" t="s">
        <v>84</v>
      </c>
      <c r="C1341">
        <v>19</v>
      </c>
      <c r="D1341">
        <v>18.420497315306601</v>
      </c>
      <c r="E1341">
        <v>0.22238024927935601</v>
      </c>
      <c r="F1341">
        <f t="shared" si="41"/>
        <v>2</v>
      </c>
      <c r="G1341">
        <v>0</v>
      </c>
      <c r="H1341">
        <v>0</v>
      </c>
      <c r="I1341">
        <v>2</v>
      </c>
      <c r="J1341">
        <v>0</v>
      </c>
      <c r="K1341">
        <v>0</v>
      </c>
      <c r="L1341">
        <v>0</v>
      </c>
      <c r="M1341">
        <f t="shared" si="40"/>
        <v>36</v>
      </c>
      <c r="N1341">
        <v>0</v>
      </c>
      <c r="O1341">
        <v>0</v>
      </c>
      <c r="P1341">
        <v>36</v>
      </c>
      <c r="Q1341">
        <v>0</v>
      </c>
      <c r="R1341">
        <v>0</v>
      </c>
      <c r="S1341">
        <v>0</v>
      </c>
    </row>
    <row r="1342" spans="1:19" x14ac:dyDescent="0.25">
      <c r="A1342">
        <v>18111</v>
      </c>
      <c r="B1342" t="s">
        <v>84</v>
      </c>
      <c r="C1342">
        <v>20</v>
      </c>
      <c r="D1342">
        <v>21.3855673056981</v>
      </c>
      <c r="E1342">
        <v>0.70420412271796196</v>
      </c>
      <c r="F1342">
        <f t="shared" si="41"/>
        <v>2</v>
      </c>
      <c r="G1342">
        <v>0</v>
      </c>
      <c r="H1342">
        <v>0</v>
      </c>
      <c r="I1342">
        <v>2</v>
      </c>
      <c r="J1342">
        <v>0</v>
      </c>
      <c r="K1342">
        <v>0</v>
      </c>
      <c r="L1342">
        <v>0</v>
      </c>
      <c r="M1342">
        <f t="shared" si="40"/>
        <v>36</v>
      </c>
      <c r="N1342">
        <v>0</v>
      </c>
      <c r="O1342">
        <v>0</v>
      </c>
      <c r="P1342">
        <v>36</v>
      </c>
      <c r="Q1342">
        <v>0</v>
      </c>
      <c r="R1342">
        <v>0</v>
      </c>
      <c r="S1342">
        <v>0</v>
      </c>
    </row>
    <row r="1343" spans="1:19" x14ac:dyDescent="0.25">
      <c r="A1343">
        <v>18111</v>
      </c>
      <c r="B1343" t="s">
        <v>84</v>
      </c>
      <c r="C1343">
        <v>21</v>
      </c>
      <c r="D1343">
        <v>23.5723064236117</v>
      </c>
      <c r="E1343">
        <v>0.25944362415924899</v>
      </c>
      <c r="F1343">
        <f t="shared" si="41"/>
        <v>2</v>
      </c>
      <c r="G1343">
        <v>0</v>
      </c>
      <c r="H1343">
        <v>0</v>
      </c>
      <c r="I1343">
        <v>2</v>
      </c>
      <c r="J1343">
        <v>0</v>
      </c>
      <c r="K1343">
        <v>0</v>
      </c>
      <c r="L1343">
        <v>0</v>
      </c>
      <c r="M1343">
        <f t="shared" si="40"/>
        <v>36</v>
      </c>
      <c r="N1343">
        <v>0</v>
      </c>
      <c r="O1343">
        <v>0</v>
      </c>
      <c r="P1343">
        <v>36</v>
      </c>
      <c r="Q1343">
        <v>0</v>
      </c>
      <c r="R1343">
        <v>0</v>
      </c>
      <c r="S1343">
        <v>0</v>
      </c>
    </row>
    <row r="1344" spans="1:19" x14ac:dyDescent="0.25">
      <c r="A1344">
        <v>18111</v>
      </c>
      <c r="B1344" t="s">
        <v>84</v>
      </c>
      <c r="C1344">
        <v>22</v>
      </c>
      <c r="D1344">
        <v>25.6849187917656</v>
      </c>
      <c r="E1344">
        <v>7.4126749759785504E-2</v>
      </c>
      <c r="F1344">
        <f t="shared" si="41"/>
        <v>2</v>
      </c>
      <c r="G1344">
        <v>0</v>
      </c>
      <c r="H1344">
        <v>0</v>
      </c>
      <c r="I1344">
        <v>2</v>
      </c>
      <c r="J1344">
        <v>0</v>
      </c>
      <c r="K1344">
        <v>0</v>
      </c>
      <c r="L1344">
        <v>0</v>
      </c>
      <c r="M1344">
        <f t="shared" si="40"/>
        <v>36</v>
      </c>
      <c r="N1344">
        <v>0</v>
      </c>
      <c r="O1344">
        <v>0</v>
      </c>
      <c r="P1344">
        <v>36</v>
      </c>
      <c r="Q1344">
        <v>0</v>
      </c>
      <c r="R1344">
        <v>0</v>
      </c>
      <c r="S1344">
        <v>0</v>
      </c>
    </row>
    <row r="1345" spans="1:19" x14ac:dyDescent="0.25">
      <c r="A1345">
        <v>18111</v>
      </c>
      <c r="B1345" t="s">
        <v>84</v>
      </c>
      <c r="C1345">
        <v>23</v>
      </c>
      <c r="D1345">
        <v>27.278643911601002</v>
      </c>
      <c r="E1345">
        <v>0.14825349951957101</v>
      </c>
      <c r="F1345">
        <f t="shared" si="41"/>
        <v>2</v>
      </c>
      <c r="G1345">
        <v>0</v>
      </c>
      <c r="H1345">
        <v>0</v>
      </c>
      <c r="I1345">
        <v>2</v>
      </c>
      <c r="J1345">
        <v>0</v>
      </c>
      <c r="K1345">
        <v>0</v>
      </c>
      <c r="L1345">
        <v>0</v>
      </c>
      <c r="M1345">
        <f t="shared" si="40"/>
        <v>36</v>
      </c>
      <c r="N1345">
        <v>0</v>
      </c>
      <c r="O1345">
        <v>0</v>
      </c>
      <c r="P1345">
        <v>36</v>
      </c>
      <c r="Q1345">
        <v>0</v>
      </c>
      <c r="R1345">
        <v>0</v>
      </c>
      <c r="S1345">
        <v>0</v>
      </c>
    </row>
    <row r="1346" spans="1:19" x14ac:dyDescent="0.25">
      <c r="A1346">
        <v>18113</v>
      </c>
      <c r="B1346" t="s">
        <v>85</v>
      </c>
      <c r="C1346">
        <v>0</v>
      </c>
      <c r="D1346">
        <v>13.364366741723</v>
      </c>
      <c r="E1346">
        <v>0</v>
      </c>
      <c r="F1346">
        <f t="shared" si="41"/>
        <v>1</v>
      </c>
      <c r="G1346">
        <v>0</v>
      </c>
      <c r="H1346">
        <v>1</v>
      </c>
      <c r="I1346">
        <v>0</v>
      </c>
      <c r="J1346">
        <v>0</v>
      </c>
      <c r="K1346">
        <v>0</v>
      </c>
      <c r="L1346">
        <v>0</v>
      </c>
      <c r="M1346">
        <f t="shared" ref="M1346:M1409" si="42">SUM(N1346:S1346)</f>
        <v>50</v>
      </c>
      <c r="N1346">
        <v>0</v>
      </c>
      <c r="O1346">
        <v>50</v>
      </c>
      <c r="P1346">
        <v>0</v>
      </c>
      <c r="Q1346">
        <v>0</v>
      </c>
      <c r="R1346">
        <v>0</v>
      </c>
      <c r="S1346">
        <v>0</v>
      </c>
    </row>
    <row r="1347" spans="1:19" x14ac:dyDescent="0.25">
      <c r="A1347">
        <v>18113</v>
      </c>
      <c r="B1347" t="s">
        <v>85</v>
      </c>
      <c r="C1347">
        <v>1</v>
      </c>
      <c r="D1347">
        <v>13.2370870584685</v>
      </c>
      <c r="E1347">
        <v>0</v>
      </c>
      <c r="F1347">
        <f t="shared" ref="F1347:F1410" si="43">SUM(G1347:L1347)</f>
        <v>1</v>
      </c>
      <c r="G1347">
        <v>0</v>
      </c>
      <c r="H1347">
        <v>1</v>
      </c>
      <c r="I1347">
        <v>0</v>
      </c>
      <c r="J1347">
        <v>0</v>
      </c>
      <c r="K1347">
        <v>0</v>
      </c>
      <c r="L1347">
        <v>0</v>
      </c>
      <c r="M1347">
        <f t="shared" si="42"/>
        <v>50</v>
      </c>
      <c r="N1347">
        <v>0</v>
      </c>
      <c r="O1347">
        <v>50</v>
      </c>
      <c r="P1347">
        <v>0</v>
      </c>
      <c r="Q1347">
        <v>0</v>
      </c>
      <c r="R1347">
        <v>0</v>
      </c>
      <c r="S1347">
        <v>0</v>
      </c>
    </row>
    <row r="1348" spans="1:19" x14ac:dyDescent="0.25">
      <c r="A1348">
        <v>18113</v>
      </c>
      <c r="B1348" t="s">
        <v>85</v>
      </c>
      <c r="C1348">
        <v>2</v>
      </c>
      <c r="D1348">
        <v>13.0673808141291</v>
      </c>
      <c r="E1348">
        <v>0</v>
      </c>
      <c r="F1348">
        <f t="shared" si="43"/>
        <v>1</v>
      </c>
      <c r="G1348">
        <v>0</v>
      </c>
      <c r="H1348">
        <v>1</v>
      </c>
      <c r="I1348">
        <v>0</v>
      </c>
      <c r="J1348">
        <v>0</v>
      </c>
      <c r="K1348">
        <v>0</v>
      </c>
      <c r="L1348">
        <v>0</v>
      </c>
      <c r="M1348">
        <f t="shared" si="42"/>
        <v>50</v>
      </c>
      <c r="N1348">
        <v>0</v>
      </c>
      <c r="O1348">
        <v>50</v>
      </c>
      <c r="P1348">
        <v>0</v>
      </c>
      <c r="Q1348">
        <v>0</v>
      </c>
      <c r="R1348">
        <v>0</v>
      </c>
      <c r="S1348">
        <v>0</v>
      </c>
    </row>
    <row r="1349" spans="1:19" x14ac:dyDescent="0.25">
      <c r="A1349">
        <v>18113</v>
      </c>
      <c r="B1349" t="s">
        <v>85</v>
      </c>
      <c r="C1349">
        <v>3</v>
      </c>
      <c r="D1349">
        <v>12.7703948865353</v>
      </c>
      <c r="E1349">
        <v>0</v>
      </c>
      <c r="F1349">
        <f t="shared" si="43"/>
        <v>1</v>
      </c>
      <c r="G1349">
        <v>0</v>
      </c>
      <c r="H1349">
        <v>1</v>
      </c>
      <c r="I1349">
        <v>0</v>
      </c>
      <c r="J1349">
        <v>0</v>
      </c>
      <c r="K1349">
        <v>0</v>
      </c>
      <c r="L1349">
        <v>0</v>
      </c>
      <c r="M1349">
        <f t="shared" si="42"/>
        <v>50</v>
      </c>
      <c r="N1349">
        <v>0</v>
      </c>
      <c r="O1349">
        <v>50</v>
      </c>
      <c r="P1349">
        <v>0</v>
      </c>
      <c r="Q1349">
        <v>0</v>
      </c>
      <c r="R1349">
        <v>0</v>
      </c>
      <c r="S1349">
        <v>0</v>
      </c>
    </row>
    <row r="1350" spans="1:19" x14ac:dyDescent="0.25">
      <c r="A1350">
        <v>18113</v>
      </c>
      <c r="B1350" t="s">
        <v>85</v>
      </c>
      <c r="C1350">
        <v>4</v>
      </c>
      <c r="D1350">
        <v>11.370318370735699</v>
      </c>
      <c r="E1350">
        <v>0</v>
      </c>
      <c r="F1350">
        <f t="shared" si="43"/>
        <v>1</v>
      </c>
      <c r="G1350">
        <v>0</v>
      </c>
      <c r="H1350">
        <v>1</v>
      </c>
      <c r="I1350">
        <v>0</v>
      </c>
      <c r="J1350">
        <v>0</v>
      </c>
      <c r="K1350">
        <v>0</v>
      </c>
      <c r="L1350">
        <v>0</v>
      </c>
      <c r="M1350">
        <f t="shared" si="42"/>
        <v>50</v>
      </c>
      <c r="N1350">
        <v>0</v>
      </c>
      <c r="O1350">
        <v>50</v>
      </c>
      <c r="P1350">
        <v>0</v>
      </c>
      <c r="Q1350">
        <v>0</v>
      </c>
      <c r="R1350">
        <v>0</v>
      </c>
      <c r="S1350">
        <v>0</v>
      </c>
    </row>
    <row r="1351" spans="1:19" x14ac:dyDescent="0.25">
      <c r="A1351">
        <v>18113</v>
      </c>
      <c r="B1351" t="s">
        <v>85</v>
      </c>
      <c r="C1351">
        <v>5</v>
      </c>
      <c r="D1351">
        <v>11.412744931820599</v>
      </c>
      <c r="E1351">
        <v>0.29698592759384501</v>
      </c>
      <c r="F1351">
        <f t="shared" si="43"/>
        <v>1</v>
      </c>
      <c r="G1351">
        <v>0</v>
      </c>
      <c r="H1351">
        <v>1</v>
      </c>
      <c r="I1351">
        <v>0</v>
      </c>
      <c r="J1351">
        <v>0</v>
      </c>
      <c r="K1351">
        <v>0</v>
      </c>
      <c r="L1351">
        <v>0</v>
      </c>
      <c r="M1351">
        <f t="shared" si="42"/>
        <v>50</v>
      </c>
      <c r="N1351">
        <v>0</v>
      </c>
      <c r="O1351">
        <v>50</v>
      </c>
      <c r="P1351">
        <v>0</v>
      </c>
      <c r="Q1351">
        <v>0</v>
      </c>
      <c r="R1351">
        <v>0</v>
      </c>
      <c r="S1351">
        <v>0</v>
      </c>
    </row>
    <row r="1352" spans="1:19" x14ac:dyDescent="0.25">
      <c r="A1352">
        <v>18113</v>
      </c>
      <c r="B1352" t="s">
        <v>85</v>
      </c>
      <c r="C1352">
        <v>6</v>
      </c>
      <c r="D1352">
        <v>11.7945839815841</v>
      </c>
      <c r="E1352">
        <v>0.93338434386637004</v>
      </c>
      <c r="F1352">
        <f t="shared" si="43"/>
        <v>1</v>
      </c>
      <c r="G1352">
        <v>0</v>
      </c>
      <c r="H1352">
        <v>1</v>
      </c>
      <c r="I1352">
        <v>0</v>
      </c>
      <c r="J1352">
        <v>0</v>
      </c>
      <c r="K1352">
        <v>0</v>
      </c>
      <c r="L1352">
        <v>0</v>
      </c>
      <c r="M1352">
        <f t="shared" si="42"/>
        <v>50</v>
      </c>
      <c r="N1352">
        <v>0</v>
      </c>
      <c r="O1352">
        <v>50</v>
      </c>
      <c r="P1352">
        <v>0</v>
      </c>
      <c r="Q1352">
        <v>0</v>
      </c>
      <c r="R1352">
        <v>0</v>
      </c>
      <c r="S1352">
        <v>0</v>
      </c>
    </row>
    <row r="1353" spans="1:19" x14ac:dyDescent="0.25">
      <c r="A1353">
        <v>18113</v>
      </c>
      <c r="B1353" t="s">
        <v>85</v>
      </c>
      <c r="C1353">
        <v>7</v>
      </c>
      <c r="D1353">
        <v>12.0491433480931</v>
      </c>
      <c r="E1353">
        <v>4.1578029863138299</v>
      </c>
      <c r="F1353">
        <f t="shared" si="43"/>
        <v>1</v>
      </c>
      <c r="G1353">
        <v>0</v>
      </c>
      <c r="H1353">
        <v>1</v>
      </c>
      <c r="I1353">
        <v>0</v>
      </c>
      <c r="J1353">
        <v>0</v>
      </c>
      <c r="K1353">
        <v>0</v>
      </c>
      <c r="L1353">
        <v>0</v>
      </c>
      <c r="M1353">
        <f t="shared" si="42"/>
        <v>50</v>
      </c>
      <c r="N1353">
        <v>0</v>
      </c>
      <c r="O1353">
        <v>50</v>
      </c>
      <c r="P1353">
        <v>0</v>
      </c>
      <c r="Q1353">
        <v>0</v>
      </c>
      <c r="R1353">
        <v>0</v>
      </c>
      <c r="S1353">
        <v>0</v>
      </c>
    </row>
    <row r="1354" spans="1:19" x14ac:dyDescent="0.25">
      <c r="A1354">
        <v>18113</v>
      </c>
      <c r="B1354" t="s">
        <v>85</v>
      </c>
      <c r="C1354">
        <v>8</v>
      </c>
      <c r="D1354">
        <v>11.8794371037538</v>
      </c>
      <c r="E1354">
        <v>5.2184670134347098</v>
      </c>
      <c r="F1354">
        <f t="shared" si="43"/>
        <v>1</v>
      </c>
      <c r="G1354">
        <v>0</v>
      </c>
      <c r="H1354">
        <v>1</v>
      </c>
      <c r="I1354">
        <v>0</v>
      </c>
      <c r="J1354">
        <v>0</v>
      </c>
      <c r="K1354">
        <v>0</v>
      </c>
      <c r="L1354">
        <v>0</v>
      </c>
      <c r="M1354">
        <f t="shared" si="42"/>
        <v>50</v>
      </c>
      <c r="N1354">
        <v>0</v>
      </c>
      <c r="O1354">
        <v>50</v>
      </c>
      <c r="P1354">
        <v>0</v>
      </c>
      <c r="Q1354">
        <v>0</v>
      </c>
      <c r="R1354">
        <v>0</v>
      </c>
      <c r="S1354">
        <v>0</v>
      </c>
    </row>
    <row r="1355" spans="1:19" x14ac:dyDescent="0.25">
      <c r="A1355">
        <v>18113</v>
      </c>
      <c r="B1355" t="s">
        <v>85</v>
      </c>
      <c r="C1355">
        <v>9</v>
      </c>
      <c r="D1355">
        <v>11.7097308594144</v>
      </c>
      <c r="E1355">
        <v>4.3699357917380102</v>
      </c>
      <c r="F1355">
        <f t="shared" si="43"/>
        <v>1</v>
      </c>
      <c r="G1355">
        <v>0</v>
      </c>
      <c r="H1355">
        <v>1</v>
      </c>
      <c r="I1355">
        <v>0</v>
      </c>
      <c r="J1355">
        <v>0</v>
      </c>
      <c r="K1355">
        <v>0</v>
      </c>
      <c r="L1355">
        <v>0</v>
      </c>
      <c r="M1355">
        <f t="shared" si="42"/>
        <v>50</v>
      </c>
      <c r="N1355">
        <v>0</v>
      </c>
      <c r="O1355">
        <v>50</v>
      </c>
      <c r="P1355">
        <v>0</v>
      </c>
      <c r="Q1355">
        <v>0</v>
      </c>
      <c r="R1355">
        <v>0</v>
      </c>
      <c r="S1355">
        <v>0</v>
      </c>
    </row>
    <row r="1356" spans="1:19" x14ac:dyDescent="0.25">
      <c r="A1356">
        <v>18113</v>
      </c>
      <c r="B1356" t="s">
        <v>85</v>
      </c>
      <c r="C1356">
        <v>10</v>
      </c>
      <c r="D1356">
        <v>11.243038687481199</v>
      </c>
      <c r="E1356">
        <v>4.2426561084834997</v>
      </c>
      <c r="F1356">
        <f t="shared" si="43"/>
        <v>1</v>
      </c>
      <c r="G1356">
        <v>0</v>
      </c>
      <c r="H1356">
        <v>1</v>
      </c>
      <c r="I1356">
        <v>0</v>
      </c>
      <c r="J1356">
        <v>0</v>
      </c>
      <c r="K1356">
        <v>0</v>
      </c>
      <c r="L1356">
        <v>0</v>
      </c>
      <c r="M1356">
        <f t="shared" si="42"/>
        <v>50</v>
      </c>
      <c r="N1356">
        <v>0</v>
      </c>
      <c r="O1356">
        <v>50</v>
      </c>
      <c r="P1356">
        <v>0</v>
      </c>
      <c r="Q1356">
        <v>0</v>
      </c>
      <c r="R1356">
        <v>0</v>
      </c>
      <c r="S1356">
        <v>0</v>
      </c>
    </row>
    <row r="1357" spans="1:19" x14ac:dyDescent="0.25">
      <c r="A1357">
        <v>18113</v>
      </c>
      <c r="B1357" t="s">
        <v>85</v>
      </c>
      <c r="C1357">
        <v>11</v>
      </c>
      <c r="D1357">
        <v>10.7339199544632</v>
      </c>
      <c r="E1357">
        <v>4.0729498641441602</v>
      </c>
      <c r="F1357">
        <f t="shared" si="43"/>
        <v>1</v>
      </c>
      <c r="G1357">
        <v>0</v>
      </c>
      <c r="H1357">
        <v>1</v>
      </c>
      <c r="I1357">
        <v>0</v>
      </c>
      <c r="J1357">
        <v>0</v>
      </c>
      <c r="K1357">
        <v>0</v>
      </c>
      <c r="L1357">
        <v>0</v>
      </c>
      <c r="M1357">
        <f t="shared" si="42"/>
        <v>50</v>
      </c>
      <c r="N1357">
        <v>0</v>
      </c>
      <c r="O1357">
        <v>50</v>
      </c>
      <c r="P1357">
        <v>0</v>
      </c>
      <c r="Q1357">
        <v>0</v>
      </c>
      <c r="R1357">
        <v>0</v>
      </c>
      <c r="S1357">
        <v>0</v>
      </c>
    </row>
    <row r="1358" spans="1:19" x14ac:dyDescent="0.25">
      <c r="A1358">
        <v>18113</v>
      </c>
      <c r="B1358" t="s">
        <v>85</v>
      </c>
      <c r="C1358">
        <v>12</v>
      </c>
      <c r="D1358">
        <v>9.4611231219182095</v>
      </c>
      <c r="E1358">
        <v>3.8183904976351499</v>
      </c>
      <c r="F1358">
        <f t="shared" si="43"/>
        <v>1</v>
      </c>
      <c r="G1358">
        <v>0</v>
      </c>
      <c r="H1358">
        <v>1</v>
      </c>
      <c r="I1358">
        <v>0</v>
      </c>
      <c r="J1358">
        <v>0</v>
      </c>
      <c r="K1358">
        <v>0</v>
      </c>
      <c r="L1358">
        <v>0</v>
      </c>
      <c r="M1358">
        <f t="shared" si="42"/>
        <v>50</v>
      </c>
      <c r="N1358">
        <v>0</v>
      </c>
      <c r="O1358">
        <v>50</v>
      </c>
      <c r="P1358">
        <v>0</v>
      </c>
      <c r="Q1358">
        <v>0</v>
      </c>
      <c r="R1358">
        <v>0</v>
      </c>
      <c r="S1358">
        <v>0</v>
      </c>
    </row>
    <row r="1359" spans="1:19" x14ac:dyDescent="0.25">
      <c r="A1359">
        <v>18113</v>
      </c>
      <c r="B1359" t="s">
        <v>85</v>
      </c>
      <c r="C1359">
        <v>13</v>
      </c>
      <c r="D1359">
        <v>8.6125919002215099</v>
      </c>
      <c r="E1359">
        <v>2.4607405429204299</v>
      </c>
      <c r="F1359">
        <f t="shared" si="43"/>
        <v>1</v>
      </c>
      <c r="G1359">
        <v>0</v>
      </c>
      <c r="H1359">
        <v>1</v>
      </c>
      <c r="I1359">
        <v>0</v>
      </c>
      <c r="J1359">
        <v>0</v>
      </c>
      <c r="K1359">
        <v>0</v>
      </c>
      <c r="L1359">
        <v>0</v>
      </c>
      <c r="M1359">
        <f t="shared" si="42"/>
        <v>50</v>
      </c>
      <c r="N1359">
        <v>0</v>
      </c>
      <c r="O1359">
        <v>50</v>
      </c>
      <c r="P1359">
        <v>0</v>
      </c>
      <c r="Q1359">
        <v>0</v>
      </c>
      <c r="R1359">
        <v>0</v>
      </c>
      <c r="S1359">
        <v>0</v>
      </c>
    </row>
    <row r="1360" spans="1:19" x14ac:dyDescent="0.25">
      <c r="A1360">
        <v>18113</v>
      </c>
      <c r="B1360" t="s">
        <v>85</v>
      </c>
      <c r="C1360">
        <v>14</v>
      </c>
      <c r="D1360">
        <v>8.5277387780518392</v>
      </c>
      <c r="E1360">
        <v>0.67882497735736003</v>
      </c>
      <c r="F1360">
        <f t="shared" si="43"/>
        <v>1</v>
      </c>
      <c r="G1360">
        <v>0</v>
      </c>
      <c r="H1360">
        <v>1</v>
      </c>
      <c r="I1360">
        <v>0</v>
      </c>
      <c r="J1360">
        <v>0</v>
      </c>
      <c r="K1360">
        <v>0</v>
      </c>
      <c r="L1360">
        <v>0</v>
      </c>
      <c r="M1360">
        <f t="shared" si="42"/>
        <v>50</v>
      </c>
      <c r="N1360">
        <v>0</v>
      </c>
      <c r="O1360">
        <v>50</v>
      </c>
      <c r="P1360">
        <v>0</v>
      </c>
      <c r="Q1360">
        <v>0</v>
      </c>
      <c r="R1360">
        <v>0</v>
      </c>
      <c r="S1360">
        <v>0</v>
      </c>
    </row>
    <row r="1361" spans="1:19" x14ac:dyDescent="0.25">
      <c r="A1361">
        <v>18113</v>
      </c>
      <c r="B1361" t="s">
        <v>85</v>
      </c>
      <c r="C1361">
        <v>15</v>
      </c>
      <c r="D1361">
        <v>8.7822981445608495</v>
      </c>
      <c r="E1361">
        <v>0.63639841627252502</v>
      </c>
      <c r="F1361">
        <f t="shared" si="43"/>
        <v>1</v>
      </c>
      <c r="G1361">
        <v>0</v>
      </c>
      <c r="H1361">
        <v>1</v>
      </c>
      <c r="I1361">
        <v>0</v>
      </c>
      <c r="J1361">
        <v>0</v>
      </c>
      <c r="K1361">
        <v>0</v>
      </c>
      <c r="L1361">
        <v>0</v>
      </c>
      <c r="M1361">
        <f t="shared" si="42"/>
        <v>50</v>
      </c>
      <c r="N1361">
        <v>0</v>
      </c>
      <c r="O1361">
        <v>50</v>
      </c>
      <c r="P1361">
        <v>0</v>
      </c>
      <c r="Q1361">
        <v>0</v>
      </c>
      <c r="R1361">
        <v>0</v>
      </c>
      <c r="S1361">
        <v>0</v>
      </c>
    </row>
    <row r="1362" spans="1:19" x14ac:dyDescent="0.25">
      <c r="A1362">
        <v>18113</v>
      </c>
      <c r="B1362" t="s">
        <v>85</v>
      </c>
      <c r="C1362">
        <v>16</v>
      </c>
      <c r="D1362">
        <v>9.5459762440878801</v>
      </c>
      <c r="E1362">
        <v>0.42426561084835002</v>
      </c>
      <c r="F1362">
        <f t="shared" si="43"/>
        <v>1</v>
      </c>
      <c r="G1362">
        <v>0</v>
      </c>
      <c r="H1362">
        <v>1</v>
      </c>
      <c r="I1362">
        <v>0</v>
      </c>
      <c r="J1362">
        <v>0</v>
      </c>
      <c r="K1362">
        <v>0</v>
      </c>
      <c r="L1362">
        <v>0</v>
      </c>
      <c r="M1362">
        <f t="shared" si="42"/>
        <v>50</v>
      </c>
      <c r="N1362">
        <v>0</v>
      </c>
      <c r="O1362">
        <v>50</v>
      </c>
      <c r="P1362">
        <v>0</v>
      </c>
      <c r="Q1362">
        <v>0</v>
      </c>
      <c r="R1362">
        <v>0</v>
      </c>
      <c r="S1362">
        <v>0</v>
      </c>
    </row>
    <row r="1363" spans="1:19" x14ac:dyDescent="0.25">
      <c r="A1363">
        <v>18113</v>
      </c>
      <c r="B1363" t="s">
        <v>85</v>
      </c>
      <c r="C1363">
        <v>17</v>
      </c>
      <c r="D1363">
        <v>10.3945074657845</v>
      </c>
      <c r="E1363">
        <v>8.4853122169670003E-2</v>
      </c>
      <c r="F1363">
        <f t="shared" si="43"/>
        <v>1</v>
      </c>
      <c r="G1363">
        <v>0</v>
      </c>
      <c r="H1363">
        <v>1</v>
      </c>
      <c r="I1363">
        <v>0</v>
      </c>
      <c r="J1363">
        <v>0</v>
      </c>
      <c r="K1363">
        <v>0</v>
      </c>
      <c r="L1363">
        <v>0</v>
      </c>
      <c r="M1363">
        <f t="shared" si="42"/>
        <v>50</v>
      </c>
      <c r="N1363">
        <v>0</v>
      </c>
      <c r="O1363">
        <v>50</v>
      </c>
      <c r="P1363">
        <v>0</v>
      </c>
      <c r="Q1363">
        <v>0</v>
      </c>
      <c r="R1363">
        <v>0</v>
      </c>
      <c r="S1363">
        <v>0</v>
      </c>
    </row>
    <row r="1364" spans="1:19" x14ac:dyDescent="0.25">
      <c r="A1364">
        <v>18113</v>
      </c>
      <c r="B1364" t="s">
        <v>85</v>
      </c>
      <c r="C1364">
        <v>18</v>
      </c>
      <c r="D1364">
        <v>10.6914933933784</v>
      </c>
      <c r="E1364">
        <v>0</v>
      </c>
      <c r="F1364">
        <f t="shared" si="43"/>
        <v>1</v>
      </c>
      <c r="G1364">
        <v>0</v>
      </c>
      <c r="H1364">
        <v>1</v>
      </c>
      <c r="I1364">
        <v>0</v>
      </c>
      <c r="J1364">
        <v>0</v>
      </c>
      <c r="K1364">
        <v>0</v>
      </c>
      <c r="L1364">
        <v>0</v>
      </c>
      <c r="M1364">
        <f t="shared" si="42"/>
        <v>50</v>
      </c>
      <c r="N1364">
        <v>0</v>
      </c>
      <c r="O1364">
        <v>50</v>
      </c>
      <c r="P1364">
        <v>0</v>
      </c>
      <c r="Q1364">
        <v>0</v>
      </c>
      <c r="R1364">
        <v>0</v>
      </c>
      <c r="S1364">
        <v>0</v>
      </c>
    </row>
    <row r="1365" spans="1:19" x14ac:dyDescent="0.25">
      <c r="A1365">
        <v>18113</v>
      </c>
      <c r="B1365" t="s">
        <v>85</v>
      </c>
      <c r="C1365">
        <v>19</v>
      </c>
      <c r="D1365">
        <v>11.1581855653116</v>
      </c>
      <c r="E1365">
        <v>0</v>
      </c>
      <c r="F1365">
        <f t="shared" si="43"/>
        <v>1</v>
      </c>
      <c r="G1365">
        <v>0</v>
      </c>
      <c r="H1365">
        <v>1</v>
      </c>
      <c r="I1365">
        <v>0</v>
      </c>
      <c r="J1365">
        <v>0</v>
      </c>
      <c r="K1365">
        <v>0</v>
      </c>
      <c r="L1365">
        <v>0</v>
      </c>
      <c r="M1365">
        <f t="shared" si="42"/>
        <v>50</v>
      </c>
      <c r="N1365">
        <v>0</v>
      </c>
      <c r="O1365">
        <v>50</v>
      </c>
      <c r="P1365">
        <v>0</v>
      </c>
      <c r="Q1365">
        <v>0</v>
      </c>
      <c r="R1365">
        <v>0</v>
      </c>
      <c r="S1365">
        <v>0</v>
      </c>
    </row>
    <row r="1366" spans="1:19" x14ac:dyDescent="0.25">
      <c r="A1366">
        <v>18113</v>
      </c>
      <c r="B1366" t="s">
        <v>85</v>
      </c>
      <c r="C1366">
        <v>20</v>
      </c>
      <c r="D1366">
        <v>11.8794371037538</v>
      </c>
      <c r="E1366">
        <v>0</v>
      </c>
      <c r="F1366">
        <f t="shared" si="43"/>
        <v>1</v>
      </c>
      <c r="G1366">
        <v>0</v>
      </c>
      <c r="H1366">
        <v>1</v>
      </c>
      <c r="I1366">
        <v>0</v>
      </c>
      <c r="J1366">
        <v>0</v>
      </c>
      <c r="K1366">
        <v>0</v>
      </c>
      <c r="L1366">
        <v>0</v>
      </c>
      <c r="M1366">
        <f t="shared" si="42"/>
        <v>50</v>
      </c>
      <c r="N1366">
        <v>0</v>
      </c>
      <c r="O1366">
        <v>50</v>
      </c>
      <c r="P1366">
        <v>0</v>
      </c>
      <c r="Q1366">
        <v>0</v>
      </c>
      <c r="R1366">
        <v>0</v>
      </c>
      <c r="S1366">
        <v>0</v>
      </c>
    </row>
    <row r="1367" spans="1:19" x14ac:dyDescent="0.25">
      <c r="A1367">
        <v>18113</v>
      </c>
      <c r="B1367" t="s">
        <v>85</v>
      </c>
      <c r="C1367">
        <v>21</v>
      </c>
      <c r="D1367">
        <v>12.5158355200263</v>
      </c>
      <c r="E1367">
        <v>0</v>
      </c>
      <c r="F1367">
        <f t="shared" si="43"/>
        <v>1</v>
      </c>
      <c r="G1367">
        <v>0</v>
      </c>
      <c r="H1367">
        <v>1</v>
      </c>
      <c r="I1367">
        <v>0</v>
      </c>
      <c r="J1367">
        <v>0</v>
      </c>
      <c r="K1367">
        <v>0</v>
      </c>
      <c r="L1367">
        <v>0</v>
      </c>
      <c r="M1367">
        <f t="shared" si="42"/>
        <v>50</v>
      </c>
      <c r="N1367">
        <v>0</v>
      </c>
      <c r="O1367">
        <v>50</v>
      </c>
      <c r="P1367">
        <v>0</v>
      </c>
      <c r="Q1367">
        <v>0</v>
      </c>
      <c r="R1367">
        <v>0</v>
      </c>
      <c r="S1367">
        <v>0</v>
      </c>
    </row>
    <row r="1368" spans="1:19" x14ac:dyDescent="0.25">
      <c r="A1368">
        <v>18113</v>
      </c>
      <c r="B1368" t="s">
        <v>85</v>
      </c>
      <c r="C1368">
        <v>22</v>
      </c>
      <c r="D1368">
        <v>13.2370870584685</v>
      </c>
      <c r="E1368">
        <v>0</v>
      </c>
      <c r="F1368">
        <f t="shared" si="43"/>
        <v>1</v>
      </c>
      <c r="G1368">
        <v>0</v>
      </c>
      <c r="H1368">
        <v>1</v>
      </c>
      <c r="I1368">
        <v>0</v>
      </c>
      <c r="J1368">
        <v>0</v>
      </c>
      <c r="K1368">
        <v>0</v>
      </c>
      <c r="L1368">
        <v>0</v>
      </c>
      <c r="M1368">
        <f t="shared" si="42"/>
        <v>50</v>
      </c>
      <c r="N1368">
        <v>0</v>
      </c>
      <c r="O1368">
        <v>50</v>
      </c>
      <c r="P1368">
        <v>0</v>
      </c>
      <c r="Q1368">
        <v>0</v>
      </c>
      <c r="R1368">
        <v>0</v>
      </c>
      <c r="S1368">
        <v>0</v>
      </c>
    </row>
    <row r="1369" spans="1:19" x14ac:dyDescent="0.25">
      <c r="A1369">
        <v>18113</v>
      </c>
      <c r="B1369" t="s">
        <v>85</v>
      </c>
      <c r="C1369">
        <v>23</v>
      </c>
      <c r="D1369">
        <v>13.406793302807801</v>
      </c>
      <c r="E1369">
        <v>0</v>
      </c>
      <c r="F1369">
        <f t="shared" si="43"/>
        <v>1</v>
      </c>
      <c r="G1369">
        <v>0</v>
      </c>
      <c r="H1369">
        <v>1</v>
      </c>
      <c r="I1369">
        <v>0</v>
      </c>
      <c r="J1369">
        <v>0</v>
      </c>
      <c r="K1369">
        <v>0</v>
      </c>
      <c r="L1369">
        <v>0</v>
      </c>
      <c r="M1369">
        <f t="shared" si="42"/>
        <v>50</v>
      </c>
      <c r="N1369">
        <v>0</v>
      </c>
      <c r="O1369">
        <v>50</v>
      </c>
      <c r="P1369">
        <v>0</v>
      </c>
      <c r="Q1369">
        <v>0</v>
      </c>
      <c r="R1369">
        <v>0</v>
      </c>
      <c r="S1369">
        <v>0</v>
      </c>
    </row>
    <row r="1370" spans="1:19" x14ac:dyDescent="0.25">
      <c r="A1370">
        <v>18115</v>
      </c>
      <c r="B1370" t="s">
        <v>86</v>
      </c>
      <c r="C1370">
        <v>0</v>
      </c>
      <c r="D1370">
        <v>0</v>
      </c>
      <c r="E1370">
        <v>0</v>
      </c>
      <c r="F1370">
        <f t="shared" si="43"/>
        <v>0</v>
      </c>
      <c r="G1370">
        <v>0</v>
      </c>
      <c r="H1370">
        <v>0</v>
      </c>
      <c r="I1370">
        <v>0</v>
      </c>
      <c r="J1370">
        <v>0</v>
      </c>
      <c r="K1370">
        <v>0</v>
      </c>
      <c r="L1370">
        <v>0</v>
      </c>
      <c r="M1370">
        <f t="shared" si="42"/>
        <v>0</v>
      </c>
      <c r="N1370">
        <v>0</v>
      </c>
      <c r="O1370">
        <v>0</v>
      </c>
      <c r="P1370">
        <v>0</v>
      </c>
      <c r="Q1370">
        <v>0</v>
      </c>
      <c r="R1370">
        <v>0</v>
      </c>
      <c r="S1370">
        <v>0</v>
      </c>
    </row>
    <row r="1371" spans="1:19" x14ac:dyDescent="0.25">
      <c r="A1371">
        <v>18115</v>
      </c>
      <c r="B1371" t="s">
        <v>86</v>
      </c>
      <c r="C1371">
        <v>1</v>
      </c>
      <c r="D1371">
        <v>0</v>
      </c>
      <c r="E1371">
        <v>0</v>
      </c>
      <c r="F1371">
        <f t="shared" si="43"/>
        <v>0</v>
      </c>
      <c r="G1371">
        <v>0</v>
      </c>
      <c r="H1371">
        <v>0</v>
      </c>
      <c r="I1371">
        <v>0</v>
      </c>
      <c r="J1371">
        <v>0</v>
      </c>
      <c r="K1371">
        <v>0</v>
      </c>
      <c r="L1371">
        <v>0</v>
      </c>
      <c r="M1371">
        <f t="shared" si="42"/>
        <v>0</v>
      </c>
      <c r="N1371">
        <v>0</v>
      </c>
      <c r="O1371">
        <v>0</v>
      </c>
      <c r="P1371">
        <v>0</v>
      </c>
      <c r="Q1371">
        <v>0</v>
      </c>
      <c r="R1371">
        <v>0</v>
      </c>
      <c r="S1371">
        <v>0</v>
      </c>
    </row>
    <row r="1372" spans="1:19" x14ac:dyDescent="0.25">
      <c r="A1372">
        <v>18115</v>
      </c>
      <c r="B1372" t="s">
        <v>86</v>
      </c>
      <c r="C1372">
        <v>2</v>
      </c>
      <c r="D1372">
        <v>0</v>
      </c>
      <c r="E1372">
        <v>0</v>
      </c>
      <c r="F1372">
        <f t="shared" si="43"/>
        <v>0</v>
      </c>
      <c r="G1372">
        <v>0</v>
      </c>
      <c r="H1372">
        <v>0</v>
      </c>
      <c r="I1372">
        <v>0</v>
      </c>
      <c r="J1372">
        <v>0</v>
      </c>
      <c r="K1372">
        <v>0</v>
      </c>
      <c r="L1372">
        <v>0</v>
      </c>
      <c r="M1372">
        <f t="shared" si="42"/>
        <v>0</v>
      </c>
      <c r="N1372">
        <v>0</v>
      </c>
      <c r="O1372">
        <v>0</v>
      </c>
      <c r="P1372">
        <v>0</v>
      </c>
      <c r="Q1372">
        <v>0</v>
      </c>
      <c r="R1372">
        <v>0</v>
      </c>
      <c r="S1372">
        <v>0</v>
      </c>
    </row>
    <row r="1373" spans="1:19" x14ac:dyDescent="0.25">
      <c r="A1373">
        <v>18115</v>
      </c>
      <c r="B1373" t="s">
        <v>86</v>
      </c>
      <c r="C1373">
        <v>3</v>
      </c>
      <c r="D1373">
        <v>0</v>
      </c>
      <c r="E1373">
        <v>0</v>
      </c>
      <c r="F1373">
        <f t="shared" si="43"/>
        <v>0</v>
      </c>
      <c r="G1373">
        <v>0</v>
      </c>
      <c r="H1373">
        <v>0</v>
      </c>
      <c r="I1373">
        <v>0</v>
      </c>
      <c r="J1373">
        <v>0</v>
      </c>
      <c r="K1373">
        <v>0</v>
      </c>
      <c r="L1373">
        <v>0</v>
      </c>
      <c r="M1373">
        <f t="shared" si="42"/>
        <v>0</v>
      </c>
      <c r="N1373">
        <v>0</v>
      </c>
      <c r="O1373">
        <v>0</v>
      </c>
      <c r="P1373">
        <v>0</v>
      </c>
      <c r="Q1373">
        <v>0</v>
      </c>
      <c r="R1373">
        <v>0</v>
      </c>
      <c r="S1373">
        <v>0</v>
      </c>
    </row>
    <row r="1374" spans="1:19" x14ac:dyDescent="0.25">
      <c r="A1374">
        <v>18115</v>
      </c>
      <c r="B1374" t="s">
        <v>86</v>
      </c>
      <c r="C1374">
        <v>4</v>
      </c>
      <c r="D1374">
        <v>0</v>
      </c>
      <c r="E1374">
        <v>0</v>
      </c>
      <c r="F1374">
        <f t="shared" si="43"/>
        <v>0</v>
      </c>
      <c r="G1374">
        <v>0</v>
      </c>
      <c r="H1374">
        <v>0</v>
      </c>
      <c r="I1374">
        <v>0</v>
      </c>
      <c r="J1374">
        <v>0</v>
      </c>
      <c r="K1374">
        <v>0</v>
      </c>
      <c r="L1374">
        <v>0</v>
      </c>
      <c r="M1374">
        <f t="shared" si="42"/>
        <v>0</v>
      </c>
      <c r="N1374">
        <v>0</v>
      </c>
      <c r="O1374">
        <v>0</v>
      </c>
      <c r="P1374">
        <v>0</v>
      </c>
      <c r="Q1374">
        <v>0</v>
      </c>
      <c r="R1374">
        <v>0</v>
      </c>
      <c r="S1374">
        <v>0</v>
      </c>
    </row>
    <row r="1375" spans="1:19" x14ac:dyDescent="0.25">
      <c r="A1375">
        <v>18115</v>
      </c>
      <c r="B1375" t="s">
        <v>86</v>
      </c>
      <c r="C1375">
        <v>5</v>
      </c>
      <c r="D1375">
        <v>0</v>
      </c>
      <c r="E1375">
        <v>0</v>
      </c>
      <c r="F1375">
        <f t="shared" si="43"/>
        <v>0</v>
      </c>
      <c r="G1375">
        <v>0</v>
      </c>
      <c r="H1375">
        <v>0</v>
      </c>
      <c r="I1375">
        <v>0</v>
      </c>
      <c r="J1375">
        <v>0</v>
      </c>
      <c r="K1375">
        <v>0</v>
      </c>
      <c r="L1375">
        <v>0</v>
      </c>
      <c r="M1375">
        <f t="shared" si="42"/>
        <v>0</v>
      </c>
      <c r="N1375">
        <v>0</v>
      </c>
      <c r="O1375">
        <v>0</v>
      </c>
      <c r="P1375">
        <v>0</v>
      </c>
      <c r="Q1375">
        <v>0</v>
      </c>
      <c r="R1375">
        <v>0</v>
      </c>
      <c r="S1375">
        <v>0</v>
      </c>
    </row>
    <row r="1376" spans="1:19" x14ac:dyDescent="0.25">
      <c r="A1376">
        <v>18115</v>
      </c>
      <c r="B1376" t="s">
        <v>86</v>
      </c>
      <c r="C1376">
        <v>6</v>
      </c>
      <c r="D1376">
        <v>0</v>
      </c>
      <c r="E1376">
        <v>0</v>
      </c>
      <c r="F1376">
        <f t="shared" si="43"/>
        <v>0</v>
      </c>
      <c r="G1376">
        <v>0</v>
      </c>
      <c r="H1376">
        <v>0</v>
      </c>
      <c r="I1376">
        <v>0</v>
      </c>
      <c r="J1376">
        <v>0</v>
      </c>
      <c r="K1376">
        <v>0</v>
      </c>
      <c r="L1376">
        <v>0</v>
      </c>
      <c r="M1376">
        <f t="shared" si="42"/>
        <v>0</v>
      </c>
      <c r="N1376">
        <v>0</v>
      </c>
      <c r="O1376">
        <v>0</v>
      </c>
      <c r="P1376">
        <v>0</v>
      </c>
      <c r="Q1376">
        <v>0</v>
      </c>
      <c r="R1376">
        <v>0</v>
      </c>
      <c r="S1376">
        <v>0</v>
      </c>
    </row>
    <row r="1377" spans="1:19" x14ac:dyDescent="0.25">
      <c r="A1377">
        <v>18115</v>
      </c>
      <c r="B1377" t="s">
        <v>86</v>
      </c>
      <c r="C1377">
        <v>7</v>
      </c>
      <c r="D1377">
        <v>0</v>
      </c>
      <c r="E1377">
        <v>0</v>
      </c>
      <c r="F1377">
        <f t="shared" si="43"/>
        <v>0</v>
      </c>
      <c r="G1377">
        <v>0</v>
      </c>
      <c r="H1377">
        <v>0</v>
      </c>
      <c r="I1377">
        <v>0</v>
      </c>
      <c r="J1377">
        <v>0</v>
      </c>
      <c r="K1377">
        <v>0</v>
      </c>
      <c r="L1377">
        <v>0</v>
      </c>
      <c r="M1377">
        <f t="shared" si="42"/>
        <v>0</v>
      </c>
      <c r="N1377">
        <v>0</v>
      </c>
      <c r="O1377">
        <v>0</v>
      </c>
      <c r="P1377">
        <v>0</v>
      </c>
      <c r="Q1377">
        <v>0</v>
      </c>
      <c r="R1377">
        <v>0</v>
      </c>
      <c r="S1377">
        <v>0</v>
      </c>
    </row>
    <row r="1378" spans="1:19" x14ac:dyDescent="0.25">
      <c r="A1378">
        <v>18115</v>
      </c>
      <c r="B1378" t="s">
        <v>86</v>
      </c>
      <c r="C1378">
        <v>8</v>
      </c>
      <c r="D1378">
        <v>0</v>
      </c>
      <c r="E1378">
        <v>0</v>
      </c>
      <c r="F1378">
        <f t="shared" si="43"/>
        <v>0</v>
      </c>
      <c r="G1378">
        <v>0</v>
      </c>
      <c r="H1378">
        <v>0</v>
      </c>
      <c r="I1378">
        <v>0</v>
      </c>
      <c r="J1378">
        <v>0</v>
      </c>
      <c r="K1378">
        <v>0</v>
      </c>
      <c r="L1378">
        <v>0</v>
      </c>
      <c r="M1378">
        <f t="shared" si="42"/>
        <v>0</v>
      </c>
      <c r="N1378">
        <v>0</v>
      </c>
      <c r="O1378">
        <v>0</v>
      </c>
      <c r="P1378">
        <v>0</v>
      </c>
      <c r="Q1378">
        <v>0</v>
      </c>
      <c r="R1378">
        <v>0</v>
      </c>
      <c r="S1378">
        <v>0</v>
      </c>
    </row>
    <row r="1379" spans="1:19" x14ac:dyDescent="0.25">
      <c r="A1379">
        <v>18115</v>
      </c>
      <c r="B1379" t="s">
        <v>86</v>
      </c>
      <c r="C1379">
        <v>9</v>
      </c>
      <c r="D1379">
        <v>0</v>
      </c>
      <c r="E1379">
        <v>0</v>
      </c>
      <c r="F1379">
        <f t="shared" si="43"/>
        <v>0</v>
      </c>
      <c r="G1379">
        <v>0</v>
      </c>
      <c r="H1379">
        <v>0</v>
      </c>
      <c r="I1379">
        <v>0</v>
      </c>
      <c r="J1379">
        <v>0</v>
      </c>
      <c r="K1379">
        <v>0</v>
      </c>
      <c r="L1379">
        <v>0</v>
      </c>
      <c r="M1379">
        <f t="shared" si="42"/>
        <v>0</v>
      </c>
      <c r="N1379">
        <v>0</v>
      </c>
      <c r="O1379">
        <v>0</v>
      </c>
      <c r="P1379">
        <v>0</v>
      </c>
      <c r="Q1379">
        <v>0</v>
      </c>
      <c r="R1379">
        <v>0</v>
      </c>
      <c r="S1379">
        <v>0</v>
      </c>
    </row>
    <row r="1380" spans="1:19" x14ac:dyDescent="0.25">
      <c r="A1380">
        <v>18115</v>
      </c>
      <c r="B1380" t="s">
        <v>86</v>
      </c>
      <c r="C1380">
        <v>10</v>
      </c>
      <c r="D1380">
        <v>0</v>
      </c>
      <c r="E1380">
        <v>0</v>
      </c>
      <c r="F1380">
        <f t="shared" si="43"/>
        <v>0</v>
      </c>
      <c r="G1380">
        <v>0</v>
      </c>
      <c r="H1380">
        <v>0</v>
      </c>
      <c r="I1380">
        <v>0</v>
      </c>
      <c r="J1380">
        <v>0</v>
      </c>
      <c r="K1380">
        <v>0</v>
      </c>
      <c r="L1380">
        <v>0</v>
      </c>
      <c r="M1380">
        <f t="shared" si="42"/>
        <v>0</v>
      </c>
      <c r="N1380">
        <v>0</v>
      </c>
      <c r="O1380">
        <v>0</v>
      </c>
      <c r="P1380">
        <v>0</v>
      </c>
      <c r="Q1380">
        <v>0</v>
      </c>
      <c r="R1380">
        <v>0</v>
      </c>
      <c r="S1380">
        <v>0</v>
      </c>
    </row>
    <row r="1381" spans="1:19" x14ac:dyDescent="0.25">
      <c r="A1381">
        <v>18115</v>
      </c>
      <c r="B1381" t="s">
        <v>86</v>
      </c>
      <c r="C1381">
        <v>11</v>
      </c>
      <c r="D1381">
        <v>0</v>
      </c>
      <c r="E1381">
        <v>0</v>
      </c>
      <c r="F1381">
        <f t="shared" si="43"/>
        <v>0</v>
      </c>
      <c r="G1381">
        <v>0</v>
      </c>
      <c r="H1381">
        <v>0</v>
      </c>
      <c r="I1381">
        <v>0</v>
      </c>
      <c r="J1381">
        <v>0</v>
      </c>
      <c r="K1381">
        <v>0</v>
      </c>
      <c r="L1381">
        <v>0</v>
      </c>
      <c r="M1381">
        <f t="shared" si="42"/>
        <v>0</v>
      </c>
      <c r="N1381">
        <v>0</v>
      </c>
      <c r="O1381">
        <v>0</v>
      </c>
      <c r="P1381">
        <v>0</v>
      </c>
      <c r="Q1381">
        <v>0</v>
      </c>
      <c r="R1381">
        <v>0</v>
      </c>
      <c r="S1381">
        <v>0</v>
      </c>
    </row>
    <row r="1382" spans="1:19" x14ac:dyDescent="0.25">
      <c r="A1382">
        <v>18115</v>
      </c>
      <c r="B1382" t="s">
        <v>86</v>
      </c>
      <c r="C1382">
        <v>12</v>
      </c>
      <c r="D1382">
        <v>0</v>
      </c>
      <c r="E1382">
        <v>0</v>
      </c>
      <c r="F1382">
        <f t="shared" si="43"/>
        <v>0</v>
      </c>
      <c r="G1382">
        <v>0</v>
      </c>
      <c r="H1382">
        <v>0</v>
      </c>
      <c r="I1382">
        <v>0</v>
      </c>
      <c r="J1382">
        <v>0</v>
      </c>
      <c r="K1382">
        <v>0</v>
      </c>
      <c r="L1382">
        <v>0</v>
      </c>
      <c r="M1382">
        <f t="shared" si="42"/>
        <v>0</v>
      </c>
      <c r="N1382">
        <v>0</v>
      </c>
      <c r="O1382">
        <v>0</v>
      </c>
      <c r="P1382">
        <v>0</v>
      </c>
      <c r="Q1382">
        <v>0</v>
      </c>
      <c r="R1382">
        <v>0</v>
      </c>
      <c r="S1382">
        <v>0</v>
      </c>
    </row>
    <row r="1383" spans="1:19" x14ac:dyDescent="0.25">
      <c r="A1383">
        <v>18115</v>
      </c>
      <c r="B1383" t="s">
        <v>86</v>
      </c>
      <c r="C1383">
        <v>13</v>
      </c>
      <c r="D1383">
        <v>0</v>
      </c>
      <c r="E1383">
        <v>0</v>
      </c>
      <c r="F1383">
        <f t="shared" si="43"/>
        <v>0</v>
      </c>
      <c r="G1383">
        <v>0</v>
      </c>
      <c r="H1383">
        <v>0</v>
      </c>
      <c r="I1383">
        <v>0</v>
      </c>
      <c r="J1383">
        <v>0</v>
      </c>
      <c r="K1383">
        <v>0</v>
      </c>
      <c r="L1383">
        <v>0</v>
      </c>
      <c r="M1383">
        <f t="shared" si="42"/>
        <v>0</v>
      </c>
      <c r="N1383">
        <v>0</v>
      </c>
      <c r="O1383">
        <v>0</v>
      </c>
      <c r="P1383">
        <v>0</v>
      </c>
      <c r="Q1383">
        <v>0</v>
      </c>
      <c r="R1383">
        <v>0</v>
      </c>
      <c r="S1383">
        <v>0</v>
      </c>
    </row>
    <row r="1384" spans="1:19" x14ac:dyDescent="0.25">
      <c r="A1384">
        <v>18115</v>
      </c>
      <c r="B1384" t="s">
        <v>86</v>
      </c>
      <c r="C1384">
        <v>14</v>
      </c>
      <c r="D1384">
        <v>0</v>
      </c>
      <c r="E1384">
        <v>0</v>
      </c>
      <c r="F1384">
        <f t="shared" si="43"/>
        <v>0</v>
      </c>
      <c r="G1384">
        <v>0</v>
      </c>
      <c r="H1384">
        <v>0</v>
      </c>
      <c r="I1384">
        <v>0</v>
      </c>
      <c r="J1384">
        <v>0</v>
      </c>
      <c r="K1384">
        <v>0</v>
      </c>
      <c r="L1384">
        <v>0</v>
      </c>
      <c r="M1384">
        <f t="shared" si="42"/>
        <v>0</v>
      </c>
      <c r="N1384">
        <v>0</v>
      </c>
      <c r="O1384">
        <v>0</v>
      </c>
      <c r="P1384">
        <v>0</v>
      </c>
      <c r="Q1384">
        <v>0</v>
      </c>
      <c r="R1384">
        <v>0</v>
      </c>
      <c r="S1384">
        <v>0</v>
      </c>
    </row>
    <row r="1385" spans="1:19" x14ac:dyDescent="0.25">
      <c r="A1385">
        <v>18115</v>
      </c>
      <c r="B1385" t="s">
        <v>86</v>
      </c>
      <c r="C1385">
        <v>15</v>
      </c>
      <c r="D1385">
        <v>0</v>
      </c>
      <c r="E1385">
        <v>0</v>
      </c>
      <c r="F1385">
        <f t="shared" si="43"/>
        <v>0</v>
      </c>
      <c r="G1385">
        <v>0</v>
      </c>
      <c r="H1385">
        <v>0</v>
      </c>
      <c r="I1385">
        <v>0</v>
      </c>
      <c r="J1385">
        <v>0</v>
      </c>
      <c r="K1385">
        <v>0</v>
      </c>
      <c r="L1385">
        <v>0</v>
      </c>
      <c r="M1385">
        <f t="shared" si="42"/>
        <v>0</v>
      </c>
      <c r="N1385">
        <v>0</v>
      </c>
      <c r="O1385">
        <v>0</v>
      </c>
      <c r="P1385">
        <v>0</v>
      </c>
      <c r="Q1385">
        <v>0</v>
      </c>
      <c r="R1385">
        <v>0</v>
      </c>
      <c r="S1385">
        <v>0</v>
      </c>
    </row>
    <row r="1386" spans="1:19" x14ac:dyDescent="0.25">
      <c r="A1386">
        <v>18115</v>
      </c>
      <c r="B1386" t="s">
        <v>86</v>
      </c>
      <c r="C1386">
        <v>16</v>
      </c>
      <c r="D1386">
        <v>0</v>
      </c>
      <c r="E1386">
        <v>0</v>
      </c>
      <c r="F1386">
        <f t="shared" si="43"/>
        <v>0</v>
      </c>
      <c r="G1386">
        <v>0</v>
      </c>
      <c r="H1386">
        <v>0</v>
      </c>
      <c r="I1386">
        <v>0</v>
      </c>
      <c r="J1386">
        <v>0</v>
      </c>
      <c r="K1386">
        <v>0</v>
      </c>
      <c r="L1386">
        <v>0</v>
      </c>
      <c r="M1386">
        <f t="shared" si="42"/>
        <v>0</v>
      </c>
      <c r="N1386">
        <v>0</v>
      </c>
      <c r="O1386">
        <v>0</v>
      </c>
      <c r="P1386">
        <v>0</v>
      </c>
      <c r="Q1386">
        <v>0</v>
      </c>
      <c r="R1386">
        <v>0</v>
      </c>
      <c r="S1386">
        <v>0</v>
      </c>
    </row>
    <row r="1387" spans="1:19" x14ac:dyDescent="0.25">
      <c r="A1387">
        <v>18115</v>
      </c>
      <c r="B1387" t="s">
        <v>86</v>
      </c>
      <c r="C1387">
        <v>17</v>
      </c>
      <c r="D1387">
        <v>0</v>
      </c>
      <c r="E1387">
        <v>0</v>
      </c>
      <c r="F1387">
        <f t="shared" si="43"/>
        <v>0</v>
      </c>
      <c r="G1387">
        <v>0</v>
      </c>
      <c r="H1387">
        <v>0</v>
      </c>
      <c r="I1387">
        <v>0</v>
      </c>
      <c r="J1387">
        <v>0</v>
      </c>
      <c r="K1387">
        <v>0</v>
      </c>
      <c r="L1387">
        <v>0</v>
      </c>
      <c r="M1387">
        <f t="shared" si="42"/>
        <v>0</v>
      </c>
      <c r="N1387">
        <v>0</v>
      </c>
      <c r="O1387">
        <v>0</v>
      </c>
      <c r="P1387">
        <v>0</v>
      </c>
      <c r="Q1387">
        <v>0</v>
      </c>
      <c r="R1387">
        <v>0</v>
      </c>
      <c r="S1387">
        <v>0</v>
      </c>
    </row>
    <row r="1388" spans="1:19" x14ac:dyDescent="0.25">
      <c r="A1388">
        <v>18115</v>
      </c>
      <c r="B1388" t="s">
        <v>86</v>
      </c>
      <c r="C1388">
        <v>18</v>
      </c>
      <c r="D1388">
        <v>0</v>
      </c>
      <c r="E1388">
        <v>0</v>
      </c>
      <c r="F1388">
        <f t="shared" si="43"/>
        <v>0</v>
      </c>
      <c r="G1388">
        <v>0</v>
      </c>
      <c r="H1388">
        <v>0</v>
      </c>
      <c r="I1388">
        <v>0</v>
      </c>
      <c r="J1388">
        <v>0</v>
      </c>
      <c r="K1388">
        <v>0</v>
      </c>
      <c r="L1388">
        <v>0</v>
      </c>
      <c r="M1388">
        <f t="shared" si="42"/>
        <v>0</v>
      </c>
      <c r="N1388">
        <v>0</v>
      </c>
      <c r="O1388">
        <v>0</v>
      </c>
      <c r="P1388">
        <v>0</v>
      </c>
      <c r="Q1388">
        <v>0</v>
      </c>
      <c r="R1388">
        <v>0</v>
      </c>
      <c r="S1388">
        <v>0</v>
      </c>
    </row>
    <row r="1389" spans="1:19" x14ac:dyDescent="0.25">
      <c r="A1389">
        <v>18115</v>
      </c>
      <c r="B1389" t="s">
        <v>86</v>
      </c>
      <c r="C1389">
        <v>19</v>
      </c>
      <c r="D1389">
        <v>0</v>
      </c>
      <c r="E1389">
        <v>0</v>
      </c>
      <c r="F1389">
        <f t="shared" si="43"/>
        <v>0</v>
      </c>
      <c r="G1389">
        <v>0</v>
      </c>
      <c r="H1389">
        <v>0</v>
      </c>
      <c r="I1389">
        <v>0</v>
      </c>
      <c r="J1389">
        <v>0</v>
      </c>
      <c r="K1389">
        <v>0</v>
      </c>
      <c r="L1389">
        <v>0</v>
      </c>
      <c r="M1389">
        <f t="shared" si="42"/>
        <v>0</v>
      </c>
      <c r="N1389">
        <v>0</v>
      </c>
      <c r="O1389">
        <v>0</v>
      </c>
      <c r="P1389">
        <v>0</v>
      </c>
      <c r="Q1389">
        <v>0</v>
      </c>
      <c r="R1389">
        <v>0</v>
      </c>
      <c r="S1389">
        <v>0</v>
      </c>
    </row>
    <row r="1390" spans="1:19" x14ac:dyDescent="0.25">
      <c r="A1390">
        <v>18115</v>
      </c>
      <c r="B1390" t="s">
        <v>86</v>
      </c>
      <c r="C1390">
        <v>20</v>
      </c>
      <c r="D1390">
        <v>0</v>
      </c>
      <c r="E1390">
        <v>0</v>
      </c>
      <c r="F1390">
        <f t="shared" si="43"/>
        <v>0</v>
      </c>
      <c r="G1390">
        <v>0</v>
      </c>
      <c r="H1390">
        <v>0</v>
      </c>
      <c r="I1390">
        <v>0</v>
      </c>
      <c r="J1390">
        <v>0</v>
      </c>
      <c r="K1390">
        <v>0</v>
      </c>
      <c r="L1390">
        <v>0</v>
      </c>
      <c r="M1390">
        <f t="shared" si="42"/>
        <v>0</v>
      </c>
      <c r="N1390">
        <v>0</v>
      </c>
      <c r="O1390">
        <v>0</v>
      </c>
      <c r="P1390">
        <v>0</v>
      </c>
      <c r="Q1390">
        <v>0</v>
      </c>
      <c r="R1390">
        <v>0</v>
      </c>
      <c r="S1390">
        <v>0</v>
      </c>
    </row>
    <row r="1391" spans="1:19" x14ac:dyDescent="0.25">
      <c r="A1391">
        <v>18115</v>
      </c>
      <c r="B1391" t="s">
        <v>86</v>
      </c>
      <c r="C1391">
        <v>21</v>
      </c>
      <c r="D1391">
        <v>0</v>
      </c>
      <c r="E1391">
        <v>0</v>
      </c>
      <c r="F1391">
        <f t="shared" si="43"/>
        <v>0</v>
      </c>
      <c r="G1391">
        <v>0</v>
      </c>
      <c r="H1391">
        <v>0</v>
      </c>
      <c r="I1391">
        <v>0</v>
      </c>
      <c r="J1391">
        <v>0</v>
      </c>
      <c r="K1391">
        <v>0</v>
      </c>
      <c r="L1391">
        <v>0</v>
      </c>
      <c r="M1391">
        <f t="shared" si="42"/>
        <v>0</v>
      </c>
      <c r="N1391">
        <v>0</v>
      </c>
      <c r="O1391">
        <v>0</v>
      </c>
      <c r="P1391">
        <v>0</v>
      </c>
      <c r="Q1391">
        <v>0</v>
      </c>
      <c r="R1391">
        <v>0</v>
      </c>
      <c r="S1391">
        <v>0</v>
      </c>
    </row>
    <row r="1392" spans="1:19" x14ac:dyDescent="0.25">
      <c r="A1392">
        <v>18115</v>
      </c>
      <c r="B1392" t="s">
        <v>86</v>
      </c>
      <c r="C1392">
        <v>22</v>
      </c>
      <c r="D1392">
        <v>0</v>
      </c>
      <c r="E1392">
        <v>0</v>
      </c>
      <c r="F1392">
        <f t="shared" si="43"/>
        <v>0</v>
      </c>
      <c r="G1392">
        <v>0</v>
      </c>
      <c r="H1392">
        <v>0</v>
      </c>
      <c r="I1392">
        <v>0</v>
      </c>
      <c r="J1392">
        <v>0</v>
      </c>
      <c r="K1392">
        <v>0</v>
      </c>
      <c r="L1392">
        <v>0</v>
      </c>
      <c r="M1392">
        <f t="shared" si="42"/>
        <v>0</v>
      </c>
      <c r="N1392">
        <v>0</v>
      </c>
      <c r="O1392">
        <v>0</v>
      </c>
      <c r="P1392">
        <v>0</v>
      </c>
      <c r="Q1392">
        <v>0</v>
      </c>
      <c r="R1392">
        <v>0</v>
      </c>
      <c r="S1392">
        <v>0</v>
      </c>
    </row>
    <row r="1393" spans="1:19" x14ac:dyDescent="0.25">
      <c r="A1393">
        <v>18115</v>
      </c>
      <c r="B1393" t="s">
        <v>86</v>
      </c>
      <c r="C1393">
        <v>23</v>
      </c>
      <c r="D1393">
        <v>0</v>
      </c>
      <c r="E1393">
        <v>0</v>
      </c>
      <c r="F1393">
        <f t="shared" si="43"/>
        <v>0</v>
      </c>
      <c r="G1393">
        <v>0</v>
      </c>
      <c r="H1393">
        <v>0</v>
      </c>
      <c r="I1393">
        <v>0</v>
      </c>
      <c r="J1393">
        <v>0</v>
      </c>
      <c r="K1393">
        <v>0</v>
      </c>
      <c r="L1393">
        <v>0</v>
      </c>
      <c r="M1393">
        <f t="shared" si="42"/>
        <v>0</v>
      </c>
      <c r="N1393">
        <v>0</v>
      </c>
      <c r="O1393">
        <v>0</v>
      </c>
      <c r="P1393">
        <v>0</v>
      </c>
      <c r="Q1393">
        <v>0</v>
      </c>
      <c r="R1393">
        <v>0</v>
      </c>
      <c r="S1393">
        <v>0</v>
      </c>
    </row>
    <row r="1394" spans="1:19" x14ac:dyDescent="0.25">
      <c r="A1394">
        <v>18117</v>
      </c>
      <c r="B1394" t="s">
        <v>87</v>
      </c>
      <c r="C1394">
        <v>0</v>
      </c>
      <c r="D1394">
        <v>1.2702917561481499</v>
      </c>
      <c r="E1394">
        <v>7.4723044479303405E-2</v>
      </c>
      <c r="F1394">
        <f t="shared" si="43"/>
        <v>1</v>
      </c>
      <c r="G1394">
        <v>0</v>
      </c>
      <c r="H1394">
        <v>0</v>
      </c>
      <c r="I1394">
        <v>1</v>
      </c>
      <c r="J1394">
        <v>0</v>
      </c>
      <c r="K1394">
        <v>0</v>
      </c>
      <c r="L1394">
        <v>0</v>
      </c>
      <c r="M1394">
        <f t="shared" si="42"/>
        <v>8</v>
      </c>
      <c r="N1394">
        <v>0</v>
      </c>
      <c r="O1394">
        <v>0</v>
      </c>
      <c r="P1394">
        <v>8</v>
      </c>
      <c r="Q1394">
        <v>0</v>
      </c>
      <c r="R1394">
        <v>0</v>
      </c>
      <c r="S1394">
        <v>0</v>
      </c>
    </row>
    <row r="1395" spans="1:19" x14ac:dyDescent="0.25">
      <c r="A1395">
        <v>18117</v>
      </c>
      <c r="B1395" t="s">
        <v>87</v>
      </c>
      <c r="C1395">
        <v>1</v>
      </c>
      <c r="D1395">
        <v>1.2702917561481499</v>
      </c>
      <c r="E1395">
        <v>7.4723044479303405E-2</v>
      </c>
      <c r="F1395">
        <f t="shared" si="43"/>
        <v>1</v>
      </c>
      <c r="G1395">
        <v>0</v>
      </c>
      <c r="H1395">
        <v>0</v>
      </c>
      <c r="I1395">
        <v>1</v>
      </c>
      <c r="J1395">
        <v>0</v>
      </c>
      <c r="K1395">
        <v>0</v>
      </c>
      <c r="L1395">
        <v>0</v>
      </c>
      <c r="M1395">
        <f t="shared" si="42"/>
        <v>8</v>
      </c>
      <c r="N1395">
        <v>0</v>
      </c>
      <c r="O1395">
        <v>0</v>
      </c>
      <c r="P1395">
        <v>8</v>
      </c>
      <c r="Q1395">
        <v>0</v>
      </c>
      <c r="R1395">
        <v>0</v>
      </c>
      <c r="S1395">
        <v>0</v>
      </c>
    </row>
    <row r="1396" spans="1:19" x14ac:dyDescent="0.25">
      <c r="A1396">
        <v>18117</v>
      </c>
      <c r="B1396" t="s">
        <v>87</v>
      </c>
      <c r="C1396">
        <v>2</v>
      </c>
      <c r="D1396">
        <v>1.2702917561481499</v>
      </c>
      <c r="E1396">
        <v>0.112084566718955</v>
      </c>
      <c r="F1396">
        <f t="shared" si="43"/>
        <v>1</v>
      </c>
      <c r="G1396">
        <v>0</v>
      </c>
      <c r="H1396">
        <v>0</v>
      </c>
      <c r="I1396">
        <v>1</v>
      </c>
      <c r="J1396">
        <v>0</v>
      </c>
      <c r="K1396">
        <v>0</v>
      </c>
      <c r="L1396">
        <v>0</v>
      </c>
      <c r="M1396">
        <f t="shared" si="42"/>
        <v>8</v>
      </c>
      <c r="N1396">
        <v>0</v>
      </c>
      <c r="O1396">
        <v>0</v>
      </c>
      <c r="P1396">
        <v>8</v>
      </c>
      <c r="Q1396">
        <v>0</v>
      </c>
      <c r="R1396">
        <v>0</v>
      </c>
      <c r="S1396">
        <v>0</v>
      </c>
    </row>
    <row r="1397" spans="1:19" x14ac:dyDescent="0.25">
      <c r="A1397">
        <v>18117</v>
      </c>
      <c r="B1397" t="s">
        <v>87</v>
      </c>
      <c r="C1397">
        <v>3</v>
      </c>
      <c r="D1397">
        <v>1.3076532783878101</v>
      </c>
      <c r="E1397">
        <v>0.112084566718955</v>
      </c>
      <c r="F1397">
        <f t="shared" si="43"/>
        <v>1</v>
      </c>
      <c r="G1397">
        <v>0</v>
      </c>
      <c r="H1397">
        <v>0</v>
      </c>
      <c r="I1397">
        <v>1</v>
      </c>
      <c r="J1397">
        <v>0</v>
      </c>
      <c r="K1397">
        <v>0</v>
      </c>
      <c r="L1397">
        <v>0</v>
      </c>
      <c r="M1397">
        <f t="shared" si="42"/>
        <v>8</v>
      </c>
      <c r="N1397">
        <v>0</v>
      </c>
      <c r="O1397">
        <v>0</v>
      </c>
      <c r="P1397">
        <v>8</v>
      </c>
      <c r="Q1397">
        <v>0</v>
      </c>
      <c r="R1397">
        <v>0</v>
      </c>
      <c r="S1397">
        <v>0</v>
      </c>
    </row>
    <row r="1398" spans="1:19" x14ac:dyDescent="0.25">
      <c r="A1398">
        <v>18117</v>
      </c>
      <c r="B1398" t="s">
        <v>87</v>
      </c>
      <c r="C1398">
        <v>4</v>
      </c>
      <c r="D1398">
        <v>2.91419873469283</v>
      </c>
      <c r="E1398">
        <v>0.112084566718955</v>
      </c>
      <c r="F1398">
        <f t="shared" si="43"/>
        <v>1</v>
      </c>
      <c r="G1398">
        <v>0</v>
      </c>
      <c r="H1398">
        <v>0</v>
      </c>
      <c r="I1398">
        <v>1</v>
      </c>
      <c r="J1398">
        <v>0</v>
      </c>
      <c r="K1398">
        <v>0</v>
      </c>
      <c r="L1398">
        <v>0</v>
      </c>
      <c r="M1398">
        <f t="shared" si="42"/>
        <v>8</v>
      </c>
      <c r="N1398">
        <v>0</v>
      </c>
      <c r="O1398">
        <v>0</v>
      </c>
      <c r="P1398">
        <v>8</v>
      </c>
      <c r="Q1398">
        <v>0</v>
      </c>
      <c r="R1398">
        <v>0</v>
      </c>
      <c r="S1398">
        <v>0</v>
      </c>
    </row>
    <row r="1399" spans="1:19" x14ac:dyDescent="0.25">
      <c r="A1399">
        <v>18117</v>
      </c>
      <c r="B1399" t="s">
        <v>87</v>
      </c>
      <c r="C1399">
        <v>5</v>
      </c>
      <c r="D1399">
        <v>3.9976828796427299</v>
      </c>
      <c r="E1399">
        <v>1.2329302339085</v>
      </c>
      <c r="F1399">
        <f t="shared" si="43"/>
        <v>1</v>
      </c>
      <c r="G1399">
        <v>0</v>
      </c>
      <c r="H1399">
        <v>0</v>
      </c>
      <c r="I1399">
        <v>1</v>
      </c>
      <c r="J1399">
        <v>0</v>
      </c>
      <c r="K1399">
        <v>0</v>
      </c>
      <c r="L1399">
        <v>0</v>
      </c>
      <c r="M1399">
        <f t="shared" si="42"/>
        <v>8</v>
      </c>
      <c r="N1399">
        <v>0</v>
      </c>
      <c r="O1399">
        <v>0</v>
      </c>
      <c r="P1399">
        <v>8</v>
      </c>
      <c r="Q1399">
        <v>0</v>
      </c>
      <c r="R1399">
        <v>0</v>
      </c>
      <c r="S1399">
        <v>0</v>
      </c>
    </row>
    <row r="1400" spans="1:19" x14ac:dyDescent="0.25">
      <c r="A1400">
        <v>18117</v>
      </c>
      <c r="B1400" t="s">
        <v>87</v>
      </c>
      <c r="C1400">
        <v>6</v>
      </c>
      <c r="D1400">
        <v>5.00644398011333</v>
      </c>
      <c r="E1400">
        <v>2.2790528566187498</v>
      </c>
      <c r="F1400">
        <f t="shared" si="43"/>
        <v>1</v>
      </c>
      <c r="G1400">
        <v>0</v>
      </c>
      <c r="H1400">
        <v>0</v>
      </c>
      <c r="I1400">
        <v>1</v>
      </c>
      <c r="J1400">
        <v>0</v>
      </c>
      <c r="K1400">
        <v>0</v>
      </c>
      <c r="L1400">
        <v>0</v>
      </c>
      <c r="M1400">
        <f t="shared" si="42"/>
        <v>8</v>
      </c>
      <c r="N1400">
        <v>0</v>
      </c>
      <c r="O1400">
        <v>0</v>
      </c>
      <c r="P1400">
        <v>8</v>
      </c>
      <c r="Q1400">
        <v>0</v>
      </c>
      <c r="R1400">
        <v>0</v>
      </c>
      <c r="S1400">
        <v>0</v>
      </c>
    </row>
    <row r="1401" spans="1:19" x14ac:dyDescent="0.25">
      <c r="A1401">
        <v>18117</v>
      </c>
      <c r="B1401" t="s">
        <v>87</v>
      </c>
      <c r="C1401">
        <v>7</v>
      </c>
      <c r="D1401">
        <v>3.8855983129237801</v>
      </c>
      <c r="E1401">
        <v>2.3164143788584002</v>
      </c>
      <c r="F1401">
        <f t="shared" si="43"/>
        <v>1</v>
      </c>
      <c r="G1401">
        <v>0</v>
      </c>
      <c r="H1401">
        <v>0</v>
      </c>
      <c r="I1401">
        <v>1</v>
      </c>
      <c r="J1401">
        <v>0</v>
      </c>
      <c r="K1401">
        <v>0</v>
      </c>
      <c r="L1401">
        <v>0</v>
      </c>
      <c r="M1401">
        <f t="shared" si="42"/>
        <v>8</v>
      </c>
      <c r="N1401">
        <v>0</v>
      </c>
      <c r="O1401">
        <v>0</v>
      </c>
      <c r="P1401">
        <v>8</v>
      </c>
      <c r="Q1401">
        <v>0</v>
      </c>
      <c r="R1401">
        <v>0</v>
      </c>
      <c r="S1401">
        <v>0</v>
      </c>
    </row>
    <row r="1402" spans="1:19" x14ac:dyDescent="0.25">
      <c r="A1402">
        <v>18117</v>
      </c>
      <c r="B1402" t="s">
        <v>87</v>
      </c>
      <c r="C1402">
        <v>8</v>
      </c>
      <c r="D1402">
        <v>3.1383678681307399</v>
      </c>
      <c r="E1402">
        <v>2.0175222009411899</v>
      </c>
      <c r="F1402">
        <f t="shared" si="43"/>
        <v>1</v>
      </c>
      <c r="G1402">
        <v>0</v>
      </c>
      <c r="H1402">
        <v>0</v>
      </c>
      <c r="I1402">
        <v>1</v>
      </c>
      <c r="J1402">
        <v>0</v>
      </c>
      <c r="K1402">
        <v>0</v>
      </c>
      <c r="L1402">
        <v>0</v>
      </c>
      <c r="M1402">
        <f t="shared" si="42"/>
        <v>8</v>
      </c>
      <c r="N1402">
        <v>0</v>
      </c>
      <c r="O1402">
        <v>0</v>
      </c>
      <c r="P1402">
        <v>8</v>
      </c>
      <c r="Q1402">
        <v>0</v>
      </c>
      <c r="R1402">
        <v>0</v>
      </c>
      <c r="S1402">
        <v>0</v>
      </c>
    </row>
    <row r="1403" spans="1:19" x14ac:dyDescent="0.25">
      <c r="A1403">
        <v>18117</v>
      </c>
      <c r="B1403" t="s">
        <v>87</v>
      </c>
      <c r="C1403">
        <v>9</v>
      </c>
      <c r="D1403">
        <v>3.06364482365144</v>
      </c>
      <c r="E1403">
        <v>2.2790528566187498</v>
      </c>
      <c r="F1403">
        <f t="shared" si="43"/>
        <v>1</v>
      </c>
      <c r="G1403">
        <v>0</v>
      </c>
      <c r="H1403">
        <v>0</v>
      </c>
      <c r="I1403">
        <v>1</v>
      </c>
      <c r="J1403">
        <v>0</v>
      </c>
      <c r="K1403">
        <v>0</v>
      </c>
      <c r="L1403">
        <v>0</v>
      </c>
      <c r="M1403">
        <f t="shared" si="42"/>
        <v>8</v>
      </c>
      <c r="N1403">
        <v>0</v>
      </c>
      <c r="O1403">
        <v>0</v>
      </c>
      <c r="P1403">
        <v>8</v>
      </c>
      <c r="Q1403">
        <v>0</v>
      </c>
      <c r="R1403">
        <v>0</v>
      </c>
      <c r="S1403">
        <v>0</v>
      </c>
    </row>
    <row r="1404" spans="1:19" x14ac:dyDescent="0.25">
      <c r="A1404">
        <v>18117</v>
      </c>
      <c r="B1404" t="s">
        <v>87</v>
      </c>
      <c r="C1404">
        <v>10</v>
      </c>
      <c r="D1404">
        <v>1.98016067870154</v>
      </c>
      <c r="E1404">
        <v>2.4284989455773598</v>
      </c>
      <c r="F1404">
        <f t="shared" si="43"/>
        <v>1</v>
      </c>
      <c r="G1404">
        <v>0</v>
      </c>
      <c r="H1404">
        <v>0</v>
      </c>
      <c r="I1404">
        <v>1</v>
      </c>
      <c r="J1404">
        <v>0</v>
      </c>
      <c r="K1404">
        <v>0</v>
      </c>
      <c r="L1404">
        <v>0</v>
      </c>
      <c r="M1404">
        <f t="shared" si="42"/>
        <v>8</v>
      </c>
      <c r="N1404">
        <v>0</v>
      </c>
      <c r="O1404">
        <v>0</v>
      </c>
      <c r="P1404">
        <v>8</v>
      </c>
      <c r="Q1404">
        <v>0</v>
      </c>
      <c r="R1404">
        <v>0</v>
      </c>
      <c r="S1404">
        <v>0</v>
      </c>
    </row>
    <row r="1405" spans="1:19" x14ac:dyDescent="0.25">
      <c r="A1405">
        <v>18117</v>
      </c>
      <c r="B1405" t="s">
        <v>87</v>
      </c>
      <c r="C1405">
        <v>11</v>
      </c>
      <c r="D1405">
        <v>1.4570993673464101</v>
      </c>
      <c r="E1405">
        <v>3.02628330141179</v>
      </c>
      <c r="F1405">
        <f t="shared" si="43"/>
        <v>1</v>
      </c>
      <c r="G1405">
        <v>0</v>
      </c>
      <c r="H1405">
        <v>0</v>
      </c>
      <c r="I1405">
        <v>1</v>
      </c>
      <c r="J1405">
        <v>0</v>
      </c>
      <c r="K1405">
        <v>0</v>
      </c>
      <c r="L1405">
        <v>0</v>
      </c>
      <c r="M1405">
        <f t="shared" si="42"/>
        <v>8</v>
      </c>
      <c r="N1405">
        <v>0</v>
      </c>
      <c r="O1405">
        <v>0</v>
      </c>
      <c r="P1405">
        <v>8</v>
      </c>
      <c r="Q1405">
        <v>0</v>
      </c>
      <c r="R1405">
        <v>0</v>
      </c>
      <c r="S1405">
        <v>0</v>
      </c>
    </row>
    <row r="1406" spans="1:19" x14ac:dyDescent="0.25">
      <c r="A1406">
        <v>18117</v>
      </c>
      <c r="B1406" t="s">
        <v>87</v>
      </c>
      <c r="C1406">
        <v>12</v>
      </c>
      <c r="D1406">
        <v>1.4197378451067599</v>
      </c>
      <c r="E1406">
        <v>2.9515602569324799</v>
      </c>
      <c r="F1406">
        <f t="shared" si="43"/>
        <v>1</v>
      </c>
      <c r="G1406">
        <v>0</v>
      </c>
      <c r="H1406">
        <v>0</v>
      </c>
      <c r="I1406">
        <v>1</v>
      </c>
      <c r="J1406">
        <v>0</v>
      </c>
      <c r="K1406">
        <v>0</v>
      </c>
      <c r="L1406">
        <v>0</v>
      </c>
      <c r="M1406">
        <f t="shared" si="42"/>
        <v>8</v>
      </c>
      <c r="N1406">
        <v>0</v>
      </c>
      <c r="O1406">
        <v>0</v>
      </c>
      <c r="P1406">
        <v>8</v>
      </c>
      <c r="Q1406">
        <v>0</v>
      </c>
      <c r="R1406">
        <v>0</v>
      </c>
      <c r="S1406">
        <v>0</v>
      </c>
    </row>
    <row r="1407" spans="1:19" x14ac:dyDescent="0.25">
      <c r="A1407">
        <v>18117</v>
      </c>
      <c r="B1407" t="s">
        <v>87</v>
      </c>
      <c r="C1407">
        <v>13</v>
      </c>
      <c r="D1407">
        <v>0.97139957823094503</v>
      </c>
      <c r="E1407">
        <v>2.1296067676601398</v>
      </c>
      <c r="F1407">
        <f t="shared" si="43"/>
        <v>1</v>
      </c>
      <c r="G1407">
        <v>0</v>
      </c>
      <c r="H1407">
        <v>0</v>
      </c>
      <c r="I1407">
        <v>1</v>
      </c>
      <c r="J1407">
        <v>0</v>
      </c>
      <c r="K1407">
        <v>0</v>
      </c>
      <c r="L1407">
        <v>0</v>
      </c>
      <c r="M1407">
        <f t="shared" si="42"/>
        <v>8</v>
      </c>
      <c r="N1407">
        <v>0</v>
      </c>
      <c r="O1407">
        <v>0</v>
      </c>
      <c r="P1407">
        <v>8</v>
      </c>
      <c r="Q1407">
        <v>0</v>
      </c>
      <c r="R1407">
        <v>0</v>
      </c>
      <c r="S1407">
        <v>0</v>
      </c>
    </row>
    <row r="1408" spans="1:19" x14ac:dyDescent="0.25">
      <c r="A1408">
        <v>18117</v>
      </c>
      <c r="B1408" t="s">
        <v>87</v>
      </c>
      <c r="C1408">
        <v>14</v>
      </c>
      <c r="D1408">
        <v>1.2702917561481499</v>
      </c>
      <c r="E1408">
        <v>0.56042283359477596</v>
      </c>
      <c r="F1408">
        <f t="shared" si="43"/>
        <v>1</v>
      </c>
      <c r="G1408">
        <v>0</v>
      </c>
      <c r="H1408">
        <v>0</v>
      </c>
      <c r="I1408">
        <v>1</v>
      </c>
      <c r="J1408">
        <v>0</v>
      </c>
      <c r="K1408">
        <v>0</v>
      </c>
      <c r="L1408">
        <v>0</v>
      </c>
      <c r="M1408">
        <f t="shared" si="42"/>
        <v>8</v>
      </c>
      <c r="N1408">
        <v>0</v>
      </c>
      <c r="O1408">
        <v>0</v>
      </c>
      <c r="P1408">
        <v>8</v>
      </c>
      <c r="Q1408">
        <v>0</v>
      </c>
      <c r="R1408">
        <v>0</v>
      </c>
      <c r="S1408">
        <v>0</v>
      </c>
    </row>
    <row r="1409" spans="1:19" x14ac:dyDescent="0.25">
      <c r="A1409">
        <v>18117</v>
      </c>
      <c r="B1409" t="s">
        <v>87</v>
      </c>
      <c r="C1409">
        <v>15</v>
      </c>
      <c r="D1409">
        <v>1.04612262271024</v>
      </c>
      <c r="E1409">
        <v>0.149446088958606</v>
      </c>
      <c r="F1409">
        <f t="shared" si="43"/>
        <v>1</v>
      </c>
      <c r="G1409">
        <v>0</v>
      </c>
      <c r="H1409">
        <v>0</v>
      </c>
      <c r="I1409">
        <v>1</v>
      </c>
      <c r="J1409">
        <v>0</v>
      </c>
      <c r="K1409">
        <v>0</v>
      </c>
      <c r="L1409">
        <v>0</v>
      </c>
      <c r="M1409">
        <f t="shared" si="42"/>
        <v>8</v>
      </c>
      <c r="N1409">
        <v>0</v>
      </c>
      <c r="O1409">
        <v>0</v>
      </c>
      <c r="P1409">
        <v>8</v>
      </c>
      <c r="Q1409">
        <v>0</v>
      </c>
      <c r="R1409">
        <v>0</v>
      </c>
      <c r="S1409">
        <v>0</v>
      </c>
    </row>
    <row r="1410" spans="1:19" x14ac:dyDescent="0.25">
      <c r="A1410">
        <v>18117</v>
      </c>
      <c r="B1410" t="s">
        <v>87</v>
      </c>
      <c r="C1410">
        <v>16</v>
      </c>
      <c r="D1410">
        <v>0.37361522239651701</v>
      </c>
      <c r="E1410">
        <v>0.18680761119825801</v>
      </c>
      <c r="F1410">
        <f t="shared" si="43"/>
        <v>1</v>
      </c>
      <c r="G1410">
        <v>0</v>
      </c>
      <c r="H1410">
        <v>0</v>
      </c>
      <c r="I1410">
        <v>1</v>
      </c>
      <c r="J1410">
        <v>0</v>
      </c>
      <c r="K1410">
        <v>0</v>
      </c>
      <c r="L1410">
        <v>0</v>
      </c>
      <c r="M1410">
        <f t="shared" ref="M1410:M1473" si="44">SUM(N1410:S1410)</f>
        <v>8</v>
      </c>
      <c r="N1410">
        <v>0</v>
      </c>
      <c r="O1410">
        <v>0</v>
      </c>
      <c r="P1410">
        <v>8</v>
      </c>
      <c r="Q1410">
        <v>0</v>
      </c>
      <c r="R1410">
        <v>0</v>
      </c>
      <c r="S1410">
        <v>0</v>
      </c>
    </row>
    <row r="1411" spans="1:19" x14ac:dyDescent="0.25">
      <c r="A1411">
        <v>18117</v>
      </c>
      <c r="B1411" t="s">
        <v>87</v>
      </c>
      <c r="C1411">
        <v>17</v>
      </c>
      <c r="D1411">
        <v>0.44833826687582001</v>
      </c>
      <c r="E1411">
        <v>7.4723044479303405E-2</v>
      </c>
      <c r="F1411">
        <f t="shared" ref="F1411:F1474" si="45">SUM(G1411:L1411)</f>
        <v>1</v>
      </c>
      <c r="G1411">
        <v>0</v>
      </c>
      <c r="H1411">
        <v>0</v>
      </c>
      <c r="I1411">
        <v>1</v>
      </c>
      <c r="J1411">
        <v>0</v>
      </c>
      <c r="K1411">
        <v>0</v>
      </c>
      <c r="L1411">
        <v>0</v>
      </c>
      <c r="M1411">
        <f t="shared" si="44"/>
        <v>8</v>
      </c>
      <c r="N1411">
        <v>0</v>
      </c>
      <c r="O1411">
        <v>0</v>
      </c>
      <c r="P1411">
        <v>8</v>
      </c>
      <c r="Q1411">
        <v>0</v>
      </c>
      <c r="R1411">
        <v>0</v>
      </c>
      <c r="S1411">
        <v>0</v>
      </c>
    </row>
    <row r="1412" spans="1:19" x14ac:dyDescent="0.25">
      <c r="A1412">
        <v>18117</v>
      </c>
      <c r="B1412" t="s">
        <v>87</v>
      </c>
      <c r="C1412">
        <v>18</v>
      </c>
      <c r="D1412">
        <v>0.44833826687582001</v>
      </c>
      <c r="E1412">
        <v>0</v>
      </c>
      <c r="F1412">
        <f t="shared" si="45"/>
        <v>1</v>
      </c>
      <c r="G1412">
        <v>0</v>
      </c>
      <c r="H1412">
        <v>0</v>
      </c>
      <c r="I1412">
        <v>1</v>
      </c>
      <c r="J1412">
        <v>0</v>
      </c>
      <c r="K1412">
        <v>0</v>
      </c>
      <c r="L1412">
        <v>0</v>
      </c>
      <c r="M1412">
        <f t="shared" si="44"/>
        <v>8</v>
      </c>
      <c r="N1412">
        <v>0</v>
      </c>
      <c r="O1412">
        <v>0</v>
      </c>
      <c r="P1412">
        <v>8</v>
      </c>
      <c r="Q1412">
        <v>0</v>
      </c>
      <c r="R1412">
        <v>0</v>
      </c>
      <c r="S1412">
        <v>0</v>
      </c>
    </row>
    <row r="1413" spans="1:19" x14ac:dyDescent="0.25">
      <c r="A1413">
        <v>18117</v>
      </c>
      <c r="B1413" t="s">
        <v>87</v>
      </c>
      <c r="C1413">
        <v>19</v>
      </c>
      <c r="D1413">
        <v>0.67250740031373102</v>
      </c>
      <c r="E1413">
        <v>0</v>
      </c>
      <c r="F1413">
        <f t="shared" si="45"/>
        <v>1</v>
      </c>
      <c r="G1413">
        <v>0</v>
      </c>
      <c r="H1413">
        <v>0</v>
      </c>
      <c r="I1413">
        <v>1</v>
      </c>
      <c r="J1413">
        <v>0</v>
      </c>
      <c r="K1413">
        <v>0</v>
      </c>
      <c r="L1413">
        <v>0</v>
      </c>
      <c r="M1413">
        <f t="shared" si="44"/>
        <v>8</v>
      </c>
      <c r="N1413">
        <v>0</v>
      </c>
      <c r="O1413">
        <v>0</v>
      </c>
      <c r="P1413">
        <v>8</v>
      </c>
      <c r="Q1413">
        <v>0</v>
      </c>
      <c r="R1413">
        <v>0</v>
      </c>
      <c r="S1413">
        <v>0</v>
      </c>
    </row>
    <row r="1414" spans="1:19" x14ac:dyDescent="0.25">
      <c r="A1414">
        <v>18117</v>
      </c>
      <c r="B1414" t="s">
        <v>87</v>
      </c>
      <c r="C1414">
        <v>20</v>
      </c>
      <c r="D1414">
        <v>0.85931501151198897</v>
      </c>
      <c r="E1414">
        <v>0</v>
      </c>
      <c r="F1414">
        <f t="shared" si="45"/>
        <v>1</v>
      </c>
      <c r="G1414">
        <v>0</v>
      </c>
      <c r="H1414">
        <v>0</v>
      </c>
      <c r="I1414">
        <v>1</v>
      </c>
      <c r="J1414">
        <v>0</v>
      </c>
      <c r="K1414">
        <v>0</v>
      </c>
      <c r="L1414">
        <v>0</v>
      </c>
      <c r="M1414">
        <f t="shared" si="44"/>
        <v>8</v>
      </c>
      <c r="N1414">
        <v>0</v>
      </c>
      <c r="O1414">
        <v>0</v>
      </c>
      <c r="P1414">
        <v>8</v>
      </c>
      <c r="Q1414">
        <v>0</v>
      </c>
      <c r="R1414">
        <v>0</v>
      </c>
      <c r="S1414">
        <v>0</v>
      </c>
    </row>
    <row r="1415" spans="1:19" x14ac:dyDescent="0.25">
      <c r="A1415">
        <v>18117</v>
      </c>
      <c r="B1415" t="s">
        <v>87</v>
      </c>
      <c r="C1415">
        <v>21</v>
      </c>
      <c r="D1415">
        <v>1.0087611004705901</v>
      </c>
      <c r="E1415">
        <v>7.4723044479303405E-2</v>
      </c>
      <c r="F1415">
        <f t="shared" si="45"/>
        <v>1</v>
      </c>
      <c r="G1415">
        <v>0</v>
      </c>
      <c r="H1415">
        <v>0</v>
      </c>
      <c r="I1415">
        <v>1</v>
      </c>
      <c r="J1415">
        <v>0</v>
      </c>
      <c r="K1415">
        <v>0</v>
      </c>
      <c r="L1415">
        <v>0</v>
      </c>
      <c r="M1415">
        <f t="shared" si="44"/>
        <v>8</v>
      </c>
      <c r="N1415">
        <v>0</v>
      </c>
      <c r="O1415">
        <v>0</v>
      </c>
      <c r="P1415">
        <v>8</v>
      </c>
      <c r="Q1415">
        <v>0</v>
      </c>
      <c r="R1415">
        <v>0</v>
      </c>
      <c r="S1415">
        <v>0</v>
      </c>
    </row>
    <row r="1416" spans="1:19" x14ac:dyDescent="0.25">
      <c r="A1416">
        <v>18117</v>
      </c>
      <c r="B1416" t="s">
        <v>87</v>
      </c>
      <c r="C1416">
        <v>22</v>
      </c>
      <c r="D1416">
        <v>1.1208456671895499</v>
      </c>
      <c r="E1416">
        <v>0.149446088958606</v>
      </c>
      <c r="F1416">
        <f t="shared" si="45"/>
        <v>1</v>
      </c>
      <c r="G1416">
        <v>0</v>
      </c>
      <c r="H1416">
        <v>0</v>
      </c>
      <c r="I1416">
        <v>1</v>
      </c>
      <c r="J1416">
        <v>0</v>
      </c>
      <c r="K1416">
        <v>0</v>
      </c>
      <c r="L1416">
        <v>0</v>
      </c>
      <c r="M1416">
        <f t="shared" si="44"/>
        <v>8</v>
      </c>
      <c r="N1416">
        <v>0</v>
      </c>
      <c r="O1416">
        <v>0</v>
      </c>
      <c r="P1416">
        <v>8</v>
      </c>
      <c r="Q1416">
        <v>0</v>
      </c>
      <c r="R1416">
        <v>0</v>
      </c>
      <c r="S1416">
        <v>0</v>
      </c>
    </row>
    <row r="1417" spans="1:19" x14ac:dyDescent="0.25">
      <c r="A1417">
        <v>18117</v>
      </c>
      <c r="B1417" t="s">
        <v>87</v>
      </c>
      <c r="C1417">
        <v>23</v>
      </c>
      <c r="D1417">
        <v>1.2329302339085</v>
      </c>
      <c r="E1417">
        <v>0.112084566718955</v>
      </c>
      <c r="F1417">
        <f t="shared" si="45"/>
        <v>1</v>
      </c>
      <c r="G1417">
        <v>0</v>
      </c>
      <c r="H1417">
        <v>0</v>
      </c>
      <c r="I1417">
        <v>1</v>
      </c>
      <c r="J1417">
        <v>0</v>
      </c>
      <c r="K1417">
        <v>0</v>
      </c>
      <c r="L1417">
        <v>0</v>
      </c>
      <c r="M1417">
        <f t="shared" si="44"/>
        <v>8</v>
      </c>
      <c r="N1417">
        <v>0</v>
      </c>
      <c r="O1417">
        <v>0</v>
      </c>
      <c r="P1417">
        <v>8</v>
      </c>
      <c r="Q1417">
        <v>0</v>
      </c>
      <c r="R1417">
        <v>0</v>
      </c>
      <c r="S1417">
        <v>0</v>
      </c>
    </row>
    <row r="1418" spans="1:19" x14ac:dyDescent="0.25">
      <c r="A1418">
        <v>18119</v>
      </c>
      <c r="B1418" t="s">
        <v>88</v>
      </c>
      <c r="C1418">
        <v>0</v>
      </c>
      <c r="D1418">
        <v>0</v>
      </c>
      <c r="E1418">
        <v>0.448340654586936</v>
      </c>
      <c r="F1418">
        <f t="shared" si="45"/>
        <v>0</v>
      </c>
      <c r="G1418">
        <v>0</v>
      </c>
      <c r="H1418">
        <v>0</v>
      </c>
      <c r="I1418">
        <v>0</v>
      </c>
      <c r="J1418">
        <v>0</v>
      </c>
      <c r="K1418">
        <v>0</v>
      </c>
      <c r="L1418">
        <v>0</v>
      </c>
      <c r="M1418">
        <f t="shared" si="44"/>
        <v>0</v>
      </c>
      <c r="N1418">
        <v>0</v>
      </c>
      <c r="O1418">
        <v>0</v>
      </c>
      <c r="P1418">
        <v>0</v>
      </c>
      <c r="Q1418">
        <v>0</v>
      </c>
      <c r="R1418">
        <v>0</v>
      </c>
      <c r="S1418">
        <v>0</v>
      </c>
    </row>
    <row r="1419" spans="1:19" x14ac:dyDescent="0.25">
      <c r="A1419">
        <v>18119</v>
      </c>
      <c r="B1419" t="s">
        <v>88</v>
      </c>
      <c r="C1419">
        <v>1</v>
      </c>
      <c r="D1419">
        <v>0</v>
      </c>
      <c r="E1419">
        <v>0.298893769724624</v>
      </c>
      <c r="F1419">
        <f t="shared" si="45"/>
        <v>0</v>
      </c>
      <c r="G1419">
        <v>0</v>
      </c>
      <c r="H1419">
        <v>0</v>
      </c>
      <c r="I1419">
        <v>0</v>
      </c>
      <c r="J1419">
        <v>0</v>
      </c>
      <c r="K1419">
        <v>0</v>
      </c>
      <c r="L1419">
        <v>0</v>
      </c>
      <c r="M1419">
        <f t="shared" si="44"/>
        <v>0</v>
      </c>
      <c r="N1419">
        <v>0</v>
      </c>
      <c r="O1419">
        <v>0</v>
      </c>
      <c r="P1419">
        <v>0</v>
      </c>
      <c r="Q1419">
        <v>0</v>
      </c>
      <c r="R1419">
        <v>0</v>
      </c>
      <c r="S1419">
        <v>0</v>
      </c>
    </row>
    <row r="1420" spans="1:19" x14ac:dyDescent="0.25">
      <c r="A1420">
        <v>18119</v>
      </c>
      <c r="B1420" t="s">
        <v>88</v>
      </c>
      <c r="C1420">
        <v>2</v>
      </c>
      <c r="D1420">
        <v>0</v>
      </c>
      <c r="E1420">
        <v>0.37361721215577998</v>
      </c>
      <c r="F1420">
        <f t="shared" si="45"/>
        <v>0</v>
      </c>
      <c r="G1420">
        <v>0</v>
      </c>
      <c r="H1420">
        <v>0</v>
      </c>
      <c r="I1420">
        <v>0</v>
      </c>
      <c r="J1420">
        <v>0</v>
      </c>
      <c r="K1420">
        <v>0</v>
      </c>
      <c r="L1420">
        <v>0</v>
      </c>
      <c r="M1420">
        <f t="shared" si="44"/>
        <v>0</v>
      </c>
      <c r="N1420">
        <v>0</v>
      </c>
      <c r="O1420">
        <v>0</v>
      </c>
      <c r="P1420">
        <v>0</v>
      </c>
      <c r="Q1420">
        <v>0</v>
      </c>
      <c r="R1420">
        <v>0</v>
      </c>
      <c r="S1420">
        <v>0</v>
      </c>
    </row>
    <row r="1421" spans="1:19" x14ac:dyDescent="0.25">
      <c r="A1421">
        <v>18119</v>
      </c>
      <c r="B1421" t="s">
        <v>88</v>
      </c>
      <c r="C1421">
        <v>3</v>
      </c>
      <c r="D1421">
        <v>0</v>
      </c>
      <c r="E1421">
        <v>0.298893769724624</v>
      </c>
      <c r="F1421">
        <f t="shared" si="45"/>
        <v>0</v>
      </c>
      <c r="G1421">
        <v>0</v>
      </c>
      <c r="H1421">
        <v>0</v>
      </c>
      <c r="I1421">
        <v>0</v>
      </c>
      <c r="J1421">
        <v>0</v>
      </c>
      <c r="K1421">
        <v>0</v>
      </c>
      <c r="L1421">
        <v>0</v>
      </c>
      <c r="M1421">
        <f t="shared" si="44"/>
        <v>0</v>
      </c>
      <c r="N1421">
        <v>0</v>
      </c>
      <c r="O1421">
        <v>0</v>
      </c>
      <c r="P1421">
        <v>0</v>
      </c>
      <c r="Q1421">
        <v>0</v>
      </c>
      <c r="R1421">
        <v>0</v>
      </c>
      <c r="S1421">
        <v>0</v>
      </c>
    </row>
    <row r="1422" spans="1:19" x14ac:dyDescent="0.25">
      <c r="A1422">
        <v>18119</v>
      </c>
      <c r="B1422" t="s">
        <v>88</v>
      </c>
      <c r="C1422">
        <v>4</v>
      </c>
      <c r="D1422">
        <v>0</v>
      </c>
      <c r="E1422">
        <v>0.37361721215577998</v>
      </c>
      <c r="F1422">
        <f t="shared" si="45"/>
        <v>0</v>
      </c>
      <c r="G1422">
        <v>0</v>
      </c>
      <c r="H1422">
        <v>0</v>
      </c>
      <c r="I1422">
        <v>0</v>
      </c>
      <c r="J1422">
        <v>0</v>
      </c>
      <c r="K1422">
        <v>0</v>
      </c>
      <c r="L1422">
        <v>0</v>
      </c>
      <c r="M1422">
        <f t="shared" si="44"/>
        <v>0</v>
      </c>
      <c r="N1422">
        <v>0</v>
      </c>
      <c r="O1422">
        <v>0</v>
      </c>
      <c r="P1422">
        <v>0</v>
      </c>
      <c r="Q1422">
        <v>0</v>
      </c>
      <c r="R1422">
        <v>0</v>
      </c>
      <c r="S1422">
        <v>0</v>
      </c>
    </row>
    <row r="1423" spans="1:19" x14ac:dyDescent="0.25">
      <c r="A1423">
        <v>18119</v>
      </c>
      <c r="B1423" t="s">
        <v>88</v>
      </c>
      <c r="C1423">
        <v>5</v>
      </c>
      <c r="D1423">
        <v>0</v>
      </c>
      <c r="E1423">
        <v>4.4086831034382099</v>
      </c>
      <c r="F1423">
        <f t="shared" si="45"/>
        <v>0</v>
      </c>
      <c r="G1423">
        <v>0</v>
      </c>
      <c r="H1423">
        <v>0</v>
      </c>
      <c r="I1423">
        <v>0</v>
      </c>
      <c r="J1423">
        <v>0</v>
      </c>
      <c r="K1423">
        <v>0</v>
      </c>
      <c r="L1423">
        <v>0</v>
      </c>
      <c r="M1423">
        <f t="shared" si="44"/>
        <v>0</v>
      </c>
      <c r="N1423">
        <v>0</v>
      </c>
      <c r="O1423">
        <v>0</v>
      </c>
      <c r="P1423">
        <v>0</v>
      </c>
      <c r="Q1423">
        <v>0</v>
      </c>
      <c r="R1423">
        <v>0</v>
      </c>
      <c r="S1423">
        <v>0</v>
      </c>
    </row>
    <row r="1424" spans="1:19" x14ac:dyDescent="0.25">
      <c r="A1424">
        <v>18119</v>
      </c>
      <c r="B1424" t="s">
        <v>88</v>
      </c>
      <c r="C1424">
        <v>6</v>
      </c>
      <c r="D1424">
        <v>0</v>
      </c>
      <c r="E1424">
        <v>5.0064706428874501</v>
      </c>
      <c r="F1424">
        <f t="shared" si="45"/>
        <v>0</v>
      </c>
      <c r="G1424">
        <v>0</v>
      </c>
      <c r="H1424">
        <v>0</v>
      </c>
      <c r="I1424">
        <v>0</v>
      </c>
      <c r="J1424">
        <v>0</v>
      </c>
      <c r="K1424">
        <v>0</v>
      </c>
      <c r="L1424">
        <v>0</v>
      </c>
      <c r="M1424">
        <f t="shared" si="44"/>
        <v>0</v>
      </c>
      <c r="N1424">
        <v>0</v>
      </c>
      <c r="O1424">
        <v>0</v>
      </c>
      <c r="P1424">
        <v>0</v>
      </c>
      <c r="Q1424">
        <v>0</v>
      </c>
      <c r="R1424">
        <v>0</v>
      </c>
      <c r="S1424">
        <v>0</v>
      </c>
    </row>
    <row r="1425" spans="1:19" x14ac:dyDescent="0.25">
      <c r="A1425">
        <v>18119</v>
      </c>
      <c r="B1425" t="s">
        <v>88</v>
      </c>
      <c r="C1425">
        <v>7</v>
      </c>
      <c r="D1425">
        <v>0</v>
      </c>
      <c r="E1425">
        <v>3.2878314669708599</v>
      </c>
      <c r="F1425">
        <f t="shared" si="45"/>
        <v>0</v>
      </c>
      <c r="G1425">
        <v>0</v>
      </c>
      <c r="H1425">
        <v>0</v>
      </c>
      <c r="I1425">
        <v>0</v>
      </c>
      <c r="J1425">
        <v>0</v>
      </c>
      <c r="K1425">
        <v>0</v>
      </c>
      <c r="L1425">
        <v>0</v>
      </c>
      <c r="M1425">
        <f t="shared" si="44"/>
        <v>0</v>
      </c>
      <c r="N1425">
        <v>0</v>
      </c>
      <c r="O1425">
        <v>0</v>
      </c>
      <c r="P1425">
        <v>0</v>
      </c>
      <c r="Q1425">
        <v>0</v>
      </c>
      <c r="R1425">
        <v>0</v>
      </c>
      <c r="S1425">
        <v>0</v>
      </c>
    </row>
    <row r="1426" spans="1:19" x14ac:dyDescent="0.25">
      <c r="A1426">
        <v>18119</v>
      </c>
      <c r="B1426" t="s">
        <v>88</v>
      </c>
      <c r="C1426">
        <v>8</v>
      </c>
      <c r="D1426">
        <v>0</v>
      </c>
      <c r="E1426">
        <v>3.2878314669708599</v>
      </c>
      <c r="F1426">
        <f t="shared" si="45"/>
        <v>0</v>
      </c>
      <c r="G1426">
        <v>0</v>
      </c>
      <c r="H1426">
        <v>0</v>
      </c>
      <c r="I1426">
        <v>0</v>
      </c>
      <c r="J1426">
        <v>0</v>
      </c>
      <c r="K1426">
        <v>0</v>
      </c>
      <c r="L1426">
        <v>0</v>
      </c>
      <c r="M1426">
        <f t="shared" si="44"/>
        <v>0</v>
      </c>
      <c r="N1426">
        <v>0</v>
      </c>
      <c r="O1426">
        <v>0</v>
      </c>
      <c r="P1426">
        <v>0</v>
      </c>
      <c r="Q1426">
        <v>0</v>
      </c>
      <c r="R1426">
        <v>0</v>
      </c>
      <c r="S1426">
        <v>0</v>
      </c>
    </row>
    <row r="1427" spans="1:19" x14ac:dyDescent="0.25">
      <c r="A1427">
        <v>18119</v>
      </c>
      <c r="B1427" t="s">
        <v>88</v>
      </c>
      <c r="C1427">
        <v>9</v>
      </c>
      <c r="D1427">
        <v>0</v>
      </c>
      <c r="E1427">
        <v>3.8108955639889599</v>
      </c>
      <c r="F1427">
        <f t="shared" si="45"/>
        <v>0</v>
      </c>
      <c r="G1427">
        <v>0</v>
      </c>
      <c r="H1427">
        <v>0</v>
      </c>
      <c r="I1427">
        <v>0</v>
      </c>
      <c r="J1427">
        <v>0</v>
      </c>
      <c r="K1427">
        <v>0</v>
      </c>
      <c r="L1427">
        <v>0</v>
      </c>
      <c r="M1427">
        <f t="shared" si="44"/>
        <v>0</v>
      </c>
      <c r="N1427">
        <v>0</v>
      </c>
      <c r="O1427">
        <v>0</v>
      </c>
      <c r="P1427">
        <v>0</v>
      </c>
      <c r="Q1427">
        <v>0</v>
      </c>
      <c r="R1427">
        <v>0</v>
      </c>
      <c r="S1427">
        <v>0</v>
      </c>
    </row>
    <row r="1428" spans="1:19" x14ac:dyDescent="0.25">
      <c r="A1428">
        <v>18119</v>
      </c>
      <c r="B1428" t="s">
        <v>88</v>
      </c>
      <c r="C1428">
        <v>10</v>
      </c>
      <c r="D1428">
        <v>0</v>
      </c>
      <c r="E1428">
        <v>4.2592362185758903</v>
      </c>
      <c r="F1428">
        <f t="shared" si="45"/>
        <v>0</v>
      </c>
      <c r="G1428">
        <v>0</v>
      </c>
      <c r="H1428">
        <v>0</v>
      </c>
      <c r="I1428">
        <v>0</v>
      </c>
      <c r="J1428">
        <v>0</v>
      </c>
      <c r="K1428">
        <v>0</v>
      </c>
      <c r="L1428">
        <v>0</v>
      </c>
      <c r="M1428">
        <f t="shared" si="44"/>
        <v>0</v>
      </c>
      <c r="N1428">
        <v>0</v>
      </c>
      <c r="O1428">
        <v>0</v>
      </c>
      <c r="P1428">
        <v>0</v>
      </c>
      <c r="Q1428">
        <v>0</v>
      </c>
      <c r="R1428">
        <v>0</v>
      </c>
      <c r="S1428">
        <v>0</v>
      </c>
    </row>
    <row r="1429" spans="1:19" x14ac:dyDescent="0.25">
      <c r="A1429">
        <v>18119</v>
      </c>
      <c r="B1429" t="s">
        <v>88</v>
      </c>
      <c r="C1429">
        <v>11</v>
      </c>
      <c r="D1429">
        <v>0</v>
      </c>
      <c r="E1429">
        <v>2.3911501577969898</v>
      </c>
      <c r="F1429">
        <f t="shared" si="45"/>
        <v>0</v>
      </c>
      <c r="G1429">
        <v>0</v>
      </c>
      <c r="H1429">
        <v>0</v>
      </c>
      <c r="I1429">
        <v>0</v>
      </c>
      <c r="J1429">
        <v>0</v>
      </c>
      <c r="K1429">
        <v>0</v>
      </c>
      <c r="L1429">
        <v>0</v>
      </c>
      <c r="M1429">
        <f t="shared" si="44"/>
        <v>0</v>
      </c>
      <c r="N1429">
        <v>0</v>
      </c>
      <c r="O1429">
        <v>0</v>
      </c>
      <c r="P1429">
        <v>0</v>
      </c>
      <c r="Q1429">
        <v>0</v>
      </c>
      <c r="R1429">
        <v>0</v>
      </c>
      <c r="S1429">
        <v>0</v>
      </c>
    </row>
    <row r="1430" spans="1:19" x14ac:dyDescent="0.25">
      <c r="A1430">
        <v>18119</v>
      </c>
      <c r="B1430" t="s">
        <v>88</v>
      </c>
      <c r="C1430">
        <v>12</v>
      </c>
      <c r="D1430">
        <v>0</v>
      </c>
      <c r="E1430">
        <v>2.31642671536583</v>
      </c>
      <c r="F1430">
        <f t="shared" si="45"/>
        <v>0</v>
      </c>
      <c r="G1430">
        <v>0</v>
      </c>
      <c r="H1430">
        <v>0</v>
      </c>
      <c r="I1430">
        <v>0</v>
      </c>
      <c r="J1430">
        <v>0</v>
      </c>
      <c r="K1430">
        <v>0</v>
      </c>
      <c r="L1430">
        <v>0</v>
      </c>
      <c r="M1430">
        <f t="shared" si="44"/>
        <v>0</v>
      </c>
      <c r="N1430">
        <v>0</v>
      </c>
      <c r="O1430">
        <v>0</v>
      </c>
      <c r="P1430">
        <v>0</v>
      </c>
      <c r="Q1430">
        <v>0</v>
      </c>
      <c r="R1430">
        <v>0</v>
      </c>
      <c r="S1430">
        <v>0</v>
      </c>
    </row>
    <row r="1431" spans="1:19" x14ac:dyDescent="0.25">
      <c r="A1431">
        <v>18119</v>
      </c>
      <c r="B1431" t="s">
        <v>88</v>
      </c>
      <c r="C1431">
        <v>13</v>
      </c>
      <c r="D1431">
        <v>0</v>
      </c>
      <c r="E1431">
        <v>1.19557507889849</v>
      </c>
      <c r="F1431">
        <f t="shared" si="45"/>
        <v>0</v>
      </c>
      <c r="G1431">
        <v>0</v>
      </c>
      <c r="H1431">
        <v>0</v>
      </c>
      <c r="I1431">
        <v>0</v>
      </c>
      <c r="J1431">
        <v>0</v>
      </c>
      <c r="K1431">
        <v>0</v>
      </c>
      <c r="L1431">
        <v>0</v>
      </c>
      <c r="M1431">
        <f t="shared" si="44"/>
        <v>0</v>
      </c>
      <c r="N1431">
        <v>0</v>
      </c>
      <c r="O1431">
        <v>0</v>
      </c>
      <c r="P1431">
        <v>0</v>
      </c>
      <c r="Q1431">
        <v>0</v>
      </c>
      <c r="R1431">
        <v>0</v>
      </c>
      <c r="S1431">
        <v>0</v>
      </c>
    </row>
    <row r="1432" spans="1:19" x14ac:dyDescent="0.25">
      <c r="A1432">
        <v>18119</v>
      </c>
      <c r="B1432" t="s">
        <v>88</v>
      </c>
      <c r="C1432">
        <v>14</v>
      </c>
      <c r="D1432">
        <v>0</v>
      </c>
      <c r="E1432">
        <v>0.298893769724624</v>
      </c>
      <c r="F1432">
        <f t="shared" si="45"/>
        <v>0</v>
      </c>
      <c r="G1432">
        <v>0</v>
      </c>
      <c r="H1432">
        <v>0</v>
      </c>
      <c r="I1432">
        <v>0</v>
      </c>
      <c r="J1432">
        <v>0</v>
      </c>
      <c r="K1432">
        <v>0</v>
      </c>
      <c r="L1432">
        <v>0</v>
      </c>
      <c r="M1432">
        <f t="shared" si="44"/>
        <v>0</v>
      </c>
      <c r="N1432">
        <v>0</v>
      </c>
      <c r="O1432">
        <v>0</v>
      </c>
      <c r="P1432">
        <v>0</v>
      </c>
      <c r="Q1432">
        <v>0</v>
      </c>
      <c r="R1432">
        <v>0</v>
      </c>
      <c r="S1432">
        <v>0</v>
      </c>
    </row>
    <row r="1433" spans="1:19" x14ac:dyDescent="0.25">
      <c r="A1433">
        <v>18119</v>
      </c>
      <c r="B1433" t="s">
        <v>88</v>
      </c>
      <c r="C1433">
        <v>15</v>
      </c>
      <c r="D1433">
        <v>0</v>
      </c>
      <c r="E1433">
        <v>0.149446884862312</v>
      </c>
      <c r="F1433">
        <f t="shared" si="45"/>
        <v>0</v>
      </c>
      <c r="G1433">
        <v>0</v>
      </c>
      <c r="H1433">
        <v>0</v>
      </c>
      <c r="I1433">
        <v>0</v>
      </c>
      <c r="J1433">
        <v>0</v>
      </c>
      <c r="K1433">
        <v>0</v>
      </c>
      <c r="L1433">
        <v>0</v>
      </c>
      <c r="M1433">
        <f t="shared" si="44"/>
        <v>0</v>
      </c>
      <c r="N1433">
        <v>0</v>
      </c>
      <c r="O1433">
        <v>0</v>
      </c>
      <c r="P1433">
        <v>0</v>
      </c>
      <c r="Q1433">
        <v>0</v>
      </c>
      <c r="R1433">
        <v>0</v>
      </c>
      <c r="S1433">
        <v>0</v>
      </c>
    </row>
    <row r="1434" spans="1:19" x14ac:dyDescent="0.25">
      <c r="A1434">
        <v>18119</v>
      </c>
      <c r="B1434" t="s">
        <v>88</v>
      </c>
      <c r="C1434">
        <v>16</v>
      </c>
      <c r="D1434">
        <v>0</v>
      </c>
      <c r="E1434">
        <v>0.298893769724624</v>
      </c>
      <c r="F1434">
        <f t="shared" si="45"/>
        <v>0</v>
      </c>
      <c r="G1434">
        <v>0</v>
      </c>
      <c r="H1434">
        <v>0</v>
      </c>
      <c r="I1434">
        <v>0</v>
      </c>
      <c r="J1434">
        <v>0</v>
      </c>
      <c r="K1434">
        <v>0</v>
      </c>
      <c r="L1434">
        <v>0</v>
      </c>
      <c r="M1434">
        <f t="shared" si="44"/>
        <v>0</v>
      </c>
      <c r="N1434">
        <v>0</v>
      </c>
      <c r="O1434">
        <v>0</v>
      </c>
      <c r="P1434">
        <v>0</v>
      </c>
      <c r="Q1434">
        <v>0</v>
      </c>
      <c r="R1434">
        <v>0</v>
      </c>
      <c r="S1434">
        <v>0</v>
      </c>
    </row>
    <row r="1435" spans="1:19" x14ac:dyDescent="0.25">
      <c r="A1435">
        <v>18119</v>
      </c>
      <c r="B1435" t="s">
        <v>88</v>
      </c>
      <c r="C1435">
        <v>17</v>
      </c>
      <c r="D1435">
        <v>0</v>
      </c>
      <c r="E1435">
        <v>0.298893769724624</v>
      </c>
      <c r="F1435">
        <f t="shared" si="45"/>
        <v>0</v>
      </c>
      <c r="G1435">
        <v>0</v>
      </c>
      <c r="H1435">
        <v>0</v>
      </c>
      <c r="I1435">
        <v>0</v>
      </c>
      <c r="J1435">
        <v>0</v>
      </c>
      <c r="K1435">
        <v>0</v>
      </c>
      <c r="L1435">
        <v>0</v>
      </c>
      <c r="M1435">
        <f t="shared" si="44"/>
        <v>0</v>
      </c>
      <c r="N1435">
        <v>0</v>
      </c>
      <c r="O1435">
        <v>0</v>
      </c>
      <c r="P1435">
        <v>0</v>
      </c>
      <c r="Q1435">
        <v>0</v>
      </c>
      <c r="R1435">
        <v>0</v>
      </c>
      <c r="S1435">
        <v>0</v>
      </c>
    </row>
    <row r="1436" spans="1:19" x14ac:dyDescent="0.25">
      <c r="A1436">
        <v>18119</v>
      </c>
      <c r="B1436" t="s">
        <v>88</v>
      </c>
      <c r="C1436">
        <v>18</v>
      </c>
      <c r="D1436">
        <v>0</v>
      </c>
      <c r="E1436">
        <v>0.149446884862312</v>
      </c>
      <c r="F1436">
        <f t="shared" si="45"/>
        <v>0</v>
      </c>
      <c r="G1436">
        <v>0</v>
      </c>
      <c r="H1436">
        <v>0</v>
      </c>
      <c r="I1436">
        <v>0</v>
      </c>
      <c r="J1436">
        <v>0</v>
      </c>
      <c r="K1436">
        <v>0</v>
      </c>
      <c r="L1436">
        <v>0</v>
      </c>
      <c r="M1436">
        <f t="shared" si="44"/>
        <v>0</v>
      </c>
      <c r="N1436">
        <v>0</v>
      </c>
      <c r="O1436">
        <v>0</v>
      </c>
      <c r="P1436">
        <v>0</v>
      </c>
      <c r="Q1436">
        <v>0</v>
      </c>
      <c r="R1436">
        <v>0</v>
      </c>
      <c r="S1436">
        <v>0</v>
      </c>
    </row>
    <row r="1437" spans="1:19" x14ac:dyDescent="0.25">
      <c r="A1437">
        <v>18119</v>
      </c>
      <c r="B1437" t="s">
        <v>88</v>
      </c>
      <c r="C1437">
        <v>19</v>
      </c>
      <c r="D1437">
        <v>0</v>
      </c>
      <c r="E1437">
        <v>0.298893769724624</v>
      </c>
      <c r="F1437">
        <f t="shared" si="45"/>
        <v>0</v>
      </c>
      <c r="G1437">
        <v>0</v>
      </c>
      <c r="H1437">
        <v>0</v>
      </c>
      <c r="I1437">
        <v>0</v>
      </c>
      <c r="J1437">
        <v>0</v>
      </c>
      <c r="K1437">
        <v>0</v>
      </c>
      <c r="L1437">
        <v>0</v>
      </c>
      <c r="M1437">
        <f t="shared" si="44"/>
        <v>0</v>
      </c>
      <c r="N1437">
        <v>0</v>
      </c>
      <c r="O1437">
        <v>0</v>
      </c>
      <c r="P1437">
        <v>0</v>
      </c>
      <c r="Q1437">
        <v>0</v>
      </c>
      <c r="R1437">
        <v>0</v>
      </c>
      <c r="S1437">
        <v>0</v>
      </c>
    </row>
    <row r="1438" spans="1:19" x14ac:dyDescent="0.25">
      <c r="A1438">
        <v>18119</v>
      </c>
      <c r="B1438" t="s">
        <v>88</v>
      </c>
      <c r="C1438">
        <v>20</v>
      </c>
      <c r="D1438">
        <v>0</v>
      </c>
      <c r="E1438">
        <v>0.448340654586936</v>
      </c>
      <c r="F1438">
        <f t="shared" si="45"/>
        <v>0</v>
      </c>
      <c r="G1438">
        <v>0</v>
      </c>
      <c r="H1438">
        <v>0</v>
      </c>
      <c r="I1438">
        <v>0</v>
      </c>
      <c r="J1438">
        <v>0</v>
      </c>
      <c r="K1438">
        <v>0</v>
      </c>
      <c r="L1438">
        <v>0</v>
      </c>
      <c r="M1438">
        <f t="shared" si="44"/>
        <v>0</v>
      </c>
      <c r="N1438">
        <v>0</v>
      </c>
      <c r="O1438">
        <v>0</v>
      </c>
      <c r="P1438">
        <v>0</v>
      </c>
      <c r="Q1438">
        <v>0</v>
      </c>
      <c r="R1438">
        <v>0</v>
      </c>
      <c r="S1438">
        <v>0</v>
      </c>
    </row>
    <row r="1439" spans="1:19" x14ac:dyDescent="0.25">
      <c r="A1439">
        <v>18119</v>
      </c>
      <c r="B1439" t="s">
        <v>88</v>
      </c>
      <c r="C1439">
        <v>21</v>
      </c>
      <c r="D1439">
        <v>0</v>
      </c>
      <c r="E1439">
        <v>0.52306409701809198</v>
      </c>
      <c r="F1439">
        <f t="shared" si="45"/>
        <v>0</v>
      </c>
      <c r="G1439">
        <v>0</v>
      </c>
      <c r="H1439">
        <v>0</v>
      </c>
      <c r="I1439">
        <v>0</v>
      </c>
      <c r="J1439">
        <v>0</v>
      </c>
      <c r="K1439">
        <v>0</v>
      </c>
      <c r="L1439">
        <v>0</v>
      </c>
      <c r="M1439">
        <f t="shared" si="44"/>
        <v>0</v>
      </c>
      <c r="N1439">
        <v>0</v>
      </c>
      <c r="O1439">
        <v>0</v>
      </c>
      <c r="P1439">
        <v>0</v>
      </c>
      <c r="Q1439">
        <v>0</v>
      </c>
      <c r="R1439">
        <v>0</v>
      </c>
      <c r="S1439">
        <v>0</v>
      </c>
    </row>
    <row r="1440" spans="1:19" x14ac:dyDescent="0.25">
      <c r="A1440">
        <v>18119</v>
      </c>
      <c r="B1440" t="s">
        <v>88</v>
      </c>
      <c r="C1440">
        <v>22</v>
      </c>
      <c r="D1440">
        <v>0</v>
      </c>
      <c r="E1440">
        <v>0.298893769724624</v>
      </c>
      <c r="F1440">
        <f t="shared" si="45"/>
        <v>0</v>
      </c>
      <c r="G1440">
        <v>0</v>
      </c>
      <c r="H1440">
        <v>0</v>
      </c>
      <c r="I1440">
        <v>0</v>
      </c>
      <c r="J1440">
        <v>0</v>
      </c>
      <c r="K1440">
        <v>0</v>
      </c>
      <c r="L1440">
        <v>0</v>
      </c>
      <c r="M1440">
        <f t="shared" si="44"/>
        <v>0</v>
      </c>
      <c r="N1440">
        <v>0</v>
      </c>
      <c r="O1440">
        <v>0</v>
      </c>
      <c r="P1440">
        <v>0</v>
      </c>
      <c r="Q1440">
        <v>0</v>
      </c>
      <c r="R1440">
        <v>0</v>
      </c>
      <c r="S1440">
        <v>0</v>
      </c>
    </row>
    <row r="1441" spans="1:19" x14ac:dyDescent="0.25">
      <c r="A1441">
        <v>18119</v>
      </c>
      <c r="B1441" t="s">
        <v>88</v>
      </c>
      <c r="C1441">
        <v>23</v>
      </c>
      <c r="D1441">
        <v>0</v>
      </c>
      <c r="E1441">
        <v>0.298893769724624</v>
      </c>
      <c r="F1441">
        <f t="shared" si="45"/>
        <v>0</v>
      </c>
      <c r="G1441">
        <v>0</v>
      </c>
      <c r="H1441">
        <v>0</v>
      </c>
      <c r="I1441">
        <v>0</v>
      </c>
      <c r="J1441">
        <v>0</v>
      </c>
      <c r="K1441">
        <v>0</v>
      </c>
      <c r="L1441">
        <v>0</v>
      </c>
      <c r="M1441">
        <f t="shared" si="44"/>
        <v>0</v>
      </c>
      <c r="N1441">
        <v>0</v>
      </c>
      <c r="O1441">
        <v>0</v>
      </c>
      <c r="P1441">
        <v>0</v>
      </c>
      <c r="Q1441">
        <v>0</v>
      </c>
      <c r="R1441">
        <v>0</v>
      </c>
      <c r="S1441">
        <v>0</v>
      </c>
    </row>
    <row r="1442" spans="1:19" x14ac:dyDescent="0.25">
      <c r="A1442">
        <v>18121</v>
      </c>
      <c r="B1442" t="s">
        <v>89</v>
      </c>
      <c r="C1442">
        <v>0</v>
      </c>
      <c r="D1442">
        <v>0</v>
      </c>
      <c r="E1442">
        <v>0</v>
      </c>
      <c r="F1442">
        <f t="shared" si="45"/>
        <v>0</v>
      </c>
      <c r="G1442">
        <v>0</v>
      </c>
      <c r="H1442">
        <v>0</v>
      </c>
      <c r="I1442">
        <v>0</v>
      </c>
      <c r="J1442">
        <v>0</v>
      </c>
      <c r="K1442">
        <v>0</v>
      </c>
      <c r="L1442">
        <v>0</v>
      </c>
      <c r="M1442">
        <f t="shared" si="44"/>
        <v>0</v>
      </c>
      <c r="N1442">
        <v>0</v>
      </c>
      <c r="O1442">
        <v>0</v>
      </c>
      <c r="P1442">
        <v>0</v>
      </c>
      <c r="Q1442">
        <v>0</v>
      </c>
      <c r="R1442">
        <v>0</v>
      </c>
      <c r="S1442">
        <v>0</v>
      </c>
    </row>
    <row r="1443" spans="1:19" x14ac:dyDescent="0.25">
      <c r="A1443">
        <v>18121</v>
      </c>
      <c r="B1443" t="s">
        <v>89</v>
      </c>
      <c r="C1443">
        <v>1</v>
      </c>
      <c r="D1443">
        <v>0</v>
      </c>
      <c r="E1443">
        <v>0</v>
      </c>
      <c r="F1443">
        <f t="shared" si="45"/>
        <v>0</v>
      </c>
      <c r="G1443">
        <v>0</v>
      </c>
      <c r="H1443">
        <v>0</v>
      </c>
      <c r="I1443">
        <v>0</v>
      </c>
      <c r="J1443">
        <v>0</v>
      </c>
      <c r="K1443">
        <v>0</v>
      </c>
      <c r="L1443">
        <v>0</v>
      </c>
      <c r="M1443">
        <f t="shared" si="44"/>
        <v>0</v>
      </c>
      <c r="N1443">
        <v>0</v>
      </c>
      <c r="O1443">
        <v>0</v>
      </c>
      <c r="P1443">
        <v>0</v>
      </c>
      <c r="Q1443">
        <v>0</v>
      </c>
      <c r="R1443">
        <v>0</v>
      </c>
      <c r="S1443">
        <v>0</v>
      </c>
    </row>
    <row r="1444" spans="1:19" x14ac:dyDescent="0.25">
      <c r="A1444">
        <v>18121</v>
      </c>
      <c r="B1444" t="s">
        <v>89</v>
      </c>
      <c r="C1444">
        <v>2</v>
      </c>
      <c r="D1444">
        <v>0</v>
      </c>
      <c r="E1444">
        <v>0</v>
      </c>
      <c r="F1444">
        <f t="shared" si="45"/>
        <v>0</v>
      </c>
      <c r="G1444">
        <v>0</v>
      </c>
      <c r="H1444">
        <v>0</v>
      </c>
      <c r="I1444">
        <v>0</v>
      </c>
      <c r="J1444">
        <v>0</v>
      </c>
      <c r="K1444">
        <v>0</v>
      </c>
      <c r="L1444">
        <v>0</v>
      </c>
      <c r="M1444">
        <f t="shared" si="44"/>
        <v>0</v>
      </c>
      <c r="N1444">
        <v>0</v>
      </c>
      <c r="O1444">
        <v>0</v>
      </c>
      <c r="P1444">
        <v>0</v>
      </c>
      <c r="Q1444">
        <v>0</v>
      </c>
      <c r="R1444">
        <v>0</v>
      </c>
      <c r="S1444">
        <v>0</v>
      </c>
    </row>
    <row r="1445" spans="1:19" x14ac:dyDescent="0.25">
      <c r="A1445">
        <v>18121</v>
      </c>
      <c r="B1445" t="s">
        <v>89</v>
      </c>
      <c r="C1445">
        <v>3</v>
      </c>
      <c r="D1445">
        <v>0</v>
      </c>
      <c r="E1445">
        <v>0</v>
      </c>
      <c r="F1445">
        <f t="shared" si="45"/>
        <v>0</v>
      </c>
      <c r="G1445">
        <v>0</v>
      </c>
      <c r="H1445">
        <v>0</v>
      </c>
      <c r="I1445">
        <v>0</v>
      </c>
      <c r="J1445">
        <v>0</v>
      </c>
      <c r="K1445">
        <v>0</v>
      </c>
      <c r="L1445">
        <v>0</v>
      </c>
      <c r="M1445">
        <f t="shared" si="44"/>
        <v>0</v>
      </c>
      <c r="N1445">
        <v>0</v>
      </c>
      <c r="O1445">
        <v>0</v>
      </c>
      <c r="P1445">
        <v>0</v>
      </c>
      <c r="Q1445">
        <v>0</v>
      </c>
      <c r="R1445">
        <v>0</v>
      </c>
      <c r="S1445">
        <v>0</v>
      </c>
    </row>
    <row r="1446" spans="1:19" x14ac:dyDescent="0.25">
      <c r="A1446">
        <v>18121</v>
      </c>
      <c r="B1446" t="s">
        <v>89</v>
      </c>
      <c r="C1446">
        <v>4</v>
      </c>
      <c r="D1446">
        <v>0</v>
      </c>
      <c r="E1446">
        <v>0</v>
      </c>
      <c r="F1446">
        <f t="shared" si="45"/>
        <v>0</v>
      </c>
      <c r="G1446">
        <v>0</v>
      </c>
      <c r="H1446">
        <v>0</v>
      </c>
      <c r="I1446">
        <v>0</v>
      </c>
      <c r="J1446">
        <v>0</v>
      </c>
      <c r="K1446">
        <v>0</v>
      </c>
      <c r="L1446">
        <v>0</v>
      </c>
      <c r="M1446">
        <f t="shared" si="44"/>
        <v>0</v>
      </c>
      <c r="N1446">
        <v>0</v>
      </c>
      <c r="O1446">
        <v>0</v>
      </c>
      <c r="P1446">
        <v>0</v>
      </c>
      <c r="Q1446">
        <v>0</v>
      </c>
      <c r="R1446">
        <v>0</v>
      </c>
      <c r="S1446">
        <v>0</v>
      </c>
    </row>
    <row r="1447" spans="1:19" x14ac:dyDescent="0.25">
      <c r="A1447">
        <v>18121</v>
      </c>
      <c r="B1447" t="s">
        <v>89</v>
      </c>
      <c r="C1447">
        <v>5</v>
      </c>
      <c r="D1447">
        <v>0</v>
      </c>
      <c r="E1447">
        <v>0</v>
      </c>
      <c r="F1447">
        <f t="shared" si="45"/>
        <v>0</v>
      </c>
      <c r="G1447">
        <v>0</v>
      </c>
      <c r="H1447">
        <v>0</v>
      </c>
      <c r="I1447">
        <v>0</v>
      </c>
      <c r="J1447">
        <v>0</v>
      </c>
      <c r="K1447">
        <v>0</v>
      </c>
      <c r="L1447">
        <v>0</v>
      </c>
      <c r="M1447">
        <f t="shared" si="44"/>
        <v>0</v>
      </c>
      <c r="N1447">
        <v>0</v>
      </c>
      <c r="O1447">
        <v>0</v>
      </c>
      <c r="P1447">
        <v>0</v>
      </c>
      <c r="Q1447">
        <v>0</v>
      </c>
      <c r="R1447">
        <v>0</v>
      </c>
      <c r="S1447">
        <v>0</v>
      </c>
    </row>
    <row r="1448" spans="1:19" x14ac:dyDescent="0.25">
      <c r="A1448">
        <v>18121</v>
      </c>
      <c r="B1448" t="s">
        <v>89</v>
      </c>
      <c r="C1448">
        <v>6</v>
      </c>
      <c r="D1448">
        <v>0</v>
      </c>
      <c r="E1448">
        <v>0.128752911106151</v>
      </c>
      <c r="F1448">
        <f t="shared" si="45"/>
        <v>0</v>
      </c>
      <c r="G1448">
        <v>0</v>
      </c>
      <c r="H1448">
        <v>0</v>
      </c>
      <c r="I1448">
        <v>0</v>
      </c>
      <c r="J1448">
        <v>0</v>
      </c>
      <c r="K1448">
        <v>0</v>
      </c>
      <c r="L1448">
        <v>0</v>
      </c>
      <c r="M1448">
        <f t="shared" si="44"/>
        <v>0</v>
      </c>
      <c r="N1448">
        <v>0</v>
      </c>
      <c r="O1448">
        <v>0</v>
      </c>
      <c r="P1448">
        <v>0</v>
      </c>
      <c r="Q1448">
        <v>0</v>
      </c>
      <c r="R1448">
        <v>0</v>
      </c>
      <c r="S1448">
        <v>0</v>
      </c>
    </row>
    <row r="1449" spans="1:19" x14ac:dyDescent="0.25">
      <c r="A1449">
        <v>18121</v>
      </c>
      <c r="B1449" t="s">
        <v>89</v>
      </c>
      <c r="C1449">
        <v>7</v>
      </c>
      <c r="D1449">
        <v>0</v>
      </c>
      <c r="E1449">
        <v>0.79826804885814096</v>
      </c>
      <c r="F1449">
        <f t="shared" si="45"/>
        <v>0</v>
      </c>
      <c r="G1449">
        <v>0</v>
      </c>
      <c r="H1449">
        <v>0</v>
      </c>
      <c r="I1449">
        <v>0</v>
      </c>
      <c r="J1449">
        <v>0</v>
      </c>
      <c r="K1449">
        <v>0</v>
      </c>
      <c r="L1449">
        <v>0</v>
      </c>
      <c r="M1449">
        <f t="shared" si="44"/>
        <v>0</v>
      </c>
      <c r="N1449">
        <v>0</v>
      </c>
      <c r="O1449">
        <v>0</v>
      </c>
      <c r="P1449">
        <v>0</v>
      </c>
      <c r="Q1449">
        <v>0</v>
      </c>
      <c r="R1449">
        <v>0</v>
      </c>
      <c r="S1449">
        <v>0</v>
      </c>
    </row>
    <row r="1450" spans="1:19" x14ac:dyDescent="0.25">
      <c r="A1450">
        <v>18121</v>
      </c>
      <c r="B1450" t="s">
        <v>89</v>
      </c>
      <c r="C1450">
        <v>8</v>
      </c>
      <c r="D1450">
        <v>0</v>
      </c>
      <c r="E1450">
        <v>1.2875291110615099</v>
      </c>
      <c r="F1450">
        <f t="shared" si="45"/>
        <v>0</v>
      </c>
      <c r="G1450">
        <v>0</v>
      </c>
      <c r="H1450">
        <v>0</v>
      </c>
      <c r="I1450">
        <v>0</v>
      </c>
      <c r="J1450">
        <v>0</v>
      </c>
      <c r="K1450">
        <v>0</v>
      </c>
      <c r="L1450">
        <v>0</v>
      </c>
      <c r="M1450">
        <f t="shared" si="44"/>
        <v>0</v>
      </c>
      <c r="N1450">
        <v>0</v>
      </c>
      <c r="O1450">
        <v>0</v>
      </c>
      <c r="P1450">
        <v>0</v>
      </c>
      <c r="Q1450">
        <v>0</v>
      </c>
      <c r="R1450">
        <v>0</v>
      </c>
      <c r="S1450">
        <v>0</v>
      </c>
    </row>
    <row r="1451" spans="1:19" x14ac:dyDescent="0.25">
      <c r="A1451">
        <v>18121</v>
      </c>
      <c r="B1451" t="s">
        <v>89</v>
      </c>
      <c r="C1451">
        <v>9</v>
      </c>
      <c r="D1451">
        <v>0</v>
      </c>
      <c r="E1451">
        <v>1.0815244532916699</v>
      </c>
      <c r="F1451">
        <f t="shared" si="45"/>
        <v>0</v>
      </c>
      <c r="G1451">
        <v>0</v>
      </c>
      <c r="H1451">
        <v>0</v>
      </c>
      <c r="I1451">
        <v>0</v>
      </c>
      <c r="J1451">
        <v>0</v>
      </c>
      <c r="K1451">
        <v>0</v>
      </c>
      <c r="L1451">
        <v>0</v>
      </c>
      <c r="M1451">
        <f t="shared" si="44"/>
        <v>0</v>
      </c>
      <c r="N1451">
        <v>0</v>
      </c>
      <c r="O1451">
        <v>0</v>
      </c>
      <c r="P1451">
        <v>0</v>
      </c>
      <c r="Q1451">
        <v>0</v>
      </c>
      <c r="R1451">
        <v>0</v>
      </c>
      <c r="S1451">
        <v>0</v>
      </c>
    </row>
    <row r="1452" spans="1:19" x14ac:dyDescent="0.25">
      <c r="A1452">
        <v>18121</v>
      </c>
      <c r="B1452" t="s">
        <v>89</v>
      </c>
      <c r="C1452">
        <v>10</v>
      </c>
      <c r="D1452">
        <v>0</v>
      </c>
      <c r="E1452">
        <v>1.41628202216767</v>
      </c>
      <c r="F1452">
        <f t="shared" si="45"/>
        <v>0</v>
      </c>
      <c r="G1452">
        <v>0</v>
      </c>
      <c r="H1452">
        <v>0</v>
      </c>
      <c r="I1452">
        <v>0</v>
      </c>
      <c r="J1452">
        <v>0</v>
      </c>
      <c r="K1452">
        <v>0</v>
      </c>
      <c r="L1452">
        <v>0</v>
      </c>
      <c r="M1452">
        <f t="shared" si="44"/>
        <v>0</v>
      </c>
      <c r="N1452">
        <v>0</v>
      </c>
      <c r="O1452">
        <v>0</v>
      </c>
      <c r="P1452">
        <v>0</v>
      </c>
      <c r="Q1452">
        <v>0</v>
      </c>
      <c r="R1452">
        <v>0</v>
      </c>
      <c r="S1452">
        <v>0</v>
      </c>
    </row>
    <row r="1453" spans="1:19" x14ac:dyDescent="0.25">
      <c r="A1453">
        <v>18121</v>
      </c>
      <c r="B1453" t="s">
        <v>89</v>
      </c>
      <c r="C1453">
        <v>11</v>
      </c>
      <c r="D1453">
        <v>0</v>
      </c>
      <c r="E1453">
        <v>1.33903027550397</v>
      </c>
      <c r="F1453">
        <f t="shared" si="45"/>
        <v>0</v>
      </c>
      <c r="G1453">
        <v>0</v>
      </c>
      <c r="H1453">
        <v>0</v>
      </c>
      <c r="I1453">
        <v>0</v>
      </c>
      <c r="J1453">
        <v>0</v>
      </c>
      <c r="K1453">
        <v>0</v>
      </c>
      <c r="L1453">
        <v>0</v>
      </c>
      <c r="M1453">
        <f t="shared" si="44"/>
        <v>0</v>
      </c>
      <c r="N1453">
        <v>0</v>
      </c>
      <c r="O1453">
        <v>0</v>
      </c>
      <c r="P1453">
        <v>0</v>
      </c>
      <c r="Q1453">
        <v>0</v>
      </c>
      <c r="R1453">
        <v>0</v>
      </c>
      <c r="S1453">
        <v>0</v>
      </c>
    </row>
    <row r="1454" spans="1:19" x14ac:dyDescent="0.25">
      <c r="A1454">
        <v>18121</v>
      </c>
      <c r="B1454" t="s">
        <v>89</v>
      </c>
      <c r="C1454">
        <v>12</v>
      </c>
      <c r="D1454">
        <v>0</v>
      </c>
      <c r="E1454">
        <v>1.03002328884921</v>
      </c>
      <c r="F1454">
        <f t="shared" si="45"/>
        <v>0</v>
      </c>
      <c r="G1454">
        <v>0</v>
      </c>
      <c r="H1454">
        <v>0</v>
      </c>
      <c r="I1454">
        <v>0</v>
      </c>
      <c r="J1454">
        <v>0</v>
      </c>
      <c r="K1454">
        <v>0</v>
      </c>
      <c r="L1454">
        <v>0</v>
      </c>
      <c r="M1454">
        <f t="shared" si="44"/>
        <v>0</v>
      </c>
      <c r="N1454">
        <v>0</v>
      </c>
      <c r="O1454">
        <v>0</v>
      </c>
      <c r="P1454">
        <v>0</v>
      </c>
      <c r="Q1454">
        <v>0</v>
      </c>
      <c r="R1454">
        <v>0</v>
      </c>
      <c r="S1454">
        <v>0</v>
      </c>
    </row>
    <row r="1455" spans="1:19" x14ac:dyDescent="0.25">
      <c r="A1455">
        <v>18121</v>
      </c>
      <c r="B1455" t="s">
        <v>89</v>
      </c>
      <c r="C1455">
        <v>13</v>
      </c>
      <c r="D1455">
        <v>0</v>
      </c>
      <c r="E1455">
        <v>0.66951513775198901</v>
      </c>
      <c r="F1455">
        <f t="shared" si="45"/>
        <v>0</v>
      </c>
      <c r="G1455">
        <v>0</v>
      </c>
      <c r="H1455">
        <v>0</v>
      </c>
      <c r="I1455">
        <v>0</v>
      </c>
      <c r="J1455">
        <v>0</v>
      </c>
      <c r="K1455">
        <v>0</v>
      </c>
      <c r="L1455">
        <v>0</v>
      </c>
      <c r="M1455">
        <f t="shared" si="44"/>
        <v>0</v>
      </c>
      <c r="N1455">
        <v>0</v>
      </c>
      <c r="O1455">
        <v>0</v>
      </c>
      <c r="P1455">
        <v>0</v>
      </c>
      <c r="Q1455">
        <v>0</v>
      </c>
      <c r="R1455">
        <v>0</v>
      </c>
      <c r="S1455">
        <v>0</v>
      </c>
    </row>
    <row r="1456" spans="1:19" x14ac:dyDescent="0.25">
      <c r="A1456">
        <v>18121</v>
      </c>
      <c r="B1456" t="s">
        <v>89</v>
      </c>
      <c r="C1456">
        <v>14</v>
      </c>
      <c r="D1456">
        <v>0</v>
      </c>
      <c r="E1456">
        <v>0.206004657769842</v>
      </c>
      <c r="F1456">
        <f t="shared" si="45"/>
        <v>0</v>
      </c>
      <c r="G1456">
        <v>0</v>
      </c>
      <c r="H1456">
        <v>0</v>
      </c>
      <c r="I1456">
        <v>0</v>
      </c>
      <c r="J1456">
        <v>0</v>
      </c>
      <c r="K1456">
        <v>0</v>
      </c>
      <c r="L1456">
        <v>0</v>
      </c>
      <c r="M1456">
        <f t="shared" si="44"/>
        <v>0</v>
      </c>
      <c r="N1456">
        <v>0</v>
      </c>
      <c r="O1456">
        <v>0</v>
      </c>
      <c r="P1456">
        <v>0</v>
      </c>
      <c r="Q1456">
        <v>0</v>
      </c>
      <c r="R1456">
        <v>0</v>
      </c>
      <c r="S1456">
        <v>0</v>
      </c>
    </row>
    <row r="1457" spans="1:19" x14ac:dyDescent="0.25">
      <c r="A1457">
        <v>18121</v>
      </c>
      <c r="B1457" t="s">
        <v>89</v>
      </c>
      <c r="C1457">
        <v>15</v>
      </c>
      <c r="D1457">
        <v>0</v>
      </c>
      <c r="E1457">
        <v>0</v>
      </c>
      <c r="F1457">
        <f t="shared" si="45"/>
        <v>0</v>
      </c>
      <c r="G1457">
        <v>0</v>
      </c>
      <c r="H1457">
        <v>0</v>
      </c>
      <c r="I1457">
        <v>0</v>
      </c>
      <c r="J1457">
        <v>0</v>
      </c>
      <c r="K1457">
        <v>0</v>
      </c>
      <c r="L1457">
        <v>0</v>
      </c>
      <c r="M1457">
        <f t="shared" si="44"/>
        <v>0</v>
      </c>
      <c r="N1457">
        <v>0</v>
      </c>
      <c r="O1457">
        <v>0</v>
      </c>
      <c r="P1457">
        <v>0</v>
      </c>
      <c r="Q1457">
        <v>0</v>
      </c>
      <c r="R1457">
        <v>0</v>
      </c>
      <c r="S1457">
        <v>0</v>
      </c>
    </row>
    <row r="1458" spans="1:19" x14ac:dyDescent="0.25">
      <c r="A1458">
        <v>18121</v>
      </c>
      <c r="B1458" t="s">
        <v>89</v>
      </c>
      <c r="C1458">
        <v>16</v>
      </c>
      <c r="D1458">
        <v>0</v>
      </c>
      <c r="E1458">
        <v>0</v>
      </c>
      <c r="F1458">
        <f t="shared" si="45"/>
        <v>0</v>
      </c>
      <c r="G1458">
        <v>0</v>
      </c>
      <c r="H1458">
        <v>0</v>
      </c>
      <c r="I1458">
        <v>0</v>
      </c>
      <c r="J1458">
        <v>0</v>
      </c>
      <c r="K1458">
        <v>0</v>
      </c>
      <c r="L1458">
        <v>0</v>
      </c>
      <c r="M1458">
        <f t="shared" si="44"/>
        <v>0</v>
      </c>
      <c r="N1458">
        <v>0</v>
      </c>
      <c r="O1458">
        <v>0</v>
      </c>
      <c r="P1458">
        <v>0</v>
      </c>
      <c r="Q1458">
        <v>0</v>
      </c>
      <c r="R1458">
        <v>0</v>
      </c>
      <c r="S1458">
        <v>0</v>
      </c>
    </row>
    <row r="1459" spans="1:19" x14ac:dyDescent="0.25">
      <c r="A1459">
        <v>18121</v>
      </c>
      <c r="B1459" t="s">
        <v>89</v>
      </c>
      <c r="C1459">
        <v>17</v>
      </c>
      <c r="D1459">
        <v>0</v>
      </c>
      <c r="E1459">
        <v>0</v>
      </c>
      <c r="F1459">
        <f t="shared" si="45"/>
        <v>0</v>
      </c>
      <c r="G1459">
        <v>0</v>
      </c>
      <c r="H1459">
        <v>0</v>
      </c>
      <c r="I1459">
        <v>0</v>
      </c>
      <c r="J1459">
        <v>0</v>
      </c>
      <c r="K1459">
        <v>0</v>
      </c>
      <c r="L1459">
        <v>0</v>
      </c>
      <c r="M1459">
        <f t="shared" si="44"/>
        <v>0</v>
      </c>
      <c r="N1459">
        <v>0</v>
      </c>
      <c r="O1459">
        <v>0</v>
      </c>
      <c r="P1459">
        <v>0</v>
      </c>
      <c r="Q1459">
        <v>0</v>
      </c>
      <c r="R1459">
        <v>0</v>
      </c>
      <c r="S1459">
        <v>0</v>
      </c>
    </row>
    <row r="1460" spans="1:19" x14ac:dyDescent="0.25">
      <c r="A1460">
        <v>18121</v>
      </c>
      <c r="B1460" t="s">
        <v>89</v>
      </c>
      <c r="C1460">
        <v>18</v>
      </c>
      <c r="D1460">
        <v>0</v>
      </c>
      <c r="E1460">
        <v>0</v>
      </c>
      <c r="F1460">
        <f t="shared" si="45"/>
        <v>0</v>
      </c>
      <c r="G1460">
        <v>0</v>
      </c>
      <c r="H1460">
        <v>0</v>
      </c>
      <c r="I1460">
        <v>0</v>
      </c>
      <c r="J1460">
        <v>0</v>
      </c>
      <c r="K1460">
        <v>0</v>
      </c>
      <c r="L1460">
        <v>0</v>
      </c>
      <c r="M1460">
        <f t="shared" si="44"/>
        <v>0</v>
      </c>
      <c r="N1460">
        <v>0</v>
      </c>
      <c r="O1460">
        <v>0</v>
      </c>
      <c r="P1460">
        <v>0</v>
      </c>
      <c r="Q1460">
        <v>0</v>
      </c>
      <c r="R1460">
        <v>0</v>
      </c>
      <c r="S1460">
        <v>0</v>
      </c>
    </row>
    <row r="1461" spans="1:19" x14ac:dyDescent="0.25">
      <c r="A1461">
        <v>18121</v>
      </c>
      <c r="B1461" t="s">
        <v>89</v>
      </c>
      <c r="C1461">
        <v>19</v>
      </c>
      <c r="D1461">
        <v>0</v>
      </c>
      <c r="E1461">
        <v>0</v>
      </c>
      <c r="F1461">
        <f t="shared" si="45"/>
        <v>0</v>
      </c>
      <c r="G1461">
        <v>0</v>
      </c>
      <c r="H1461">
        <v>0</v>
      </c>
      <c r="I1461">
        <v>0</v>
      </c>
      <c r="J1461">
        <v>0</v>
      </c>
      <c r="K1461">
        <v>0</v>
      </c>
      <c r="L1461">
        <v>0</v>
      </c>
      <c r="M1461">
        <f t="shared" si="44"/>
        <v>0</v>
      </c>
      <c r="N1461">
        <v>0</v>
      </c>
      <c r="O1461">
        <v>0</v>
      </c>
      <c r="P1461">
        <v>0</v>
      </c>
      <c r="Q1461">
        <v>0</v>
      </c>
      <c r="R1461">
        <v>0</v>
      </c>
      <c r="S1461">
        <v>0</v>
      </c>
    </row>
    <row r="1462" spans="1:19" x14ac:dyDescent="0.25">
      <c r="A1462">
        <v>18121</v>
      </c>
      <c r="B1462" t="s">
        <v>89</v>
      </c>
      <c r="C1462">
        <v>20</v>
      </c>
      <c r="D1462">
        <v>0</v>
      </c>
      <c r="E1462">
        <v>0</v>
      </c>
      <c r="F1462">
        <f t="shared" si="45"/>
        <v>0</v>
      </c>
      <c r="G1462">
        <v>0</v>
      </c>
      <c r="H1462">
        <v>0</v>
      </c>
      <c r="I1462">
        <v>0</v>
      </c>
      <c r="J1462">
        <v>0</v>
      </c>
      <c r="K1462">
        <v>0</v>
      </c>
      <c r="L1462">
        <v>0</v>
      </c>
      <c r="M1462">
        <f t="shared" si="44"/>
        <v>0</v>
      </c>
      <c r="N1462">
        <v>0</v>
      </c>
      <c r="O1462">
        <v>0</v>
      </c>
      <c r="P1462">
        <v>0</v>
      </c>
      <c r="Q1462">
        <v>0</v>
      </c>
      <c r="R1462">
        <v>0</v>
      </c>
      <c r="S1462">
        <v>0</v>
      </c>
    </row>
    <row r="1463" spans="1:19" x14ac:dyDescent="0.25">
      <c r="A1463">
        <v>18121</v>
      </c>
      <c r="B1463" t="s">
        <v>89</v>
      </c>
      <c r="C1463">
        <v>21</v>
      </c>
      <c r="D1463">
        <v>0</v>
      </c>
      <c r="E1463">
        <v>0</v>
      </c>
      <c r="F1463">
        <f t="shared" si="45"/>
        <v>0</v>
      </c>
      <c r="G1463">
        <v>0</v>
      </c>
      <c r="H1463">
        <v>0</v>
      </c>
      <c r="I1463">
        <v>0</v>
      </c>
      <c r="J1463">
        <v>0</v>
      </c>
      <c r="K1463">
        <v>0</v>
      </c>
      <c r="L1463">
        <v>0</v>
      </c>
      <c r="M1463">
        <f t="shared" si="44"/>
        <v>0</v>
      </c>
      <c r="N1463">
        <v>0</v>
      </c>
      <c r="O1463">
        <v>0</v>
      </c>
      <c r="P1463">
        <v>0</v>
      </c>
      <c r="Q1463">
        <v>0</v>
      </c>
      <c r="R1463">
        <v>0</v>
      </c>
      <c r="S1463">
        <v>0</v>
      </c>
    </row>
    <row r="1464" spans="1:19" x14ac:dyDescent="0.25">
      <c r="A1464">
        <v>18121</v>
      </c>
      <c r="B1464" t="s">
        <v>89</v>
      </c>
      <c r="C1464">
        <v>22</v>
      </c>
      <c r="D1464">
        <v>0</v>
      </c>
      <c r="E1464">
        <v>0</v>
      </c>
      <c r="F1464">
        <f t="shared" si="45"/>
        <v>0</v>
      </c>
      <c r="G1464">
        <v>0</v>
      </c>
      <c r="H1464">
        <v>0</v>
      </c>
      <c r="I1464">
        <v>0</v>
      </c>
      <c r="J1464">
        <v>0</v>
      </c>
      <c r="K1464">
        <v>0</v>
      </c>
      <c r="L1464">
        <v>0</v>
      </c>
      <c r="M1464">
        <f t="shared" si="44"/>
        <v>0</v>
      </c>
      <c r="N1464">
        <v>0</v>
      </c>
      <c r="O1464">
        <v>0</v>
      </c>
      <c r="P1464">
        <v>0</v>
      </c>
      <c r="Q1464">
        <v>0</v>
      </c>
      <c r="R1464">
        <v>0</v>
      </c>
      <c r="S1464">
        <v>0</v>
      </c>
    </row>
    <row r="1465" spans="1:19" x14ac:dyDescent="0.25">
      <c r="A1465">
        <v>18121</v>
      </c>
      <c r="B1465" t="s">
        <v>89</v>
      </c>
      <c r="C1465">
        <v>23</v>
      </c>
      <c r="D1465">
        <v>0</v>
      </c>
      <c r="E1465">
        <v>0</v>
      </c>
      <c r="F1465">
        <f t="shared" si="45"/>
        <v>0</v>
      </c>
      <c r="G1465">
        <v>0</v>
      </c>
      <c r="H1465">
        <v>0</v>
      </c>
      <c r="I1465">
        <v>0</v>
      </c>
      <c r="J1465">
        <v>0</v>
      </c>
      <c r="K1465">
        <v>0</v>
      </c>
      <c r="L1465">
        <v>0</v>
      </c>
      <c r="M1465">
        <f t="shared" si="44"/>
        <v>0</v>
      </c>
      <c r="N1465">
        <v>0</v>
      </c>
      <c r="O1465">
        <v>0</v>
      </c>
      <c r="P1465">
        <v>0</v>
      </c>
      <c r="Q1465">
        <v>0</v>
      </c>
      <c r="R1465">
        <v>0</v>
      </c>
      <c r="S1465">
        <v>0</v>
      </c>
    </row>
    <row r="1466" spans="1:19" x14ac:dyDescent="0.25">
      <c r="A1466">
        <v>18123</v>
      </c>
      <c r="B1466" t="s">
        <v>90</v>
      </c>
      <c r="C1466">
        <v>0</v>
      </c>
      <c r="D1466">
        <v>4.0312845324230802</v>
      </c>
      <c r="E1466">
        <v>1.8950482844723799</v>
      </c>
      <c r="F1466">
        <f t="shared" si="45"/>
        <v>1</v>
      </c>
      <c r="G1466">
        <v>0</v>
      </c>
      <c r="H1466">
        <v>0</v>
      </c>
      <c r="I1466">
        <v>1</v>
      </c>
      <c r="J1466">
        <v>0</v>
      </c>
      <c r="K1466">
        <v>0</v>
      </c>
      <c r="L1466">
        <v>0</v>
      </c>
      <c r="M1466">
        <f t="shared" si="44"/>
        <v>10</v>
      </c>
      <c r="N1466">
        <v>0</v>
      </c>
      <c r="O1466">
        <v>0</v>
      </c>
      <c r="P1466">
        <v>10</v>
      </c>
      <c r="Q1466">
        <v>0</v>
      </c>
      <c r="R1466">
        <v>0</v>
      </c>
      <c r="S1466">
        <v>0</v>
      </c>
    </row>
    <row r="1467" spans="1:19" x14ac:dyDescent="0.25">
      <c r="A1467">
        <v>18123</v>
      </c>
      <c r="B1467" t="s">
        <v>90</v>
      </c>
      <c r="C1467">
        <v>1</v>
      </c>
      <c r="D1467">
        <v>4.2035616491932899</v>
      </c>
      <c r="E1467">
        <v>2.0673254012425999</v>
      </c>
      <c r="F1467">
        <f t="shared" si="45"/>
        <v>1</v>
      </c>
      <c r="G1467">
        <v>0</v>
      </c>
      <c r="H1467">
        <v>0</v>
      </c>
      <c r="I1467">
        <v>1</v>
      </c>
      <c r="J1467">
        <v>0</v>
      </c>
      <c r="K1467">
        <v>0</v>
      </c>
      <c r="L1467">
        <v>0</v>
      </c>
      <c r="M1467">
        <f t="shared" si="44"/>
        <v>10</v>
      </c>
      <c r="N1467">
        <v>0</v>
      </c>
      <c r="O1467">
        <v>0</v>
      </c>
      <c r="P1467">
        <v>10</v>
      </c>
      <c r="Q1467">
        <v>0</v>
      </c>
      <c r="R1467">
        <v>0</v>
      </c>
      <c r="S1467">
        <v>0</v>
      </c>
    </row>
    <row r="1468" spans="1:19" x14ac:dyDescent="0.25">
      <c r="A1468">
        <v>18123</v>
      </c>
      <c r="B1468" t="s">
        <v>90</v>
      </c>
      <c r="C1468">
        <v>2</v>
      </c>
      <c r="D1468">
        <v>4.27247249590138</v>
      </c>
      <c r="E1468">
        <v>2.3085133647209002</v>
      </c>
      <c r="F1468">
        <f t="shared" si="45"/>
        <v>1</v>
      </c>
      <c r="G1468">
        <v>0</v>
      </c>
      <c r="H1468">
        <v>0</v>
      </c>
      <c r="I1468">
        <v>1</v>
      </c>
      <c r="J1468">
        <v>0</v>
      </c>
      <c r="K1468">
        <v>0</v>
      </c>
      <c r="L1468">
        <v>0</v>
      </c>
      <c r="M1468">
        <f t="shared" si="44"/>
        <v>10</v>
      </c>
      <c r="N1468">
        <v>0</v>
      </c>
      <c r="O1468">
        <v>0</v>
      </c>
      <c r="P1468">
        <v>10</v>
      </c>
      <c r="Q1468">
        <v>0</v>
      </c>
      <c r="R1468">
        <v>0</v>
      </c>
      <c r="S1468">
        <v>0</v>
      </c>
    </row>
    <row r="1469" spans="1:19" x14ac:dyDescent="0.25">
      <c r="A1469">
        <v>18123</v>
      </c>
      <c r="B1469" t="s">
        <v>90</v>
      </c>
      <c r="C1469">
        <v>3</v>
      </c>
      <c r="D1469">
        <v>4.27247249590138</v>
      </c>
      <c r="E1469">
        <v>2.58415675155325</v>
      </c>
      <c r="F1469">
        <f t="shared" si="45"/>
        <v>1</v>
      </c>
      <c r="G1469">
        <v>0</v>
      </c>
      <c r="H1469">
        <v>0</v>
      </c>
      <c r="I1469">
        <v>1</v>
      </c>
      <c r="J1469">
        <v>0</v>
      </c>
      <c r="K1469">
        <v>0</v>
      </c>
      <c r="L1469">
        <v>0</v>
      </c>
      <c r="M1469">
        <f t="shared" si="44"/>
        <v>10</v>
      </c>
      <c r="N1469">
        <v>0</v>
      </c>
      <c r="O1469">
        <v>0</v>
      </c>
      <c r="P1469">
        <v>10</v>
      </c>
      <c r="Q1469">
        <v>0</v>
      </c>
      <c r="R1469">
        <v>0</v>
      </c>
      <c r="S1469">
        <v>0</v>
      </c>
    </row>
    <row r="1470" spans="1:19" x14ac:dyDescent="0.25">
      <c r="A1470">
        <v>18123</v>
      </c>
      <c r="B1470" t="s">
        <v>90</v>
      </c>
      <c r="C1470">
        <v>4</v>
      </c>
      <c r="D1470">
        <v>4.58257130608777</v>
      </c>
      <c r="E1470">
        <v>2.6186121749072999</v>
      </c>
      <c r="F1470">
        <f t="shared" si="45"/>
        <v>1</v>
      </c>
      <c r="G1470">
        <v>0</v>
      </c>
      <c r="H1470">
        <v>0</v>
      </c>
      <c r="I1470">
        <v>1</v>
      </c>
      <c r="J1470">
        <v>0</v>
      </c>
      <c r="K1470">
        <v>0</v>
      </c>
      <c r="L1470">
        <v>0</v>
      </c>
      <c r="M1470">
        <f t="shared" si="44"/>
        <v>10</v>
      </c>
      <c r="N1470">
        <v>0</v>
      </c>
      <c r="O1470">
        <v>0</v>
      </c>
      <c r="P1470">
        <v>10</v>
      </c>
      <c r="Q1470">
        <v>0</v>
      </c>
      <c r="R1470">
        <v>0</v>
      </c>
      <c r="S1470">
        <v>0</v>
      </c>
    </row>
    <row r="1471" spans="1:19" x14ac:dyDescent="0.25">
      <c r="A1471">
        <v>18123</v>
      </c>
      <c r="B1471" t="s">
        <v>90</v>
      </c>
      <c r="C1471">
        <v>5</v>
      </c>
      <c r="D1471">
        <v>4.3758387659635103</v>
      </c>
      <c r="E1471">
        <v>2.58415675155325</v>
      </c>
      <c r="F1471">
        <f t="shared" si="45"/>
        <v>1</v>
      </c>
      <c r="G1471">
        <v>0</v>
      </c>
      <c r="H1471">
        <v>0</v>
      </c>
      <c r="I1471">
        <v>1</v>
      </c>
      <c r="J1471">
        <v>0</v>
      </c>
      <c r="K1471">
        <v>0</v>
      </c>
      <c r="L1471">
        <v>0</v>
      </c>
      <c r="M1471">
        <f t="shared" si="44"/>
        <v>10</v>
      </c>
      <c r="N1471">
        <v>0</v>
      </c>
      <c r="O1471">
        <v>0</v>
      </c>
      <c r="P1471">
        <v>10</v>
      </c>
      <c r="Q1471">
        <v>0</v>
      </c>
      <c r="R1471">
        <v>0</v>
      </c>
      <c r="S1471">
        <v>0</v>
      </c>
    </row>
    <row r="1472" spans="1:19" x14ac:dyDescent="0.25">
      <c r="A1472">
        <v>18123</v>
      </c>
      <c r="B1472" t="s">
        <v>90</v>
      </c>
      <c r="C1472">
        <v>6</v>
      </c>
      <c r="D1472">
        <v>3.58336402882051</v>
      </c>
      <c r="E1472">
        <v>1.86059286111834</v>
      </c>
      <c r="F1472">
        <f t="shared" si="45"/>
        <v>1</v>
      </c>
      <c r="G1472">
        <v>0</v>
      </c>
      <c r="H1472">
        <v>0</v>
      </c>
      <c r="I1472">
        <v>1</v>
      </c>
      <c r="J1472">
        <v>0</v>
      </c>
      <c r="K1472">
        <v>0</v>
      </c>
      <c r="L1472">
        <v>0</v>
      </c>
      <c r="M1472">
        <f t="shared" si="44"/>
        <v>10</v>
      </c>
      <c r="N1472">
        <v>0</v>
      </c>
      <c r="O1472">
        <v>0</v>
      </c>
      <c r="P1472">
        <v>10</v>
      </c>
      <c r="Q1472">
        <v>0</v>
      </c>
      <c r="R1472">
        <v>0</v>
      </c>
      <c r="S1472">
        <v>0</v>
      </c>
    </row>
    <row r="1473" spans="1:19" x14ac:dyDescent="0.25">
      <c r="A1473">
        <v>18123</v>
      </c>
      <c r="B1473" t="s">
        <v>90</v>
      </c>
      <c r="C1473">
        <v>7</v>
      </c>
      <c r="D1473">
        <v>2.8942555617396399</v>
      </c>
      <c r="E1473">
        <v>1.17148439403747</v>
      </c>
      <c r="F1473">
        <f t="shared" si="45"/>
        <v>1</v>
      </c>
      <c r="G1473">
        <v>0</v>
      </c>
      <c r="H1473">
        <v>0</v>
      </c>
      <c r="I1473">
        <v>1</v>
      </c>
      <c r="J1473">
        <v>0</v>
      </c>
      <c r="K1473">
        <v>0</v>
      </c>
      <c r="L1473">
        <v>0</v>
      </c>
      <c r="M1473">
        <f t="shared" si="44"/>
        <v>10</v>
      </c>
      <c r="N1473">
        <v>0</v>
      </c>
      <c r="O1473">
        <v>0</v>
      </c>
      <c r="P1473">
        <v>10</v>
      </c>
      <c r="Q1473">
        <v>0</v>
      </c>
      <c r="R1473">
        <v>0</v>
      </c>
      <c r="S1473">
        <v>0</v>
      </c>
    </row>
    <row r="1474" spans="1:19" x14ac:dyDescent="0.25">
      <c r="A1474">
        <v>18123</v>
      </c>
      <c r="B1474" t="s">
        <v>90</v>
      </c>
      <c r="C1474">
        <v>8</v>
      </c>
      <c r="D1474">
        <v>2.2396025180128198</v>
      </c>
      <c r="E1474">
        <v>0.72356389043491198</v>
      </c>
      <c r="F1474">
        <f t="shared" si="45"/>
        <v>1</v>
      </c>
      <c r="G1474">
        <v>0</v>
      </c>
      <c r="H1474">
        <v>0</v>
      </c>
      <c r="I1474">
        <v>1</v>
      </c>
      <c r="J1474">
        <v>0</v>
      </c>
      <c r="K1474">
        <v>0</v>
      </c>
      <c r="L1474">
        <v>0</v>
      </c>
      <c r="M1474">
        <f t="shared" ref="M1474:M1537" si="46">SUM(N1474:S1474)</f>
        <v>10</v>
      </c>
      <c r="N1474">
        <v>0</v>
      </c>
      <c r="O1474">
        <v>0</v>
      </c>
      <c r="P1474">
        <v>10</v>
      </c>
      <c r="Q1474">
        <v>0</v>
      </c>
      <c r="R1474">
        <v>0</v>
      </c>
      <c r="S1474">
        <v>0</v>
      </c>
    </row>
    <row r="1475" spans="1:19" x14ac:dyDescent="0.25">
      <c r="A1475">
        <v>18123</v>
      </c>
      <c r="B1475" t="s">
        <v>90</v>
      </c>
      <c r="C1475">
        <v>9</v>
      </c>
      <c r="D1475">
        <v>1.4815832042238599</v>
      </c>
      <c r="E1475">
        <v>0.62019762037278103</v>
      </c>
      <c r="F1475">
        <f t="shared" ref="F1475:F1538" si="47">SUM(G1475:L1475)</f>
        <v>1</v>
      </c>
      <c r="G1475">
        <v>0</v>
      </c>
      <c r="H1475">
        <v>0</v>
      </c>
      <c r="I1475">
        <v>1</v>
      </c>
      <c r="J1475">
        <v>0</v>
      </c>
      <c r="K1475">
        <v>0</v>
      </c>
      <c r="L1475">
        <v>0</v>
      </c>
      <c r="M1475">
        <f t="shared" si="46"/>
        <v>10</v>
      </c>
      <c r="N1475">
        <v>0</v>
      </c>
      <c r="O1475">
        <v>0</v>
      </c>
      <c r="P1475">
        <v>10</v>
      </c>
      <c r="Q1475">
        <v>0</v>
      </c>
      <c r="R1475">
        <v>0</v>
      </c>
      <c r="S1475">
        <v>0</v>
      </c>
    </row>
    <row r="1476" spans="1:19" x14ac:dyDescent="0.25">
      <c r="A1476">
        <v>18123</v>
      </c>
      <c r="B1476" t="s">
        <v>90</v>
      </c>
      <c r="C1476">
        <v>10</v>
      </c>
      <c r="D1476">
        <v>1.6194048976400399</v>
      </c>
      <c r="E1476">
        <v>0.72356389043491198</v>
      </c>
      <c r="F1476">
        <f t="shared" si="47"/>
        <v>1</v>
      </c>
      <c r="G1476">
        <v>0</v>
      </c>
      <c r="H1476">
        <v>0</v>
      </c>
      <c r="I1476">
        <v>1</v>
      </c>
      <c r="J1476">
        <v>0</v>
      </c>
      <c r="K1476">
        <v>0</v>
      </c>
      <c r="L1476">
        <v>0</v>
      </c>
      <c r="M1476">
        <f t="shared" si="46"/>
        <v>10</v>
      </c>
      <c r="N1476">
        <v>0</v>
      </c>
      <c r="O1476">
        <v>0</v>
      </c>
      <c r="P1476">
        <v>10</v>
      </c>
      <c r="Q1476">
        <v>0</v>
      </c>
      <c r="R1476">
        <v>0</v>
      </c>
      <c r="S1476">
        <v>0</v>
      </c>
    </row>
    <row r="1477" spans="1:19" x14ac:dyDescent="0.25">
      <c r="A1477">
        <v>18123</v>
      </c>
      <c r="B1477" t="s">
        <v>90</v>
      </c>
      <c r="C1477">
        <v>11</v>
      </c>
      <c r="D1477">
        <v>1.86059286111834</v>
      </c>
      <c r="E1477">
        <v>0.86138558385108499</v>
      </c>
      <c r="F1477">
        <f t="shared" si="47"/>
        <v>1</v>
      </c>
      <c r="G1477">
        <v>0</v>
      </c>
      <c r="H1477">
        <v>0</v>
      </c>
      <c r="I1477">
        <v>1</v>
      </c>
      <c r="J1477">
        <v>0</v>
      </c>
      <c r="K1477">
        <v>0</v>
      </c>
      <c r="L1477">
        <v>0</v>
      </c>
      <c r="M1477">
        <f t="shared" si="46"/>
        <v>10</v>
      </c>
      <c r="N1477">
        <v>0</v>
      </c>
      <c r="O1477">
        <v>0</v>
      </c>
      <c r="P1477">
        <v>10</v>
      </c>
      <c r="Q1477">
        <v>0</v>
      </c>
      <c r="R1477">
        <v>0</v>
      </c>
      <c r="S1477">
        <v>0</v>
      </c>
    </row>
    <row r="1478" spans="1:19" x14ac:dyDescent="0.25">
      <c r="A1478">
        <v>18123</v>
      </c>
      <c r="B1478" t="s">
        <v>90</v>
      </c>
      <c r="C1478">
        <v>12</v>
      </c>
      <c r="D1478">
        <v>1.58494947428599</v>
      </c>
      <c r="E1478">
        <v>0.89584100720512905</v>
      </c>
      <c r="F1478">
        <f t="shared" si="47"/>
        <v>1</v>
      </c>
      <c r="G1478">
        <v>0</v>
      </c>
      <c r="H1478">
        <v>0</v>
      </c>
      <c r="I1478">
        <v>1</v>
      </c>
      <c r="J1478">
        <v>0</v>
      </c>
      <c r="K1478">
        <v>0</v>
      </c>
      <c r="L1478">
        <v>0</v>
      </c>
      <c r="M1478">
        <f t="shared" si="46"/>
        <v>10</v>
      </c>
      <c r="N1478">
        <v>0</v>
      </c>
      <c r="O1478">
        <v>0</v>
      </c>
      <c r="P1478">
        <v>10</v>
      </c>
      <c r="Q1478">
        <v>0</v>
      </c>
      <c r="R1478">
        <v>0</v>
      </c>
      <c r="S1478">
        <v>0</v>
      </c>
    </row>
    <row r="1479" spans="1:19" x14ac:dyDescent="0.25">
      <c r="A1479">
        <v>18123</v>
      </c>
      <c r="B1479" t="s">
        <v>90</v>
      </c>
      <c r="C1479">
        <v>13</v>
      </c>
      <c r="D1479">
        <v>1.58494947428599</v>
      </c>
      <c r="E1479">
        <v>0.55128677366469403</v>
      </c>
      <c r="F1479">
        <f t="shared" si="47"/>
        <v>1</v>
      </c>
      <c r="G1479">
        <v>0</v>
      </c>
      <c r="H1479">
        <v>0</v>
      </c>
      <c r="I1479">
        <v>1</v>
      </c>
      <c r="J1479">
        <v>0</v>
      </c>
      <c r="K1479">
        <v>0</v>
      </c>
      <c r="L1479">
        <v>0</v>
      </c>
      <c r="M1479">
        <f t="shared" si="46"/>
        <v>10</v>
      </c>
      <c r="N1479">
        <v>0</v>
      </c>
      <c r="O1479">
        <v>0</v>
      </c>
      <c r="P1479">
        <v>10</v>
      </c>
      <c r="Q1479">
        <v>0</v>
      </c>
      <c r="R1479">
        <v>0</v>
      </c>
      <c r="S1479">
        <v>0</v>
      </c>
    </row>
    <row r="1480" spans="1:19" x14ac:dyDescent="0.25">
      <c r="A1480">
        <v>18123</v>
      </c>
      <c r="B1480" t="s">
        <v>90</v>
      </c>
      <c r="C1480">
        <v>14</v>
      </c>
      <c r="D1480">
        <v>2.1017808245966401</v>
      </c>
      <c r="E1480">
        <v>0.48237592695660703</v>
      </c>
      <c r="F1480">
        <f t="shared" si="47"/>
        <v>1</v>
      </c>
      <c r="G1480">
        <v>0</v>
      </c>
      <c r="H1480">
        <v>0</v>
      </c>
      <c r="I1480">
        <v>1</v>
      </c>
      <c r="J1480">
        <v>0</v>
      </c>
      <c r="K1480">
        <v>0</v>
      </c>
      <c r="L1480">
        <v>0</v>
      </c>
      <c r="M1480">
        <f t="shared" si="46"/>
        <v>10</v>
      </c>
      <c r="N1480">
        <v>0</v>
      </c>
      <c r="O1480">
        <v>0</v>
      </c>
      <c r="P1480">
        <v>10</v>
      </c>
      <c r="Q1480">
        <v>0</v>
      </c>
      <c r="R1480">
        <v>0</v>
      </c>
      <c r="S1480">
        <v>0</v>
      </c>
    </row>
    <row r="1481" spans="1:19" x14ac:dyDescent="0.25">
      <c r="A1481">
        <v>18123</v>
      </c>
      <c r="B1481" t="s">
        <v>90</v>
      </c>
      <c r="C1481">
        <v>15</v>
      </c>
      <c r="D1481">
        <v>2.2051470946587699</v>
      </c>
      <c r="E1481">
        <v>0.31009881018639002</v>
      </c>
      <c r="F1481">
        <f t="shared" si="47"/>
        <v>1</v>
      </c>
      <c r="G1481">
        <v>0</v>
      </c>
      <c r="H1481">
        <v>0</v>
      </c>
      <c r="I1481">
        <v>1</v>
      </c>
      <c r="J1481">
        <v>0</v>
      </c>
      <c r="K1481">
        <v>0</v>
      </c>
      <c r="L1481">
        <v>0</v>
      </c>
      <c r="M1481">
        <f t="shared" si="46"/>
        <v>10</v>
      </c>
      <c r="N1481">
        <v>0</v>
      </c>
      <c r="O1481">
        <v>0</v>
      </c>
      <c r="P1481">
        <v>10</v>
      </c>
      <c r="Q1481">
        <v>0</v>
      </c>
      <c r="R1481">
        <v>0</v>
      </c>
      <c r="S1481">
        <v>0</v>
      </c>
    </row>
    <row r="1482" spans="1:19" x14ac:dyDescent="0.25">
      <c r="A1482">
        <v>18123</v>
      </c>
      <c r="B1482" t="s">
        <v>90</v>
      </c>
      <c r="C1482">
        <v>16</v>
      </c>
      <c r="D1482">
        <v>2.5152459048451701</v>
      </c>
      <c r="E1482">
        <v>0.41346508024852102</v>
      </c>
      <c r="F1482">
        <f t="shared" si="47"/>
        <v>1</v>
      </c>
      <c r="G1482">
        <v>0</v>
      </c>
      <c r="H1482">
        <v>0</v>
      </c>
      <c r="I1482">
        <v>1</v>
      </c>
      <c r="J1482">
        <v>0</v>
      </c>
      <c r="K1482">
        <v>0</v>
      </c>
      <c r="L1482">
        <v>0</v>
      </c>
      <c r="M1482">
        <f t="shared" si="46"/>
        <v>10</v>
      </c>
      <c r="N1482">
        <v>0</v>
      </c>
      <c r="O1482">
        <v>0</v>
      </c>
      <c r="P1482">
        <v>10</v>
      </c>
      <c r="Q1482">
        <v>0</v>
      </c>
      <c r="R1482">
        <v>0</v>
      </c>
      <c r="S1482">
        <v>0</v>
      </c>
    </row>
    <row r="1483" spans="1:19" x14ac:dyDescent="0.25">
      <c r="A1483">
        <v>18123</v>
      </c>
      <c r="B1483" t="s">
        <v>90</v>
      </c>
      <c r="C1483">
        <v>17</v>
      </c>
      <c r="D1483">
        <v>3.0320772551558202</v>
      </c>
      <c r="E1483">
        <v>0.31009881018639002</v>
      </c>
      <c r="F1483">
        <f t="shared" si="47"/>
        <v>1</v>
      </c>
      <c r="G1483">
        <v>0</v>
      </c>
      <c r="H1483">
        <v>0</v>
      </c>
      <c r="I1483">
        <v>1</v>
      </c>
      <c r="J1483">
        <v>0</v>
      </c>
      <c r="K1483">
        <v>0</v>
      </c>
      <c r="L1483">
        <v>0</v>
      </c>
      <c r="M1483">
        <f t="shared" si="46"/>
        <v>10</v>
      </c>
      <c r="N1483">
        <v>0</v>
      </c>
      <c r="O1483">
        <v>0</v>
      </c>
      <c r="P1483">
        <v>10</v>
      </c>
      <c r="Q1483">
        <v>0</v>
      </c>
      <c r="R1483">
        <v>0</v>
      </c>
      <c r="S1483">
        <v>0</v>
      </c>
    </row>
    <row r="1484" spans="1:19" x14ac:dyDescent="0.25">
      <c r="A1484">
        <v>18123</v>
      </c>
      <c r="B1484" t="s">
        <v>90</v>
      </c>
      <c r="C1484">
        <v>18</v>
      </c>
      <c r="D1484">
        <v>3.2388097952800798</v>
      </c>
      <c r="E1484">
        <v>0.31009881018639002</v>
      </c>
      <c r="F1484">
        <f t="shared" si="47"/>
        <v>1</v>
      </c>
      <c r="G1484">
        <v>0</v>
      </c>
      <c r="H1484">
        <v>0</v>
      </c>
      <c r="I1484">
        <v>1</v>
      </c>
      <c r="J1484">
        <v>0</v>
      </c>
      <c r="K1484">
        <v>0</v>
      </c>
      <c r="L1484">
        <v>0</v>
      </c>
      <c r="M1484">
        <f t="shared" si="46"/>
        <v>10</v>
      </c>
      <c r="N1484">
        <v>0</v>
      </c>
      <c r="O1484">
        <v>0</v>
      </c>
      <c r="P1484">
        <v>10</v>
      </c>
      <c r="Q1484">
        <v>0</v>
      </c>
      <c r="R1484">
        <v>0</v>
      </c>
      <c r="S1484">
        <v>0</v>
      </c>
    </row>
    <row r="1485" spans="1:19" x14ac:dyDescent="0.25">
      <c r="A1485">
        <v>18123</v>
      </c>
      <c r="B1485" t="s">
        <v>90</v>
      </c>
      <c r="C1485">
        <v>19</v>
      </c>
      <c r="D1485">
        <v>3.27326521863412</v>
      </c>
      <c r="E1485">
        <v>0.65465304372682498</v>
      </c>
      <c r="F1485">
        <f t="shared" si="47"/>
        <v>1</v>
      </c>
      <c r="G1485">
        <v>0</v>
      </c>
      <c r="H1485">
        <v>0</v>
      </c>
      <c r="I1485">
        <v>1</v>
      </c>
      <c r="J1485">
        <v>0</v>
      </c>
      <c r="K1485">
        <v>0</v>
      </c>
      <c r="L1485">
        <v>0</v>
      </c>
      <c r="M1485">
        <f t="shared" si="46"/>
        <v>10</v>
      </c>
      <c r="N1485">
        <v>0</v>
      </c>
      <c r="O1485">
        <v>0</v>
      </c>
      <c r="P1485">
        <v>10</v>
      </c>
      <c r="Q1485">
        <v>0</v>
      </c>
      <c r="R1485">
        <v>0</v>
      </c>
      <c r="S1485">
        <v>0</v>
      </c>
    </row>
    <row r="1486" spans="1:19" x14ac:dyDescent="0.25">
      <c r="A1486">
        <v>18123</v>
      </c>
      <c r="B1486" t="s">
        <v>90</v>
      </c>
      <c r="C1486">
        <v>20</v>
      </c>
      <c r="D1486">
        <v>3.3421760653422101</v>
      </c>
      <c r="E1486">
        <v>0.58574219701873798</v>
      </c>
      <c r="F1486">
        <f t="shared" si="47"/>
        <v>1</v>
      </c>
      <c r="G1486">
        <v>0</v>
      </c>
      <c r="H1486">
        <v>0</v>
      </c>
      <c r="I1486">
        <v>1</v>
      </c>
      <c r="J1486">
        <v>0</v>
      </c>
      <c r="K1486">
        <v>0</v>
      </c>
      <c r="L1486">
        <v>0</v>
      </c>
      <c r="M1486">
        <f t="shared" si="46"/>
        <v>10</v>
      </c>
      <c r="N1486">
        <v>0</v>
      </c>
      <c r="O1486">
        <v>0</v>
      </c>
      <c r="P1486">
        <v>10</v>
      </c>
      <c r="Q1486">
        <v>0</v>
      </c>
      <c r="R1486">
        <v>0</v>
      </c>
      <c r="S1486">
        <v>0</v>
      </c>
    </row>
    <row r="1487" spans="1:19" x14ac:dyDescent="0.25">
      <c r="A1487">
        <v>18123</v>
      </c>
      <c r="B1487" t="s">
        <v>90</v>
      </c>
      <c r="C1487">
        <v>21</v>
      </c>
      <c r="D1487">
        <v>3.6867302988826398</v>
      </c>
      <c r="E1487">
        <v>0.65465304372682498</v>
      </c>
      <c r="F1487">
        <f t="shared" si="47"/>
        <v>1</v>
      </c>
      <c r="G1487">
        <v>0</v>
      </c>
      <c r="H1487">
        <v>0</v>
      </c>
      <c r="I1487">
        <v>1</v>
      </c>
      <c r="J1487">
        <v>0</v>
      </c>
      <c r="K1487">
        <v>0</v>
      </c>
      <c r="L1487">
        <v>0</v>
      </c>
      <c r="M1487">
        <f t="shared" si="46"/>
        <v>10</v>
      </c>
      <c r="N1487">
        <v>0</v>
      </c>
      <c r="O1487">
        <v>0</v>
      </c>
      <c r="P1487">
        <v>10</v>
      </c>
      <c r="Q1487">
        <v>0</v>
      </c>
      <c r="R1487">
        <v>0</v>
      </c>
      <c r="S1487">
        <v>0</v>
      </c>
    </row>
    <row r="1488" spans="1:19" x14ac:dyDescent="0.25">
      <c r="A1488">
        <v>18123</v>
      </c>
      <c r="B1488" t="s">
        <v>90</v>
      </c>
      <c r="C1488">
        <v>22</v>
      </c>
      <c r="D1488">
        <v>3.8590074156528602</v>
      </c>
      <c r="E1488">
        <v>1.0681181239753399</v>
      </c>
      <c r="F1488">
        <f t="shared" si="47"/>
        <v>1</v>
      </c>
      <c r="G1488">
        <v>0</v>
      </c>
      <c r="H1488">
        <v>0</v>
      </c>
      <c r="I1488">
        <v>1</v>
      </c>
      <c r="J1488">
        <v>0</v>
      </c>
      <c r="K1488">
        <v>0</v>
      </c>
      <c r="L1488">
        <v>0</v>
      </c>
      <c r="M1488">
        <f t="shared" si="46"/>
        <v>10</v>
      </c>
      <c r="N1488">
        <v>0</v>
      </c>
      <c r="O1488">
        <v>0</v>
      </c>
      <c r="P1488">
        <v>10</v>
      </c>
      <c r="Q1488">
        <v>0</v>
      </c>
      <c r="R1488">
        <v>0</v>
      </c>
      <c r="S1488">
        <v>0</v>
      </c>
    </row>
    <row r="1489" spans="1:19" x14ac:dyDescent="0.25">
      <c r="A1489">
        <v>18123</v>
      </c>
      <c r="B1489" t="s">
        <v>90</v>
      </c>
      <c r="C1489">
        <v>23</v>
      </c>
      <c r="D1489">
        <v>3.9968291090690302</v>
      </c>
      <c r="E1489">
        <v>1.4815832042238599</v>
      </c>
      <c r="F1489">
        <f t="shared" si="47"/>
        <v>1</v>
      </c>
      <c r="G1489">
        <v>0</v>
      </c>
      <c r="H1489">
        <v>0</v>
      </c>
      <c r="I1489">
        <v>1</v>
      </c>
      <c r="J1489">
        <v>0</v>
      </c>
      <c r="K1489">
        <v>0</v>
      </c>
      <c r="L1489">
        <v>0</v>
      </c>
      <c r="M1489">
        <f t="shared" si="46"/>
        <v>10</v>
      </c>
      <c r="N1489">
        <v>0</v>
      </c>
      <c r="O1489">
        <v>0</v>
      </c>
      <c r="P1489">
        <v>10</v>
      </c>
      <c r="Q1489">
        <v>0</v>
      </c>
      <c r="R1489">
        <v>0</v>
      </c>
      <c r="S1489">
        <v>0</v>
      </c>
    </row>
    <row r="1490" spans="1:19" x14ac:dyDescent="0.25">
      <c r="A1490">
        <v>18125</v>
      </c>
      <c r="B1490" t="s">
        <v>91</v>
      </c>
      <c r="C1490">
        <v>0</v>
      </c>
      <c r="D1490">
        <v>0</v>
      </c>
      <c r="E1490">
        <v>0.69286187886803297</v>
      </c>
      <c r="F1490">
        <f t="shared" si="47"/>
        <v>0</v>
      </c>
      <c r="G1490">
        <v>0</v>
      </c>
      <c r="H1490">
        <v>0</v>
      </c>
      <c r="I1490">
        <v>0</v>
      </c>
      <c r="J1490">
        <v>0</v>
      </c>
      <c r="K1490">
        <v>0</v>
      </c>
      <c r="L1490">
        <v>0</v>
      </c>
      <c r="M1490">
        <f t="shared" si="46"/>
        <v>0</v>
      </c>
      <c r="N1490">
        <v>0</v>
      </c>
      <c r="O1490">
        <v>0</v>
      </c>
      <c r="P1490">
        <v>0</v>
      </c>
      <c r="Q1490">
        <v>0</v>
      </c>
      <c r="R1490">
        <v>0</v>
      </c>
      <c r="S1490">
        <v>0</v>
      </c>
    </row>
    <row r="1491" spans="1:19" x14ac:dyDescent="0.25">
      <c r="A1491">
        <v>18125</v>
      </c>
      <c r="B1491" t="s">
        <v>91</v>
      </c>
      <c r="C1491">
        <v>1</v>
      </c>
      <c r="D1491">
        <v>0</v>
      </c>
      <c r="E1491">
        <v>0.81513162219768598</v>
      </c>
      <c r="F1491">
        <f t="shared" si="47"/>
        <v>0</v>
      </c>
      <c r="G1491">
        <v>0</v>
      </c>
      <c r="H1491">
        <v>0</v>
      </c>
      <c r="I1491">
        <v>0</v>
      </c>
      <c r="J1491">
        <v>0</v>
      </c>
      <c r="K1491">
        <v>0</v>
      </c>
      <c r="L1491">
        <v>0</v>
      </c>
      <c r="M1491">
        <f t="shared" si="46"/>
        <v>0</v>
      </c>
      <c r="N1491">
        <v>0</v>
      </c>
      <c r="O1491">
        <v>0</v>
      </c>
      <c r="P1491">
        <v>0</v>
      </c>
      <c r="Q1491">
        <v>0</v>
      </c>
      <c r="R1491">
        <v>0</v>
      </c>
      <c r="S1491">
        <v>0</v>
      </c>
    </row>
    <row r="1492" spans="1:19" x14ac:dyDescent="0.25">
      <c r="A1492">
        <v>18125</v>
      </c>
      <c r="B1492" t="s">
        <v>91</v>
      </c>
      <c r="C1492">
        <v>2</v>
      </c>
      <c r="D1492">
        <v>0</v>
      </c>
      <c r="E1492">
        <v>0.978157946637224</v>
      </c>
      <c r="F1492">
        <f t="shared" si="47"/>
        <v>0</v>
      </c>
      <c r="G1492">
        <v>0</v>
      </c>
      <c r="H1492">
        <v>0</v>
      </c>
      <c r="I1492">
        <v>0</v>
      </c>
      <c r="J1492">
        <v>0</v>
      </c>
      <c r="K1492">
        <v>0</v>
      </c>
      <c r="L1492">
        <v>0</v>
      </c>
      <c r="M1492">
        <f t="shared" si="46"/>
        <v>0</v>
      </c>
      <c r="N1492">
        <v>0</v>
      </c>
      <c r="O1492">
        <v>0</v>
      </c>
      <c r="P1492">
        <v>0</v>
      </c>
      <c r="Q1492">
        <v>0</v>
      </c>
      <c r="R1492">
        <v>0</v>
      </c>
      <c r="S1492">
        <v>0</v>
      </c>
    </row>
    <row r="1493" spans="1:19" x14ac:dyDescent="0.25">
      <c r="A1493">
        <v>18125</v>
      </c>
      <c r="B1493" t="s">
        <v>91</v>
      </c>
      <c r="C1493">
        <v>3</v>
      </c>
      <c r="D1493">
        <v>0</v>
      </c>
      <c r="E1493">
        <v>1.1004276899668699</v>
      </c>
      <c r="F1493">
        <f t="shared" si="47"/>
        <v>0</v>
      </c>
      <c r="G1493">
        <v>0</v>
      </c>
      <c r="H1493">
        <v>0</v>
      </c>
      <c r="I1493">
        <v>0</v>
      </c>
      <c r="J1493">
        <v>0</v>
      </c>
      <c r="K1493">
        <v>0</v>
      </c>
      <c r="L1493">
        <v>0</v>
      </c>
      <c r="M1493">
        <f t="shared" si="46"/>
        <v>0</v>
      </c>
      <c r="N1493">
        <v>0</v>
      </c>
      <c r="O1493">
        <v>0</v>
      </c>
      <c r="P1493">
        <v>0</v>
      </c>
      <c r="Q1493">
        <v>0</v>
      </c>
      <c r="R1493">
        <v>0</v>
      </c>
      <c r="S1493">
        <v>0</v>
      </c>
    </row>
    <row r="1494" spans="1:19" x14ac:dyDescent="0.25">
      <c r="A1494">
        <v>18125</v>
      </c>
      <c r="B1494" t="s">
        <v>91</v>
      </c>
      <c r="C1494">
        <v>4</v>
      </c>
      <c r="D1494">
        <v>0</v>
      </c>
      <c r="E1494">
        <v>0.93740136552733899</v>
      </c>
      <c r="F1494">
        <f t="shared" si="47"/>
        <v>0</v>
      </c>
      <c r="G1494">
        <v>0</v>
      </c>
      <c r="H1494">
        <v>0</v>
      </c>
      <c r="I1494">
        <v>0</v>
      </c>
      <c r="J1494">
        <v>0</v>
      </c>
      <c r="K1494">
        <v>0</v>
      </c>
      <c r="L1494">
        <v>0</v>
      </c>
      <c r="M1494">
        <f t="shared" si="46"/>
        <v>0</v>
      </c>
      <c r="N1494">
        <v>0</v>
      </c>
      <c r="O1494">
        <v>0</v>
      </c>
      <c r="P1494">
        <v>0</v>
      </c>
      <c r="Q1494">
        <v>0</v>
      </c>
      <c r="R1494">
        <v>0</v>
      </c>
      <c r="S1494">
        <v>0</v>
      </c>
    </row>
    <row r="1495" spans="1:19" x14ac:dyDescent="0.25">
      <c r="A1495">
        <v>18125</v>
      </c>
      <c r="B1495" t="s">
        <v>91</v>
      </c>
      <c r="C1495">
        <v>5</v>
      </c>
      <c r="D1495">
        <v>0</v>
      </c>
      <c r="E1495">
        <v>1.0189145277470999</v>
      </c>
      <c r="F1495">
        <f t="shared" si="47"/>
        <v>0</v>
      </c>
      <c r="G1495">
        <v>0</v>
      </c>
      <c r="H1495">
        <v>0</v>
      </c>
      <c r="I1495">
        <v>0</v>
      </c>
      <c r="J1495">
        <v>0</v>
      </c>
      <c r="K1495">
        <v>0</v>
      </c>
      <c r="L1495">
        <v>0</v>
      </c>
      <c r="M1495">
        <f t="shared" si="46"/>
        <v>0</v>
      </c>
      <c r="N1495">
        <v>0</v>
      </c>
      <c r="O1495">
        <v>0</v>
      </c>
      <c r="P1495">
        <v>0</v>
      </c>
      <c r="Q1495">
        <v>0</v>
      </c>
      <c r="R1495">
        <v>0</v>
      </c>
      <c r="S1495">
        <v>0</v>
      </c>
    </row>
    <row r="1496" spans="1:19" x14ac:dyDescent="0.25">
      <c r="A1496">
        <v>18125</v>
      </c>
      <c r="B1496" t="s">
        <v>91</v>
      </c>
      <c r="C1496">
        <v>6</v>
      </c>
      <c r="D1496">
        <v>0</v>
      </c>
      <c r="E1496">
        <v>1.3449671766261799</v>
      </c>
      <c r="F1496">
        <f t="shared" si="47"/>
        <v>0</v>
      </c>
      <c r="G1496">
        <v>0</v>
      </c>
      <c r="H1496">
        <v>0</v>
      </c>
      <c r="I1496">
        <v>0</v>
      </c>
      <c r="J1496">
        <v>0</v>
      </c>
      <c r="K1496">
        <v>0</v>
      </c>
      <c r="L1496">
        <v>0</v>
      </c>
      <c r="M1496">
        <f t="shared" si="46"/>
        <v>0</v>
      </c>
      <c r="N1496">
        <v>0</v>
      </c>
      <c r="O1496">
        <v>0</v>
      </c>
      <c r="P1496">
        <v>0</v>
      </c>
      <c r="Q1496">
        <v>0</v>
      </c>
      <c r="R1496">
        <v>0</v>
      </c>
      <c r="S1496">
        <v>0</v>
      </c>
    </row>
    <row r="1497" spans="1:19" x14ac:dyDescent="0.25">
      <c r="A1497">
        <v>18125</v>
      </c>
      <c r="B1497" t="s">
        <v>91</v>
      </c>
      <c r="C1497">
        <v>7</v>
      </c>
      <c r="D1497">
        <v>0</v>
      </c>
      <c r="E1497">
        <v>2.5269080288128198</v>
      </c>
      <c r="F1497">
        <f t="shared" si="47"/>
        <v>0</v>
      </c>
      <c r="G1497">
        <v>0</v>
      </c>
      <c r="H1497">
        <v>0</v>
      </c>
      <c r="I1497">
        <v>0</v>
      </c>
      <c r="J1497">
        <v>0</v>
      </c>
      <c r="K1497">
        <v>0</v>
      </c>
      <c r="L1497">
        <v>0</v>
      </c>
      <c r="M1497">
        <f t="shared" si="46"/>
        <v>0</v>
      </c>
      <c r="N1497">
        <v>0</v>
      </c>
      <c r="O1497">
        <v>0</v>
      </c>
      <c r="P1497">
        <v>0</v>
      </c>
      <c r="Q1497">
        <v>0</v>
      </c>
      <c r="R1497">
        <v>0</v>
      </c>
      <c r="S1497">
        <v>0</v>
      </c>
    </row>
    <row r="1498" spans="1:19" x14ac:dyDescent="0.25">
      <c r="A1498">
        <v>18125</v>
      </c>
      <c r="B1498" t="s">
        <v>91</v>
      </c>
      <c r="C1498">
        <v>8</v>
      </c>
      <c r="D1498">
        <v>0</v>
      </c>
      <c r="E1498">
        <v>2.2823685421535198</v>
      </c>
      <c r="F1498">
        <f t="shared" si="47"/>
        <v>0</v>
      </c>
      <c r="G1498">
        <v>0</v>
      </c>
      <c r="H1498">
        <v>0</v>
      </c>
      <c r="I1498">
        <v>0</v>
      </c>
      <c r="J1498">
        <v>0</v>
      </c>
      <c r="K1498">
        <v>0</v>
      </c>
      <c r="L1498">
        <v>0</v>
      </c>
      <c r="M1498">
        <f t="shared" si="46"/>
        <v>0</v>
      </c>
      <c r="N1498">
        <v>0</v>
      </c>
      <c r="O1498">
        <v>0</v>
      </c>
      <c r="P1498">
        <v>0</v>
      </c>
      <c r="Q1498">
        <v>0</v>
      </c>
      <c r="R1498">
        <v>0</v>
      </c>
      <c r="S1498">
        <v>0</v>
      </c>
    </row>
    <row r="1499" spans="1:19" x14ac:dyDescent="0.25">
      <c r="A1499">
        <v>18125</v>
      </c>
      <c r="B1499" t="s">
        <v>91</v>
      </c>
      <c r="C1499">
        <v>9</v>
      </c>
      <c r="D1499">
        <v>0</v>
      </c>
      <c r="E1499">
        <v>1.75253298772502</v>
      </c>
      <c r="F1499">
        <f t="shared" si="47"/>
        <v>0</v>
      </c>
      <c r="G1499">
        <v>0</v>
      </c>
      <c r="H1499">
        <v>0</v>
      </c>
      <c r="I1499">
        <v>0</v>
      </c>
      <c r="J1499">
        <v>0</v>
      </c>
      <c r="K1499">
        <v>0</v>
      </c>
      <c r="L1499">
        <v>0</v>
      </c>
      <c r="M1499">
        <f t="shared" si="46"/>
        <v>0</v>
      </c>
      <c r="N1499">
        <v>0</v>
      </c>
      <c r="O1499">
        <v>0</v>
      </c>
      <c r="P1499">
        <v>0</v>
      </c>
      <c r="Q1499">
        <v>0</v>
      </c>
      <c r="R1499">
        <v>0</v>
      </c>
      <c r="S1499">
        <v>0</v>
      </c>
    </row>
    <row r="1500" spans="1:19" x14ac:dyDescent="0.25">
      <c r="A1500">
        <v>18125</v>
      </c>
      <c r="B1500" t="s">
        <v>91</v>
      </c>
      <c r="C1500">
        <v>10</v>
      </c>
      <c r="D1500">
        <v>0</v>
      </c>
      <c r="E1500">
        <v>1.1411842710767599</v>
      </c>
      <c r="F1500">
        <f t="shared" si="47"/>
        <v>0</v>
      </c>
      <c r="G1500">
        <v>0</v>
      </c>
      <c r="H1500">
        <v>0</v>
      </c>
      <c r="I1500">
        <v>0</v>
      </c>
      <c r="J1500">
        <v>0</v>
      </c>
      <c r="K1500">
        <v>0</v>
      </c>
      <c r="L1500">
        <v>0</v>
      </c>
      <c r="M1500">
        <f t="shared" si="46"/>
        <v>0</v>
      </c>
      <c r="N1500">
        <v>0</v>
      </c>
      <c r="O1500">
        <v>0</v>
      </c>
      <c r="P1500">
        <v>0</v>
      </c>
      <c r="Q1500">
        <v>0</v>
      </c>
      <c r="R1500">
        <v>0</v>
      </c>
      <c r="S1500">
        <v>0</v>
      </c>
    </row>
    <row r="1501" spans="1:19" x14ac:dyDescent="0.25">
      <c r="A1501">
        <v>18125</v>
      </c>
      <c r="B1501" t="s">
        <v>91</v>
      </c>
      <c r="C1501">
        <v>11</v>
      </c>
      <c r="D1501">
        <v>0</v>
      </c>
      <c r="E1501">
        <v>0.85588820330757098</v>
      </c>
      <c r="F1501">
        <f t="shared" si="47"/>
        <v>0</v>
      </c>
      <c r="G1501">
        <v>0</v>
      </c>
      <c r="H1501">
        <v>0</v>
      </c>
      <c r="I1501">
        <v>0</v>
      </c>
      <c r="J1501">
        <v>0</v>
      </c>
      <c r="K1501">
        <v>0</v>
      </c>
      <c r="L1501">
        <v>0</v>
      </c>
      <c r="M1501">
        <f t="shared" si="46"/>
        <v>0</v>
      </c>
      <c r="N1501">
        <v>0</v>
      </c>
      <c r="O1501">
        <v>0</v>
      </c>
      <c r="P1501">
        <v>0</v>
      </c>
      <c r="Q1501">
        <v>0</v>
      </c>
      <c r="R1501">
        <v>0</v>
      </c>
      <c r="S1501">
        <v>0</v>
      </c>
    </row>
    <row r="1502" spans="1:19" x14ac:dyDescent="0.25">
      <c r="A1502">
        <v>18125</v>
      </c>
      <c r="B1502" t="s">
        <v>91</v>
      </c>
      <c r="C1502">
        <v>12</v>
      </c>
      <c r="D1502">
        <v>0</v>
      </c>
      <c r="E1502">
        <v>0.978157946637224</v>
      </c>
      <c r="F1502">
        <f t="shared" si="47"/>
        <v>0</v>
      </c>
      <c r="G1502">
        <v>0</v>
      </c>
      <c r="H1502">
        <v>0</v>
      </c>
      <c r="I1502">
        <v>0</v>
      </c>
      <c r="J1502">
        <v>0</v>
      </c>
      <c r="K1502">
        <v>0</v>
      </c>
      <c r="L1502">
        <v>0</v>
      </c>
      <c r="M1502">
        <f t="shared" si="46"/>
        <v>0</v>
      </c>
      <c r="N1502">
        <v>0</v>
      </c>
      <c r="O1502">
        <v>0</v>
      </c>
      <c r="P1502">
        <v>0</v>
      </c>
      <c r="Q1502">
        <v>0</v>
      </c>
      <c r="R1502">
        <v>0</v>
      </c>
      <c r="S1502">
        <v>0</v>
      </c>
    </row>
    <row r="1503" spans="1:19" x14ac:dyDescent="0.25">
      <c r="A1503">
        <v>18125</v>
      </c>
      <c r="B1503" t="s">
        <v>91</v>
      </c>
      <c r="C1503">
        <v>13</v>
      </c>
      <c r="D1503">
        <v>0</v>
      </c>
      <c r="E1503">
        <v>0.77437504108780197</v>
      </c>
      <c r="F1503">
        <f t="shared" si="47"/>
        <v>0</v>
      </c>
      <c r="G1503">
        <v>0</v>
      </c>
      <c r="H1503">
        <v>0</v>
      </c>
      <c r="I1503">
        <v>0</v>
      </c>
      <c r="J1503">
        <v>0</v>
      </c>
      <c r="K1503">
        <v>0</v>
      </c>
      <c r="L1503">
        <v>0</v>
      </c>
      <c r="M1503">
        <f t="shared" si="46"/>
        <v>0</v>
      </c>
      <c r="N1503">
        <v>0</v>
      </c>
      <c r="O1503">
        <v>0</v>
      </c>
      <c r="P1503">
        <v>0</v>
      </c>
      <c r="Q1503">
        <v>0</v>
      </c>
      <c r="R1503">
        <v>0</v>
      </c>
      <c r="S1503">
        <v>0</v>
      </c>
    </row>
    <row r="1504" spans="1:19" x14ac:dyDescent="0.25">
      <c r="A1504">
        <v>18125</v>
      </c>
      <c r="B1504" t="s">
        <v>91</v>
      </c>
      <c r="C1504">
        <v>14</v>
      </c>
      <c r="D1504">
        <v>0</v>
      </c>
      <c r="E1504">
        <v>0.73361845997791797</v>
      </c>
      <c r="F1504">
        <f t="shared" si="47"/>
        <v>0</v>
      </c>
      <c r="G1504">
        <v>0</v>
      </c>
      <c r="H1504">
        <v>0</v>
      </c>
      <c r="I1504">
        <v>0</v>
      </c>
      <c r="J1504">
        <v>0</v>
      </c>
      <c r="K1504">
        <v>0</v>
      </c>
      <c r="L1504">
        <v>0</v>
      </c>
      <c r="M1504">
        <f t="shared" si="46"/>
        <v>0</v>
      </c>
      <c r="N1504">
        <v>0</v>
      </c>
      <c r="O1504">
        <v>0</v>
      </c>
      <c r="P1504">
        <v>0</v>
      </c>
      <c r="Q1504">
        <v>0</v>
      </c>
      <c r="R1504">
        <v>0</v>
      </c>
      <c r="S1504">
        <v>0</v>
      </c>
    </row>
    <row r="1505" spans="1:19" x14ac:dyDescent="0.25">
      <c r="A1505">
        <v>18125</v>
      </c>
      <c r="B1505" t="s">
        <v>91</v>
      </c>
      <c r="C1505">
        <v>15</v>
      </c>
      <c r="D1505">
        <v>0</v>
      </c>
      <c r="E1505">
        <v>0.81513162219768598</v>
      </c>
      <c r="F1505">
        <f t="shared" si="47"/>
        <v>0</v>
      </c>
      <c r="G1505">
        <v>0</v>
      </c>
      <c r="H1505">
        <v>0</v>
      </c>
      <c r="I1505">
        <v>0</v>
      </c>
      <c r="J1505">
        <v>0</v>
      </c>
      <c r="K1505">
        <v>0</v>
      </c>
      <c r="L1505">
        <v>0</v>
      </c>
      <c r="M1505">
        <f t="shared" si="46"/>
        <v>0</v>
      </c>
      <c r="N1505">
        <v>0</v>
      </c>
      <c r="O1505">
        <v>0</v>
      </c>
      <c r="P1505">
        <v>0</v>
      </c>
      <c r="Q1505">
        <v>0</v>
      </c>
      <c r="R1505">
        <v>0</v>
      </c>
      <c r="S1505">
        <v>0</v>
      </c>
    </row>
    <row r="1506" spans="1:19" x14ac:dyDescent="0.25">
      <c r="A1506">
        <v>18125</v>
      </c>
      <c r="B1506" t="s">
        <v>91</v>
      </c>
      <c r="C1506">
        <v>16</v>
      </c>
      <c r="D1506">
        <v>0</v>
      </c>
      <c r="E1506">
        <v>0.489078973318612</v>
      </c>
      <c r="F1506">
        <f t="shared" si="47"/>
        <v>0</v>
      </c>
      <c r="G1506">
        <v>0</v>
      </c>
      <c r="H1506">
        <v>0</v>
      </c>
      <c r="I1506">
        <v>0</v>
      </c>
      <c r="J1506">
        <v>0</v>
      </c>
      <c r="K1506">
        <v>0</v>
      </c>
      <c r="L1506">
        <v>0</v>
      </c>
      <c r="M1506">
        <f t="shared" si="46"/>
        <v>0</v>
      </c>
      <c r="N1506">
        <v>0</v>
      </c>
      <c r="O1506">
        <v>0</v>
      </c>
      <c r="P1506">
        <v>0</v>
      </c>
      <c r="Q1506">
        <v>0</v>
      </c>
      <c r="R1506">
        <v>0</v>
      </c>
      <c r="S1506">
        <v>0</v>
      </c>
    </row>
    <row r="1507" spans="1:19" x14ac:dyDescent="0.25">
      <c r="A1507">
        <v>18125</v>
      </c>
      <c r="B1507" t="s">
        <v>91</v>
      </c>
      <c r="C1507">
        <v>17</v>
      </c>
      <c r="D1507">
        <v>0</v>
      </c>
      <c r="E1507">
        <v>0.36680922998895898</v>
      </c>
      <c r="F1507">
        <f t="shared" si="47"/>
        <v>0</v>
      </c>
      <c r="G1507">
        <v>0</v>
      </c>
      <c r="H1507">
        <v>0</v>
      </c>
      <c r="I1507">
        <v>0</v>
      </c>
      <c r="J1507">
        <v>0</v>
      </c>
      <c r="K1507">
        <v>0</v>
      </c>
      <c r="L1507">
        <v>0</v>
      </c>
      <c r="M1507">
        <f t="shared" si="46"/>
        <v>0</v>
      </c>
      <c r="N1507">
        <v>0</v>
      </c>
      <c r="O1507">
        <v>0</v>
      </c>
      <c r="P1507">
        <v>0</v>
      </c>
      <c r="Q1507">
        <v>0</v>
      </c>
      <c r="R1507">
        <v>0</v>
      </c>
      <c r="S1507">
        <v>0</v>
      </c>
    </row>
    <row r="1508" spans="1:19" x14ac:dyDescent="0.25">
      <c r="A1508">
        <v>18125</v>
      </c>
      <c r="B1508" t="s">
        <v>91</v>
      </c>
      <c r="C1508">
        <v>18</v>
      </c>
      <c r="D1508">
        <v>0</v>
      </c>
      <c r="E1508">
        <v>0.28529606776918998</v>
      </c>
      <c r="F1508">
        <f t="shared" si="47"/>
        <v>0</v>
      </c>
      <c r="G1508">
        <v>0</v>
      </c>
      <c r="H1508">
        <v>0</v>
      </c>
      <c r="I1508">
        <v>0</v>
      </c>
      <c r="J1508">
        <v>0</v>
      </c>
      <c r="K1508">
        <v>0</v>
      </c>
      <c r="L1508">
        <v>0</v>
      </c>
      <c r="M1508">
        <f t="shared" si="46"/>
        <v>0</v>
      </c>
      <c r="N1508">
        <v>0</v>
      </c>
      <c r="O1508">
        <v>0</v>
      </c>
      <c r="P1508">
        <v>0</v>
      </c>
      <c r="Q1508">
        <v>0</v>
      </c>
      <c r="R1508">
        <v>0</v>
      </c>
      <c r="S1508">
        <v>0</v>
      </c>
    </row>
    <row r="1509" spans="1:19" x14ac:dyDescent="0.25">
      <c r="A1509">
        <v>18125</v>
      </c>
      <c r="B1509" t="s">
        <v>91</v>
      </c>
      <c r="C1509">
        <v>19</v>
      </c>
      <c r="D1509">
        <v>0</v>
      </c>
      <c r="E1509">
        <v>0.203782905549421</v>
      </c>
      <c r="F1509">
        <f t="shared" si="47"/>
        <v>0</v>
      </c>
      <c r="G1509">
        <v>0</v>
      </c>
      <c r="H1509">
        <v>0</v>
      </c>
      <c r="I1509">
        <v>0</v>
      </c>
      <c r="J1509">
        <v>0</v>
      </c>
      <c r="K1509">
        <v>0</v>
      </c>
      <c r="L1509">
        <v>0</v>
      </c>
      <c r="M1509">
        <f t="shared" si="46"/>
        <v>0</v>
      </c>
      <c r="N1509">
        <v>0</v>
      </c>
      <c r="O1509">
        <v>0</v>
      </c>
      <c r="P1509">
        <v>0</v>
      </c>
      <c r="Q1509">
        <v>0</v>
      </c>
      <c r="R1509">
        <v>0</v>
      </c>
      <c r="S1509">
        <v>0</v>
      </c>
    </row>
    <row r="1510" spans="1:19" x14ac:dyDescent="0.25">
      <c r="A1510">
        <v>18125</v>
      </c>
      <c r="B1510" t="s">
        <v>91</v>
      </c>
      <c r="C1510">
        <v>20</v>
      </c>
      <c r="D1510">
        <v>0</v>
      </c>
      <c r="E1510">
        <v>0.40756581109884299</v>
      </c>
      <c r="F1510">
        <f t="shared" si="47"/>
        <v>0</v>
      </c>
      <c r="G1510">
        <v>0</v>
      </c>
      <c r="H1510">
        <v>0</v>
      </c>
      <c r="I1510">
        <v>0</v>
      </c>
      <c r="J1510">
        <v>0</v>
      </c>
      <c r="K1510">
        <v>0</v>
      </c>
      <c r="L1510">
        <v>0</v>
      </c>
      <c r="M1510">
        <f t="shared" si="46"/>
        <v>0</v>
      </c>
      <c r="N1510">
        <v>0</v>
      </c>
      <c r="O1510">
        <v>0</v>
      </c>
      <c r="P1510">
        <v>0</v>
      </c>
      <c r="Q1510">
        <v>0</v>
      </c>
      <c r="R1510">
        <v>0</v>
      </c>
      <c r="S1510">
        <v>0</v>
      </c>
    </row>
    <row r="1511" spans="1:19" x14ac:dyDescent="0.25">
      <c r="A1511">
        <v>18125</v>
      </c>
      <c r="B1511" t="s">
        <v>91</v>
      </c>
      <c r="C1511">
        <v>21</v>
      </c>
      <c r="D1511">
        <v>0</v>
      </c>
      <c r="E1511">
        <v>0.44832239220872699</v>
      </c>
      <c r="F1511">
        <f t="shared" si="47"/>
        <v>0</v>
      </c>
      <c r="G1511">
        <v>0</v>
      </c>
      <c r="H1511">
        <v>0</v>
      </c>
      <c r="I1511">
        <v>0</v>
      </c>
      <c r="J1511">
        <v>0</v>
      </c>
      <c r="K1511">
        <v>0</v>
      </c>
      <c r="L1511">
        <v>0</v>
      </c>
      <c r="M1511">
        <f t="shared" si="46"/>
        <v>0</v>
      </c>
      <c r="N1511">
        <v>0</v>
      </c>
      <c r="O1511">
        <v>0</v>
      </c>
      <c r="P1511">
        <v>0</v>
      </c>
      <c r="Q1511">
        <v>0</v>
      </c>
      <c r="R1511">
        <v>0</v>
      </c>
      <c r="S1511">
        <v>0</v>
      </c>
    </row>
    <row r="1512" spans="1:19" x14ac:dyDescent="0.25">
      <c r="A1512">
        <v>18125</v>
      </c>
      <c r="B1512" t="s">
        <v>91</v>
      </c>
      <c r="C1512">
        <v>22</v>
      </c>
      <c r="D1512">
        <v>0</v>
      </c>
      <c r="E1512">
        <v>0.81513162219768598</v>
      </c>
      <c r="F1512">
        <f t="shared" si="47"/>
        <v>0</v>
      </c>
      <c r="G1512">
        <v>0</v>
      </c>
      <c r="H1512">
        <v>0</v>
      </c>
      <c r="I1512">
        <v>0</v>
      </c>
      <c r="J1512">
        <v>0</v>
      </c>
      <c r="K1512">
        <v>0</v>
      </c>
      <c r="L1512">
        <v>0</v>
      </c>
      <c r="M1512">
        <f t="shared" si="46"/>
        <v>0</v>
      </c>
      <c r="N1512">
        <v>0</v>
      </c>
      <c r="O1512">
        <v>0</v>
      </c>
      <c r="P1512">
        <v>0</v>
      </c>
      <c r="Q1512">
        <v>0</v>
      </c>
      <c r="R1512">
        <v>0</v>
      </c>
      <c r="S1512">
        <v>0</v>
      </c>
    </row>
    <row r="1513" spans="1:19" x14ac:dyDescent="0.25">
      <c r="A1513">
        <v>18125</v>
      </c>
      <c r="B1513" t="s">
        <v>91</v>
      </c>
      <c r="C1513">
        <v>23</v>
      </c>
      <c r="D1513">
        <v>0</v>
      </c>
      <c r="E1513">
        <v>0.77437504108780197</v>
      </c>
      <c r="F1513">
        <f t="shared" si="47"/>
        <v>0</v>
      </c>
      <c r="G1513">
        <v>0</v>
      </c>
      <c r="H1513">
        <v>0</v>
      </c>
      <c r="I1513">
        <v>0</v>
      </c>
      <c r="J1513">
        <v>0</v>
      </c>
      <c r="K1513">
        <v>0</v>
      </c>
      <c r="L1513">
        <v>0</v>
      </c>
      <c r="M1513">
        <f t="shared" si="46"/>
        <v>0</v>
      </c>
      <c r="N1513">
        <v>0</v>
      </c>
      <c r="O1513">
        <v>0</v>
      </c>
      <c r="P1513">
        <v>0</v>
      </c>
      <c r="Q1513">
        <v>0</v>
      </c>
      <c r="R1513">
        <v>0</v>
      </c>
      <c r="S1513">
        <v>0</v>
      </c>
    </row>
    <row r="1514" spans="1:19" x14ac:dyDescent="0.25">
      <c r="A1514">
        <v>18127</v>
      </c>
      <c r="B1514" t="s">
        <v>92</v>
      </c>
      <c r="C1514">
        <v>0</v>
      </c>
      <c r="D1514">
        <v>416.50633534455301</v>
      </c>
      <c r="E1514">
        <v>5.3504763416957699</v>
      </c>
      <c r="F1514">
        <f t="shared" si="47"/>
        <v>6</v>
      </c>
      <c r="G1514">
        <v>2</v>
      </c>
      <c r="H1514">
        <v>0</v>
      </c>
      <c r="I1514">
        <v>2</v>
      </c>
      <c r="J1514">
        <v>0</v>
      </c>
      <c r="K1514">
        <v>2</v>
      </c>
      <c r="L1514">
        <v>0</v>
      </c>
      <c r="M1514">
        <f t="shared" si="46"/>
        <v>364</v>
      </c>
      <c r="N1514">
        <v>220</v>
      </c>
      <c r="O1514">
        <v>0</v>
      </c>
      <c r="P1514">
        <v>32</v>
      </c>
      <c r="Q1514">
        <v>0</v>
      </c>
      <c r="R1514">
        <v>112</v>
      </c>
      <c r="S1514">
        <v>0</v>
      </c>
    </row>
    <row r="1515" spans="1:19" x14ac:dyDescent="0.25">
      <c r="A1515">
        <v>18127</v>
      </c>
      <c r="B1515" t="s">
        <v>92</v>
      </c>
      <c r="C1515">
        <v>1</v>
      </c>
      <c r="D1515">
        <v>417.43685296919602</v>
      </c>
      <c r="E1515">
        <v>6.3474595109558498</v>
      </c>
      <c r="F1515">
        <f t="shared" si="47"/>
        <v>6</v>
      </c>
      <c r="G1515">
        <v>2</v>
      </c>
      <c r="H1515">
        <v>0</v>
      </c>
      <c r="I1515">
        <v>2</v>
      </c>
      <c r="J1515">
        <v>0</v>
      </c>
      <c r="K1515">
        <v>2</v>
      </c>
      <c r="L1515">
        <v>0</v>
      </c>
      <c r="M1515">
        <f t="shared" si="46"/>
        <v>364</v>
      </c>
      <c r="N1515">
        <v>220</v>
      </c>
      <c r="O1515">
        <v>0</v>
      </c>
      <c r="P1515">
        <v>32</v>
      </c>
      <c r="Q1515">
        <v>0</v>
      </c>
      <c r="R1515">
        <v>112</v>
      </c>
      <c r="S1515">
        <v>0</v>
      </c>
    </row>
    <row r="1516" spans="1:19" x14ac:dyDescent="0.25">
      <c r="A1516">
        <v>18127</v>
      </c>
      <c r="B1516" t="s">
        <v>92</v>
      </c>
      <c r="C1516">
        <v>2</v>
      </c>
      <c r="D1516">
        <v>418.599999999999</v>
      </c>
      <c r="E1516">
        <v>6.6133216894252103</v>
      </c>
      <c r="F1516">
        <f t="shared" si="47"/>
        <v>6</v>
      </c>
      <c r="G1516">
        <v>2</v>
      </c>
      <c r="H1516">
        <v>0</v>
      </c>
      <c r="I1516">
        <v>2</v>
      </c>
      <c r="J1516">
        <v>0</v>
      </c>
      <c r="K1516">
        <v>2</v>
      </c>
      <c r="L1516">
        <v>0</v>
      </c>
      <c r="M1516">
        <f t="shared" si="46"/>
        <v>364</v>
      </c>
      <c r="N1516">
        <v>220</v>
      </c>
      <c r="O1516">
        <v>0</v>
      </c>
      <c r="P1516">
        <v>32</v>
      </c>
      <c r="Q1516">
        <v>0</v>
      </c>
      <c r="R1516">
        <v>112</v>
      </c>
      <c r="S1516">
        <v>0</v>
      </c>
    </row>
    <row r="1517" spans="1:19" x14ac:dyDescent="0.25">
      <c r="A1517">
        <v>18127</v>
      </c>
      <c r="B1517" t="s">
        <v>92</v>
      </c>
      <c r="C1517">
        <v>3</v>
      </c>
      <c r="D1517">
        <v>407.40055573197799</v>
      </c>
      <c r="E1517">
        <v>7.0785805017465799</v>
      </c>
      <c r="F1517">
        <f t="shared" si="47"/>
        <v>6</v>
      </c>
      <c r="G1517">
        <v>2</v>
      </c>
      <c r="H1517">
        <v>0</v>
      </c>
      <c r="I1517">
        <v>2</v>
      </c>
      <c r="J1517">
        <v>0</v>
      </c>
      <c r="K1517">
        <v>2</v>
      </c>
      <c r="L1517">
        <v>0</v>
      </c>
      <c r="M1517">
        <f t="shared" si="46"/>
        <v>364</v>
      </c>
      <c r="N1517">
        <v>220</v>
      </c>
      <c r="O1517">
        <v>0</v>
      </c>
      <c r="P1517">
        <v>32</v>
      </c>
      <c r="Q1517">
        <v>0</v>
      </c>
      <c r="R1517">
        <v>112</v>
      </c>
      <c r="S1517">
        <v>0</v>
      </c>
    </row>
    <row r="1518" spans="1:19" x14ac:dyDescent="0.25">
      <c r="A1518">
        <v>18127</v>
      </c>
      <c r="B1518" t="s">
        <v>92</v>
      </c>
      <c r="C1518">
        <v>4</v>
      </c>
      <c r="D1518">
        <v>385.034899968243</v>
      </c>
      <c r="E1518">
        <v>7.0121149571292403</v>
      </c>
      <c r="F1518">
        <f t="shared" si="47"/>
        <v>6</v>
      </c>
      <c r="G1518">
        <v>2</v>
      </c>
      <c r="H1518">
        <v>0</v>
      </c>
      <c r="I1518">
        <v>2</v>
      </c>
      <c r="J1518">
        <v>0</v>
      </c>
      <c r="K1518">
        <v>2</v>
      </c>
      <c r="L1518">
        <v>0</v>
      </c>
      <c r="M1518">
        <f t="shared" si="46"/>
        <v>364</v>
      </c>
      <c r="N1518">
        <v>220</v>
      </c>
      <c r="O1518">
        <v>0</v>
      </c>
      <c r="P1518">
        <v>32</v>
      </c>
      <c r="Q1518">
        <v>0</v>
      </c>
      <c r="R1518">
        <v>112</v>
      </c>
      <c r="S1518">
        <v>0</v>
      </c>
    </row>
    <row r="1519" spans="1:19" x14ac:dyDescent="0.25">
      <c r="A1519">
        <v>18127</v>
      </c>
      <c r="B1519" t="s">
        <v>92</v>
      </c>
      <c r="C1519">
        <v>5</v>
      </c>
      <c r="D1519">
        <v>348.44561765639799</v>
      </c>
      <c r="E1519">
        <v>5.9154334709431504</v>
      </c>
      <c r="F1519">
        <f t="shared" si="47"/>
        <v>6</v>
      </c>
      <c r="G1519">
        <v>2</v>
      </c>
      <c r="H1519">
        <v>0</v>
      </c>
      <c r="I1519">
        <v>2</v>
      </c>
      <c r="J1519">
        <v>0</v>
      </c>
      <c r="K1519">
        <v>2</v>
      </c>
      <c r="L1519">
        <v>0</v>
      </c>
      <c r="M1519">
        <f t="shared" si="46"/>
        <v>364</v>
      </c>
      <c r="N1519">
        <v>220</v>
      </c>
      <c r="O1519">
        <v>0</v>
      </c>
      <c r="P1519">
        <v>32</v>
      </c>
      <c r="Q1519">
        <v>0</v>
      </c>
      <c r="R1519">
        <v>112</v>
      </c>
      <c r="S1519">
        <v>0</v>
      </c>
    </row>
    <row r="1520" spans="1:19" x14ac:dyDescent="0.25">
      <c r="A1520">
        <v>18127</v>
      </c>
      <c r="B1520" t="s">
        <v>92</v>
      </c>
      <c r="C1520">
        <v>6</v>
      </c>
      <c r="D1520">
        <v>298.43029533185103</v>
      </c>
      <c r="E1520">
        <v>5.7825023817084702</v>
      </c>
      <c r="F1520">
        <f t="shared" si="47"/>
        <v>6</v>
      </c>
      <c r="G1520">
        <v>2</v>
      </c>
      <c r="H1520">
        <v>0</v>
      </c>
      <c r="I1520">
        <v>2</v>
      </c>
      <c r="J1520">
        <v>0</v>
      </c>
      <c r="K1520">
        <v>2</v>
      </c>
      <c r="L1520">
        <v>0</v>
      </c>
      <c r="M1520">
        <f t="shared" si="46"/>
        <v>364</v>
      </c>
      <c r="N1520">
        <v>220</v>
      </c>
      <c r="O1520">
        <v>0</v>
      </c>
      <c r="P1520">
        <v>32</v>
      </c>
      <c r="Q1520">
        <v>0</v>
      </c>
      <c r="R1520">
        <v>112</v>
      </c>
      <c r="S1520">
        <v>0</v>
      </c>
    </row>
    <row r="1521" spans="1:19" x14ac:dyDescent="0.25">
      <c r="A1521">
        <v>18127</v>
      </c>
      <c r="B1521" t="s">
        <v>92</v>
      </c>
      <c r="C1521">
        <v>7</v>
      </c>
      <c r="D1521">
        <v>239.34242616703699</v>
      </c>
      <c r="E1521">
        <v>6.7130200063512202</v>
      </c>
      <c r="F1521">
        <f t="shared" si="47"/>
        <v>6</v>
      </c>
      <c r="G1521">
        <v>2</v>
      </c>
      <c r="H1521">
        <v>0</v>
      </c>
      <c r="I1521">
        <v>2</v>
      </c>
      <c r="J1521">
        <v>0</v>
      </c>
      <c r="K1521">
        <v>2</v>
      </c>
      <c r="L1521">
        <v>0</v>
      </c>
      <c r="M1521">
        <f t="shared" si="46"/>
        <v>364</v>
      </c>
      <c r="N1521">
        <v>220</v>
      </c>
      <c r="O1521">
        <v>0</v>
      </c>
      <c r="P1521">
        <v>32</v>
      </c>
      <c r="Q1521">
        <v>0</v>
      </c>
      <c r="R1521">
        <v>112</v>
      </c>
      <c r="S1521">
        <v>0</v>
      </c>
    </row>
    <row r="1522" spans="1:19" x14ac:dyDescent="0.25">
      <c r="A1522">
        <v>18127</v>
      </c>
      <c r="B1522" t="s">
        <v>92</v>
      </c>
      <c r="C1522">
        <v>8</v>
      </c>
      <c r="D1522">
        <v>196.43891711654399</v>
      </c>
      <c r="E1522">
        <v>9.7039695141314599</v>
      </c>
      <c r="F1522">
        <f t="shared" si="47"/>
        <v>6</v>
      </c>
      <c r="G1522">
        <v>2</v>
      </c>
      <c r="H1522">
        <v>0</v>
      </c>
      <c r="I1522">
        <v>2</v>
      </c>
      <c r="J1522">
        <v>0</v>
      </c>
      <c r="K1522">
        <v>2</v>
      </c>
      <c r="L1522">
        <v>0</v>
      </c>
      <c r="M1522">
        <f t="shared" si="46"/>
        <v>364</v>
      </c>
      <c r="N1522">
        <v>220</v>
      </c>
      <c r="O1522">
        <v>0</v>
      </c>
      <c r="P1522">
        <v>32</v>
      </c>
      <c r="Q1522">
        <v>0</v>
      </c>
      <c r="R1522">
        <v>112</v>
      </c>
      <c r="S1522">
        <v>0</v>
      </c>
    </row>
    <row r="1523" spans="1:19" x14ac:dyDescent="0.25">
      <c r="A1523">
        <v>18127</v>
      </c>
      <c r="B1523" t="s">
        <v>92</v>
      </c>
      <c r="C1523">
        <v>9</v>
      </c>
      <c r="D1523">
        <v>170.949380755795</v>
      </c>
      <c r="E1523">
        <v>10.867116544934801</v>
      </c>
      <c r="F1523">
        <f t="shared" si="47"/>
        <v>6</v>
      </c>
      <c r="G1523">
        <v>2</v>
      </c>
      <c r="H1523">
        <v>0</v>
      </c>
      <c r="I1523">
        <v>2</v>
      </c>
      <c r="J1523">
        <v>0</v>
      </c>
      <c r="K1523">
        <v>2</v>
      </c>
      <c r="L1523">
        <v>0</v>
      </c>
      <c r="M1523">
        <f t="shared" si="46"/>
        <v>364</v>
      </c>
      <c r="N1523">
        <v>220</v>
      </c>
      <c r="O1523">
        <v>0</v>
      </c>
      <c r="P1523">
        <v>32</v>
      </c>
      <c r="Q1523">
        <v>0</v>
      </c>
      <c r="R1523">
        <v>112</v>
      </c>
      <c r="S1523">
        <v>0</v>
      </c>
    </row>
    <row r="1524" spans="1:19" x14ac:dyDescent="0.25">
      <c r="A1524">
        <v>18127</v>
      </c>
      <c r="B1524" t="s">
        <v>92</v>
      </c>
      <c r="C1524">
        <v>10</v>
      </c>
      <c r="D1524">
        <v>160.97954906319401</v>
      </c>
      <c r="E1524">
        <v>9.8369006033661393</v>
      </c>
      <c r="F1524">
        <f t="shared" si="47"/>
        <v>6</v>
      </c>
      <c r="G1524">
        <v>2</v>
      </c>
      <c r="H1524">
        <v>0</v>
      </c>
      <c r="I1524">
        <v>2</v>
      </c>
      <c r="J1524">
        <v>0</v>
      </c>
      <c r="K1524">
        <v>2</v>
      </c>
      <c r="L1524">
        <v>0</v>
      </c>
      <c r="M1524">
        <f t="shared" si="46"/>
        <v>364</v>
      </c>
      <c r="N1524">
        <v>220</v>
      </c>
      <c r="O1524">
        <v>0</v>
      </c>
      <c r="P1524">
        <v>32</v>
      </c>
      <c r="Q1524">
        <v>0</v>
      </c>
      <c r="R1524">
        <v>112</v>
      </c>
      <c r="S1524">
        <v>0</v>
      </c>
    </row>
    <row r="1525" spans="1:19" x14ac:dyDescent="0.25">
      <c r="A1525">
        <v>18127</v>
      </c>
      <c r="B1525" t="s">
        <v>92</v>
      </c>
      <c r="C1525">
        <v>11</v>
      </c>
      <c r="D1525">
        <v>164.07019688790001</v>
      </c>
      <c r="E1525">
        <v>9.20547792950142</v>
      </c>
      <c r="F1525">
        <f t="shared" si="47"/>
        <v>6</v>
      </c>
      <c r="G1525">
        <v>2</v>
      </c>
      <c r="H1525">
        <v>0</v>
      </c>
      <c r="I1525">
        <v>2</v>
      </c>
      <c r="J1525">
        <v>0</v>
      </c>
      <c r="K1525">
        <v>2</v>
      </c>
      <c r="L1525">
        <v>0</v>
      </c>
      <c r="M1525">
        <f t="shared" si="46"/>
        <v>364</v>
      </c>
      <c r="N1525">
        <v>220</v>
      </c>
      <c r="O1525">
        <v>0</v>
      </c>
      <c r="P1525">
        <v>32</v>
      </c>
      <c r="Q1525">
        <v>0</v>
      </c>
      <c r="R1525">
        <v>112</v>
      </c>
      <c r="S1525">
        <v>0</v>
      </c>
    </row>
    <row r="1526" spans="1:19" x14ac:dyDescent="0.25">
      <c r="A1526">
        <v>18127</v>
      </c>
      <c r="B1526" t="s">
        <v>92</v>
      </c>
      <c r="C1526">
        <v>12</v>
      </c>
      <c r="D1526">
        <v>171.414639568116</v>
      </c>
      <c r="E1526">
        <v>7.0121149571292403</v>
      </c>
      <c r="F1526">
        <f t="shared" si="47"/>
        <v>6</v>
      </c>
      <c r="G1526">
        <v>2</v>
      </c>
      <c r="H1526">
        <v>0</v>
      </c>
      <c r="I1526">
        <v>2</v>
      </c>
      <c r="J1526">
        <v>0</v>
      </c>
      <c r="K1526">
        <v>2</v>
      </c>
      <c r="L1526">
        <v>0</v>
      </c>
      <c r="M1526">
        <f t="shared" si="46"/>
        <v>364</v>
      </c>
      <c r="N1526">
        <v>220</v>
      </c>
      <c r="O1526">
        <v>0</v>
      </c>
      <c r="P1526">
        <v>32</v>
      </c>
      <c r="Q1526">
        <v>0</v>
      </c>
      <c r="R1526">
        <v>112</v>
      </c>
      <c r="S1526">
        <v>0</v>
      </c>
    </row>
    <row r="1527" spans="1:19" x14ac:dyDescent="0.25">
      <c r="A1527">
        <v>18127</v>
      </c>
      <c r="B1527" t="s">
        <v>92</v>
      </c>
      <c r="C1527">
        <v>13</v>
      </c>
      <c r="D1527">
        <v>178.89201333756699</v>
      </c>
      <c r="E1527">
        <v>5.5498729755477898</v>
      </c>
      <c r="F1527">
        <f t="shared" si="47"/>
        <v>6</v>
      </c>
      <c r="G1527">
        <v>2</v>
      </c>
      <c r="H1527">
        <v>0</v>
      </c>
      <c r="I1527">
        <v>2</v>
      </c>
      <c r="J1527">
        <v>0</v>
      </c>
      <c r="K1527">
        <v>2</v>
      </c>
      <c r="L1527">
        <v>0</v>
      </c>
      <c r="M1527">
        <f t="shared" si="46"/>
        <v>364</v>
      </c>
      <c r="N1527">
        <v>220</v>
      </c>
      <c r="O1527">
        <v>0</v>
      </c>
      <c r="P1527">
        <v>32</v>
      </c>
      <c r="Q1527">
        <v>0</v>
      </c>
      <c r="R1527">
        <v>112</v>
      </c>
      <c r="S1527">
        <v>0</v>
      </c>
    </row>
    <row r="1528" spans="1:19" x14ac:dyDescent="0.25">
      <c r="A1528">
        <v>18127</v>
      </c>
      <c r="B1528" t="s">
        <v>92</v>
      </c>
      <c r="C1528">
        <v>14</v>
      </c>
      <c r="D1528">
        <v>189.26063829787199</v>
      </c>
      <c r="E1528">
        <v>4.1873293108923404</v>
      </c>
      <c r="F1528">
        <f t="shared" si="47"/>
        <v>6</v>
      </c>
      <c r="G1528">
        <v>2</v>
      </c>
      <c r="H1528">
        <v>0</v>
      </c>
      <c r="I1528">
        <v>2</v>
      </c>
      <c r="J1528">
        <v>0</v>
      </c>
      <c r="K1528">
        <v>2</v>
      </c>
      <c r="L1528">
        <v>0</v>
      </c>
      <c r="M1528">
        <f t="shared" si="46"/>
        <v>364</v>
      </c>
      <c r="N1528">
        <v>220</v>
      </c>
      <c r="O1528">
        <v>0</v>
      </c>
      <c r="P1528">
        <v>32</v>
      </c>
      <c r="Q1528">
        <v>0</v>
      </c>
      <c r="R1528">
        <v>112</v>
      </c>
      <c r="S1528">
        <v>0</v>
      </c>
    </row>
    <row r="1529" spans="1:19" x14ac:dyDescent="0.25">
      <c r="A1529">
        <v>18127</v>
      </c>
      <c r="B1529" t="s">
        <v>92</v>
      </c>
      <c r="C1529">
        <v>15</v>
      </c>
      <c r="D1529">
        <v>210.49637980311201</v>
      </c>
      <c r="E1529">
        <v>4.2537948555096801</v>
      </c>
      <c r="F1529">
        <f t="shared" si="47"/>
        <v>6</v>
      </c>
      <c r="G1529">
        <v>2</v>
      </c>
      <c r="H1529">
        <v>0</v>
      </c>
      <c r="I1529">
        <v>2</v>
      </c>
      <c r="J1529">
        <v>0</v>
      </c>
      <c r="K1529">
        <v>2</v>
      </c>
      <c r="L1529">
        <v>0</v>
      </c>
      <c r="M1529">
        <f t="shared" si="46"/>
        <v>364</v>
      </c>
      <c r="N1529">
        <v>220</v>
      </c>
      <c r="O1529">
        <v>0</v>
      </c>
      <c r="P1529">
        <v>32</v>
      </c>
      <c r="Q1529">
        <v>0</v>
      </c>
      <c r="R1529">
        <v>112</v>
      </c>
      <c r="S1529">
        <v>0</v>
      </c>
    </row>
    <row r="1530" spans="1:19" x14ac:dyDescent="0.25">
      <c r="A1530">
        <v>18127</v>
      </c>
      <c r="B1530" t="s">
        <v>92</v>
      </c>
      <c r="C1530">
        <v>16</v>
      </c>
      <c r="D1530">
        <v>241.53578913940899</v>
      </c>
      <c r="E1530">
        <v>3.3232772308669398</v>
      </c>
      <c r="F1530">
        <f t="shared" si="47"/>
        <v>6</v>
      </c>
      <c r="G1530">
        <v>2</v>
      </c>
      <c r="H1530">
        <v>0</v>
      </c>
      <c r="I1530">
        <v>2</v>
      </c>
      <c r="J1530">
        <v>0</v>
      </c>
      <c r="K1530">
        <v>2</v>
      </c>
      <c r="L1530">
        <v>0</v>
      </c>
      <c r="M1530">
        <f t="shared" si="46"/>
        <v>364</v>
      </c>
      <c r="N1530">
        <v>220</v>
      </c>
      <c r="O1530">
        <v>0</v>
      </c>
      <c r="P1530">
        <v>32</v>
      </c>
      <c r="Q1530">
        <v>0</v>
      </c>
      <c r="R1530">
        <v>112</v>
      </c>
      <c r="S1530">
        <v>0</v>
      </c>
    </row>
    <row r="1531" spans="1:19" x14ac:dyDescent="0.25">
      <c r="A1531">
        <v>18127</v>
      </c>
      <c r="B1531" t="s">
        <v>92</v>
      </c>
      <c r="C1531">
        <v>17</v>
      </c>
      <c r="D1531">
        <v>282.245935217529</v>
      </c>
      <c r="E1531">
        <v>3.7220704985709698</v>
      </c>
      <c r="F1531">
        <f t="shared" si="47"/>
        <v>6</v>
      </c>
      <c r="G1531">
        <v>2</v>
      </c>
      <c r="H1531">
        <v>0</v>
      </c>
      <c r="I1531">
        <v>2</v>
      </c>
      <c r="J1531">
        <v>0</v>
      </c>
      <c r="K1531">
        <v>2</v>
      </c>
      <c r="L1531">
        <v>0</v>
      </c>
      <c r="M1531">
        <f t="shared" si="46"/>
        <v>364</v>
      </c>
      <c r="N1531">
        <v>220</v>
      </c>
      <c r="O1531">
        <v>0</v>
      </c>
      <c r="P1531">
        <v>32</v>
      </c>
      <c r="Q1531">
        <v>0</v>
      </c>
      <c r="R1531">
        <v>112</v>
      </c>
      <c r="S1531">
        <v>0</v>
      </c>
    </row>
    <row r="1532" spans="1:19" x14ac:dyDescent="0.25">
      <c r="A1532">
        <v>18127</v>
      </c>
      <c r="B1532" t="s">
        <v>92</v>
      </c>
      <c r="C1532">
        <v>18</v>
      </c>
      <c r="D1532">
        <v>321.92586535407997</v>
      </c>
      <c r="E1532">
        <v>3.7885360431883099</v>
      </c>
      <c r="F1532">
        <f t="shared" si="47"/>
        <v>6</v>
      </c>
      <c r="G1532">
        <v>2</v>
      </c>
      <c r="H1532">
        <v>0</v>
      </c>
      <c r="I1532">
        <v>2</v>
      </c>
      <c r="J1532">
        <v>0</v>
      </c>
      <c r="K1532">
        <v>2</v>
      </c>
      <c r="L1532">
        <v>0</v>
      </c>
      <c r="M1532">
        <f t="shared" si="46"/>
        <v>364</v>
      </c>
      <c r="N1532">
        <v>220</v>
      </c>
      <c r="O1532">
        <v>0</v>
      </c>
      <c r="P1532">
        <v>32</v>
      </c>
      <c r="Q1532">
        <v>0</v>
      </c>
      <c r="R1532">
        <v>112</v>
      </c>
      <c r="S1532">
        <v>0</v>
      </c>
    </row>
    <row r="1533" spans="1:19" x14ac:dyDescent="0.25">
      <c r="A1533">
        <v>18127</v>
      </c>
      <c r="B1533" t="s">
        <v>92</v>
      </c>
      <c r="C1533">
        <v>19</v>
      </c>
      <c r="D1533">
        <v>355.058939345824</v>
      </c>
      <c r="E1533">
        <v>2.6586217846935498</v>
      </c>
      <c r="F1533">
        <f t="shared" si="47"/>
        <v>6</v>
      </c>
      <c r="G1533">
        <v>2</v>
      </c>
      <c r="H1533">
        <v>0</v>
      </c>
      <c r="I1533">
        <v>2</v>
      </c>
      <c r="J1533">
        <v>0</v>
      </c>
      <c r="K1533">
        <v>2</v>
      </c>
      <c r="L1533">
        <v>0</v>
      </c>
      <c r="M1533">
        <f t="shared" si="46"/>
        <v>364</v>
      </c>
      <c r="N1533">
        <v>220</v>
      </c>
      <c r="O1533">
        <v>0</v>
      </c>
      <c r="P1533">
        <v>32</v>
      </c>
      <c r="Q1533">
        <v>0</v>
      </c>
      <c r="R1533">
        <v>112</v>
      </c>
      <c r="S1533">
        <v>0</v>
      </c>
    </row>
    <row r="1534" spans="1:19" x14ac:dyDescent="0.25">
      <c r="A1534">
        <v>18127</v>
      </c>
      <c r="B1534" t="s">
        <v>92</v>
      </c>
      <c r="C1534">
        <v>20</v>
      </c>
      <c r="D1534">
        <v>376.16174976182901</v>
      </c>
      <c r="E1534">
        <v>2.8247856462368999</v>
      </c>
      <c r="F1534">
        <f t="shared" si="47"/>
        <v>6</v>
      </c>
      <c r="G1534">
        <v>2</v>
      </c>
      <c r="H1534">
        <v>0</v>
      </c>
      <c r="I1534">
        <v>2</v>
      </c>
      <c r="J1534">
        <v>0</v>
      </c>
      <c r="K1534">
        <v>2</v>
      </c>
      <c r="L1534">
        <v>0</v>
      </c>
      <c r="M1534">
        <f t="shared" si="46"/>
        <v>364</v>
      </c>
      <c r="N1534">
        <v>220</v>
      </c>
      <c r="O1534">
        <v>0</v>
      </c>
      <c r="P1534">
        <v>32</v>
      </c>
      <c r="Q1534">
        <v>0</v>
      </c>
      <c r="R1534">
        <v>112</v>
      </c>
      <c r="S1534">
        <v>0</v>
      </c>
    </row>
    <row r="1535" spans="1:19" x14ac:dyDescent="0.25">
      <c r="A1535">
        <v>18127</v>
      </c>
      <c r="B1535" t="s">
        <v>92</v>
      </c>
      <c r="C1535">
        <v>21</v>
      </c>
      <c r="D1535">
        <v>391.14973007303797</v>
      </c>
      <c r="E1535">
        <v>3.19034614163226</v>
      </c>
      <c r="F1535">
        <f t="shared" si="47"/>
        <v>6</v>
      </c>
      <c r="G1535">
        <v>2</v>
      </c>
      <c r="H1535">
        <v>0</v>
      </c>
      <c r="I1535">
        <v>2</v>
      </c>
      <c r="J1535">
        <v>0</v>
      </c>
      <c r="K1535">
        <v>2</v>
      </c>
      <c r="L1535">
        <v>0</v>
      </c>
      <c r="M1535">
        <f t="shared" si="46"/>
        <v>364</v>
      </c>
      <c r="N1535">
        <v>220</v>
      </c>
      <c r="O1535">
        <v>0</v>
      </c>
      <c r="P1535">
        <v>32</v>
      </c>
      <c r="Q1535">
        <v>0</v>
      </c>
      <c r="R1535">
        <v>112</v>
      </c>
      <c r="S1535">
        <v>0</v>
      </c>
    </row>
    <row r="1536" spans="1:19" x14ac:dyDescent="0.25">
      <c r="A1536">
        <v>18127</v>
      </c>
      <c r="B1536" t="s">
        <v>92</v>
      </c>
      <c r="C1536">
        <v>22</v>
      </c>
      <c r="D1536">
        <v>404.07727850111098</v>
      </c>
      <c r="E1536">
        <v>3.7220704985709698</v>
      </c>
      <c r="F1536">
        <f t="shared" si="47"/>
        <v>6</v>
      </c>
      <c r="G1536">
        <v>2</v>
      </c>
      <c r="H1536">
        <v>0</v>
      </c>
      <c r="I1536">
        <v>2</v>
      </c>
      <c r="J1536">
        <v>0</v>
      </c>
      <c r="K1536">
        <v>2</v>
      </c>
      <c r="L1536">
        <v>0</v>
      </c>
      <c r="M1536">
        <f t="shared" si="46"/>
        <v>364</v>
      </c>
      <c r="N1536">
        <v>220</v>
      </c>
      <c r="O1536">
        <v>0</v>
      </c>
      <c r="P1536">
        <v>32</v>
      </c>
      <c r="Q1536">
        <v>0</v>
      </c>
      <c r="R1536">
        <v>112</v>
      </c>
      <c r="S1536">
        <v>0</v>
      </c>
    </row>
    <row r="1537" spans="1:19" x14ac:dyDescent="0.25">
      <c r="A1537">
        <v>18127</v>
      </c>
      <c r="B1537" t="s">
        <v>92</v>
      </c>
      <c r="C1537">
        <v>23</v>
      </c>
      <c r="D1537">
        <v>412.35223880596999</v>
      </c>
      <c r="E1537">
        <v>4.4531914893617</v>
      </c>
      <c r="F1537">
        <f t="shared" si="47"/>
        <v>6</v>
      </c>
      <c r="G1537">
        <v>2</v>
      </c>
      <c r="H1537">
        <v>0</v>
      </c>
      <c r="I1537">
        <v>2</v>
      </c>
      <c r="J1537">
        <v>0</v>
      </c>
      <c r="K1537">
        <v>2</v>
      </c>
      <c r="L1537">
        <v>0</v>
      </c>
      <c r="M1537">
        <f t="shared" si="46"/>
        <v>364</v>
      </c>
      <c r="N1537">
        <v>220</v>
      </c>
      <c r="O1537">
        <v>0</v>
      </c>
      <c r="P1537">
        <v>32</v>
      </c>
      <c r="Q1537">
        <v>0</v>
      </c>
      <c r="R1537">
        <v>112</v>
      </c>
      <c r="S1537">
        <v>0</v>
      </c>
    </row>
    <row r="1538" spans="1:19" x14ac:dyDescent="0.25">
      <c r="A1538">
        <v>18129</v>
      </c>
      <c r="B1538" t="s">
        <v>93</v>
      </c>
      <c r="C1538">
        <v>0</v>
      </c>
      <c r="D1538">
        <v>8.4236986474962894</v>
      </c>
      <c r="E1538">
        <v>6.5639210240230801</v>
      </c>
      <c r="F1538">
        <f t="shared" si="47"/>
        <v>1</v>
      </c>
      <c r="G1538">
        <v>0</v>
      </c>
      <c r="H1538">
        <v>0</v>
      </c>
      <c r="I1538">
        <v>1</v>
      </c>
      <c r="J1538">
        <v>0</v>
      </c>
      <c r="K1538">
        <v>0</v>
      </c>
      <c r="L1538">
        <v>0</v>
      </c>
      <c r="M1538">
        <f t="shared" ref="M1538:M1601" si="48">SUM(N1538:S1538)</f>
        <v>12</v>
      </c>
      <c r="N1538">
        <v>0</v>
      </c>
      <c r="O1538">
        <v>0</v>
      </c>
      <c r="P1538">
        <v>12</v>
      </c>
      <c r="Q1538">
        <v>0</v>
      </c>
      <c r="R1538">
        <v>0</v>
      </c>
      <c r="S1538">
        <v>0</v>
      </c>
    </row>
    <row r="1539" spans="1:19" x14ac:dyDescent="0.25">
      <c r="A1539">
        <v>18129</v>
      </c>
      <c r="B1539" t="s">
        <v>93</v>
      </c>
      <c r="C1539">
        <v>1</v>
      </c>
      <c r="D1539">
        <v>8.3142999637625703</v>
      </c>
      <c r="E1539">
        <v>7.2203131264253901</v>
      </c>
      <c r="F1539">
        <f t="shared" ref="F1539:F1602" si="49">SUM(G1539:L1539)</f>
        <v>1</v>
      </c>
      <c r="G1539">
        <v>0</v>
      </c>
      <c r="H1539">
        <v>0</v>
      </c>
      <c r="I1539">
        <v>1</v>
      </c>
      <c r="J1539">
        <v>0</v>
      </c>
      <c r="K1539">
        <v>0</v>
      </c>
      <c r="L1539">
        <v>0</v>
      </c>
      <c r="M1539">
        <f t="shared" si="48"/>
        <v>12</v>
      </c>
      <c r="N1539">
        <v>0</v>
      </c>
      <c r="O1539">
        <v>0</v>
      </c>
      <c r="P1539">
        <v>12</v>
      </c>
      <c r="Q1539">
        <v>0</v>
      </c>
      <c r="R1539">
        <v>0</v>
      </c>
      <c r="S1539">
        <v>0</v>
      </c>
    </row>
    <row r="1540" spans="1:19" x14ac:dyDescent="0.25">
      <c r="A1540">
        <v>18129</v>
      </c>
      <c r="B1540" t="s">
        <v>93</v>
      </c>
      <c r="C1540">
        <v>2</v>
      </c>
      <c r="D1540">
        <v>8.2049012800288494</v>
      </c>
      <c r="E1540">
        <v>7.4391104938928203</v>
      </c>
      <c r="F1540">
        <f t="shared" si="49"/>
        <v>1</v>
      </c>
      <c r="G1540">
        <v>0</v>
      </c>
      <c r="H1540">
        <v>0</v>
      </c>
      <c r="I1540">
        <v>1</v>
      </c>
      <c r="J1540">
        <v>0</v>
      </c>
      <c r="K1540">
        <v>0</v>
      </c>
      <c r="L1540">
        <v>0</v>
      </c>
      <c r="M1540">
        <f t="shared" si="48"/>
        <v>12</v>
      </c>
      <c r="N1540">
        <v>0</v>
      </c>
      <c r="O1540">
        <v>0</v>
      </c>
      <c r="P1540">
        <v>12</v>
      </c>
      <c r="Q1540">
        <v>0</v>
      </c>
      <c r="R1540">
        <v>0</v>
      </c>
      <c r="S1540">
        <v>0</v>
      </c>
    </row>
    <row r="1541" spans="1:19" x14ac:dyDescent="0.25">
      <c r="A1541">
        <v>18129</v>
      </c>
      <c r="B1541" t="s">
        <v>93</v>
      </c>
      <c r="C1541">
        <v>3</v>
      </c>
      <c r="D1541">
        <v>8.2049012800288494</v>
      </c>
      <c r="E1541">
        <v>8.2049012800288494</v>
      </c>
      <c r="F1541">
        <f t="shared" si="49"/>
        <v>1</v>
      </c>
      <c r="G1541">
        <v>0</v>
      </c>
      <c r="H1541">
        <v>0</v>
      </c>
      <c r="I1541">
        <v>1</v>
      </c>
      <c r="J1541">
        <v>0</v>
      </c>
      <c r="K1541">
        <v>0</v>
      </c>
      <c r="L1541">
        <v>0</v>
      </c>
      <c r="M1541">
        <f t="shared" si="48"/>
        <v>12</v>
      </c>
      <c r="N1541">
        <v>0</v>
      </c>
      <c r="O1541">
        <v>0</v>
      </c>
      <c r="P1541">
        <v>12</v>
      </c>
      <c r="Q1541">
        <v>0</v>
      </c>
      <c r="R1541">
        <v>0</v>
      </c>
      <c r="S1541">
        <v>0</v>
      </c>
    </row>
    <row r="1542" spans="1:19" x14ac:dyDescent="0.25">
      <c r="A1542">
        <v>18129</v>
      </c>
      <c r="B1542" t="s">
        <v>93</v>
      </c>
      <c r="C1542">
        <v>4</v>
      </c>
      <c r="D1542">
        <v>8.2049012800288494</v>
      </c>
      <c r="E1542">
        <v>9.6270841685671904</v>
      </c>
      <c r="F1542">
        <f t="shared" si="49"/>
        <v>1</v>
      </c>
      <c r="G1542">
        <v>0</v>
      </c>
      <c r="H1542">
        <v>0</v>
      </c>
      <c r="I1542">
        <v>1</v>
      </c>
      <c r="J1542">
        <v>0</v>
      </c>
      <c r="K1542">
        <v>0</v>
      </c>
      <c r="L1542">
        <v>0</v>
      </c>
      <c r="M1542">
        <f t="shared" si="48"/>
        <v>12</v>
      </c>
      <c r="N1542">
        <v>0</v>
      </c>
      <c r="O1542">
        <v>0</v>
      </c>
      <c r="P1542">
        <v>12</v>
      </c>
      <c r="Q1542">
        <v>0</v>
      </c>
      <c r="R1542">
        <v>0</v>
      </c>
      <c r="S1542">
        <v>0</v>
      </c>
    </row>
    <row r="1543" spans="1:19" x14ac:dyDescent="0.25">
      <c r="A1543">
        <v>18129</v>
      </c>
      <c r="B1543" t="s">
        <v>93</v>
      </c>
      <c r="C1543">
        <v>5</v>
      </c>
      <c r="D1543">
        <v>8.2049012800288494</v>
      </c>
      <c r="E1543">
        <v>12.0338552107089</v>
      </c>
      <c r="F1543">
        <f t="shared" si="49"/>
        <v>1</v>
      </c>
      <c r="G1543">
        <v>0</v>
      </c>
      <c r="H1543">
        <v>0</v>
      </c>
      <c r="I1543">
        <v>1</v>
      </c>
      <c r="J1543">
        <v>0</v>
      </c>
      <c r="K1543">
        <v>0</v>
      </c>
      <c r="L1543">
        <v>0</v>
      </c>
      <c r="M1543">
        <f t="shared" si="48"/>
        <v>12</v>
      </c>
      <c r="N1543">
        <v>0</v>
      </c>
      <c r="O1543">
        <v>0</v>
      </c>
      <c r="P1543">
        <v>12</v>
      </c>
      <c r="Q1543">
        <v>0</v>
      </c>
      <c r="R1543">
        <v>0</v>
      </c>
      <c r="S1543">
        <v>0</v>
      </c>
    </row>
    <row r="1544" spans="1:19" x14ac:dyDescent="0.25">
      <c r="A1544">
        <v>18129</v>
      </c>
      <c r="B1544" t="s">
        <v>93</v>
      </c>
      <c r="C1544">
        <v>6</v>
      </c>
      <c r="D1544">
        <v>8.4236986474962894</v>
      </c>
      <c r="E1544">
        <v>13.3466394155136</v>
      </c>
      <c r="F1544">
        <f t="shared" si="49"/>
        <v>1</v>
      </c>
      <c r="G1544">
        <v>0</v>
      </c>
      <c r="H1544">
        <v>0</v>
      </c>
      <c r="I1544">
        <v>1</v>
      </c>
      <c r="J1544">
        <v>0</v>
      </c>
      <c r="K1544">
        <v>0</v>
      </c>
      <c r="L1544">
        <v>0</v>
      </c>
      <c r="M1544">
        <f t="shared" si="48"/>
        <v>12</v>
      </c>
      <c r="N1544">
        <v>0</v>
      </c>
      <c r="O1544">
        <v>0</v>
      </c>
      <c r="P1544">
        <v>12</v>
      </c>
      <c r="Q1544">
        <v>0</v>
      </c>
      <c r="R1544">
        <v>0</v>
      </c>
      <c r="S1544">
        <v>0</v>
      </c>
    </row>
    <row r="1545" spans="1:19" x14ac:dyDescent="0.25">
      <c r="A1545">
        <v>18129</v>
      </c>
      <c r="B1545" t="s">
        <v>93</v>
      </c>
      <c r="C1545">
        <v>7</v>
      </c>
      <c r="D1545">
        <v>6.12632628908821</v>
      </c>
      <c r="E1545">
        <v>14.0030315179159</v>
      </c>
      <c r="F1545">
        <f t="shared" si="49"/>
        <v>1</v>
      </c>
      <c r="G1545">
        <v>0</v>
      </c>
      <c r="H1545">
        <v>0</v>
      </c>
      <c r="I1545">
        <v>1</v>
      </c>
      <c r="J1545">
        <v>0</v>
      </c>
      <c r="K1545">
        <v>0</v>
      </c>
      <c r="L1545">
        <v>0</v>
      </c>
      <c r="M1545">
        <f t="shared" si="48"/>
        <v>12</v>
      </c>
      <c r="N1545">
        <v>0</v>
      </c>
      <c r="O1545">
        <v>0</v>
      </c>
      <c r="P1545">
        <v>12</v>
      </c>
      <c r="Q1545">
        <v>0</v>
      </c>
      <c r="R1545">
        <v>0</v>
      </c>
      <c r="S1545">
        <v>0</v>
      </c>
    </row>
    <row r="1546" spans="1:19" x14ac:dyDescent="0.25">
      <c r="A1546">
        <v>18129</v>
      </c>
      <c r="B1546" t="s">
        <v>93</v>
      </c>
      <c r="C1546">
        <v>8</v>
      </c>
      <c r="D1546">
        <v>4.4853460330824397</v>
      </c>
      <c r="E1546">
        <v>17.722586764862299</v>
      </c>
      <c r="F1546">
        <f t="shared" si="49"/>
        <v>1</v>
      </c>
      <c r="G1546">
        <v>0</v>
      </c>
      <c r="H1546">
        <v>0</v>
      </c>
      <c r="I1546">
        <v>1</v>
      </c>
      <c r="J1546">
        <v>0</v>
      </c>
      <c r="K1546">
        <v>0</v>
      </c>
      <c r="L1546">
        <v>0</v>
      </c>
      <c r="M1546">
        <f t="shared" si="48"/>
        <v>12</v>
      </c>
      <c r="N1546">
        <v>0</v>
      </c>
      <c r="O1546">
        <v>0</v>
      </c>
      <c r="P1546">
        <v>12</v>
      </c>
      <c r="Q1546">
        <v>0</v>
      </c>
      <c r="R1546">
        <v>0</v>
      </c>
      <c r="S1546">
        <v>0</v>
      </c>
    </row>
    <row r="1547" spans="1:19" x14ac:dyDescent="0.25">
      <c r="A1547">
        <v>18129</v>
      </c>
      <c r="B1547" t="s">
        <v>93</v>
      </c>
      <c r="C1547">
        <v>9</v>
      </c>
      <c r="D1547">
        <v>6.6733197077568001</v>
      </c>
      <c r="E1547">
        <v>15.6440117739216</v>
      </c>
      <c r="F1547">
        <f t="shared" si="49"/>
        <v>1</v>
      </c>
      <c r="G1547">
        <v>0</v>
      </c>
      <c r="H1547">
        <v>0</v>
      </c>
      <c r="I1547">
        <v>1</v>
      </c>
      <c r="J1547">
        <v>0</v>
      </c>
      <c r="K1547">
        <v>0</v>
      </c>
      <c r="L1547">
        <v>0</v>
      </c>
      <c r="M1547">
        <f t="shared" si="48"/>
        <v>12</v>
      </c>
      <c r="N1547">
        <v>0</v>
      </c>
      <c r="O1547">
        <v>0</v>
      </c>
      <c r="P1547">
        <v>12</v>
      </c>
      <c r="Q1547">
        <v>0</v>
      </c>
      <c r="R1547">
        <v>0</v>
      </c>
      <c r="S1547">
        <v>0</v>
      </c>
    </row>
    <row r="1548" spans="1:19" x14ac:dyDescent="0.25">
      <c r="A1548">
        <v>18129</v>
      </c>
      <c r="B1548" t="s">
        <v>93</v>
      </c>
      <c r="C1548">
        <v>10</v>
      </c>
      <c r="D1548">
        <v>7.8767052288277002</v>
      </c>
      <c r="E1548">
        <v>13.3466394155136</v>
      </c>
      <c r="F1548">
        <f t="shared" si="49"/>
        <v>1</v>
      </c>
      <c r="G1548">
        <v>0</v>
      </c>
      <c r="H1548">
        <v>0</v>
      </c>
      <c r="I1548">
        <v>1</v>
      </c>
      <c r="J1548">
        <v>0</v>
      </c>
      <c r="K1548">
        <v>0</v>
      </c>
      <c r="L1548">
        <v>0</v>
      </c>
      <c r="M1548">
        <f t="shared" si="48"/>
        <v>12</v>
      </c>
      <c r="N1548">
        <v>0</v>
      </c>
      <c r="O1548">
        <v>0</v>
      </c>
      <c r="P1548">
        <v>12</v>
      </c>
      <c r="Q1548">
        <v>0</v>
      </c>
      <c r="R1548">
        <v>0</v>
      </c>
      <c r="S1548">
        <v>0</v>
      </c>
    </row>
    <row r="1549" spans="1:19" x14ac:dyDescent="0.25">
      <c r="A1549">
        <v>18129</v>
      </c>
      <c r="B1549" t="s">
        <v>93</v>
      </c>
      <c r="C1549">
        <v>11</v>
      </c>
      <c r="D1549">
        <v>6.8921170752242302</v>
      </c>
      <c r="E1549">
        <v>14.8782209877856</v>
      </c>
      <c r="F1549">
        <f t="shared" si="49"/>
        <v>1</v>
      </c>
      <c r="G1549">
        <v>0</v>
      </c>
      <c r="H1549">
        <v>0</v>
      </c>
      <c r="I1549">
        <v>1</v>
      </c>
      <c r="J1549">
        <v>0</v>
      </c>
      <c r="K1549">
        <v>0</v>
      </c>
      <c r="L1549">
        <v>0</v>
      </c>
      <c r="M1549">
        <f t="shared" si="48"/>
        <v>12</v>
      </c>
      <c r="N1549">
        <v>0</v>
      </c>
      <c r="O1549">
        <v>0</v>
      </c>
      <c r="P1549">
        <v>12</v>
      </c>
      <c r="Q1549">
        <v>0</v>
      </c>
      <c r="R1549">
        <v>0</v>
      </c>
      <c r="S1549">
        <v>0</v>
      </c>
    </row>
    <row r="1550" spans="1:19" x14ac:dyDescent="0.25">
      <c r="A1550">
        <v>18129</v>
      </c>
      <c r="B1550" t="s">
        <v>93</v>
      </c>
      <c r="C1550">
        <v>12</v>
      </c>
      <c r="D1550">
        <v>6.12632628908821</v>
      </c>
      <c r="E1550">
        <v>13.0184433643124</v>
      </c>
      <c r="F1550">
        <f t="shared" si="49"/>
        <v>1</v>
      </c>
      <c r="G1550">
        <v>0</v>
      </c>
      <c r="H1550">
        <v>0</v>
      </c>
      <c r="I1550">
        <v>1</v>
      </c>
      <c r="J1550">
        <v>0</v>
      </c>
      <c r="K1550">
        <v>0</v>
      </c>
      <c r="L1550">
        <v>0</v>
      </c>
      <c r="M1550">
        <f t="shared" si="48"/>
        <v>12</v>
      </c>
      <c r="N1550">
        <v>0</v>
      </c>
      <c r="O1550">
        <v>0</v>
      </c>
      <c r="P1550">
        <v>12</v>
      </c>
      <c r="Q1550">
        <v>0</v>
      </c>
      <c r="R1550">
        <v>0</v>
      </c>
      <c r="S1550">
        <v>0</v>
      </c>
    </row>
    <row r="1551" spans="1:19" x14ac:dyDescent="0.25">
      <c r="A1551">
        <v>18129</v>
      </c>
      <c r="B1551" t="s">
        <v>93</v>
      </c>
      <c r="C1551">
        <v>13</v>
      </c>
      <c r="D1551">
        <v>5.7981302378870501</v>
      </c>
      <c r="E1551">
        <v>10.9398683733718</v>
      </c>
      <c r="F1551">
        <f t="shared" si="49"/>
        <v>1</v>
      </c>
      <c r="G1551">
        <v>0</v>
      </c>
      <c r="H1551">
        <v>0</v>
      </c>
      <c r="I1551">
        <v>1</v>
      </c>
      <c r="J1551">
        <v>0</v>
      </c>
      <c r="K1551">
        <v>0</v>
      </c>
      <c r="L1551">
        <v>0</v>
      </c>
      <c r="M1551">
        <f t="shared" si="48"/>
        <v>12</v>
      </c>
      <c r="N1551">
        <v>0</v>
      </c>
      <c r="O1551">
        <v>0</v>
      </c>
      <c r="P1551">
        <v>12</v>
      </c>
      <c r="Q1551">
        <v>0</v>
      </c>
      <c r="R1551">
        <v>0</v>
      </c>
      <c r="S1551">
        <v>0</v>
      </c>
    </row>
    <row r="1552" spans="1:19" x14ac:dyDescent="0.25">
      <c r="A1552">
        <v>18129</v>
      </c>
      <c r="B1552" t="s">
        <v>93</v>
      </c>
      <c r="C1552">
        <v>14</v>
      </c>
      <c r="D1552">
        <v>4.4853460330824397</v>
      </c>
      <c r="E1552">
        <v>8.2049012800288494</v>
      </c>
      <c r="F1552">
        <f t="shared" si="49"/>
        <v>1</v>
      </c>
      <c r="G1552">
        <v>0</v>
      </c>
      <c r="H1552">
        <v>0</v>
      </c>
      <c r="I1552">
        <v>1</v>
      </c>
      <c r="J1552">
        <v>0</v>
      </c>
      <c r="K1552">
        <v>0</v>
      </c>
      <c r="L1552">
        <v>0</v>
      </c>
      <c r="M1552">
        <f t="shared" si="48"/>
        <v>12</v>
      </c>
      <c r="N1552">
        <v>0</v>
      </c>
      <c r="O1552">
        <v>0</v>
      </c>
      <c r="P1552">
        <v>12</v>
      </c>
      <c r="Q1552">
        <v>0</v>
      </c>
      <c r="R1552">
        <v>0</v>
      </c>
      <c r="S1552">
        <v>0</v>
      </c>
    </row>
    <row r="1553" spans="1:19" x14ac:dyDescent="0.25">
      <c r="A1553">
        <v>18129</v>
      </c>
      <c r="B1553" t="s">
        <v>93</v>
      </c>
      <c r="C1553">
        <v>15</v>
      </c>
      <c r="D1553">
        <v>4.1571499818812798</v>
      </c>
      <c r="E1553">
        <v>7.6579078613602602</v>
      </c>
      <c r="F1553">
        <f t="shared" si="49"/>
        <v>1</v>
      </c>
      <c r="G1553">
        <v>0</v>
      </c>
      <c r="H1553">
        <v>0</v>
      </c>
      <c r="I1553">
        <v>1</v>
      </c>
      <c r="J1553">
        <v>0</v>
      </c>
      <c r="K1553">
        <v>0</v>
      </c>
      <c r="L1553">
        <v>0</v>
      </c>
      <c r="M1553">
        <f t="shared" si="48"/>
        <v>12</v>
      </c>
      <c r="N1553">
        <v>0</v>
      </c>
      <c r="O1553">
        <v>0</v>
      </c>
      <c r="P1553">
        <v>12</v>
      </c>
      <c r="Q1553">
        <v>0</v>
      </c>
      <c r="R1553">
        <v>0</v>
      </c>
      <c r="S1553">
        <v>0</v>
      </c>
    </row>
    <row r="1554" spans="1:19" x14ac:dyDescent="0.25">
      <c r="A1554">
        <v>18129</v>
      </c>
      <c r="B1554" t="s">
        <v>93</v>
      </c>
      <c r="C1554">
        <v>16</v>
      </c>
      <c r="D1554">
        <v>4.7041434005498699</v>
      </c>
      <c r="E1554">
        <v>5.1417381354847498</v>
      </c>
      <c r="F1554">
        <f t="shared" si="49"/>
        <v>1</v>
      </c>
      <c r="G1554">
        <v>0</v>
      </c>
      <c r="H1554">
        <v>0</v>
      </c>
      <c r="I1554">
        <v>1</v>
      </c>
      <c r="J1554">
        <v>0</v>
      </c>
      <c r="K1554">
        <v>0</v>
      </c>
      <c r="L1554">
        <v>0</v>
      </c>
      <c r="M1554">
        <f t="shared" si="48"/>
        <v>12</v>
      </c>
      <c r="N1554">
        <v>0</v>
      </c>
      <c r="O1554">
        <v>0</v>
      </c>
      <c r="P1554">
        <v>12</v>
      </c>
      <c r="Q1554">
        <v>0</v>
      </c>
      <c r="R1554">
        <v>0</v>
      </c>
      <c r="S1554">
        <v>0</v>
      </c>
    </row>
    <row r="1555" spans="1:19" x14ac:dyDescent="0.25">
      <c r="A1555">
        <v>18129</v>
      </c>
      <c r="B1555" t="s">
        <v>93</v>
      </c>
      <c r="C1555">
        <v>17</v>
      </c>
      <c r="D1555">
        <v>4.8135420842835899</v>
      </c>
      <c r="E1555">
        <v>2.73496709334295</v>
      </c>
      <c r="F1555">
        <f t="shared" si="49"/>
        <v>1</v>
      </c>
      <c r="G1555">
        <v>0</v>
      </c>
      <c r="H1555">
        <v>0</v>
      </c>
      <c r="I1555">
        <v>1</v>
      </c>
      <c r="J1555">
        <v>0</v>
      </c>
      <c r="K1555">
        <v>0</v>
      </c>
      <c r="L1555">
        <v>0</v>
      </c>
      <c r="M1555">
        <f t="shared" si="48"/>
        <v>12</v>
      </c>
      <c r="N1555">
        <v>0</v>
      </c>
      <c r="O1555">
        <v>0</v>
      </c>
      <c r="P1555">
        <v>12</v>
      </c>
      <c r="Q1555">
        <v>0</v>
      </c>
      <c r="R1555">
        <v>0</v>
      </c>
      <c r="S1555">
        <v>0</v>
      </c>
    </row>
    <row r="1556" spans="1:19" x14ac:dyDescent="0.25">
      <c r="A1556">
        <v>18129</v>
      </c>
      <c r="B1556" t="s">
        <v>93</v>
      </c>
      <c r="C1556">
        <v>18</v>
      </c>
      <c r="D1556">
        <v>5.4699341866858999</v>
      </c>
      <c r="E1556">
        <v>2.62556840960923</v>
      </c>
      <c r="F1556">
        <f t="shared" si="49"/>
        <v>1</v>
      </c>
      <c r="G1556">
        <v>0</v>
      </c>
      <c r="H1556">
        <v>0</v>
      </c>
      <c r="I1556">
        <v>1</v>
      </c>
      <c r="J1556">
        <v>0</v>
      </c>
      <c r="K1556">
        <v>0</v>
      </c>
      <c r="L1556">
        <v>0</v>
      </c>
      <c r="M1556">
        <f t="shared" si="48"/>
        <v>12</v>
      </c>
      <c r="N1556">
        <v>0</v>
      </c>
      <c r="O1556">
        <v>0</v>
      </c>
      <c r="P1556">
        <v>12</v>
      </c>
      <c r="Q1556">
        <v>0</v>
      </c>
      <c r="R1556">
        <v>0</v>
      </c>
      <c r="S1556">
        <v>0</v>
      </c>
    </row>
    <row r="1557" spans="1:19" x14ac:dyDescent="0.25">
      <c r="A1557">
        <v>18129</v>
      </c>
      <c r="B1557" t="s">
        <v>93</v>
      </c>
      <c r="C1557">
        <v>19</v>
      </c>
      <c r="D1557">
        <v>6.12632628908821</v>
      </c>
      <c r="E1557">
        <v>1.5315815722720501</v>
      </c>
      <c r="F1557">
        <f t="shared" si="49"/>
        <v>1</v>
      </c>
      <c r="G1557">
        <v>0</v>
      </c>
      <c r="H1557">
        <v>0</v>
      </c>
      <c r="I1557">
        <v>1</v>
      </c>
      <c r="J1557">
        <v>0</v>
      </c>
      <c r="K1557">
        <v>0</v>
      </c>
      <c r="L1557">
        <v>0</v>
      </c>
      <c r="M1557">
        <f t="shared" si="48"/>
        <v>12</v>
      </c>
      <c r="N1557">
        <v>0</v>
      </c>
      <c r="O1557">
        <v>0</v>
      </c>
      <c r="P1557">
        <v>12</v>
      </c>
      <c r="Q1557">
        <v>0</v>
      </c>
      <c r="R1557">
        <v>0</v>
      </c>
      <c r="S1557">
        <v>0</v>
      </c>
    </row>
    <row r="1558" spans="1:19" x14ac:dyDescent="0.25">
      <c r="A1558">
        <v>18129</v>
      </c>
      <c r="B1558" t="s">
        <v>93</v>
      </c>
      <c r="C1558">
        <v>20</v>
      </c>
      <c r="D1558">
        <v>7.0015157589579502</v>
      </c>
      <c r="E1558">
        <v>3.1725618282778201</v>
      </c>
      <c r="F1558">
        <f t="shared" si="49"/>
        <v>1</v>
      </c>
      <c r="G1558">
        <v>0</v>
      </c>
      <c r="H1558">
        <v>0</v>
      </c>
      <c r="I1558">
        <v>1</v>
      </c>
      <c r="J1558">
        <v>0</v>
      </c>
      <c r="K1558">
        <v>0</v>
      </c>
      <c r="L1558">
        <v>0</v>
      </c>
      <c r="M1558">
        <f t="shared" si="48"/>
        <v>12</v>
      </c>
      <c r="N1558">
        <v>0</v>
      </c>
      <c r="O1558">
        <v>0</v>
      </c>
      <c r="P1558">
        <v>12</v>
      </c>
      <c r="Q1558">
        <v>0</v>
      </c>
      <c r="R1558">
        <v>0</v>
      </c>
      <c r="S1558">
        <v>0</v>
      </c>
    </row>
    <row r="1559" spans="1:19" x14ac:dyDescent="0.25">
      <c r="A1559">
        <v>18129</v>
      </c>
      <c r="B1559" t="s">
        <v>93</v>
      </c>
      <c r="C1559">
        <v>21</v>
      </c>
      <c r="D1559">
        <v>7.3297118101591101</v>
      </c>
      <c r="E1559">
        <v>4.0477512981475599</v>
      </c>
      <c r="F1559">
        <f t="shared" si="49"/>
        <v>1</v>
      </c>
      <c r="G1559">
        <v>0</v>
      </c>
      <c r="H1559">
        <v>0</v>
      </c>
      <c r="I1559">
        <v>1</v>
      </c>
      <c r="J1559">
        <v>0</v>
      </c>
      <c r="K1559">
        <v>0</v>
      </c>
      <c r="L1559">
        <v>0</v>
      </c>
      <c r="M1559">
        <f t="shared" si="48"/>
        <v>12</v>
      </c>
      <c r="N1559">
        <v>0</v>
      </c>
      <c r="O1559">
        <v>0</v>
      </c>
      <c r="P1559">
        <v>12</v>
      </c>
      <c r="Q1559">
        <v>0</v>
      </c>
      <c r="R1559">
        <v>0</v>
      </c>
      <c r="S1559">
        <v>0</v>
      </c>
    </row>
    <row r="1560" spans="1:19" x14ac:dyDescent="0.25">
      <c r="A1560">
        <v>18129</v>
      </c>
      <c r="B1560" t="s">
        <v>93</v>
      </c>
      <c r="C1560">
        <v>22</v>
      </c>
      <c r="D1560">
        <v>7.7673065450939802</v>
      </c>
      <c r="E1560">
        <v>5.1417381354847498</v>
      </c>
      <c r="F1560">
        <f t="shared" si="49"/>
        <v>1</v>
      </c>
      <c r="G1560">
        <v>0</v>
      </c>
      <c r="H1560">
        <v>0</v>
      </c>
      <c r="I1560">
        <v>1</v>
      </c>
      <c r="J1560">
        <v>0</v>
      </c>
      <c r="K1560">
        <v>0</v>
      </c>
      <c r="L1560">
        <v>0</v>
      </c>
      <c r="M1560">
        <f t="shared" si="48"/>
        <v>12</v>
      </c>
      <c r="N1560">
        <v>0</v>
      </c>
      <c r="O1560">
        <v>0</v>
      </c>
      <c r="P1560">
        <v>12</v>
      </c>
      <c r="Q1560">
        <v>0</v>
      </c>
      <c r="R1560">
        <v>0</v>
      </c>
      <c r="S1560">
        <v>0</v>
      </c>
    </row>
    <row r="1561" spans="1:19" x14ac:dyDescent="0.25">
      <c r="A1561">
        <v>18129</v>
      </c>
      <c r="B1561" t="s">
        <v>93</v>
      </c>
      <c r="C1561">
        <v>23</v>
      </c>
      <c r="D1561">
        <v>8.0955025962951304</v>
      </c>
      <c r="E1561">
        <v>6.6733197077568001</v>
      </c>
      <c r="F1561">
        <f t="shared" si="49"/>
        <v>1</v>
      </c>
      <c r="G1561">
        <v>0</v>
      </c>
      <c r="H1561">
        <v>0</v>
      </c>
      <c r="I1561">
        <v>1</v>
      </c>
      <c r="J1561">
        <v>0</v>
      </c>
      <c r="K1561">
        <v>0</v>
      </c>
      <c r="L1561">
        <v>0</v>
      </c>
      <c r="M1561">
        <f t="shared" si="48"/>
        <v>12</v>
      </c>
      <c r="N1561">
        <v>0</v>
      </c>
      <c r="O1561">
        <v>0</v>
      </c>
      <c r="P1561">
        <v>12</v>
      </c>
      <c r="Q1561">
        <v>0</v>
      </c>
      <c r="R1561">
        <v>0</v>
      </c>
      <c r="S1561">
        <v>0</v>
      </c>
    </row>
    <row r="1562" spans="1:19" x14ac:dyDescent="0.25">
      <c r="A1562">
        <v>18131</v>
      </c>
      <c r="B1562" t="s">
        <v>94</v>
      </c>
      <c r="C1562">
        <v>0</v>
      </c>
      <c r="D1562">
        <v>1.79958909349284</v>
      </c>
      <c r="E1562">
        <v>0</v>
      </c>
      <c r="F1562">
        <f t="shared" si="49"/>
        <v>1</v>
      </c>
      <c r="G1562">
        <v>0</v>
      </c>
      <c r="H1562">
        <v>0</v>
      </c>
      <c r="I1562">
        <v>1</v>
      </c>
      <c r="J1562">
        <v>0</v>
      </c>
      <c r="K1562">
        <v>0</v>
      </c>
      <c r="L1562">
        <v>0</v>
      </c>
      <c r="M1562">
        <f t="shared" si="48"/>
        <v>25</v>
      </c>
      <c r="N1562">
        <v>0</v>
      </c>
      <c r="O1562">
        <v>0</v>
      </c>
      <c r="P1562">
        <v>25</v>
      </c>
      <c r="Q1562">
        <v>0</v>
      </c>
      <c r="R1562">
        <v>0</v>
      </c>
      <c r="S1562">
        <v>0</v>
      </c>
    </row>
    <row r="1563" spans="1:19" x14ac:dyDescent="0.25">
      <c r="A1563">
        <v>18131</v>
      </c>
      <c r="B1563" t="s">
        <v>94</v>
      </c>
      <c r="C1563">
        <v>1</v>
      </c>
      <c r="D1563">
        <v>1.8495776794231999</v>
      </c>
      <c r="E1563">
        <v>0</v>
      </c>
      <c r="F1563">
        <f t="shared" si="49"/>
        <v>1</v>
      </c>
      <c r="G1563">
        <v>0</v>
      </c>
      <c r="H1563">
        <v>0</v>
      </c>
      <c r="I1563">
        <v>1</v>
      </c>
      <c r="J1563">
        <v>0</v>
      </c>
      <c r="K1563">
        <v>0</v>
      </c>
      <c r="L1563">
        <v>0</v>
      </c>
      <c r="M1563">
        <f t="shared" si="48"/>
        <v>25</v>
      </c>
      <c r="N1563">
        <v>0</v>
      </c>
      <c r="O1563">
        <v>0</v>
      </c>
      <c r="P1563">
        <v>25</v>
      </c>
      <c r="Q1563">
        <v>0</v>
      </c>
      <c r="R1563">
        <v>0</v>
      </c>
      <c r="S1563">
        <v>0</v>
      </c>
    </row>
    <row r="1564" spans="1:19" x14ac:dyDescent="0.25">
      <c r="A1564">
        <v>18131</v>
      </c>
      <c r="B1564" t="s">
        <v>94</v>
      </c>
      <c r="C1564">
        <v>2</v>
      </c>
      <c r="D1564">
        <v>1.99954343721427</v>
      </c>
      <c r="E1564">
        <v>0</v>
      </c>
      <c r="F1564">
        <f t="shared" si="49"/>
        <v>1</v>
      </c>
      <c r="G1564">
        <v>0</v>
      </c>
      <c r="H1564">
        <v>0</v>
      </c>
      <c r="I1564">
        <v>1</v>
      </c>
      <c r="J1564">
        <v>0</v>
      </c>
      <c r="K1564">
        <v>0</v>
      </c>
      <c r="L1564">
        <v>0</v>
      </c>
      <c r="M1564">
        <f t="shared" si="48"/>
        <v>25</v>
      </c>
      <c r="N1564">
        <v>0</v>
      </c>
      <c r="O1564">
        <v>0</v>
      </c>
      <c r="P1564">
        <v>25</v>
      </c>
      <c r="Q1564">
        <v>0</v>
      </c>
      <c r="R1564">
        <v>0</v>
      </c>
      <c r="S1564">
        <v>0</v>
      </c>
    </row>
    <row r="1565" spans="1:19" x14ac:dyDescent="0.25">
      <c r="A1565">
        <v>18131</v>
      </c>
      <c r="B1565" t="s">
        <v>94</v>
      </c>
      <c r="C1565">
        <v>3</v>
      </c>
      <c r="D1565">
        <v>2.0995206090749798</v>
      </c>
      <c r="E1565">
        <v>0</v>
      </c>
      <c r="F1565">
        <f t="shared" si="49"/>
        <v>1</v>
      </c>
      <c r="G1565">
        <v>0</v>
      </c>
      <c r="H1565">
        <v>0</v>
      </c>
      <c r="I1565">
        <v>1</v>
      </c>
      <c r="J1565">
        <v>0</v>
      </c>
      <c r="K1565">
        <v>0</v>
      </c>
      <c r="L1565">
        <v>0</v>
      </c>
      <c r="M1565">
        <f t="shared" si="48"/>
        <v>25</v>
      </c>
      <c r="N1565">
        <v>0</v>
      </c>
      <c r="O1565">
        <v>0</v>
      </c>
      <c r="P1565">
        <v>25</v>
      </c>
      <c r="Q1565">
        <v>0</v>
      </c>
      <c r="R1565">
        <v>0</v>
      </c>
      <c r="S1565">
        <v>0</v>
      </c>
    </row>
    <row r="1566" spans="1:19" x14ac:dyDescent="0.25">
      <c r="A1566">
        <v>18131</v>
      </c>
      <c r="B1566" t="s">
        <v>94</v>
      </c>
      <c r="C1566">
        <v>4</v>
      </c>
      <c r="D1566">
        <v>2.1994977809357001</v>
      </c>
      <c r="E1566">
        <v>0</v>
      </c>
      <c r="F1566">
        <f t="shared" si="49"/>
        <v>1</v>
      </c>
      <c r="G1566">
        <v>0</v>
      </c>
      <c r="H1566">
        <v>0</v>
      </c>
      <c r="I1566">
        <v>1</v>
      </c>
      <c r="J1566">
        <v>0</v>
      </c>
      <c r="K1566">
        <v>0</v>
      </c>
      <c r="L1566">
        <v>0</v>
      </c>
      <c r="M1566">
        <f t="shared" si="48"/>
        <v>25</v>
      </c>
      <c r="N1566">
        <v>0</v>
      </c>
      <c r="O1566">
        <v>0</v>
      </c>
      <c r="P1566">
        <v>25</v>
      </c>
      <c r="Q1566">
        <v>0</v>
      </c>
      <c r="R1566">
        <v>0</v>
      </c>
      <c r="S1566">
        <v>0</v>
      </c>
    </row>
    <row r="1567" spans="1:19" x14ac:dyDescent="0.25">
      <c r="A1567">
        <v>18131</v>
      </c>
      <c r="B1567" t="s">
        <v>94</v>
      </c>
      <c r="C1567">
        <v>5</v>
      </c>
      <c r="D1567">
        <v>2.44944071058748</v>
      </c>
      <c r="E1567">
        <v>0</v>
      </c>
      <c r="F1567">
        <f t="shared" si="49"/>
        <v>1</v>
      </c>
      <c r="G1567">
        <v>0</v>
      </c>
      <c r="H1567">
        <v>0</v>
      </c>
      <c r="I1567">
        <v>1</v>
      </c>
      <c r="J1567">
        <v>0</v>
      </c>
      <c r="K1567">
        <v>0</v>
      </c>
      <c r="L1567">
        <v>0</v>
      </c>
      <c r="M1567">
        <f t="shared" si="48"/>
        <v>25</v>
      </c>
      <c r="N1567">
        <v>0</v>
      </c>
      <c r="O1567">
        <v>0</v>
      </c>
      <c r="P1567">
        <v>25</v>
      </c>
      <c r="Q1567">
        <v>0</v>
      </c>
      <c r="R1567">
        <v>0</v>
      </c>
      <c r="S1567">
        <v>0</v>
      </c>
    </row>
    <row r="1568" spans="1:19" x14ac:dyDescent="0.25">
      <c r="A1568">
        <v>18131</v>
      </c>
      <c r="B1568" t="s">
        <v>94</v>
      </c>
      <c r="C1568">
        <v>6</v>
      </c>
      <c r="D1568">
        <v>2.94932656989105</v>
      </c>
      <c r="E1568">
        <v>0</v>
      </c>
      <c r="F1568">
        <f t="shared" si="49"/>
        <v>1</v>
      </c>
      <c r="G1568">
        <v>0</v>
      </c>
      <c r="H1568">
        <v>0</v>
      </c>
      <c r="I1568">
        <v>1</v>
      </c>
      <c r="J1568">
        <v>0</v>
      </c>
      <c r="K1568">
        <v>0</v>
      </c>
      <c r="L1568">
        <v>0</v>
      </c>
      <c r="M1568">
        <f t="shared" si="48"/>
        <v>25</v>
      </c>
      <c r="N1568">
        <v>0</v>
      </c>
      <c r="O1568">
        <v>0</v>
      </c>
      <c r="P1568">
        <v>25</v>
      </c>
      <c r="Q1568">
        <v>0</v>
      </c>
      <c r="R1568">
        <v>0</v>
      </c>
      <c r="S1568">
        <v>0</v>
      </c>
    </row>
    <row r="1569" spans="1:19" x14ac:dyDescent="0.25">
      <c r="A1569">
        <v>18131</v>
      </c>
      <c r="B1569" t="s">
        <v>94</v>
      </c>
      <c r="C1569">
        <v>7</v>
      </c>
      <c r="D1569">
        <v>1.94955485128391</v>
      </c>
      <c r="E1569">
        <v>9.9977171860713601E-2</v>
      </c>
      <c r="F1569">
        <f t="shared" si="49"/>
        <v>1</v>
      </c>
      <c r="G1569">
        <v>0</v>
      </c>
      <c r="H1569">
        <v>0</v>
      </c>
      <c r="I1569">
        <v>1</v>
      </c>
      <c r="J1569">
        <v>0</v>
      </c>
      <c r="K1569">
        <v>0</v>
      </c>
      <c r="L1569">
        <v>0</v>
      </c>
      <c r="M1569">
        <f t="shared" si="48"/>
        <v>25</v>
      </c>
      <c r="N1569">
        <v>0</v>
      </c>
      <c r="O1569">
        <v>0</v>
      </c>
      <c r="P1569">
        <v>25</v>
      </c>
      <c r="Q1569">
        <v>0</v>
      </c>
      <c r="R1569">
        <v>0</v>
      </c>
      <c r="S1569">
        <v>0</v>
      </c>
    </row>
    <row r="1570" spans="1:19" x14ac:dyDescent="0.25">
      <c r="A1570">
        <v>18131</v>
      </c>
      <c r="B1570" t="s">
        <v>94</v>
      </c>
      <c r="C1570">
        <v>8</v>
      </c>
      <c r="D1570">
        <v>2.0495320231446299</v>
      </c>
      <c r="E1570">
        <v>0.14996575779106999</v>
      </c>
      <c r="F1570">
        <f t="shared" si="49"/>
        <v>1</v>
      </c>
      <c r="G1570">
        <v>0</v>
      </c>
      <c r="H1570">
        <v>0</v>
      </c>
      <c r="I1570">
        <v>1</v>
      </c>
      <c r="J1570">
        <v>0</v>
      </c>
      <c r="K1570">
        <v>0</v>
      </c>
      <c r="L1570">
        <v>0</v>
      </c>
      <c r="M1570">
        <f t="shared" si="48"/>
        <v>25</v>
      </c>
      <c r="N1570">
        <v>0</v>
      </c>
      <c r="O1570">
        <v>0</v>
      </c>
      <c r="P1570">
        <v>25</v>
      </c>
      <c r="Q1570">
        <v>0</v>
      </c>
      <c r="R1570">
        <v>0</v>
      </c>
      <c r="S1570">
        <v>0</v>
      </c>
    </row>
    <row r="1571" spans="1:19" x14ac:dyDescent="0.25">
      <c r="A1571">
        <v>18131</v>
      </c>
      <c r="B1571" t="s">
        <v>94</v>
      </c>
      <c r="C1571">
        <v>9</v>
      </c>
      <c r="D1571">
        <v>3.1992694995428299</v>
      </c>
      <c r="E1571">
        <v>0</v>
      </c>
      <c r="F1571">
        <f t="shared" si="49"/>
        <v>1</v>
      </c>
      <c r="G1571">
        <v>0</v>
      </c>
      <c r="H1571">
        <v>0</v>
      </c>
      <c r="I1571">
        <v>1</v>
      </c>
      <c r="J1571">
        <v>0</v>
      </c>
      <c r="K1571">
        <v>0</v>
      </c>
      <c r="L1571">
        <v>0</v>
      </c>
      <c r="M1571">
        <f t="shared" si="48"/>
        <v>25</v>
      </c>
      <c r="N1571">
        <v>0</v>
      </c>
      <c r="O1571">
        <v>0</v>
      </c>
      <c r="P1571">
        <v>25</v>
      </c>
      <c r="Q1571">
        <v>0</v>
      </c>
      <c r="R1571">
        <v>0</v>
      </c>
      <c r="S1571">
        <v>0</v>
      </c>
    </row>
    <row r="1572" spans="1:19" x14ac:dyDescent="0.25">
      <c r="A1572">
        <v>18131</v>
      </c>
      <c r="B1572" t="s">
        <v>94</v>
      </c>
      <c r="C1572">
        <v>10</v>
      </c>
      <c r="D1572">
        <v>2.9993151558214102</v>
      </c>
      <c r="E1572">
        <v>9.9977171860713601E-2</v>
      </c>
      <c r="F1572">
        <f t="shared" si="49"/>
        <v>1</v>
      </c>
      <c r="G1572">
        <v>0</v>
      </c>
      <c r="H1572">
        <v>0</v>
      </c>
      <c r="I1572">
        <v>1</v>
      </c>
      <c r="J1572">
        <v>0</v>
      </c>
      <c r="K1572">
        <v>0</v>
      </c>
      <c r="L1572">
        <v>0</v>
      </c>
      <c r="M1572">
        <f t="shared" si="48"/>
        <v>25</v>
      </c>
      <c r="N1572">
        <v>0</v>
      </c>
      <c r="O1572">
        <v>0</v>
      </c>
      <c r="P1572">
        <v>25</v>
      </c>
      <c r="Q1572">
        <v>0</v>
      </c>
      <c r="R1572">
        <v>0</v>
      </c>
      <c r="S1572">
        <v>0</v>
      </c>
    </row>
    <row r="1573" spans="1:19" x14ac:dyDescent="0.25">
      <c r="A1573">
        <v>18131</v>
      </c>
      <c r="B1573" t="s">
        <v>94</v>
      </c>
      <c r="C1573">
        <v>11</v>
      </c>
      <c r="D1573">
        <v>2.64939505430891</v>
      </c>
      <c r="E1573">
        <v>0.19995434372142701</v>
      </c>
      <c r="F1573">
        <f t="shared" si="49"/>
        <v>1</v>
      </c>
      <c r="G1573">
        <v>0</v>
      </c>
      <c r="H1573">
        <v>0</v>
      </c>
      <c r="I1573">
        <v>1</v>
      </c>
      <c r="J1573">
        <v>0</v>
      </c>
      <c r="K1573">
        <v>0</v>
      </c>
      <c r="L1573">
        <v>0</v>
      </c>
      <c r="M1573">
        <f t="shared" si="48"/>
        <v>25</v>
      </c>
      <c r="N1573">
        <v>0</v>
      </c>
      <c r="O1573">
        <v>0</v>
      </c>
      <c r="P1573">
        <v>25</v>
      </c>
      <c r="Q1573">
        <v>0</v>
      </c>
      <c r="R1573">
        <v>0</v>
      </c>
      <c r="S1573">
        <v>0</v>
      </c>
    </row>
    <row r="1574" spans="1:19" x14ac:dyDescent="0.25">
      <c r="A1574">
        <v>18131</v>
      </c>
      <c r="B1574" t="s">
        <v>94</v>
      </c>
      <c r="C1574">
        <v>12</v>
      </c>
      <c r="D1574">
        <v>2.2494863668660501</v>
      </c>
      <c r="E1574">
        <v>9.9977171860713601E-2</v>
      </c>
      <c r="F1574">
        <f t="shared" si="49"/>
        <v>1</v>
      </c>
      <c r="G1574">
        <v>0</v>
      </c>
      <c r="H1574">
        <v>0</v>
      </c>
      <c r="I1574">
        <v>1</v>
      </c>
      <c r="J1574">
        <v>0</v>
      </c>
      <c r="K1574">
        <v>0</v>
      </c>
      <c r="L1574">
        <v>0</v>
      </c>
      <c r="M1574">
        <f t="shared" si="48"/>
        <v>25</v>
      </c>
      <c r="N1574">
        <v>0</v>
      </c>
      <c r="O1574">
        <v>0</v>
      </c>
      <c r="P1574">
        <v>25</v>
      </c>
      <c r="Q1574">
        <v>0</v>
      </c>
      <c r="R1574">
        <v>0</v>
      </c>
      <c r="S1574">
        <v>0</v>
      </c>
    </row>
    <row r="1575" spans="1:19" x14ac:dyDescent="0.25">
      <c r="A1575">
        <v>18131</v>
      </c>
      <c r="B1575" t="s">
        <v>94</v>
      </c>
      <c r="C1575">
        <v>13</v>
      </c>
      <c r="D1575">
        <v>1.34969182011963</v>
      </c>
      <c r="E1575">
        <v>0.29993151558214098</v>
      </c>
      <c r="F1575">
        <f t="shared" si="49"/>
        <v>1</v>
      </c>
      <c r="G1575">
        <v>0</v>
      </c>
      <c r="H1575">
        <v>0</v>
      </c>
      <c r="I1575">
        <v>1</v>
      </c>
      <c r="J1575">
        <v>0</v>
      </c>
      <c r="K1575">
        <v>0</v>
      </c>
      <c r="L1575">
        <v>0</v>
      </c>
      <c r="M1575">
        <f t="shared" si="48"/>
        <v>25</v>
      </c>
      <c r="N1575">
        <v>0</v>
      </c>
      <c r="O1575">
        <v>0</v>
      </c>
      <c r="P1575">
        <v>25</v>
      </c>
      <c r="Q1575">
        <v>0</v>
      </c>
      <c r="R1575">
        <v>0</v>
      </c>
      <c r="S1575">
        <v>0</v>
      </c>
    </row>
    <row r="1576" spans="1:19" x14ac:dyDescent="0.25">
      <c r="A1576">
        <v>18131</v>
      </c>
      <c r="B1576" t="s">
        <v>94</v>
      </c>
      <c r="C1576">
        <v>14</v>
      </c>
      <c r="D1576">
        <v>0.79981737488570903</v>
      </c>
      <c r="E1576">
        <v>0.29993151558214098</v>
      </c>
      <c r="F1576">
        <f t="shared" si="49"/>
        <v>1</v>
      </c>
      <c r="G1576">
        <v>0</v>
      </c>
      <c r="H1576">
        <v>0</v>
      </c>
      <c r="I1576">
        <v>1</v>
      </c>
      <c r="J1576">
        <v>0</v>
      </c>
      <c r="K1576">
        <v>0</v>
      </c>
      <c r="L1576">
        <v>0</v>
      </c>
      <c r="M1576">
        <f t="shared" si="48"/>
        <v>25</v>
      </c>
      <c r="N1576">
        <v>0</v>
      </c>
      <c r="O1576">
        <v>0</v>
      </c>
      <c r="P1576">
        <v>25</v>
      </c>
      <c r="Q1576">
        <v>0</v>
      </c>
      <c r="R1576">
        <v>0</v>
      </c>
      <c r="S1576">
        <v>0</v>
      </c>
    </row>
    <row r="1577" spans="1:19" x14ac:dyDescent="0.25">
      <c r="A1577">
        <v>18131</v>
      </c>
      <c r="B1577" t="s">
        <v>94</v>
      </c>
      <c r="C1577">
        <v>15</v>
      </c>
      <c r="D1577">
        <v>0.99977171860713598</v>
      </c>
      <c r="E1577">
        <v>0.29993151558214098</v>
      </c>
      <c r="F1577">
        <f t="shared" si="49"/>
        <v>1</v>
      </c>
      <c r="G1577">
        <v>0</v>
      </c>
      <c r="H1577">
        <v>0</v>
      </c>
      <c r="I1577">
        <v>1</v>
      </c>
      <c r="J1577">
        <v>0</v>
      </c>
      <c r="K1577">
        <v>0</v>
      </c>
      <c r="L1577">
        <v>0</v>
      </c>
      <c r="M1577">
        <f t="shared" si="48"/>
        <v>25</v>
      </c>
      <c r="N1577">
        <v>0</v>
      </c>
      <c r="O1577">
        <v>0</v>
      </c>
      <c r="P1577">
        <v>25</v>
      </c>
      <c r="Q1577">
        <v>0</v>
      </c>
      <c r="R1577">
        <v>0</v>
      </c>
      <c r="S1577">
        <v>0</v>
      </c>
    </row>
    <row r="1578" spans="1:19" x14ac:dyDescent="0.25">
      <c r="A1578">
        <v>18131</v>
      </c>
      <c r="B1578" t="s">
        <v>94</v>
      </c>
      <c r="C1578">
        <v>16</v>
      </c>
      <c r="D1578">
        <v>1.0497603045374899</v>
      </c>
      <c r="E1578">
        <v>0.19995434372142701</v>
      </c>
      <c r="F1578">
        <f t="shared" si="49"/>
        <v>1</v>
      </c>
      <c r="G1578">
        <v>0</v>
      </c>
      <c r="H1578">
        <v>0</v>
      </c>
      <c r="I1578">
        <v>1</v>
      </c>
      <c r="J1578">
        <v>0</v>
      </c>
      <c r="K1578">
        <v>0</v>
      </c>
      <c r="L1578">
        <v>0</v>
      </c>
      <c r="M1578">
        <f t="shared" si="48"/>
        <v>25</v>
      </c>
      <c r="N1578">
        <v>0</v>
      </c>
      <c r="O1578">
        <v>0</v>
      </c>
      <c r="P1578">
        <v>25</v>
      </c>
      <c r="Q1578">
        <v>0</v>
      </c>
      <c r="R1578">
        <v>0</v>
      </c>
      <c r="S1578">
        <v>0</v>
      </c>
    </row>
    <row r="1579" spans="1:19" x14ac:dyDescent="0.25">
      <c r="A1579">
        <v>18131</v>
      </c>
      <c r="B1579" t="s">
        <v>94</v>
      </c>
      <c r="C1579">
        <v>17</v>
      </c>
      <c r="D1579">
        <v>1.4996575779107</v>
      </c>
      <c r="E1579">
        <v>0.14996575779106999</v>
      </c>
      <c r="F1579">
        <f t="shared" si="49"/>
        <v>1</v>
      </c>
      <c r="G1579">
        <v>0</v>
      </c>
      <c r="H1579">
        <v>0</v>
      </c>
      <c r="I1579">
        <v>1</v>
      </c>
      <c r="J1579">
        <v>0</v>
      </c>
      <c r="K1579">
        <v>0</v>
      </c>
      <c r="L1579">
        <v>0</v>
      </c>
      <c r="M1579">
        <f t="shared" si="48"/>
        <v>25</v>
      </c>
      <c r="N1579">
        <v>0</v>
      </c>
      <c r="O1579">
        <v>0</v>
      </c>
      <c r="P1579">
        <v>25</v>
      </c>
      <c r="Q1579">
        <v>0</v>
      </c>
      <c r="R1579">
        <v>0</v>
      </c>
      <c r="S1579">
        <v>0</v>
      </c>
    </row>
    <row r="1580" spans="1:19" x14ac:dyDescent="0.25">
      <c r="A1580">
        <v>18131</v>
      </c>
      <c r="B1580" t="s">
        <v>94</v>
      </c>
      <c r="C1580">
        <v>18</v>
      </c>
      <c r="D1580">
        <v>1.5996347497714101</v>
      </c>
      <c r="E1580">
        <v>0</v>
      </c>
      <c r="F1580">
        <f t="shared" si="49"/>
        <v>1</v>
      </c>
      <c r="G1580">
        <v>0</v>
      </c>
      <c r="H1580">
        <v>0</v>
      </c>
      <c r="I1580">
        <v>1</v>
      </c>
      <c r="J1580">
        <v>0</v>
      </c>
      <c r="K1580">
        <v>0</v>
      </c>
      <c r="L1580">
        <v>0</v>
      </c>
      <c r="M1580">
        <f t="shared" si="48"/>
        <v>25</v>
      </c>
      <c r="N1580">
        <v>0</v>
      </c>
      <c r="O1580">
        <v>0</v>
      </c>
      <c r="P1580">
        <v>25</v>
      </c>
      <c r="Q1580">
        <v>0</v>
      </c>
      <c r="R1580">
        <v>0</v>
      </c>
      <c r="S1580">
        <v>0</v>
      </c>
    </row>
    <row r="1581" spans="1:19" x14ac:dyDescent="0.25">
      <c r="A1581">
        <v>18131</v>
      </c>
      <c r="B1581" t="s">
        <v>94</v>
      </c>
      <c r="C1581">
        <v>19</v>
      </c>
      <c r="D1581">
        <v>1.3996804060499899</v>
      </c>
      <c r="E1581">
        <v>0</v>
      </c>
      <c r="F1581">
        <f t="shared" si="49"/>
        <v>1</v>
      </c>
      <c r="G1581">
        <v>0</v>
      </c>
      <c r="H1581">
        <v>0</v>
      </c>
      <c r="I1581">
        <v>1</v>
      </c>
      <c r="J1581">
        <v>0</v>
      </c>
      <c r="K1581">
        <v>0</v>
      </c>
      <c r="L1581">
        <v>0</v>
      </c>
      <c r="M1581">
        <f t="shared" si="48"/>
        <v>25</v>
      </c>
      <c r="N1581">
        <v>0</v>
      </c>
      <c r="O1581">
        <v>0</v>
      </c>
      <c r="P1581">
        <v>25</v>
      </c>
      <c r="Q1581">
        <v>0</v>
      </c>
      <c r="R1581">
        <v>0</v>
      </c>
      <c r="S1581">
        <v>0</v>
      </c>
    </row>
    <row r="1582" spans="1:19" x14ac:dyDescent="0.25">
      <c r="A1582">
        <v>18131</v>
      </c>
      <c r="B1582" t="s">
        <v>94</v>
      </c>
      <c r="C1582">
        <v>20</v>
      </c>
      <c r="D1582">
        <v>1.5496461638410599</v>
      </c>
      <c r="E1582">
        <v>0</v>
      </c>
      <c r="F1582">
        <f t="shared" si="49"/>
        <v>1</v>
      </c>
      <c r="G1582">
        <v>0</v>
      </c>
      <c r="H1582">
        <v>0</v>
      </c>
      <c r="I1582">
        <v>1</v>
      </c>
      <c r="J1582">
        <v>0</v>
      </c>
      <c r="K1582">
        <v>0</v>
      </c>
      <c r="L1582">
        <v>0</v>
      </c>
      <c r="M1582">
        <f t="shared" si="48"/>
        <v>25</v>
      </c>
      <c r="N1582">
        <v>0</v>
      </c>
      <c r="O1582">
        <v>0</v>
      </c>
      <c r="P1582">
        <v>25</v>
      </c>
      <c r="Q1582">
        <v>0</v>
      </c>
      <c r="R1582">
        <v>0</v>
      </c>
      <c r="S1582">
        <v>0</v>
      </c>
    </row>
    <row r="1583" spans="1:19" x14ac:dyDescent="0.25">
      <c r="A1583">
        <v>18131</v>
      </c>
      <c r="B1583" t="s">
        <v>94</v>
      </c>
      <c r="C1583">
        <v>21</v>
      </c>
      <c r="D1583">
        <v>1.64962333570177</v>
      </c>
      <c r="E1583">
        <v>0</v>
      </c>
      <c r="F1583">
        <f t="shared" si="49"/>
        <v>1</v>
      </c>
      <c r="G1583">
        <v>0</v>
      </c>
      <c r="H1583">
        <v>0</v>
      </c>
      <c r="I1583">
        <v>1</v>
      </c>
      <c r="J1583">
        <v>0</v>
      </c>
      <c r="K1583">
        <v>0</v>
      </c>
      <c r="L1583">
        <v>0</v>
      </c>
      <c r="M1583">
        <f t="shared" si="48"/>
        <v>25</v>
      </c>
      <c r="N1583">
        <v>0</v>
      </c>
      <c r="O1583">
        <v>0</v>
      </c>
      <c r="P1583">
        <v>25</v>
      </c>
      <c r="Q1583">
        <v>0</v>
      </c>
      <c r="R1583">
        <v>0</v>
      </c>
      <c r="S1583">
        <v>0</v>
      </c>
    </row>
    <row r="1584" spans="1:19" x14ac:dyDescent="0.25">
      <c r="A1584">
        <v>18131</v>
      </c>
      <c r="B1584" t="s">
        <v>94</v>
      </c>
      <c r="C1584">
        <v>22</v>
      </c>
      <c r="D1584">
        <v>1.5996347497714101</v>
      </c>
      <c r="E1584">
        <v>0</v>
      </c>
      <c r="F1584">
        <f t="shared" si="49"/>
        <v>1</v>
      </c>
      <c r="G1584">
        <v>0</v>
      </c>
      <c r="H1584">
        <v>0</v>
      </c>
      <c r="I1584">
        <v>1</v>
      </c>
      <c r="J1584">
        <v>0</v>
      </c>
      <c r="K1584">
        <v>0</v>
      </c>
      <c r="L1584">
        <v>0</v>
      </c>
      <c r="M1584">
        <f t="shared" si="48"/>
        <v>25</v>
      </c>
      <c r="N1584">
        <v>0</v>
      </c>
      <c r="O1584">
        <v>0</v>
      </c>
      <c r="P1584">
        <v>25</v>
      </c>
      <c r="Q1584">
        <v>0</v>
      </c>
      <c r="R1584">
        <v>0</v>
      </c>
      <c r="S1584">
        <v>0</v>
      </c>
    </row>
    <row r="1585" spans="1:19" x14ac:dyDescent="0.25">
      <c r="A1585">
        <v>18131</v>
      </c>
      <c r="B1585" t="s">
        <v>94</v>
      </c>
      <c r="C1585">
        <v>23</v>
      </c>
      <c r="D1585">
        <v>1.6996119216321299</v>
      </c>
      <c r="E1585">
        <v>0</v>
      </c>
      <c r="F1585">
        <f t="shared" si="49"/>
        <v>1</v>
      </c>
      <c r="G1585">
        <v>0</v>
      </c>
      <c r="H1585">
        <v>0</v>
      </c>
      <c r="I1585">
        <v>1</v>
      </c>
      <c r="J1585">
        <v>0</v>
      </c>
      <c r="K1585">
        <v>0</v>
      </c>
      <c r="L1585">
        <v>0</v>
      </c>
      <c r="M1585">
        <f t="shared" si="48"/>
        <v>25</v>
      </c>
      <c r="N1585">
        <v>0</v>
      </c>
      <c r="O1585">
        <v>0</v>
      </c>
      <c r="P1585">
        <v>25</v>
      </c>
      <c r="Q1585">
        <v>0</v>
      </c>
      <c r="R1585">
        <v>0</v>
      </c>
      <c r="S1585">
        <v>0</v>
      </c>
    </row>
    <row r="1586" spans="1:19" x14ac:dyDescent="0.25">
      <c r="A1586">
        <v>18133</v>
      </c>
      <c r="B1586" t="s">
        <v>95</v>
      </c>
      <c r="C1586">
        <v>0</v>
      </c>
      <c r="D1586">
        <v>51.010908907888002</v>
      </c>
      <c r="E1586">
        <v>8.1261933294457602</v>
      </c>
      <c r="F1586">
        <f t="shared" si="49"/>
        <v>2</v>
      </c>
      <c r="G1586">
        <v>0</v>
      </c>
      <c r="H1586">
        <v>1</v>
      </c>
      <c r="I1586">
        <v>1</v>
      </c>
      <c r="J1586">
        <v>0</v>
      </c>
      <c r="K1586">
        <v>0</v>
      </c>
      <c r="L1586">
        <v>0</v>
      </c>
      <c r="M1586">
        <f t="shared" si="48"/>
        <v>100</v>
      </c>
      <c r="N1586">
        <v>0</v>
      </c>
      <c r="O1586">
        <v>90</v>
      </c>
      <c r="P1586">
        <v>10</v>
      </c>
      <c r="Q1586">
        <v>0</v>
      </c>
      <c r="R1586">
        <v>0</v>
      </c>
      <c r="S1586">
        <v>0</v>
      </c>
    </row>
    <row r="1587" spans="1:19" x14ac:dyDescent="0.25">
      <c r="A1587">
        <v>18133</v>
      </c>
      <c r="B1587" t="s">
        <v>95</v>
      </c>
      <c r="C1587">
        <v>1</v>
      </c>
      <c r="D1587">
        <v>52.375855443693297</v>
      </c>
      <c r="E1587">
        <v>9.3006822090922192</v>
      </c>
      <c r="F1587">
        <f t="shared" si="49"/>
        <v>2</v>
      </c>
      <c r="G1587">
        <v>0</v>
      </c>
      <c r="H1587">
        <v>1</v>
      </c>
      <c r="I1587">
        <v>1</v>
      </c>
      <c r="J1587">
        <v>0</v>
      </c>
      <c r="K1587">
        <v>0</v>
      </c>
      <c r="L1587">
        <v>0</v>
      </c>
      <c r="M1587">
        <f t="shared" si="48"/>
        <v>100</v>
      </c>
      <c r="N1587">
        <v>0</v>
      </c>
      <c r="O1587">
        <v>90</v>
      </c>
      <c r="P1587">
        <v>10</v>
      </c>
      <c r="Q1587">
        <v>0</v>
      </c>
      <c r="R1587">
        <v>0</v>
      </c>
      <c r="S1587">
        <v>0</v>
      </c>
    </row>
    <row r="1588" spans="1:19" x14ac:dyDescent="0.25">
      <c r="A1588">
        <v>18133</v>
      </c>
      <c r="B1588" t="s">
        <v>95</v>
      </c>
      <c r="C1588">
        <v>2</v>
      </c>
      <c r="D1588">
        <v>50.788708309035997</v>
      </c>
      <c r="E1588">
        <v>9.8720551775688694</v>
      </c>
      <c r="F1588">
        <f t="shared" si="49"/>
        <v>2</v>
      </c>
      <c r="G1588">
        <v>0</v>
      </c>
      <c r="H1588">
        <v>1</v>
      </c>
      <c r="I1588">
        <v>1</v>
      </c>
      <c r="J1588">
        <v>0</v>
      </c>
      <c r="K1588">
        <v>0</v>
      </c>
      <c r="L1588">
        <v>0</v>
      </c>
      <c r="M1588">
        <f t="shared" si="48"/>
        <v>100</v>
      </c>
      <c r="N1588">
        <v>0</v>
      </c>
      <c r="O1588">
        <v>90</v>
      </c>
      <c r="P1588">
        <v>10</v>
      </c>
      <c r="Q1588">
        <v>0</v>
      </c>
      <c r="R1588">
        <v>0</v>
      </c>
      <c r="S1588">
        <v>0</v>
      </c>
    </row>
    <row r="1589" spans="1:19" x14ac:dyDescent="0.25">
      <c r="A1589">
        <v>18133</v>
      </c>
      <c r="B1589" t="s">
        <v>95</v>
      </c>
      <c r="C1589">
        <v>3</v>
      </c>
      <c r="D1589">
        <v>50.249078283252501</v>
      </c>
      <c r="E1589">
        <v>11.6496599683851</v>
      </c>
      <c r="F1589">
        <f t="shared" si="49"/>
        <v>2</v>
      </c>
      <c r="G1589">
        <v>0</v>
      </c>
      <c r="H1589">
        <v>1</v>
      </c>
      <c r="I1589">
        <v>1</v>
      </c>
      <c r="J1589">
        <v>0</v>
      </c>
      <c r="K1589">
        <v>0</v>
      </c>
      <c r="L1589">
        <v>0</v>
      </c>
      <c r="M1589">
        <f t="shared" si="48"/>
        <v>100</v>
      </c>
      <c r="N1589">
        <v>0</v>
      </c>
      <c r="O1589">
        <v>90</v>
      </c>
      <c r="P1589">
        <v>10</v>
      </c>
      <c r="Q1589">
        <v>0</v>
      </c>
      <c r="R1589">
        <v>0</v>
      </c>
      <c r="S1589">
        <v>0</v>
      </c>
    </row>
    <row r="1590" spans="1:19" x14ac:dyDescent="0.25">
      <c r="A1590">
        <v>18133</v>
      </c>
      <c r="B1590" t="s">
        <v>95</v>
      </c>
      <c r="C1590">
        <v>4</v>
      </c>
      <c r="D1590">
        <v>49.487247658616901</v>
      </c>
      <c r="E1590">
        <v>13.0146065041904</v>
      </c>
      <c r="F1590">
        <f t="shared" si="49"/>
        <v>2</v>
      </c>
      <c r="G1590">
        <v>0</v>
      </c>
      <c r="H1590">
        <v>1</v>
      </c>
      <c r="I1590">
        <v>1</v>
      </c>
      <c r="J1590">
        <v>0</v>
      </c>
      <c r="K1590">
        <v>0</v>
      </c>
      <c r="L1590">
        <v>0</v>
      </c>
      <c r="M1590">
        <f t="shared" si="48"/>
        <v>100</v>
      </c>
      <c r="N1590">
        <v>0</v>
      </c>
      <c r="O1590">
        <v>90</v>
      </c>
      <c r="P1590">
        <v>10</v>
      </c>
      <c r="Q1590">
        <v>0</v>
      </c>
      <c r="R1590">
        <v>0</v>
      </c>
      <c r="S1590">
        <v>0</v>
      </c>
    </row>
    <row r="1591" spans="1:19" x14ac:dyDescent="0.25">
      <c r="A1591">
        <v>18133</v>
      </c>
      <c r="B1591" t="s">
        <v>95</v>
      </c>
      <c r="C1591">
        <v>5</v>
      </c>
      <c r="D1591">
        <v>47.455699326255498</v>
      </c>
      <c r="E1591">
        <v>11.4274593695331</v>
      </c>
      <c r="F1591">
        <f t="shared" si="49"/>
        <v>2</v>
      </c>
      <c r="G1591">
        <v>0</v>
      </c>
      <c r="H1591">
        <v>1</v>
      </c>
      <c r="I1591">
        <v>1</v>
      </c>
      <c r="J1591">
        <v>0</v>
      </c>
      <c r="K1591">
        <v>0</v>
      </c>
      <c r="L1591">
        <v>0</v>
      </c>
      <c r="M1591">
        <f t="shared" si="48"/>
        <v>100</v>
      </c>
      <c r="N1591">
        <v>0</v>
      </c>
      <c r="O1591">
        <v>90</v>
      </c>
      <c r="P1591">
        <v>10</v>
      </c>
      <c r="Q1591">
        <v>0</v>
      </c>
      <c r="R1591">
        <v>0</v>
      </c>
      <c r="S1591">
        <v>0</v>
      </c>
    </row>
    <row r="1592" spans="1:19" x14ac:dyDescent="0.25">
      <c r="A1592">
        <v>18133</v>
      </c>
      <c r="B1592" t="s">
        <v>95</v>
      </c>
      <c r="C1592">
        <v>6</v>
      </c>
      <c r="D1592">
        <v>43.741775031157196</v>
      </c>
      <c r="E1592">
        <v>11.903603509930299</v>
      </c>
      <c r="F1592">
        <f t="shared" si="49"/>
        <v>2</v>
      </c>
      <c r="G1592">
        <v>0</v>
      </c>
      <c r="H1592">
        <v>1</v>
      </c>
      <c r="I1592">
        <v>1</v>
      </c>
      <c r="J1592">
        <v>0</v>
      </c>
      <c r="K1592">
        <v>0</v>
      </c>
      <c r="L1592">
        <v>0</v>
      </c>
      <c r="M1592">
        <f t="shared" si="48"/>
        <v>100</v>
      </c>
      <c r="N1592">
        <v>0</v>
      </c>
      <c r="O1592">
        <v>90</v>
      </c>
      <c r="P1592">
        <v>10</v>
      </c>
      <c r="Q1592">
        <v>0</v>
      </c>
      <c r="R1592">
        <v>0</v>
      </c>
      <c r="S1592">
        <v>0</v>
      </c>
    </row>
    <row r="1593" spans="1:19" x14ac:dyDescent="0.25">
      <c r="A1593">
        <v>18133</v>
      </c>
      <c r="B1593" t="s">
        <v>95</v>
      </c>
      <c r="C1593">
        <v>7</v>
      </c>
      <c r="D1593">
        <v>37.520158263300303</v>
      </c>
      <c r="E1593">
        <v>10.983058171829001</v>
      </c>
      <c r="F1593">
        <f t="shared" si="49"/>
        <v>2</v>
      </c>
      <c r="G1593">
        <v>0</v>
      </c>
      <c r="H1593">
        <v>1</v>
      </c>
      <c r="I1593">
        <v>1</v>
      </c>
      <c r="J1593">
        <v>0</v>
      </c>
      <c r="K1593">
        <v>0</v>
      </c>
      <c r="L1593">
        <v>0</v>
      </c>
      <c r="M1593">
        <f t="shared" si="48"/>
        <v>100</v>
      </c>
      <c r="N1593">
        <v>0</v>
      </c>
      <c r="O1593">
        <v>90</v>
      </c>
      <c r="P1593">
        <v>10</v>
      </c>
      <c r="Q1593">
        <v>0</v>
      </c>
      <c r="R1593">
        <v>0</v>
      </c>
      <c r="S1593">
        <v>0</v>
      </c>
    </row>
    <row r="1594" spans="1:19" x14ac:dyDescent="0.25">
      <c r="A1594">
        <v>18133</v>
      </c>
      <c r="B1594" t="s">
        <v>95</v>
      </c>
      <c r="C1594">
        <v>8</v>
      </c>
      <c r="D1594">
        <v>28.568648423832698</v>
      </c>
      <c r="E1594">
        <v>9.5546257506374008</v>
      </c>
      <c r="F1594">
        <f t="shared" si="49"/>
        <v>2</v>
      </c>
      <c r="G1594">
        <v>0</v>
      </c>
      <c r="H1594">
        <v>1</v>
      </c>
      <c r="I1594">
        <v>1</v>
      </c>
      <c r="J1594">
        <v>0</v>
      </c>
      <c r="K1594">
        <v>0</v>
      </c>
      <c r="L1594">
        <v>0</v>
      </c>
      <c r="M1594">
        <f t="shared" si="48"/>
        <v>100</v>
      </c>
      <c r="N1594">
        <v>0</v>
      </c>
      <c r="O1594">
        <v>90</v>
      </c>
      <c r="P1594">
        <v>10</v>
      </c>
      <c r="Q1594">
        <v>0</v>
      </c>
      <c r="R1594">
        <v>0</v>
      </c>
      <c r="S1594">
        <v>0</v>
      </c>
    </row>
    <row r="1595" spans="1:19" x14ac:dyDescent="0.25">
      <c r="A1595">
        <v>18133</v>
      </c>
      <c r="B1595" t="s">
        <v>95</v>
      </c>
      <c r="C1595">
        <v>9</v>
      </c>
      <c r="D1595">
        <v>22.759689910986701</v>
      </c>
      <c r="E1595">
        <v>9.2371963237059198</v>
      </c>
      <c r="F1595">
        <f t="shared" si="49"/>
        <v>2</v>
      </c>
      <c r="G1595">
        <v>0</v>
      </c>
      <c r="H1595">
        <v>1</v>
      </c>
      <c r="I1595">
        <v>1</v>
      </c>
      <c r="J1595">
        <v>0</v>
      </c>
      <c r="K1595">
        <v>0</v>
      </c>
      <c r="L1595">
        <v>0</v>
      </c>
      <c r="M1595">
        <f t="shared" si="48"/>
        <v>100</v>
      </c>
      <c r="N1595">
        <v>0</v>
      </c>
      <c r="O1595">
        <v>90</v>
      </c>
      <c r="P1595">
        <v>10</v>
      </c>
      <c r="Q1595">
        <v>0</v>
      </c>
      <c r="R1595">
        <v>0</v>
      </c>
      <c r="S1595">
        <v>0</v>
      </c>
    </row>
    <row r="1596" spans="1:19" x14ac:dyDescent="0.25">
      <c r="A1596">
        <v>18133</v>
      </c>
      <c r="B1596" t="s">
        <v>95</v>
      </c>
      <c r="C1596">
        <v>10</v>
      </c>
      <c r="D1596">
        <v>19.172737386661002</v>
      </c>
      <c r="E1596">
        <v>8.03096450136632</v>
      </c>
      <c r="F1596">
        <f t="shared" si="49"/>
        <v>2</v>
      </c>
      <c r="G1596">
        <v>0</v>
      </c>
      <c r="H1596">
        <v>1</v>
      </c>
      <c r="I1596">
        <v>1</v>
      </c>
      <c r="J1596">
        <v>0</v>
      </c>
      <c r="K1596">
        <v>0</v>
      </c>
      <c r="L1596">
        <v>0</v>
      </c>
      <c r="M1596">
        <f t="shared" si="48"/>
        <v>100</v>
      </c>
      <c r="N1596">
        <v>0</v>
      </c>
      <c r="O1596">
        <v>90</v>
      </c>
      <c r="P1596">
        <v>10</v>
      </c>
      <c r="Q1596">
        <v>0</v>
      </c>
      <c r="R1596">
        <v>0</v>
      </c>
      <c r="S1596">
        <v>0</v>
      </c>
    </row>
    <row r="1597" spans="1:19" x14ac:dyDescent="0.25">
      <c r="A1597">
        <v>18133</v>
      </c>
      <c r="B1597" t="s">
        <v>95</v>
      </c>
      <c r="C1597">
        <v>11</v>
      </c>
      <c r="D1597">
        <v>17.458618481231099</v>
      </c>
      <c r="E1597">
        <v>5.8407014555391399</v>
      </c>
      <c r="F1597">
        <f t="shared" si="49"/>
        <v>2</v>
      </c>
      <c r="G1597">
        <v>0</v>
      </c>
      <c r="H1597">
        <v>1</v>
      </c>
      <c r="I1597">
        <v>1</v>
      </c>
      <c r="J1597">
        <v>0</v>
      </c>
      <c r="K1597">
        <v>0</v>
      </c>
      <c r="L1597">
        <v>0</v>
      </c>
      <c r="M1597">
        <f t="shared" si="48"/>
        <v>100</v>
      </c>
      <c r="N1597">
        <v>0</v>
      </c>
      <c r="O1597">
        <v>90</v>
      </c>
      <c r="P1597">
        <v>10</v>
      </c>
      <c r="Q1597">
        <v>0</v>
      </c>
      <c r="R1597">
        <v>0</v>
      </c>
      <c r="S1597">
        <v>0</v>
      </c>
    </row>
    <row r="1598" spans="1:19" x14ac:dyDescent="0.25">
      <c r="A1598">
        <v>18133</v>
      </c>
      <c r="B1598" t="s">
        <v>95</v>
      </c>
      <c r="C1598">
        <v>12</v>
      </c>
      <c r="D1598">
        <v>16.823759627368101</v>
      </c>
      <c r="E1598">
        <v>4.7296984612789696</v>
      </c>
      <c r="F1598">
        <f t="shared" si="49"/>
        <v>2</v>
      </c>
      <c r="G1598">
        <v>0</v>
      </c>
      <c r="H1598">
        <v>1</v>
      </c>
      <c r="I1598">
        <v>1</v>
      </c>
      <c r="J1598">
        <v>0</v>
      </c>
      <c r="K1598">
        <v>0</v>
      </c>
      <c r="L1598">
        <v>0</v>
      </c>
      <c r="M1598">
        <f t="shared" si="48"/>
        <v>100</v>
      </c>
      <c r="N1598">
        <v>0</v>
      </c>
      <c r="O1598">
        <v>90</v>
      </c>
      <c r="P1598">
        <v>10</v>
      </c>
      <c r="Q1598">
        <v>0</v>
      </c>
      <c r="R1598">
        <v>0</v>
      </c>
      <c r="S1598">
        <v>0</v>
      </c>
    </row>
    <row r="1599" spans="1:19" x14ac:dyDescent="0.25">
      <c r="A1599">
        <v>18133</v>
      </c>
      <c r="B1599" t="s">
        <v>95</v>
      </c>
      <c r="C1599">
        <v>13</v>
      </c>
      <c r="D1599">
        <v>16.823759627368101</v>
      </c>
      <c r="E1599">
        <v>3.4282378108599301</v>
      </c>
      <c r="F1599">
        <f t="shared" si="49"/>
        <v>2</v>
      </c>
      <c r="G1599">
        <v>0</v>
      </c>
      <c r="H1599">
        <v>1</v>
      </c>
      <c r="I1599">
        <v>1</v>
      </c>
      <c r="J1599">
        <v>0</v>
      </c>
      <c r="K1599">
        <v>0</v>
      </c>
      <c r="L1599">
        <v>0</v>
      </c>
      <c r="M1599">
        <f t="shared" si="48"/>
        <v>100</v>
      </c>
      <c r="N1599">
        <v>0</v>
      </c>
      <c r="O1599">
        <v>90</v>
      </c>
      <c r="P1599">
        <v>10</v>
      </c>
      <c r="Q1599">
        <v>0</v>
      </c>
      <c r="R1599">
        <v>0</v>
      </c>
      <c r="S1599">
        <v>0</v>
      </c>
    </row>
    <row r="1600" spans="1:19" x14ac:dyDescent="0.25">
      <c r="A1600">
        <v>18133</v>
      </c>
      <c r="B1600" t="s">
        <v>95</v>
      </c>
      <c r="C1600">
        <v>14</v>
      </c>
      <c r="D1600">
        <v>17.236417882379001</v>
      </c>
      <c r="E1600">
        <v>3.8726390085639899</v>
      </c>
      <c r="F1600">
        <f t="shared" si="49"/>
        <v>2</v>
      </c>
      <c r="G1600">
        <v>0</v>
      </c>
      <c r="H1600">
        <v>1</v>
      </c>
      <c r="I1600">
        <v>1</v>
      </c>
      <c r="J1600">
        <v>0</v>
      </c>
      <c r="K1600">
        <v>0</v>
      </c>
      <c r="L1600">
        <v>0</v>
      </c>
      <c r="M1600">
        <f t="shared" si="48"/>
        <v>100</v>
      </c>
      <c r="N1600">
        <v>0</v>
      </c>
      <c r="O1600">
        <v>90</v>
      </c>
      <c r="P1600">
        <v>10</v>
      </c>
      <c r="Q1600">
        <v>0</v>
      </c>
      <c r="R1600">
        <v>0</v>
      </c>
      <c r="S1600">
        <v>0</v>
      </c>
    </row>
    <row r="1601" spans="1:19" x14ac:dyDescent="0.25">
      <c r="A1601">
        <v>18133</v>
      </c>
      <c r="B1601" t="s">
        <v>95</v>
      </c>
      <c r="C1601">
        <v>15</v>
      </c>
      <c r="D1601">
        <v>17.871276736241999</v>
      </c>
      <c r="E1601">
        <v>3.45998075355307</v>
      </c>
      <c r="F1601">
        <f t="shared" si="49"/>
        <v>2</v>
      </c>
      <c r="G1601">
        <v>0</v>
      </c>
      <c r="H1601">
        <v>1</v>
      </c>
      <c r="I1601">
        <v>1</v>
      </c>
      <c r="J1601">
        <v>0</v>
      </c>
      <c r="K1601">
        <v>0</v>
      </c>
      <c r="L1601">
        <v>0</v>
      </c>
      <c r="M1601">
        <f t="shared" si="48"/>
        <v>100</v>
      </c>
      <c r="N1601">
        <v>0</v>
      </c>
      <c r="O1601">
        <v>90</v>
      </c>
      <c r="P1601">
        <v>10</v>
      </c>
      <c r="Q1601">
        <v>0</v>
      </c>
      <c r="R1601">
        <v>0</v>
      </c>
      <c r="S1601">
        <v>0</v>
      </c>
    </row>
    <row r="1602" spans="1:19" x14ac:dyDescent="0.25">
      <c r="A1602">
        <v>18133</v>
      </c>
      <c r="B1602" t="s">
        <v>95</v>
      </c>
      <c r="C1602">
        <v>16</v>
      </c>
      <c r="D1602">
        <v>19.077508558581599</v>
      </c>
      <c r="E1602">
        <v>3.0790654412352998</v>
      </c>
      <c r="F1602">
        <f t="shared" si="49"/>
        <v>2</v>
      </c>
      <c r="G1602">
        <v>0</v>
      </c>
      <c r="H1602">
        <v>1</v>
      </c>
      <c r="I1602">
        <v>1</v>
      </c>
      <c r="J1602">
        <v>0</v>
      </c>
      <c r="K1602">
        <v>0</v>
      </c>
      <c r="L1602">
        <v>0</v>
      </c>
      <c r="M1602">
        <f t="shared" ref="M1602:M1665" si="50">SUM(N1602:S1602)</f>
        <v>100</v>
      </c>
      <c r="N1602">
        <v>0</v>
      </c>
      <c r="O1602">
        <v>90</v>
      </c>
      <c r="P1602">
        <v>10</v>
      </c>
      <c r="Q1602">
        <v>0</v>
      </c>
      <c r="R1602">
        <v>0</v>
      </c>
      <c r="S1602">
        <v>0</v>
      </c>
    </row>
    <row r="1603" spans="1:19" x14ac:dyDescent="0.25">
      <c r="A1603">
        <v>18133</v>
      </c>
      <c r="B1603" t="s">
        <v>95</v>
      </c>
      <c r="C1603">
        <v>17</v>
      </c>
      <c r="D1603">
        <v>22.696204025600402</v>
      </c>
      <c r="E1603">
        <v>3.1108083839284499</v>
      </c>
      <c r="F1603">
        <f t="shared" ref="F1603:F1666" si="51">SUM(G1603:L1603)</f>
        <v>2</v>
      </c>
      <c r="G1603">
        <v>0</v>
      </c>
      <c r="H1603">
        <v>1</v>
      </c>
      <c r="I1603">
        <v>1</v>
      </c>
      <c r="J1603">
        <v>0</v>
      </c>
      <c r="K1603">
        <v>0</v>
      </c>
      <c r="L1603">
        <v>0</v>
      </c>
      <c r="M1603">
        <f t="shared" si="50"/>
        <v>100</v>
      </c>
      <c r="N1603">
        <v>0</v>
      </c>
      <c r="O1603">
        <v>90</v>
      </c>
      <c r="P1603">
        <v>10</v>
      </c>
      <c r="Q1603">
        <v>0</v>
      </c>
      <c r="R1603">
        <v>0</v>
      </c>
      <c r="S1603">
        <v>0</v>
      </c>
    </row>
    <row r="1604" spans="1:19" x14ac:dyDescent="0.25">
      <c r="A1604">
        <v>18133</v>
      </c>
      <c r="B1604" t="s">
        <v>95</v>
      </c>
      <c r="C1604">
        <v>18</v>
      </c>
      <c r="D1604">
        <v>28.632134309219001</v>
      </c>
      <c r="E1604">
        <v>3.4282378108599301</v>
      </c>
      <c r="F1604">
        <f t="shared" si="51"/>
        <v>2</v>
      </c>
      <c r="G1604">
        <v>0</v>
      </c>
      <c r="H1604">
        <v>1</v>
      </c>
      <c r="I1604">
        <v>1</v>
      </c>
      <c r="J1604">
        <v>0</v>
      </c>
      <c r="K1604">
        <v>0</v>
      </c>
      <c r="L1604">
        <v>0</v>
      </c>
      <c r="M1604">
        <f t="shared" si="50"/>
        <v>100</v>
      </c>
      <c r="N1604">
        <v>0</v>
      </c>
      <c r="O1604">
        <v>90</v>
      </c>
      <c r="P1604">
        <v>10</v>
      </c>
      <c r="Q1604">
        <v>0</v>
      </c>
      <c r="R1604">
        <v>0</v>
      </c>
      <c r="S1604">
        <v>0</v>
      </c>
    </row>
    <row r="1605" spans="1:19" x14ac:dyDescent="0.25">
      <c r="A1605">
        <v>18133</v>
      </c>
      <c r="B1605" t="s">
        <v>95</v>
      </c>
      <c r="C1605">
        <v>19</v>
      </c>
      <c r="D1605">
        <v>34.155406337826697</v>
      </c>
      <c r="E1605">
        <v>2.9203507277695699</v>
      </c>
      <c r="F1605">
        <f t="shared" si="51"/>
        <v>2</v>
      </c>
      <c r="G1605">
        <v>0</v>
      </c>
      <c r="H1605">
        <v>1</v>
      </c>
      <c r="I1605">
        <v>1</v>
      </c>
      <c r="J1605">
        <v>0</v>
      </c>
      <c r="K1605">
        <v>0</v>
      </c>
      <c r="L1605">
        <v>0</v>
      </c>
      <c r="M1605">
        <f t="shared" si="50"/>
        <v>100</v>
      </c>
      <c r="N1605">
        <v>0</v>
      </c>
      <c r="O1605">
        <v>90</v>
      </c>
      <c r="P1605">
        <v>10</v>
      </c>
      <c r="Q1605">
        <v>0</v>
      </c>
      <c r="R1605">
        <v>0</v>
      </c>
      <c r="S1605">
        <v>0</v>
      </c>
    </row>
    <row r="1606" spans="1:19" x14ac:dyDescent="0.25">
      <c r="A1606">
        <v>18133</v>
      </c>
      <c r="B1606" t="s">
        <v>95</v>
      </c>
      <c r="C1606">
        <v>20</v>
      </c>
      <c r="D1606">
        <v>38.345474773322103</v>
      </c>
      <c r="E1606">
        <v>3.0155795558490102</v>
      </c>
      <c r="F1606">
        <f t="shared" si="51"/>
        <v>2</v>
      </c>
      <c r="G1606">
        <v>0</v>
      </c>
      <c r="H1606">
        <v>1</v>
      </c>
      <c r="I1606">
        <v>1</v>
      </c>
      <c r="J1606">
        <v>0</v>
      </c>
      <c r="K1606">
        <v>0</v>
      </c>
      <c r="L1606">
        <v>0</v>
      </c>
      <c r="M1606">
        <f t="shared" si="50"/>
        <v>100</v>
      </c>
      <c r="N1606">
        <v>0</v>
      </c>
      <c r="O1606">
        <v>90</v>
      </c>
      <c r="P1606">
        <v>10</v>
      </c>
      <c r="Q1606">
        <v>0</v>
      </c>
      <c r="R1606">
        <v>0</v>
      </c>
      <c r="S1606">
        <v>0</v>
      </c>
    </row>
    <row r="1607" spans="1:19" x14ac:dyDescent="0.25">
      <c r="A1607">
        <v>18133</v>
      </c>
      <c r="B1607" t="s">
        <v>95</v>
      </c>
      <c r="C1607">
        <v>21</v>
      </c>
      <c r="D1607">
        <v>42.345085552658702</v>
      </c>
      <c r="E1607">
        <v>3.5869525243256599</v>
      </c>
      <c r="F1607">
        <f t="shared" si="51"/>
        <v>2</v>
      </c>
      <c r="G1607">
        <v>0</v>
      </c>
      <c r="H1607">
        <v>1</v>
      </c>
      <c r="I1607">
        <v>1</v>
      </c>
      <c r="J1607">
        <v>0</v>
      </c>
      <c r="K1607">
        <v>0</v>
      </c>
      <c r="L1607">
        <v>0</v>
      </c>
      <c r="M1607">
        <f t="shared" si="50"/>
        <v>100</v>
      </c>
      <c r="N1607">
        <v>0</v>
      </c>
      <c r="O1607">
        <v>90</v>
      </c>
      <c r="P1607">
        <v>10</v>
      </c>
      <c r="Q1607">
        <v>0</v>
      </c>
      <c r="R1607">
        <v>0</v>
      </c>
      <c r="S1607">
        <v>0</v>
      </c>
    </row>
    <row r="1608" spans="1:19" x14ac:dyDescent="0.25">
      <c r="A1608">
        <v>18133</v>
      </c>
      <c r="B1608" t="s">
        <v>95</v>
      </c>
      <c r="C1608">
        <v>22</v>
      </c>
      <c r="D1608">
        <v>45.582865707359801</v>
      </c>
      <c r="E1608">
        <v>4.5709837478132398</v>
      </c>
      <c r="F1608">
        <f t="shared" si="51"/>
        <v>2</v>
      </c>
      <c r="G1608">
        <v>0</v>
      </c>
      <c r="H1608">
        <v>1</v>
      </c>
      <c r="I1608">
        <v>1</v>
      </c>
      <c r="J1608">
        <v>0</v>
      </c>
      <c r="K1608">
        <v>0</v>
      </c>
      <c r="L1608">
        <v>0</v>
      </c>
      <c r="M1608">
        <f t="shared" si="50"/>
        <v>100</v>
      </c>
      <c r="N1608">
        <v>0</v>
      </c>
      <c r="O1608">
        <v>90</v>
      </c>
      <c r="P1608">
        <v>10</v>
      </c>
      <c r="Q1608">
        <v>0</v>
      </c>
      <c r="R1608">
        <v>0</v>
      </c>
      <c r="S1608">
        <v>0</v>
      </c>
    </row>
    <row r="1609" spans="1:19" x14ac:dyDescent="0.25">
      <c r="A1609">
        <v>18133</v>
      </c>
      <c r="B1609" t="s">
        <v>95</v>
      </c>
      <c r="C1609">
        <v>23</v>
      </c>
      <c r="D1609">
        <v>48.915874690140299</v>
      </c>
      <c r="E1609">
        <v>5.9676732263117298</v>
      </c>
      <c r="F1609">
        <f t="shared" si="51"/>
        <v>2</v>
      </c>
      <c r="G1609">
        <v>0</v>
      </c>
      <c r="H1609">
        <v>1</v>
      </c>
      <c r="I1609">
        <v>1</v>
      </c>
      <c r="J1609">
        <v>0</v>
      </c>
      <c r="K1609">
        <v>0</v>
      </c>
      <c r="L1609">
        <v>0</v>
      </c>
      <c r="M1609">
        <f t="shared" si="50"/>
        <v>100</v>
      </c>
      <c r="N1609">
        <v>0</v>
      </c>
      <c r="O1609">
        <v>90</v>
      </c>
      <c r="P1609">
        <v>10</v>
      </c>
      <c r="Q1609">
        <v>0</v>
      </c>
      <c r="R1609">
        <v>0</v>
      </c>
      <c r="S1609">
        <v>0</v>
      </c>
    </row>
    <row r="1610" spans="1:19" x14ac:dyDescent="0.25">
      <c r="A1610">
        <v>18135</v>
      </c>
      <c r="B1610" t="s">
        <v>96</v>
      </c>
      <c r="C1610">
        <v>0</v>
      </c>
      <c r="D1610">
        <v>2.8958230631929598</v>
      </c>
      <c r="E1610">
        <v>0.292836040098164</v>
      </c>
      <c r="F1610">
        <f t="shared" si="51"/>
        <v>1</v>
      </c>
      <c r="G1610">
        <v>0</v>
      </c>
      <c r="H1610">
        <v>0</v>
      </c>
      <c r="I1610">
        <v>1</v>
      </c>
      <c r="J1610">
        <v>0</v>
      </c>
      <c r="K1610">
        <v>0</v>
      </c>
      <c r="L1610">
        <v>0</v>
      </c>
      <c r="M1610">
        <f t="shared" si="50"/>
        <v>30</v>
      </c>
      <c r="N1610">
        <v>0</v>
      </c>
      <c r="O1610">
        <v>0</v>
      </c>
      <c r="P1610">
        <v>30</v>
      </c>
      <c r="Q1610">
        <v>0</v>
      </c>
      <c r="R1610">
        <v>0</v>
      </c>
      <c r="S1610">
        <v>0</v>
      </c>
    </row>
    <row r="1611" spans="1:19" x14ac:dyDescent="0.25">
      <c r="A1611">
        <v>18135</v>
      </c>
      <c r="B1611" t="s">
        <v>96</v>
      </c>
      <c r="C1611">
        <v>1</v>
      </c>
      <c r="D1611">
        <v>2.9608977387703299</v>
      </c>
      <c r="E1611">
        <v>0.292836040098164</v>
      </c>
      <c r="F1611">
        <f t="shared" si="51"/>
        <v>1</v>
      </c>
      <c r="G1611">
        <v>0</v>
      </c>
      <c r="H1611">
        <v>0</v>
      </c>
      <c r="I1611">
        <v>1</v>
      </c>
      <c r="J1611">
        <v>0</v>
      </c>
      <c r="K1611">
        <v>0</v>
      </c>
      <c r="L1611">
        <v>0</v>
      </c>
      <c r="M1611">
        <f t="shared" si="50"/>
        <v>30</v>
      </c>
      <c r="N1611">
        <v>0</v>
      </c>
      <c r="O1611">
        <v>0</v>
      </c>
      <c r="P1611">
        <v>30</v>
      </c>
      <c r="Q1611">
        <v>0</v>
      </c>
      <c r="R1611">
        <v>0</v>
      </c>
      <c r="S1611">
        <v>0</v>
      </c>
    </row>
    <row r="1612" spans="1:19" x14ac:dyDescent="0.25">
      <c r="A1612">
        <v>18135</v>
      </c>
      <c r="B1612" t="s">
        <v>96</v>
      </c>
      <c r="C1612">
        <v>2</v>
      </c>
      <c r="D1612">
        <v>3.0585097521363802</v>
      </c>
      <c r="E1612">
        <v>0.292836040098164</v>
      </c>
      <c r="F1612">
        <f t="shared" si="51"/>
        <v>1</v>
      </c>
      <c r="G1612">
        <v>0</v>
      </c>
      <c r="H1612">
        <v>0</v>
      </c>
      <c r="I1612">
        <v>1</v>
      </c>
      <c r="J1612">
        <v>0</v>
      </c>
      <c r="K1612">
        <v>0</v>
      </c>
      <c r="L1612">
        <v>0</v>
      </c>
      <c r="M1612">
        <f t="shared" si="50"/>
        <v>30</v>
      </c>
      <c r="N1612">
        <v>0</v>
      </c>
      <c r="O1612">
        <v>0</v>
      </c>
      <c r="P1612">
        <v>30</v>
      </c>
      <c r="Q1612">
        <v>0</v>
      </c>
      <c r="R1612">
        <v>0</v>
      </c>
      <c r="S1612">
        <v>0</v>
      </c>
    </row>
    <row r="1613" spans="1:19" x14ac:dyDescent="0.25">
      <c r="A1613">
        <v>18135</v>
      </c>
      <c r="B1613" t="s">
        <v>96</v>
      </c>
      <c r="C1613">
        <v>3</v>
      </c>
      <c r="D1613">
        <v>3.2211964410798002</v>
      </c>
      <c r="E1613">
        <v>0.292836040098164</v>
      </c>
      <c r="F1613">
        <f t="shared" si="51"/>
        <v>1</v>
      </c>
      <c r="G1613">
        <v>0</v>
      </c>
      <c r="H1613">
        <v>0</v>
      </c>
      <c r="I1613">
        <v>1</v>
      </c>
      <c r="J1613">
        <v>0</v>
      </c>
      <c r="K1613">
        <v>0</v>
      </c>
      <c r="L1613">
        <v>0</v>
      </c>
      <c r="M1613">
        <f t="shared" si="50"/>
        <v>30</v>
      </c>
      <c r="N1613">
        <v>0</v>
      </c>
      <c r="O1613">
        <v>0</v>
      </c>
      <c r="P1613">
        <v>30</v>
      </c>
      <c r="Q1613">
        <v>0</v>
      </c>
      <c r="R1613">
        <v>0</v>
      </c>
      <c r="S1613">
        <v>0</v>
      </c>
    </row>
    <row r="1614" spans="1:19" x14ac:dyDescent="0.25">
      <c r="A1614">
        <v>18135</v>
      </c>
      <c r="B1614" t="s">
        <v>96</v>
      </c>
      <c r="C1614">
        <v>4</v>
      </c>
      <c r="D1614">
        <v>3.4164204678119101</v>
      </c>
      <c r="E1614">
        <v>0.325373377886849</v>
      </c>
      <c r="F1614">
        <f t="shared" si="51"/>
        <v>1</v>
      </c>
      <c r="G1614">
        <v>0</v>
      </c>
      <c r="H1614">
        <v>0</v>
      </c>
      <c r="I1614">
        <v>1</v>
      </c>
      <c r="J1614">
        <v>0</v>
      </c>
      <c r="K1614">
        <v>0</v>
      </c>
      <c r="L1614">
        <v>0</v>
      </c>
      <c r="M1614">
        <f t="shared" si="50"/>
        <v>30</v>
      </c>
      <c r="N1614">
        <v>0</v>
      </c>
      <c r="O1614">
        <v>0</v>
      </c>
      <c r="P1614">
        <v>30</v>
      </c>
      <c r="Q1614">
        <v>0</v>
      </c>
      <c r="R1614">
        <v>0</v>
      </c>
      <c r="S1614">
        <v>0</v>
      </c>
    </row>
    <row r="1615" spans="1:19" x14ac:dyDescent="0.25">
      <c r="A1615">
        <v>18135</v>
      </c>
      <c r="B1615" t="s">
        <v>96</v>
      </c>
      <c r="C1615">
        <v>5</v>
      </c>
      <c r="D1615">
        <v>3.1235844277137499</v>
      </c>
      <c r="E1615">
        <v>0.39044805346421901</v>
      </c>
      <c r="F1615">
        <f t="shared" si="51"/>
        <v>1</v>
      </c>
      <c r="G1615">
        <v>0</v>
      </c>
      <c r="H1615">
        <v>0</v>
      </c>
      <c r="I1615">
        <v>1</v>
      </c>
      <c r="J1615">
        <v>0</v>
      </c>
      <c r="K1615">
        <v>0</v>
      </c>
      <c r="L1615">
        <v>0</v>
      </c>
      <c r="M1615">
        <f t="shared" si="50"/>
        <v>30</v>
      </c>
      <c r="N1615">
        <v>0</v>
      </c>
      <c r="O1615">
        <v>0</v>
      </c>
      <c r="P1615">
        <v>30</v>
      </c>
      <c r="Q1615">
        <v>0</v>
      </c>
      <c r="R1615">
        <v>0</v>
      </c>
      <c r="S1615">
        <v>0</v>
      </c>
    </row>
    <row r="1616" spans="1:19" x14ac:dyDescent="0.25">
      <c r="A1616">
        <v>18135</v>
      </c>
      <c r="B1616" t="s">
        <v>96</v>
      </c>
      <c r="C1616">
        <v>6</v>
      </c>
      <c r="D1616">
        <v>3.80686852127613</v>
      </c>
      <c r="E1616">
        <v>0.55313474240764404</v>
      </c>
      <c r="F1616">
        <f t="shared" si="51"/>
        <v>1</v>
      </c>
      <c r="G1616">
        <v>0</v>
      </c>
      <c r="H1616">
        <v>0</v>
      </c>
      <c r="I1616">
        <v>1</v>
      </c>
      <c r="J1616">
        <v>0</v>
      </c>
      <c r="K1616">
        <v>0</v>
      </c>
      <c r="L1616">
        <v>0</v>
      </c>
      <c r="M1616">
        <f t="shared" si="50"/>
        <v>30</v>
      </c>
      <c r="N1616">
        <v>0</v>
      </c>
      <c r="O1616">
        <v>0</v>
      </c>
      <c r="P1616">
        <v>30</v>
      </c>
      <c r="Q1616">
        <v>0</v>
      </c>
      <c r="R1616">
        <v>0</v>
      </c>
      <c r="S1616">
        <v>0</v>
      </c>
    </row>
    <row r="1617" spans="1:19" x14ac:dyDescent="0.25">
      <c r="A1617">
        <v>18135</v>
      </c>
      <c r="B1617" t="s">
        <v>96</v>
      </c>
      <c r="C1617">
        <v>7</v>
      </c>
      <c r="D1617">
        <v>3.6767191701213902</v>
      </c>
      <c r="E1617">
        <v>2.6029870230947898</v>
      </c>
      <c r="F1617">
        <f t="shared" si="51"/>
        <v>1</v>
      </c>
      <c r="G1617">
        <v>0</v>
      </c>
      <c r="H1617">
        <v>0</v>
      </c>
      <c r="I1617">
        <v>1</v>
      </c>
      <c r="J1617">
        <v>0</v>
      </c>
      <c r="K1617">
        <v>0</v>
      </c>
      <c r="L1617">
        <v>0</v>
      </c>
      <c r="M1617">
        <f t="shared" si="50"/>
        <v>30</v>
      </c>
      <c r="N1617">
        <v>0</v>
      </c>
      <c r="O1617">
        <v>0</v>
      </c>
      <c r="P1617">
        <v>30</v>
      </c>
      <c r="Q1617">
        <v>0</v>
      </c>
      <c r="R1617">
        <v>0</v>
      </c>
      <c r="S1617">
        <v>0</v>
      </c>
    </row>
    <row r="1618" spans="1:19" x14ac:dyDescent="0.25">
      <c r="A1618">
        <v>18135</v>
      </c>
      <c r="B1618" t="s">
        <v>96</v>
      </c>
      <c r="C1618">
        <v>8</v>
      </c>
      <c r="D1618">
        <v>3.35134579223454</v>
      </c>
      <c r="E1618">
        <v>4.4901526148385198</v>
      </c>
      <c r="F1618">
        <f t="shared" si="51"/>
        <v>1</v>
      </c>
      <c r="G1618">
        <v>0</v>
      </c>
      <c r="H1618">
        <v>0</v>
      </c>
      <c r="I1618">
        <v>1</v>
      </c>
      <c r="J1618">
        <v>0</v>
      </c>
      <c r="K1618">
        <v>0</v>
      </c>
      <c r="L1618">
        <v>0</v>
      </c>
      <c r="M1618">
        <f t="shared" si="50"/>
        <v>30</v>
      </c>
      <c r="N1618">
        <v>0</v>
      </c>
      <c r="O1618">
        <v>0</v>
      </c>
      <c r="P1618">
        <v>30</v>
      </c>
      <c r="Q1618">
        <v>0</v>
      </c>
      <c r="R1618">
        <v>0</v>
      </c>
      <c r="S1618">
        <v>0</v>
      </c>
    </row>
    <row r="1619" spans="1:19" x14ac:dyDescent="0.25">
      <c r="A1619">
        <v>18135</v>
      </c>
      <c r="B1619" t="s">
        <v>96</v>
      </c>
      <c r="C1619">
        <v>9</v>
      </c>
      <c r="D1619">
        <v>2.9934350765590101</v>
      </c>
      <c r="E1619">
        <v>6.7026915844690897</v>
      </c>
      <c r="F1619">
        <f t="shared" si="51"/>
        <v>1</v>
      </c>
      <c r="G1619">
        <v>0</v>
      </c>
      <c r="H1619">
        <v>0</v>
      </c>
      <c r="I1619">
        <v>1</v>
      </c>
      <c r="J1619">
        <v>0</v>
      </c>
      <c r="K1619">
        <v>0</v>
      </c>
      <c r="L1619">
        <v>0</v>
      </c>
      <c r="M1619">
        <f t="shared" si="50"/>
        <v>30</v>
      </c>
      <c r="N1619">
        <v>0</v>
      </c>
      <c r="O1619">
        <v>0</v>
      </c>
      <c r="P1619">
        <v>30</v>
      </c>
      <c r="Q1619">
        <v>0</v>
      </c>
      <c r="R1619">
        <v>0</v>
      </c>
      <c r="S1619">
        <v>0</v>
      </c>
    </row>
    <row r="1620" spans="1:19" x14ac:dyDescent="0.25">
      <c r="A1620">
        <v>18135</v>
      </c>
      <c r="B1620" t="s">
        <v>96</v>
      </c>
      <c r="C1620">
        <v>10</v>
      </c>
      <c r="D1620">
        <v>2.9608977387703299</v>
      </c>
      <c r="E1620">
        <v>7.3209010024541099</v>
      </c>
      <c r="F1620">
        <f t="shared" si="51"/>
        <v>1</v>
      </c>
      <c r="G1620">
        <v>0</v>
      </c>
      <c r="H1620">
        <v>0</v>
      </c>
      <c r="I1620">
        <v>1</v>
      </c>
      <c r="J1620">
        <v>0</v>
      </c>
      <c r="K1620">
        <v>0</v>
      </c>
      <c r="L1620">
        <v>0</v>
      </c>
      <c r="M1620">
        <f t="shared" si="50"/>
        <v>30</v>
      </c>
      <c r="N1620">
        <v>0</v>
      </c>
      <c r="O1620">
        <v>0</v>
      </c>
      <c r="P1620">
        <v>30</v>
      </c>
      <c r="Q1620">
        <v>0</v>
      </c>
      <c r="R1620">
        <v>0</v>
      </c>
      <c r="S1620">
        <v>0</v>
      </c>
    </row>
    <row r="1621" spans="1:19" x14ac:dyDescent="0.25">
      <c r="A1621">
        <v>18135</v>
      </c>
      <c r="B1621" t="s">
        <v>96</v>
      </c>
      <c r="C1621">
        <v>11</v>
      </c>
      <c r="D1621">
        <v>3.4164204678119101</v>
      </c>
      <c r="E1621">
        <v>6.4749302199483001</v>
      </c>
      <c r="F1621">
        <f t="shared" si="51"/>
        <v>1</v>
      </c>
      <c r="G1621">
        <v>0</v>
      </c>
      <c r="H1621">
        <v>0</v>
      </c>
      <c r="I1621">
        <v>1</v>
      </c>
      <c r="J1621">
        <v>0</v>
      </c>
      <c r="K1621">
        <v>0</v>
      </c>
      <c r="L1621">
        <v>0</v>
      </c>
      <c r="M1621">
        <f t="shared" si="50"/>
        <v>30</v>
      </c>
      <c r="N1621">
        <v>0</v>
      </c>
      <c r="O1621">
        <v>0</v>
      </c>
      <c r="P1621">
        <v>30</v>
      </c>
      <c r="Q1621">
        <v>0</v>
      </c>
      <c r="R1621">
        <v>0</v>
      </c>
      <c r="S1621">
        <v>0</v>
      </c>
    </row>
    <row r="1622" spans="1:19" x14ac:dyDescent="0.25">
      <c r="A1622">
        <v>18135</v>
      </c>
      <c r="B1622" t="s">
        <v>96</v>
      </c>
      <c r="C1622">
        <v>12</v>
      </c>
      <c r="D1622">
        <v>3.80686852127613</v>
      </c>
      <c r="E1622">
        <v>5.2059740461895903</v>
      </c>
      <c r="F1622">
        <f t="shared" si="51"/>
        <v>1</v>
      </c>
      <c r="G1622">
        <v>0</v>
      </c>
      <c r="H1622">
        <v>0</v>
      </c>
      <c r="I1622">
        <v>1</v>
      </c>
      <c r="J1622">
        <v>0</v>
      </c>
      <c r="K1622">
        <v>0</v>
      </c>
      <c r="L1622">
        <v>0</v>
      </c>
      <c r="M1622">
        <f t="shared" si="50"/>
        <v>30</v>
      </c>
      <c r="N1622">
        <v>0</v>
      </c>
      <c r="O1622">
        <v>0</v>
      </c>
      <c r="P1622">
        <v>30</v>
      </c>
      <c r="Q1622">
        <v>0</v>
      </c>
      <c r="R1622">
        <v>0</v>
      </c>
      <c r="S1622">
        <v>0</v>
      </c>
    </row>
    <row r="1623" spans="1:19" x14ac:dyDescent="0.25">
      <c r="A1623">
        <v>18135</v>
      </c>
      <c r="B1623" t="s">
        <v>96</v>
      </c>
      <c r="C1623">
        <v>13</v>
      </c>
      <c r="D1623">
        <v>4.06716722358561</v>
      </c>
      <c r="E1623">
        <v>4.1973165747403502</v>
      </c>
      <c r="F1623">
        <f t="shared" si="51"/>
        <v>1</v>
      </c>
      <c r="G1623">
        <v>0</v>
      </c>
      <c r="H1623">
        <v>0</v>
      </c>
      <c r="I1623">
        <v>1</v>
      </c>
      <c r="J1623">
        <v>0</v>
      </c>
      <c r="K1623">
        <v>0</v>
      </c>
      <c r="L1623">
        <v>0</v>
      </c>
      <c r="M1623">
        <f t="shared" si="50"/>
        <v>30</v>
      </c>
      <c r="N1623">
        <v>0</v>
      </c>
      <c r="O1623">
        <v>0</v>
      </c>
      <c r="P1623">
        <v>30</v>
      </c>
      <c r="Q1623">
        <v>0</v>
      </c>
      <c r="R1623">
        <v>0</v>
      </c>
      <c r="S1623">
        <v>0</v>
      </c>
    </row>
    <row r="1624" spans="1:19" x14ac:dyDescent="0.25">
      <c r="A1624">
        <v>18135</v>
      </c>
      <c r="B1624" t="s">
        <v>96</v>
      </c>
      <c r="C1624">
        <v>14</v>
      </c>
      <c r="D1624">
        <v>3.4489578056006001</v>
      </c>
      <c r="E1624">
        <v>3.7092565079100801</v>
      </c>
      <c r="F1624">
        <f t="shared" si="51"/>
        <v>1</v>
      </c>
      <c r="G1624">
        <v>0</v>
      </c>
      <c r="H1624">
        <v>0</v>
      </c>
      <c r="I1624">
        <v>1</v>
      </c>
      <c r="J1624">
        <v>0</v>
      </c>
      <c r="K1624">
        <v>0</v>
      </c>
      <c r="L1624">
        <v>0</v>
      </c>
      <c r="M1624">
        <f t="shared" si="50"/>
        <v>30</v>
      </c>
      <c r="N1624">
        <v>0</v>
      </c>
      <c r="O1624">
        <v>0</v>
      </c>
      <c r="P1624">
        <v>30</v>
      </c>
      <c r="Q1624">
        <v>0</v>
      </c>
      <c r="R1624">
        <v>0</v>
      </c>
      <c r="S1624">
        <v>0</v>
      </c>
    </row>
    <row r="1625" spans="1:19" x14ac:dyDescent="0.25">
      <c r="A1625">
        <v>18135</v>
      </c>
      <c r="B1625" t="s">
        <v>96</v>
      </c>
      <c r="C1625">
        <v>15</v>
      </c>
      <c r="D1625">
        <v>2.47283767194005</v>
      </c>
      <c r="E1625">
        <v>1.8220909161663501</v>
      </c>
      <c r="F1625">
        <f t="shared" si="51"/>
        <v>1</v>
      </c>
      <c r="G1625">
        <v>0</v>
      </c>
      <c r="H1625">
        <v>0</v>
      </c>
      <c r="I1625">
        <v>1</v>
      </c>
      <c r="J1625">
        <v>0</v>
      </c>
      <c r="K1625">
        <v>0</v>
      </c>
      <c r="L1625">
        <v>0</v>
      </c>
      <c r="M1625">
        <f t="shared" si="50"/>
        <v>30</v>
      </c>
      <c r="N1625">
        <v>0</v>
      </c>
      <c r="O1625">
        <v>0</v>
      </c>
      <c r="P1625">
        <v>30</v>
      </c>
      <c r="Q1625">
        <v>0</v>
      </c>
      <c r="R1625">
        <v>0</v>
      </c>
      <c r="S1625">
        <v>0</v>
      </c>
    </row>
    <row r="1626" spans="1:19" x14ac:dyDescent="0.25">
      <c r="A1626">
        <v>18135</v>
      </c>
      <c r="B1626" t="s">
        <v>96</v>
      </c>
      <c r="C1626">
        <v>16</v>
      </c>
      <c r="D1626">
        <v>1.9847776051097801</v>
      </c>
      <c r="E1626">
        <v>1.5617922138568701</v>
      </c>
      <c r="F1626">
        <f t="shared" si="51"/>
        <v>1</v>
      </c>
      <c r="G1626">
        <v>0</v>
      </c>
      <c r="H1626">
        <v>0</v>
      </c>
      <c r="I1626">
        <v>1</v>
      </c>
      <c r="J1626">
        <v>0</v>
      </c>
      <c r="K1626">
        <v>0</v>
      </c>
      <c r="L1626">
        <v>0</v>
      </c>
      <c r="M1626">
        <f t="shared" si="50"/>
        <v>30</v>
      </c>
      <c r="N1626">
        <v>0</v>
      </c>
      <c r="O1626">
        <v>0</v>
      </c>
      <c r="P1626">
        <v>30</v>
      </c>
      <c r="Q1626">
        <v>0</v>
      </c>
      <c r="R1626">
        <v>0</v>
      </c>
      <c r="S1626">
        <v>0</v>
      </c>
    </row>
    <row r="1627" spans="1:19" x14ac:dyDescent="0.25">
      <c r="A1627">
        <v>18135</v>
      </c>
      <c r="B1627" t="s">
        <v>96</v>
      </c>
      <c r="C1627">
        <v>17</v>
      </c>
      <c r="D1627">
        <v>2.04985228068715</v>
      </c>
      <c r="E1627">
        <v>0.74835876913975297</v>
      </c>
      <c r="F1627">
        <f t="shared" si="51"/>
        <v>1</v>
      </c>
      <c r="G1627">
        <v>0</v>
      </c>
      <c r="H1627">
        <v>0</v>
      </c>
      <c r="I1627">
        <v>1</v>
      </c>
      <c r="J1627">
        <v>0</v>
      </c>
      <c r="K1627">
        <v>0</v>
      </c>
      <c r="L1627">
        <v>0</v>
      </c>
      <c r="M1627">
        <f t="shared" si="50"/>
        <v>30</v>
      </c>
      <c r="N1627">
        <v>0</v>
      </c>
      <c r="O1627">
        <v>0</v>
      </c>
      <c r="P1627">
        <v>30</v>
      </c>
      <c r="Q1627">
        <v>0</v>
      </c>
      <c r="R1627">
        <v>0</v>
      </c>
      <c r="S1627">
        <v>0</v>
      </c>
    </row>
    <row r="1628" spans="1:19" x14ac:dyDescent="0.25">
      <c r="A1628">
        <v>18135</v>
      </c>
      <c r="B1628" t="s">
        <v>96</v>
      </c>
      <c r="C1628">
        <v>18</v>
      </c>
      <c r="D1628">
        <v>2.3426883207853102</v>
      </c>
      <c r="E1628">
        <v>0.68328409356238295</v>
      </c>
      <c r="F1628">
        <f t="shared" si="51"/>
        <v>1</v>
      </c>
      <c r="G1628">
        <v>0</v>
      </c>
      <c r="H1628">
        <v>0</v>
      </c>
      <c r="I1628">
        <v>1</v>
      </c>
      <c r="J1628">
        <v>0</v>
      </c>
      <c r="K1628">
        <v>0</v>
      </c>
      <c r="L1628">
        <v>0</v>
      </c>
      <c r="M1628">
        <f t="shared" si="50"/>
        <v>30</v>
      </c>
      <c r="N1628">
        <v>0</v>
      </c>
      <c r="O1628">
        <v>0</v>
      </c>
      <c r="P1628">
        <v>30</v>
      </c>
      <c r="Q1628">
        <v>0</v>
      </c>
      <c r="R1628">
        <v>0</v>
      </c>
      <c r="S1628">
        <v>0</v>
      </c>
    </row>
    <row r="1629" spans="1:19" x14ac:dyDescent="0.25">
      <c r="A1629">
        <v>18135</v>
      </c>
      <c r="B1629" t="s">
        <v>96</v>
      </c>
      <c r="C1629">
        <v>19</v>
      </c>
      <c r="D1629">
        <v>2.1800016318418902</v>
      </c>
      <c r="E1629">
        <v>0.650746755773698</v>
      </c>
      <c r="F1629">
        <f t="shared" si="51"/>
        <v>1</v>
      </c>
      <c r="G1629">
        <v>0</v>
      </c>
      <c r="H1629">
        <v>0</v>
      </c>
      <c r="I1629">
        <v>1</v>
      </c>
      <c r="J1629">
        <v>0</v>
      </c>
      <c r="K1629">
        <v>0</v>
      </c>
      <c r="L1629">
        <v>0</v>
      </c>
      <c r="M1629">
        <f t="shared" si="50"/>
        <v>30</v>
      </c>
      <c r="N1629">
        <v>0</v>
      </c>
      <c r="O1629">
        <v>0</v>
      </c>
      <c r="P1629">
        <v>30</v>
      </c>
      <c r="Q1629">
        <v>0</v>
      </c>
      <c r="R1629">
        <v>0</v>
      </c>
      <c r="S1629">
        <v>0</v>
      </c>
    </row>
    <row r="1630" spans="1:19" x14ac:dyDescent="0.25">
      <c r="A1630">
        <v>18135</v>
      </c>
      <c r="B1630" t="s">
        <v>96</v>
      </c>
      <c r="C1630">
        <v>20</v>
      </c>
      <c r="D1630">
        <v>2.4077629963626799</v>
      </c>
      <c r="E1630">
        <v>0.52059740461895898</v>
      </c>
      <c r="F1630">
        <f t="shared" si="51"/>
        <v>1</v>
      </c>
      <c r="G1630">
        <v>0</v>
      </c>
      <c r="H1630">
        <v>0</v>
      </c>
      <c r="I1630">
        <v>1</v>
      </c>
      <c r="J1630">
        <v>0</v>
      </c>
      <c r="K1630">
        <v>0</v>
      </c>
      <c r="L1630">
        <v>0</v>
      </c>
      <c r="M1630">
        <f t="shared" si="50"/>
        <v>30</v>
      </c>
      <c r="N1630">
        <v>0</v>
      </c>
      <c r="O1630">
        <v>0</v>
      </c>
      <c r="P1630">
        <v>30</v>
      </c>
      <c r="Q1630">
        <v>0</v>
      </c>
      <c r="R1630">
        <v>0</v>
      </c>
      <c r="S1630">
        <v>0</v>
      </c>
    </row>
    <row r="1631" spans="1:19" x14ac:dyDescent="0.25">
      <c r="A1631">
        <v>18135</v>
      </c>
      <c r="B1631" t="s">
        <v>96</v>
      </c>
      <c r="C1631">
        <v>21</v>
      </c>
      <c r="D1631">
        <v>2.6680616986721599</v>
      </c>
      <c r="E1631">
        <v>0.292836040098164</v>
      </c>
      <c r="F1631">
        <f t="shared" si="51"/>
        <v>1</v>
      </c>
      <c r="G1631">
        <v>0</v>
      </c>
      <c r="H1631">
        <v>0</v>
      </c>
      <c r="I1631">
        <v>1</v>
      </c>
      <c r="J1631">
        <v>0</v>
      </c>
      <c r="K1631">
        <v>0</v>
      </c>
      <c r="L1631">
        <v>0</v>
      </c>
      <c r="M1631">
        <f t="shared" si="50"/>
        <v>30</v>
      </c>
      <c r="N1631">
        <v>0</v>
      </c>
      <c r="O1631">
        <v>0</v>
      </c>
      <c r="P1631">
        <v>30</v>
      </c>
      <c r="Q1631">
        <v>0</v>
      </c>
      <c r="R1631">
        <v>0</v>
      </c>
      <c r="S1631">
        <v>0</v>
      </c>
    </row>
    <row r="1632" spans="1:19" x14ac:dyDescent="0.25">
      <c r="A1632">
        <v>18135</v>
      </c>
      <c r="B1632" t="s">
        <v>96</v>
      </c>
      <c r="C1632">
        <v>22</v>
      </c>
      <c r="D1632">
        <v>2.76567371203822</v>
      </c>
      <c r="E1632">
        <v>0.292836040098164</v>
      </c>
      <c r="F1632">
        <f t="shared" si="51"/>
        <v>1</v>
      </c>
      <c r="G1632">
        <v>0</v>
      </c>
      <c r="H1632">
        <v>0</v>
      </c>
      <c r="I1632">
        <v>1</v>
      </c>
      <c r="J1632">
        <v>0</v>
      </c>
      <c r="K1632">
        <v>0</v>
      </c>
      <c r="L1632">
        <v>0</v>
      </c>
      <c r="M1632">
        <f t="shared" si="50"/>
        <v>30</v>
      </c>
      <c r="N1632">
        <v>0</v>
      </c>
      <c r="O1632">
        <v>0</v>
      </c>
      <c r="P1632">
        <v>30</v>
      </c>
      <c r="Q1632">
        <v>0</v>
      </c>
      <c r="R1632">
        <v>0</v>
      </c>
      <c r="S1632">
        <v>0</v>
      </c>
    </row>
    <row r="1633" spans="1:19" x14ac:dyDescent="0.25">
      <c r="A1633">
        <v>18135</v>
      </c>
      <c r="B1633" t="s">
        <v>96</v>
      </c>
      <c r="C1633">
        <v>23</v>
      </c>
      <c r="D1633">
        <v>2.8307483876155901</v>
      </c>
      <c r="E1633">
        <v>0.292836040098164</v>
      </c>
      <c r="F1633">
        <f t="shared" si="51"/>
        <v>1</v>
      </c>
      <c r="G1633">
        <v>0</v>
      </c>
      <c r="H1633">
        <v>0</v>
      </c>
      <c r="I1633">
        <v>1</v>
      </c>
      <c r="J1633">
        <v>0</v>
      </c>
      <c r="K1633">
        <v>0</v>
      </c>
      <c r="L1633">
        <v>0</v>
      </c>
      <c r="M1633">
        <f t="shared" si="50"/>
        <v>30</v>
      </c>
      <c r="N1633">
        <v>0</v>
      </c>
      <c r="O1633">
        <v>0</v>
      </c>
      <c r="P1633">
        <v>30</v>
      </c>
      <c r="Q1633">
        <v>0</v>
      </c>
      <c r="R1633">
        <v>0</v>
      </c>
      <c r="S1633">
        <v>0</v>
      </c>
    </row>
    <row r="1634" spans="1:19" x14ac:dyDescent="0.25">
      <c r="A1634">
        <v>18137</v>
      </c>
      <c r="B1634" t="s">
        <v>97</v>
      </c>
      <c r="C1634">
        <v>0</v>
      </c>
      <c r="D1634">
        <v>44.521548575602601</v>
      </c>
      <c r="E1634">
        <v>2.9233016800584299</v>
      </c>
      <c r="F1634">
        <f t="shared" si="51"/>
        <v>1</v>
      </c>
      <c r="G1634">
        <v>0</v>
      </c>
      <c r="H1634">
        <v>0</v>
      </c>
      <c r="I1634">
        <v>0</v>
      </c>
      <c r="J1634">
        <v>0</v>
      </c>
      <c r="K1634">
        <v>0</v>
      </c>
      <c r="L1634">
        <v>1</v>
      </c>
      <c r="M1634">
        <f t="shared" si="50"/>
        <v>40</v>
      </c>
      <c r="N1634">
        <v>0</v>
      </c>
      <c r="O1634">
        <v>0</v>
      </c>
      <c r="P1634">
        <v>0</v>
      </c>
      <c r="Q1634">
        <v>0</v>
      </c>
      <c r="R1634">
        <v>0</v>
      </c>
      <c r="S1634">
        <v>40</v>
      </c>
    </row>
    <row r="1635" spans="1:19" x14ac:dyDescent="0.25">
      <c r="A1635">
        <v>18137</v>
      </c>
      <c r="B1635" t="s">
        <v>97</v>
      </c>
      <c r="C1635">
        <v>1</v>
      </c>
      <c r="D1635">
        <v>45.227173119065</v>
      </c>
      <c r="E1635">
        <v>3.7297297297297201</v>
      </c>
      <c r="F1635">
        <f t="shared" si="51"/>
        <v>1</v>
      </c>
      <c r="G1635">
        <v>0</v>
      </c>
      <c r="H1635">
        <v>0</v>
      </c>
      <c r="I1635">
        <v>0</v>
      </c>
      <c r="J1635">
        <v>0</v>
      </c>
      <c r="K1635">
        <v>0</v>
      </c>
      <c r="L1635">
        <v>1</v>
      </c>
      <c r="M1635">
        <f t="shared" si="50"/>
        <v>40</v>
      </c>
      <c r="N1635">
        <v>0</v>
      </c>
      <c r="O1635">
        <v>0</v>
      </c>
      <c r="P1635">
        <v>0</v>
      </c>
      <c r="Q1635">
        <v>0</v>
      </c>
      <c r="R1635">
        <v>0</v>
      </c>
      <c r="S1635">
        <v>40</v>
      </c>
    </row>
    <row r="1636" spans="1:19" x14ac:dyDescent="0.25">
      <c r="A1636">
        <v>18137</v>
      </c>
      <c r="B1636" t="s">
        <v>97</v>
      </c>
      <c r="C1636">
        <v>2</v>
      </c>
      <c r="D1636">
        <v>46</v>
      </c>
      <c r="E1636">
        <v>4.2337472607742797</v>
      </c>
      <c r="F1636">
        <f t="shared" si="51"/>
        <v>1</v>
      </c>
      <c r="G1636">
        <v>0</v>
      </c>
      <c r="H1636">
        <v>0</v>
      </c>
      <c r="I1636">
        <v>0</v>
      </c>
      <c r="J1636">
        <v>0</v>
      </c>
      <c r="K1636">
        <v>0</v>
      </c>
      <c r="L1636">
        <v>1</v>
      </c>
      <c r="M1636">
        <f t="shared" si="50"/>
        <v>40</v>
      </c>
      <c r="N1636">
        <v>0</v>
      </c>
      <c r="O1636">
        <v>0</v>
      </c>
      <c r="P1636">
        <v>0</v>
      </c>
      <c r="Q1636">
        <v>0</v>
      </c>
      <c r="R1636">
        <v>0</v>
      </c>
      <c r="S1636">
        <v>40</v>
      </c>
    </row>
    <row r="1637" spans="1:19" x14ac:dyDescent="0.25">
      <c r="A1637">
        <v>18137</v>
      </c>
      <c r="B1637" t="s">
        <v>97</v>
      </c>
      <c r="C1637">
        <v>3</v>
      </c>
      <c r="D1637">
        <v>45.663988312636903</v>
      </c>
      <c r="E1637">
        <v>4.56975894813732</v>
      </c>
      <c r="F1637">
        <f t="shared" si="51"/>
        <v>1</v>
      </c>
      <c r="G1637">
        <v>0</v>
      </c>
      <c r="H1637">
        <v>0</v>
      </c>
      <c r="I1637">
        <v>0</v>
      </c>
      <c r="J1637">
        <v>0</v>
      </c>
      <c r="K1637">
        <v>0</v>
      </c>
      <c r="L1637">
        <v>1</v>
      </c>
      <c r="M1637">
        <f t="shared" si="50"/>
        <v>40</v>
      </c>
      <c r="N1637">
        <v>0</v>
      </c>
      <c r="O1637">
        <v>0</v>
      </c>
      <c r="P1637">
        <v>0</v>
      </c>
      <c r="Q1637">
        <v>0</v>
      </c>
      <c r="R1637">
        <v>0</v>
      </c>
      <c r="S1637">
        <v>40</v>
      </c>
    </row>
    <row r="1638" spans="1:19" x14ac:dyDescent="0.25">
      <c r="A1638">
        <v>18137</v>
      </c>
      <c r="B1638" t="s">
        <v>97</v>
      </c>
      <c r="C1638">
        <v>4</v>
      </c>
      <c r="D1638">
        <v>44.487947406866297</v>
      </c>
      <c r="E1638">
        <v>4.4017531044557998</v>
      </c>
      <c r="F1638">
        <f t="shared" si="51"/>
        <v>1</v>
      </c>
      <c r="G1638">
        <v>0</v>
      </c>
      <c r="H1638">
        <v>0</v>
      </c>
      <c r="I1638">
        <v>0</v>
      </c>
      <c r="J1638">
        <v>0</v>
      </c>
      <c r="K1638">
        <v>0</v>
      </c>
      <c r="L1638">
        <v>1</v>
      </c>
      <c r="M1638">
        <f t="shared" si="50"/>
        <v>40</v>
      </c>
      <c r="N1638">
        <v>0</v>
      </c>
      <c r="O1638">
        <v>0</v>
      </c>
      <c r="P1638">
        <v>0</v>
      </c>
      <c r="Q1638">
        <v>0</v>
      </c>
      <c r="R1638">
        <v>0</v>
      </c>
      <c r="S1638">
        <v>40</v>
      </c>
    </row>
    <row r="1639" spans="1:19" x14ac:dyDescent="0.25">
      <c r="A1639">
        <v>18137</v>
      </c>
      <c r="B1639" t="s">
        <v>97</v>
      </c>
      <c r="C1639">
        <v>5</v>
      </c>
      <c r="D1639">
        <v>43.883126369612803</v>
      </c>
      <c r="E1639">
        <v>4.8385682980277496</v>
      </c>
      <c r="F1639">
        <f t="shared" si="51"/>
        <v>1</v>
      </c>
      <c r="G1639">
        <v>0</v>
      </c>
      <c r="H1639">
        <v>0</v>
      </c>
      <c r="I1639">
        <v>0</v>
      </c>
      <c r="J1639">
        <v>0</v>
      </c>
      <c r="K1639">
        <v>0</v>
      </c>
      <c r="L1639">
        <v>1</v>
      </c>
      <c r="M1639">
        <f t="shared" si="50"/>
        <v>40</v>
      </c>
      <c r="N1639">
        <v>0</v>
      </c>
      <c r="O1639">
        <v>0</v>
      </c>
      <c r="P1639">
        <v>0</v>
      </c>
      <c r="Q1639">
        <v>0</v>
      </c>
      <c r="R1639">
        <v>0</v>
      </c>
      <c r="S1639">
        <v>40</v>
      </c>
    </row>
    <row r="1640" spans="1:19" x14ac:dyDescent="0.25">
      <c r="A1640">
        <v>18137</v>
      </c>
      <c r="B1640" t="s">
        <v>97</v>
      </c>
      <c r="C1640">
        <v>6</v>
      </c>
      <c r="D1640">
        <v>40.623813002191298</v>
      </c>
      <c r="E1640">
        <v>5.6113951789627396</v>
      </c>
      <c r="F1640">
        <f t="shared" si="51"/>
        <v>1</v>
      </c>
      <c r="G1640">
        <v>0</v>
      </c>
      <c r="H1640">
        <v>0</v>
      </c>
      <c r="I1640">
        <v>0</v>
      </c>
      <c r="J1640">
        <v>0</v>
      </c>
      <c r="K1640">
        <v>0</v>
      </c>
      <c r="L1640">
        <v>1</v>
      </c>
      <c r="M1640">
        <f t="shared" si="50"/>
        <v>40</v>
      </c>
      <c r="N1640">
        <v>0</v>
      </c>
      <c r="O1640">
        <v>0</v>
      </c>
      <c r="P1640">
        <v>0</v>
      </c>
      <c r="Q1640">
        <v>0</v>
      </c>
      <c r="R1640">
        <v>0</v>
      </c>
      <c r="S1640">
        <v>40</v>
      </c>
    </row>
    <row r="1641" spans="1:19" x14ac:dyDescent="0.25">
      <c r="A1641">
        <v>18137</v>
      </c>
      <c r="B1641" t="s">
        <v>97</v>
      </c>
      <c r="C1641">
        <v>7</v>
      </c>
      <c r="D1641">
        <v>36.1212563915266</v>
      </c>
      <c r="E1641">
        <v>6.9890430971511996</v>
      </c>
      <c r="F1641">
        <f t="shared" si="51"/>
        <v>1</v>
      </c>
      <c r="G1641">
        <v>0</v>
      </c>
      <c r="H1641">
        <v>0</v>
      </c>
      <c r="I1641">
        <v>0</v>
      </c>
      <c r="J1641">
        <v>0</v>
      </c>
      <c r="K1641">
        <v>0</v>
      </c>
      <c r="L1641">
        <v>1</v>
      </c>
      <c r="M1641">
        <f t="shared" si="50"/>
        <v>40</v>
      </c>
      <c r="N1641">
        <v>0</v>
      </c>
      <c r="O1641">
        <v>0</v>
      </c>
      <c r="P1641">
        <v>0</v>
      </c>
      <c r="Q1641">
        <v>0</v>
      </c>
      <c r="R1641">
        <v>0</v>
      </c>
      <c r="S1641">
        <v>40</v>
      </c>
    </row>
    <row r="1642" spans="1:19" x14ac:dyDescent="0.25">
      <c r="A1642">
        <v>18137</v>
      </c>
      <c r="B1642" t="s">
        <v>97</v>
      </c>
      <c r="C1642">
        <v>8</v>
      </c>
      <c r="D1642">
        <v>28.728999269539798</v>
      </c>
      <c r="E1642">
        <v>5.94740686632578</v>
      </c>
      <c r="F1642">
        <f t="shared" si="51"/>
        <v>1</v>
      </c>
      <c r="G1642">
        <v>0</v>
      </c>
      <c r="H1642">
        <v>0</v>
      </c>
      <c r="I1642">
        <v>0</v>
      </c>
      <c r="J1642">
        <v>0</v>
      </c>
      <c r="K1642">
        <v>0</v>
      </c>
      <c r="L1642">
        <v>1</v>
      </c>
      <c r="M1642">
        <f t="shared" si="50"/>
        <v>40</v>
      </c>
      <c r="N1642">
        <v>0</v>
      </c>
      <c r="O1642">
        <v>0</v>
      </c>
      <c r="P1642">
        <v>0</v>
      </c>
      <c r="Q1642">
        <v>0</v>
      </c>
      <c r="R1642">
        <v>0</v>
      </c>
      <c r="S1642">
        <v>40</v>
      </c>
    </row>
    <row r="1643" spans="1:19" x14ac:dyDescent="0.25">
      <c r="A1643">
        <v>18137</v>
      </c>
      <c r="B1643" t="s">
        <v>97</v>
      </c>
      <c r="C1643">
        <v>9</v>
      </c>
      <c r="D1643">
        <v>23.218407596785902</v>
      </c>
      <c r="E1643">
        <v>3.8305332359386401</v>
      </c>
      <c r="F1643">
        <f t="shared" si="51"/>
        <v>1</v>
      </c>
      <c r="G1643">
        <v>0</v>
      </c>
      <c r="H1643">
        <v>0</v>
      </c>
      <c r="I1643">
        <v>0</v>
      </c>
      <c r="J1643">
        <v>0</v>
      </c>
      <c r="K1643">
        <v>0</v>
      </c>
      <c r="L1643">
        <v>1</v>
      </c>
      <c r="M1643">
        <f t="shared" si="50"/>
        <v>40</v>
      </c>
      <c r="N1643">
        <v>0</v>
      </c>
      <c r="O1643">
        <v>0</v>
      </c>
      <c r="P1643">
        <v>0</v>
      </c>
      <c r="Q1643">
        <v>0</v>
      </c>
      <c r="R1643">
        <v>0</v>
      </c>
      <c r="S1643">
        <v>40</v>
      </c>
    </row>
    <row r="1644" spans="1:19" x14ac:dyDescent="0.25">
      <c r="A1644">
        <v>18137</v>
      </c>
      <c r="B1644" t="s">
        <v>97</v>
      </c>
      <c r="C1644">
        <v>10</v>
      </c>
      <c r="D1644">
        <v>18.7158509861212</v>
      </c>
      <c r="E1644">
        <v>2.4528853177501801</v>
      </c>
      <c r="F1644">
        <f t="shared" si="51"/>
        <v>1</v>
      </c>
      <c r="G1644">
        <v>0</v>
      </c>
      <c r="H1644">
        <v>0</v>
      </c>
      <c r="I1644">
        <v>0</v>
      </c>
      <c r="J1644">
        <v>0</v>
      </c>
      <c r="K1644">
        <v>0</v>
      </c>
      <c r="L1644">
        <v>1</v>
      </c>
      <c r="M1644">
        <f t="shared" si="50"/>
        <v>40</v>
      </c>
      <c r="N1644">
        <v>0</v>
      </c>
      <c r="O1644">
        <v>0</v>
      </c>
      <c r="P1644">
        <v>0</v>
      </c>
      <c r="Q1644">
        <v>0</v>
      </c>
      <c r="R1644">
        <v>0</v>
      </c>
      <c r="S1644">
        <v>40</v>
      </c>
    </row>
    <row r="1645" spans="1:19" x14ac:dyDescent="0.25">
      <c r="A1645">
        <v>18137</v>
      </c>
      <c r="B1645" t="s">
        <v>97</v>
      </c>
      <c r="C1645">
        <v>11</v>
      </c>
      <c r="D1645">
        <v>17.237399561723802</v>
      </c>
      <c r="E1645">
        <v>2.1840759678597501</v>
      </c>
      <c r="F1645">
        <f t="shared" si="51"/>
        <v>1</v>
      </c>
      <c r="G1645">
        <v>0</v>
      </c>
      <c r="H1645">
        <v>0</v>
      </c>
      <c r="I1645">
        <v>0</v>
      </c>
      <c r="J1645">
        <v>0</v>
      </c>
      <c r="K1645">
        <v>0</v>
      </c>
      <c r="L1645">
        <v>1</v>
      </c>
      <c r="M1645">
        <f t="shared" si="50"/>
        <v>40</v>
      </c>
      <c r="N1645">
        <v>0</v>
      </c>
      <c r="O1645">
        <v>0</v>
      </c>
      <c r="P1645">
        <v>0</v>
      </c>
      <c r="Q1645">
        <v>0</v>
      </c>
      <c r="R1645">
        <v>0</v>
      </c>
      <c r="S1645">
        <v>40</v>
      </c>
    </row>
    <row r="1646" spans="1:19" x14ac:dyDescent="0.25">
      <c r="A1646">
        <v>18137</v>
      </c>
      <c r="B1646" t="s">
        <v>97</v>
      </c>
      <c r="C1646">
        <v>12</v>
      </c>
      <c r="D1646">
        <v>18.615047479912299</v>
      </c>
      <c r="E1646">
        <v>1.7136596055514901</v>
      </c>
      <c r="F1646">
        <f t="shared" si="51"/>
        <v>1</v>
      </c>
      <c r="G1646">
        <v>0</v>
      </c>
      <c r="H1646">
        <v>0</v>
      </c>
      <c r="I1646">
        <v>0</v>
      </c>
      <c r="J1646">
        <v>0</v>
      </c>
      <c r="K1646">
        <v>0</v>
      </c>
      <c r="L1646">
        <v>1</v>
      </c>
      <c r="M1646">
        <f t="shared" si="50"/>
        <v>40</v>
      </c>
      <c r="N1646">
        <v>0</v>
      </c>
      <c r="O1646">
        <v>0</v>
      </c>
      <c r="P1646">
        <v>0</v>
      </c>
      <c r="Q1646">
        <v>0</v>
      </c>
      <c r="R1646">
        <v>0</v>
      </c>
      <c r="S1646">
        <v>40</v>
      </c>
    </row>
    <row r="1647" spans="1:19" x14ac:dyDescent="0.25">
      <c r="A1647">
        <v>18137</v>
      </c>
      <c r="B1647" t="s">
        <v>97</v>
      </c>
      <c r="C1647">
        <v>13</v>
      </c>
      <c r="D1647">
        <v>17.472607742878001</v>
      </c>
      <c r="E1647">
        <v>2.3856829802775699</v>
      </c>
      <c r="F1647">
        <f t="shared" si="51"/>
        <v>1</v>
      </c>
      <c r="G1647">
        <v>0</v>
      </c>
      <c r="H1647">
        <v>0</v>
      </c>
      <c r="I1647">
        <v>0</v>
      </c>
      <c r="J1647">
        <v>0</v>
      </c>
      <c r="K1647">
        <v>0</v>
      </c>
      <c r="L1647">
        <v>1</v>
      </c>
      <c r="M1647">
        <f t="shared" si="50"/>
        <v>40</v>
      </c>
      <c r="N1647">
        <v>0</v>
      </c>
      <c r="O1647">
        <v>0</v>
      </c>
      <c r="P1647">
        <v>0</v>
      </c>
      <c r="Q1647">
        <v>0</v>
      </c>
      <c r="R1647">
        <v>0</v>
      </c>
      <c r="S1647">
        <v>40</v>
      </c>
    </row>
    <row r="1648" spans="1:19" x14ac:dyDescent="0.25">
      <c r="A1648">
        <v>18137</v>
      </c>
      <c r="B1648" t="s">
        <v>97</v>
      </c>
      <c r="C1648">
        <v>14</v>
      </c>
      <c r="D1648">
        <v>16.0613586559532</v>
      </c>
      <c r="E1648">
        <v>2.0160701241782299</v>
      </c>
      <c r="F1648">
        <f t="shared" si="51"/>
        <v>1</v>
      </c>
      <c r="G1648">
        <v>0</v>
      </c>
      <c r="H1648">
        <v>0</v>
      </c>
      <c r="I1648">
        <v>0</v>
      </c>
      <c r="J1648">
        <v>0</v>
      </c>
      <c r="K1648">
        <v>0</v>
      </c>
      <c r="L1648">
        <v>1</v>
      </c>
      <c r="M1648">
        <f t="shared" si="50"/>
        <v>40</v>
      </c>
      <c r="N1648">
        <v>0</v>
      </c>
      <c r="O1648">
        <v>0</v>
      </c>
      <c r="P1648">
        <v>0</v>
      </c>
      <c r="Q1648">
        <v>0</v>
      </c>
      <c r="R1648">
        <v>0</v>
      </c>
      <c r="S1648">
        <v>40</v>
      </c>
    </row>
    <row r="1649" spans="1:19" x14ac:dyDescent="0.25">
      <c r="A1649">
        <v>18137</v>
      </c>
      <c r="B1649" t="s">
        <v>97</v>
      </c>
      <c r="C1649">
        <v>15</v>
      </c>
      <c r="D1649">
        <v>17.607012417823199</v>
      </c>
      <c r="E1649">
        <v>0.90723155588020399</v>
      </c>
      <c r="F1649">
        <f t="shared" si="51"/>
        <v>1</v>
      </c>
      <c r="G1649">
        <v>0</v>
      </c>
      <c r="H1649">
        <v>0</v>
      </c>
      <c r="I1649">
        <v>0</v>
      </c>
      <c r="J1649">
        <v>0</v>
      </c>
      <c r="K1649">
        <v>0</v>
      </c>
      <c r="L1649">
        <v>1</v>
      </c>
      <c r="M1649">
        <f t="shared" si="50"/>
        <v>40</v>
      </c>
      <c r="N1649">
        <v>0</v>
      </c>
      <c r="O1649">
        <v>0</v>
      </c>
      <c r="P1649">
        <v>0</v>
      </c>
      <c r="Q1649">
        <v>0</v>
      </c>
      <c r="R1649">
        <v>0</v>
      </c>
      <c r="S1649">
        <v>40</v>
      </c>
    </row>
    <row r="1650" spans="1:19" x14ac:dyDescent="0.25">
      <c r="A1650">
        <v>18137</v>
      </c>
      <c r="B1650" t="s">
        <v>97</v>
      </c>
      <c r="C1650">
        <v>16</v>
      </c>
      <c r="D1650">
        <v>18.043827611395098</v>
      </c>
      <c r="E1650">
        <v>0.90723155588020399</v>
      </c>
      <c r="F1650">
        <f t="shared" si="51"/>
        <v>1</v>
      </c>
      <c r="G1650">
        <v>0</v>
      </c>
      <c r="H1650">
        <v>0</v>
      </c>
      <c r="I1650">
        <v>0</v>
      </c>
      <c r="J1650">
        <v>0</v>
      </c>
      <c r="K1650">
        <v>0</v>
      </c>
      <c r="L1650">
        <v>1</v>
      </c>
      <c r="M1650">
        <f t="shared" si="50"/>
        <v>40</v>
      </c>
      <c r="N1650">
        <v>0</v>
      </c>
      <c r="O1650">
        <v>0</v>
      </c>
      <c r="P1650">
        <v>0</v>
      </c>
      <c r="Q1650">
        <v>0</v>
      </c>
      <c r="R1650">
        <v>0</v>
      </c>
      <c r="S1650">
        <v>40</v>
      </c>
    </row>
    <row r="1651" spans="1:19" x14ac:dyDescent="0.25">
      <c r="A1651">
        <v>18137</v>
      </c>
      <c r="B1651" t="s">
        <v>97</v>
      </c>
      <c r="C1651">
        <v>17</v>
      </c>
      <c r="D1651">
        <v>19.925493060628199</v>
      </c>
      <c r="E1651">
        <v>0.97443389335281205</v>
      </c>
      <c r="F1651">
        <f t="shared" si="51"/>
        <v>1</v>
      </c>
      <c r="G1651">
        <v>0</v>
      </c>
      <c r="H1651">
        <v>0</v>
      </c>
      <c r="I1651">
        <v>0</v>
      </c>
      <c r="J1651">
        <v>0</v>
      </c>
      <c r="K1651">
        <v>0</v>
      </c>
      <c r="L1651">
        <v>1</v>
      </c>
      <c r="M1651">
        <f t="shared" si="50"/>
        <v>40</v>
      </c>
      <c r="N1651">
        <v>0</v>
      </c>
      <c r="O1651">
        <v>0</v>
      </c>
      <c r="P1651">
        <v>0</v>
      </c>
      <c r="Q1651">
        <v>0</v>
      </c>
      <c r="R1651">
        <v>0</v>
      </c>
      <c r="S1651">
        <v>40</v>
      </c>
    </row>
    <row r="1652" spans="1:19" x14ac:dyDescent="0.25">
      <c r="A1652">
        <v>18137</v>
      </c>
      <c r="B1652" t="s">
        <v>97</v>
      </c>
      <c r="C1652">
        <v>18</v>
      </c>
      <c r="D1652">
        <v>24.024835646457198</v>
      </c>
      <c r="E1652">
        <v>0.90723155588020399</v>
      </c>
      <c r="F1652">
        <f t="shared" si="51"/>
        <v>1</v>
      </c>
      <c r="G1652">
        <v>0</v>
      </c>
      <c r="H1652">
        <v>0</v>
      </c>
      <c r="I1652">
        <v>0</v>
      </c>
      <c r="J1652">
        <v>0</v>
      </c>
      <c r="K1652">
        <v>0</v>
      </c>
      <c r="L1652">
        <v>1</v>
      </c>
      <c r="M1652">
        <f t="shared" si="50"/>
        <v>40</v>
      </c>
      <c r="N1652">
        <v>0</v>
      </c>
      <c r="O1652">
        <v>0</v>
      </c>
      <c r="P1652">
        <v>0</v>
      </c>
      <c r="Q1652">
        <v>0</v>
      </c>
      <c r="R1652">
        <v>0</v>
      </c>
      <c r="S1652">
        <v>40</v>
      </c>
    </row>
    <row r="1653" spans="1:19" x14ac:dyDescent="0.25">
      <c r="A1653">
        <v>18137</v>
      </c>
      <c r="B1653" t="s">
        <v>97</v>
      </c>
      <c r="C1653">
        <v>19</v>
      </c>
      <c r="D1653">
        <v>28.863403944485</v>
      </c>
      <c r="E1653">
        <v>1.37764791818845</v>
      </c>
      <c r="F1653">
        <f t="shared" si="51"/>
        <v>1</v>
      </c>
      <c r="G1653">
        <v>0</v>
      </c>
      <c r="H1653">
        <v>0</v>
      </c>
      <c r="I1653">
        <v>0</v>
      </c>
      <c r="J1653">
        <v>0</v>
      </c>
      <c r="K1653">
        <v>0</v>
      </c>
      <c r="L1653">
        <v>1</v>
      </c>
      <c r="M1653">
        <f t="shared" si="50"/>
        <v>40</v>
      </c>
      <c r="N1653">
        <v>0</v>
      </c>
      <c r="O1653">
        <v>0</v>
      </c>
      <c r="P1653">
        <v>0</v>
      </c>
      <c r="Q1653">
        <v>0</v>
      </c>
      <c r="R1653">
        <v>0</v>
      </c>
      <c r="S1653">
        <v>40</v>
      </c>
    </row>
    <row r="1654" spans="1:19" x14ac:dyDescent="0.25">
      <c r="A1654">
        <v>18137</v>
      </c>
      <c r="B1654" t="s">
        <v>97</v>
      </c>
      <c r="C1654">
        <v>20</v>
      </c>
      <c r="D1654">
        <v>34.2731921110299</v>
      </c>
      <c r="E1654">
        <v>1.64645726807888</v>
      </c>
      <c r="F1654">
        <f t="shared" si="51"/>
        <v>1</v>
      </c>
      <c r="G1654">
        <v>0</v>
      </c>
      <c r="H1654">
        <v>0</v>
      </c>
      <c r="I1654">
        <v>0</v>
      </c>
      <c r="J1654">
        <v>0</v>
      </c>
      <c r="K1654">
        <v>0</v>
      </c>
      <c r="L1654">
        <v>1</v>
      </c>
      <c r="M1654">
        <f t="shared" si="50"/>
        <v>40</v>
      </c>
      <c r="N1654">
        <v>0</v>
      </c>
      <c r="O1654">
        <v>0</v>
      </c>
      <c r="P1654">
        <v>0</v>
      </c>
      <c r="Q1654">
        <v>0</v>
      </c>
      <c r="R1654">
        <v>0</v>
      </c>
      <c r="S1654">
        <v>40</v>
      </c>
    </row>
    <row r="1655" spans="1:19" x14ac:dyDescent="0.25">
      <c r="A1655">
        <v>18137</v>
      </c>
      <c r="B1655" t="s">
        <v>97</v>
      </c>
      <c r="C1655">
        <v>21</v>
      </c>
      <c r="D1655">
        <v>38.271731190650101</v>
      </c>
      <c r="E1655">
        <v>1.7808619430240999</v>
      </c>
      <c r="F1655">
        <f t="shared" si="51"/>
        <v>1</v>
      </c>
      <c r="G1655">
        <v>0</v>
      </c>
      <c r="H1655">
        <v>0</v>
      </c>
      <c r="I1655">
        <v>0</v>
      </c>
      <c r="J1655">
        <v>0</v>
      </c>
      <c r="K1655">
        <v>0</v>
      </c>
      <c r="L1655">
        <v>1</v>
      </c>
      <c r="M1655">
        <f t="shared" si="50"/>
        <v>40</v>
      </c>
      <c r="N1655">
        <v>0</v>
      </c>
      <c r="O1655">
        <v>0</v>
      </c>
      <c r="P1655">
        <v>0</v>
      </c>
      <c r="Q1655">
        <v>0</v>
      </c>
      <c r="R1655">
        <v>0</v>
      </c>
      <c r="S1655">
        <v>40</v>
      </c>
    </row>
    <row r="1656" spans="1:19" x14ac:dyDescent="0.25">
      <c r="A1656">
        <v>18137</v>
      </c>
      <c r="B1656" t="s">
        <v>97</v>
      </c>
      <c r="C1656">
        <v>22</v>
      </c>
      <c r="D1656">
        <v>41.867056245434597</v>
      </c>
      <c r="E1656">
        <v>1.61285609934258</v>
      </c>
      <c r="F1656">
        <f t="shared" si="51"/>
        <v>1</v>
      </c>
      <c r="G1656">
        <v>0</v>
      </c>
      <c r="H1656">
        <v>0</v>
      </c>
      <c r="I1656">
        <v>0</v>
      </c>
      <c r="J1656">
        <v>0</v>
      </c>
      <c r="K1656">
        <v>0</v>
      </c>
      <c r="L1656">
        <v>1</v>
      </c>
      <c r="M1656">
        <f t="shared" si="50"/>
        <v>40</v>
      </c>
      <c r="N1656">
        <v>0</v>
      </c>
      <c r="O1656">
        <v>0</v>
      </c>
      <c r="P1656">
        <v>0</v>
      </c>
      <c r="Q1656">
        <v>0</v>
      </c>
      <c r="R1656">
        <v>0</v>
      </c>
      <c r="S1656">
        <v>40</v>
      </c>
    </row>
    <row r="1657" spans="1:19" x14ac:dyDescent="0.25">
      <c r="A1657">
        <v>18137</v>
      </c>
      <c r="B1657" t="s">
        <v>97</v>
      </c>
      <c r="C1657">
        <v>23</v>
      </c>
      <c r="D1657">
        <v>43.479912344777198</v>
      </c>
      <c r="E1657">
        <v>2.2512783053323502</v>
      </c>
      <c r="F1657">
        <f t="shared" si="51"/>
        <v>1</v>
      </c>
      <c r="G1657">
        <v>0</v>
      </c>
      <c r="H1657">
        <v>0</v>
      </c>
      <c r="I1657">
        <v>0</v>
      </c>
      <c r="J1657">
        <v>0</v>
      </c>
      <c r="K1657">
        <v>0</v>
      </c>
      <c r="L1657">
        <v>1</v>
      </c>
      <c r="M1657">
        <f t="shared" si="50"/>
        <v>40</v>
      </c>
      <c r="N1657">
        <v>0</v>
      </c>
      <c r="O1657">
        <v>0</v>
      </c>
      <c r="P1657">
        <v>0</v>
      </c>
      <c r="Q1657">
        <v>0</v>
      </c>
      <c r="R1657">
        <v>0</v>
      </c>
      <c r="S1657">
        <v>40</v>
      </c>
    </row>
    <row r="1658" spans="1:19" x14ac:dyDescent="0.25">
      <c r="A1658">
        <v>18139</v>
      </c>
      <c r="B1658" t="s">
        <v>98</v>
      </c>
      <c r="C1658">
        <v>0</v>
      </c>
      <c r="D1658">
        <v>0</v>
      </c>
      <c r="E1658">
        <v>0.61262508857887898</v>
      </c>
      <c r="F1658">
        <f t="shared" si="51"/>
        <v>0</v>
      </c>
      <c r="G1658">
        <v>0</v>
      </c>
      <c r="H1658">
        <v>0</v>
      </c>
      <c r="I1658">
        <v>0</v>
      </c>
      <c r="J1658">
        <v>0</v>
      </c>
      <c r="K1658">
        <v>0</v>
      </c>
      <c r="L1658">
        <v>0</v>
      </c>
      <c r="M1658">
        <f t="shared" si="50"/>
        <v>0</v>
      </c>
      <c r="N1658">
        <v>0</v>
      </c>
      <c r="O1658">
        <v>0</v>
      </c>
      <c r="P1658">
        <v>0</v>
      </c>
      <c r="Q1658">
        <v>0</v>
      </c>
      <c r="R1658">
        <v>0</v>
      </c>
      <c r="S1658">
        <v>0</v>
      </c>
    </row>
    <row r="1659" spans="1:19" x14ac:dyDescent="0.25">
      <c r="A1659">
        <v>18139</v>
      </c>
      <c r="B1659" t="s">
        <v>98</v>
      </c>
      <c r="C1659">
        <v>1</v>
      </c>
      <c r="D1659">
        <v>0</v>
      </c>
      <c r="E1659">
        <v>0.64866185849528302</v>
      </c>
      <c r="F1659">
        <f t="shared" si="51"/>
        <v>0</v>
      </c>
      <c r="G1659">
        <v>0</v>
      </c>
      <c r="H1659">
        <v>0</v>
      </c>
      <c r="I1659">
        <v>0</v>
      </c>
      <c r="J1659">
        <v>0</v>
      </c>
      <c r="K1659">
        <v>0</v>
      </c>
      <c r="L1659">
        <v>0</v>
      </c>
      <c r="M1659">
        <f t="shared" si="50"/>
        <v>0</v>
      </c>
      <c r="N1659">
        <v>0</v>
      </c>
      <c r="O1659">
        <v>0</v>
      </c>
      <c r="P1659">
        <v>0</v>
      </c>
      <c r="Q1659">
        <v>0</v>
      </c>
      <c r="R1659">
        <v>0</v>
      </c>
      <c r="S1659">
        <v>0</v>
      </c>
    </row>
    <row r="1660" spans="1:19" x14ac:dyDescent="0.25">
      <c r="A1660">
        <v>18139</v>
      </c>
      <c r="B1660" t="s">
        <v>98</v>
      </c>
      <c r="C1660">
        <v>2</v>
      </c>
      <c r="D1660">
        <v>0</v>
      </c>
      <c r="E1660">
        <v>0.64866185849528302</v>
      </c>
      <c r="F1660">
        <f t="shared" si="51"/>
        <v>0</v>
      </c>
      <c r="G1660">
        <v>0</v>
      </c>
      <c r="H1660">
        <v>0</v>
      </c>
      <c r="I1660">
        <v>0</v>
      </c>
      <c r="J1660">
        <v>0</v>
      </c>
      <c r="K1660">
        <v>0</v>
      </c>
      <c r="L1660">
        <v>0</v>
      </c>
      <c r="M1660">
        <f t="shared" si="50"/>
        <v>0</v>
      </c>
      <c r="N1660">
        <v>0</v>
      </c>
      <c r="O1660">
        <v>0</v>
      </c>
      <c r="P1660">
        <v>0</v>
      </c>
      <c r="Q1660">
        <v>0</v>
      </c>
      <c r="R1660">
        <v>0</v>
      </c>
      <c r="S1660">
        <v>0</v>
      </c>
    </row>
    <row r="1661" spans="1:19" x14ac:dyDescent="0.25">
      <c r="A1661">
        <v>18139</v>
      </c>
      <c r="B1661" t="s">
        <v>98</v>
      </c>
      <c r="C1661">
        <v>3</v>
      </c>
      <c r="D1661">
        <v>0</v>
      </c>
      <c r="E1661">
        <v>0.756772168244497</v>
      </c>
      <c r="F1661">
        <f t="shared" si="51"/>
        <v>0</v>
      </c>
      <c r="G1661">
        <v>0</v>
      </c>
      <c r="H1661">
        <v>0</v>
      </c>
      <c r="I1661">
        <v>0</v>
      </c>
      <c r="J1661">
        <v>0</v>
      </c>
      <c r="K1661">
        <v>0</v>
      </c>
      <c r="L1661">
        <v>0</v>
      </c>
      <c r="M1661">
        <f t="shared" si="50"/>
        <v>0</v>
      </c>
      <c r="N1661">
        <v>0</v>
      </c>
      <c r="O1661">
        <v>0</v>
      </c>
      <c r="P1661">
        <v>0</v>
      </c>
      <c r="Q1661">
        <v>0</v>
      </c>
      <c r="R1661">
        <v>0</v>
      </c>
      <c r="S1661">
        <v>0</v>
      </c>
    </row>
    <row r="1662" spans="1:19" x14ac:dyDescent="0.25">
      <c r="A1662">
        <v>18139</v>
      </c>
      <c r="B1662" t="s">
        <v>98</v>
      </c>
      <c r="C1662">
        <v>4</v>
      </c>
      <c r="D1662">
        <v>0</v>
      </c>
      <c r="E1662">
        <v>0.79280893816090203</v>
      </c>
      <c r="F1662">
        <f t="shared" si="51"/>
        <v>0</v>
      </c>
      <c r="G1662">
        <v>0</v>
      </c>
      <c r="H1662">
        <v>0</v>
      </c>
      <c r="I1662">
        <v>0</v>
      </c>
      <c r="J1662">
        <v>0</v>
      </c>
      <c r="K1662">
        <v>0</v>
      </c>
      <c r="L1662">
        <v>0</v>
      </c>
      <c r="M1662">
        <f t="shared" si="50"/>
        <v>0</v>
      </c>
      <c r="N1662">
        <v>0</v>
      </c>
      <c r="O1662">
        <v>0</v>
      </c>
      <c r="P1662">
        <v>0</v>
      </c>
      <c r="Q1662">
        <v>0</v>
      </c>
      <c r="R1662">
        <v>0</v>
      </c>
      <c r="S1662">
        <v>0</v>
      </c>
    </row>
    <row r="1663" spans="1:19" x14ac:dyDescent="0.25">
      <c r="A1663">
        <v>18139</v>
      </c>
      <c r="B1663" t="s">
        <v>98</v>
      </c>
      <c r="C1663">
        <v>5</v>
      </c>
      <c r="D1663">
        <v>0</v>
      </c>
      <c r="E1663">
        <v>0.68469862841168805</v>
      </c>
      <c r="F1663">
        <f t="shared" si="51"/>
        <v>0</v>
      </c>
      <c r="G1663">
        <v>0</v>
      </c>
      <c r="H1663">
        <v>0</v>
      </c>
      <c r="I1663">
        <v>0</v>
      </c>
      <c r="J1663">
        <v>0</v>
      </c>
      <c r="K1663">
        <v>0</v>
      </c>
      <c r="L1663">
        <v>0</v>
      </c>
      <c r="M1663">
        <f t="shared" si="50"/>
        <v>0</v>
      </c>
      <c r="N1663">
        <v>0</v>
      </c>
      <c r="O1663">
        <v>0</v>
      </c>
      <c r="P1663">
        <v>0</v>
      </c>
      <c r="Q1663">
        <v>0</v>
      </c>
      <c r="R1663">
        <v>0</v>
      </c>
      <c r="S1663">
        <v>0</v>
      </c>
    </row>
    <row r="1664" spans="1:19" x14ac:dyDescent="0.25">
      <c r="A1664">
        <v>18139</v>
      </c>
      <c r="B1664" t="s">
        <v>98</v>
      </c>
      <c r="C1664">
        <v>6</v>
      </c>
      <c r="D1664">
        <v>0</v>
      </c>
      <c r="E1664">
        <v>1.1531766373249399</v>
      </c>
      <c r="F1664">
        <f t="shared" si="51"/>
        <v>0</v>
      </c>
      <c r="G1664">
        <v>0</v>
      </c>
      <c r="H1664">
        <v>0</v>
      </c>
      <c r="I1664">
        <v>0</v>
      </c>
      <c r="J1664">
        <v>0</v>
      </c>
      <c r="K1664">
        <v>0</v>
      </c>
      <c r="L1664">
        <v>0</v>
      </c>
      <c r="M1664">
        <f t="shared" si="50"/>
        <v>0</v>
      </c>
      <c r="N1664">
        <v>0</v>
      </c>
      <c r="O1664">
        <v>0</v>
      </c>
      <c r="P1664">
        <v>0</v>
      </c>
      <c r="Q1664">
        <v>0</v>
      </c>
      <c r="R1664">
        <v>0</v>
      </c>
      <c r="S1664">
        <v>0</v>
      </c>
    </row>
    <row r="1665" spans="1:19" x14ac:dyDescent="0.25">
      <c r="A1665">
        <v>18139</v>
      </c>
      <c r="B1665" t="s">
        <v>98</v>
      </c>
      <c r="C1665">
        <v>7</v>
      </c>
      <c r="D1665">
        <v>0</v>
      </c>
      <c r="E1665">
        <v>0.86488247799371099</v>
      </c>
      <c r="F1665">
        <f t="shared" si="51"/>
        <v>0</v>
      </c>
      <c r="G1665">
        <v>0</v>
      </c>
      <c r="H1665">
        <v>0</v>
      </c>
      <c r="I1665">
        <v>0</v>
      </c>
      <c r="J1665">
        <v>0</v>
      </c>
      <c r="K1665">
        <v>0</v>
      </c>
      <c r="L1665">
        <v>0</v>
      </c>
      <c r="M1665">
        <f t="shared" si="50"/>
        <v>0</v>
      </c>
      <c r="N1665">
        <v>0</v>
      </c>
      <c r="O1665">
        <v>0</v>
      </c>
      <c r="P1665">
        <v>0</v>
      </c>
      <c r="Q1665">
        <v>0</v>
      </c>
      <c r="R1665">
        <v>0</v>
      </c>
      <c r="S1665">
        <v>0</v>
      </c>
    </row>
    <row r="1666" spans="1:19" x14ac:dyDescent="0.25">
      <c r="A1666">
        <v>18139</v>
      </c>
      <c r="B1666" t="s">
        <v>98</v>
      </c>
      <c r="C1666">
        <v>8</v>
      </c>
      <c r="D1666">
        <v>0</v>
      </c>
      <c r="E1666">
        <v>1.29732371699056</v>
      </c>
      <c r="F1666">
        <f t="shared" si="51"/>
        <v>0</v>
      </c>
      <c r="G1666">
        <v>0</v>
      </c>
      <c r="H1666">
        <v>0</v>
      </c>
      <c r="I1666">
        <v>0</v>
      </c>
      <c r="J1666">
        <v>0</v>
      </c>
      <c r="K1666">
        <v>0</v>
      </c>
      <c r="L1666">
        <v>0</v>
      </c>
      <c r="M1666">
        <f t="shared" ref="M1666:M1729" si="52">SUM(N1666:S1666)</f>
        <v>0</v>
      </c>
      <c r="N1666">
        <v>0</v>
      </c>
      <c r="O1666">
        <v>0</v>
      </c>
      <c r="P1666">
        <v>0</v>
      </c>
      <c r="Q1666">
        <v>0</v>
      </c>
      <c r="R1666">
        <v>0</v>
      </c>
      <c r="S1666">
        <v>0</v>
      </c>
    </row>
    <row r="1667" spans="1:19" x14ac:dyDescent="0.25">
      <c r="A1667">
        <v>18139</v>
      </c>
      <c r="B1667" t="s">
        <v>98</v>
      </c>
      <c r="C1667">
        <v>9</v>
      </c>
      <c r="D1667">
        <v>0</v>
      </c>
      <c r="E1667">
        <v>1.8739120356530401</v>
      </c>
      <c r="F1667">
        <f t="shared" ref="F1667:F1730" si="53">SUM(G1667:L1667)</f>
        <v>0</v>
      </c>
      <c r="G1667">
        <v>0</v>
      </c>
      <c r="H1667">
        <v>0</v>
      </c>
      <c r="I1667">
        <v>0</v>
      </c>
      <c r="J1667">
        <v>0</v>
      </c>
      <c r="K1667">
        <v>0</v>
      </c>
      <c r="L1667">
        <v>0</v>
      </c>
      <c r="M1667">
        <f t="shared" si="52"/>
        <v>0</v>
      </c>
      <c r="N1667">
        <v>0</v>
      </c>
      <c r="O1667">
        <v>0</v>
      </c>
      <c r="P1667">
        <v>0</v>
      </c>
      <c r="Q1667">
        <v>0</v>
      </c>
      <c r="R1667">
        <v>0</v>
      </c>
      <c r="S1667">
        <v>0</v>
      </c>
    </row>
    <row r="1668" spans="1:19" x14ac:dyDescent="0.25">
      <c r="A1668">
        <v>18139</v>
      </c>
      <c r="B1668" t="s">
        <v>98</v>
      </c>
      <c r="C1668">
        <v>10</v>
      </c>
      <c r="D1668">
        <v>0</v>
      </c>
      <c r="E1668">
        <v>1.90994880556944</v>
      </c>
      <c r="F1668">
        <f t="shared" si="53"/>
        <v>0</v>
      </c>
      <c r="G1668">
        <v>0</v>
      </c>
      <c r="H1668">
        <v>0</v>
      </c>
      <c r="I1668">
        <v>0</v>
      </c>
      <c r="J1668">
        <v>0</v>
      </c>
      <c r="K1668">
        <v>0</v>
      </c>
      <c r="L1668">
        <v>0</v>
      </c>
      <c r="M1668">
        <f t="shared" si="52"/>
        <v>0</v>
      </c>
      <c r="N1668">
        <v>0</v>
      </c>
      <c r="O1668">
        <v>0</v>
      </c>
      <c r="P1668">
        <v>0</v>
      </c>
      <c r="Q1668">
        <v>0</v>
      </c>
      <c r="R1668">
        <v>0</v>
      </c>
      <c r="S1668">
        <v>0</v>
      </c>
    </row>
    <row r="1669" spans="1:19" x14ac:dyDescent="0.25">
      <c r="A1669">
        <v>18139</v>
      </c>
      <c r="B1669" t="s">
        <v>98</v>
      </c>
      <c r="C1669">
        <v>11</v>
      </c>
      <c r="D1669">
        <v>0</v>
      </c>
      <c r="E1669">
        <v>0.90091924791011602</v>
      </c>
      <c r="F1669">
        <f t="shared" si="53"/>
        <v>0</v>
      </c>
      <c r="G1669">
        <v>0</v>
      </c>
      <c r="H1669">
        <v>0</v>
      </c>
      <c r="I1669">
        <v>0</v>
      </c>
      <c r="J1669">
        <v>0</v>
      </c>
      <c r="K1669">
        <v>0</v>
      </c>
      <c r="L1669">
        <v>0</v>
      </c>
      <c r="M1669">
        <f t="shared" si="52"/>
        <v>0</v>
      </c>
      <c r="N1669">
        <v>0</v>
      </c>
      <c r="O1669">
        <v>0</v>
      </c>
      <c r="P1669">
        <v>0</v>
      </c>
      <c r="Q1669">
        <v>0</v>
      </c>
      <c r="R1669">
        <v>0</v>
      </c>
      <c r="S1669">
        <v>0</v>
      </c>
    </row>
    <row r="1670" spans="1:19" x14ac:dyDescent="0.25">
      <c r="A1670">
        <v>18139</v>
      </c>
      <c r="B1670" t="s">
        <v>98</v>
      </c>
      <c r="C1670">
        <v>12</v>
      </c>
      <c r="D1670">
        <v>0</v>
      </c>
      <c r="E1670">
        <v>1.0811030974921301</v>
      </c>
      <c r="F1670">
        <f t="shared" si="53"/>
        <v>0</v>
      </c>
      <c r="G1670">
        <v>0</v>
      </c>
      <c r="H1670">
        <v>0</v>
      </c>
      <c r="I1670">
        <v>0</v>
      </c>
      <c r="J1670">
        <v>0</v>
      </c>
      <c r="K1670">
        <v>0</v>
      </c>
      <c r="L1670">
        <v>0</v>
      </c>
      <c r="M1670">
        <f t="shared" si="52"/>
        <v>0</v>
      </c>
      <c r="N1670">
        <v>0</v>
      </c>
      <c r="O1670">
        <v>0</v>
      </c>
      <c r="P1670">
        <v>0</v>
      </c>
      <c r="Q1670">
        <v>0</v>
      </c>
      <c r="R1670">
        <v>0</v>
      </c>
      <c r="S1670">
        <v>0</v>
      </c>
    </row>
    <row r="1671" spans="1:19" x14ac:dyDescent="0.25">
      <c r="A1671">
        <v>18139</v>
      </c>
      <c r="B1671" t="s">
        <v>98</v>
      </c>
      <c r="C1671">
        <v>13</v>
      </c>
      <c r="D1671">
        <v>0</v>
      </c>
      <c r="E1671">
        <v>0.68469862841168805</v>
      </c>
      <c r="F1671">
        <f t="shared" si="53"/>
        <v>0</v>
      </c>
      <c r="G1671">
        <v>0</v>
      </c>
      <c r="H1671">
        <v>0</v>
      </c>
      <c r="I1671">
        <v>0</v>
      </c>
      <c r="J1671">
        <v>0</v>
      </c>
      <c r="K1671">
        <v>0</v>
      </c>
      <c r="L1671">
        <v>0</v>
      </c>
      <c r="M1671">
        <f t="shared" si="52"/>
        <v>0</v>
      </c>
      <c r="N1671">
        <v>0</v>
      </c>
      <c r="O1671">
        <v>0</v>
      </c>
      <c r="P1671">
        <v>0</v>
      </c>
      <c r="Q1671">
        <v>0</v>
      </c>
      <c r="R1671">
        <v>0</v>
      </c>
      <c r="S1671">
        <v>0</v>
      </c>
    </row>
    <row r="1672" spans="1:19" x14ac:dyDescent="0.25">
      <c r="A1672">
        <v>18139</v>
      </c>
      <c r="B1672" t="s">
        <v>98</v>
      </c>
      <c r="C1672">
        <v>14</v>
      </c>
      <c r="D1672">
        <v>0</v>
      </c>
      <c r="E1672">
        <v>0.43244123899685499</v>
      </c>
      <c r="F1672">
        <f t="shared" si="53"/>
        <v>0</v>
      </c>
      <c r="G1672">
        <v>0</v>
      </c>
      <c r="H1672">
        <v>0</v>
      </c>
      <c r="I1672">
        <v>0</v>
      </c>
      <c r="J1672">
        <v>0</v>
      </c>
      <c r="K1672">
        <v>0</v>
      </c>
      <c r="L1672">
        <v>0</v>
      </c>
      <c r="M1672">
        <f t="shared" si="52"/>
        <v>0</v>
      </c>
      <c r="N1672">
        <v>0</v>
      </c>
      <c r="O1672">
        <v>0</v>
      </c>
      <c r="P1672">
        <v>0</v>
      </c>
      <c r="Q1672">
        <v>0</v>
      </c>
      <c r="R1672">
        <v>0</v>
      </c>
      <c r="S1672">
        <v>0</v>
      </c>
    </row>
    <row r="1673" spans="1:19" x14ac:dyDescent="0.25">
      <c r="A1673">
        <v>18139</v>
      </c>
      <c r="B1673" t="s">
        <v>98</v>
      </c>
      <c r="C1673">
        <v>15</v>
      </c>
      <c r="D1673">
        <v>0</v>
      </c>
      <c r="E1673">
        <v>0.504514778829665</v>
      </c>
      <c r="F1673">
        <f t="shared" si="53"/>
        <v>0</v>
      </c>
      <c r="G1673">
        <v>0</v>
      </c>
      <c r="H1673">
        <v>0</v>
      </c>
      <c r="I1673">
        <v>0</v>
      </c>
      <c r="J1673">
        <v>0</v>
      </c>
      <c r="K1673">
        <v>0</v>
      </c>
      <c r="L1673">
        <v>0</v>
      </c>
      <c r="M1673">
        <f t="shared" si="52"/>
        <v>0</v>
      </c>
      <c r="N1673">
        <v>0</v>
      </c>
      <c r="O1673">
        <v>0</v>
      </c>
      <c r="P1673">
        <v>0</v>
      </c>
      <c r="Q1673">
        <v>0</v>
      </c>
      <c r="R1673">
        <v>0</v>
      </c>
      <c r="S1673">
        <v>0</v>
      </c>
    </row>
    <row r="1674" spans="1:19" x14ac:dyDescent="0.25">
      <c r="A1674">
        <v>18139</v>
      </c>
      <c r="B1674" t="s">
        <v>98</v>
      </c>
      <c r="C1674">
        <v>16</v>
      </c>
      <c r="D1674">
        <v>0</v>
      </c>
      <c r="E1674">
        <v>0.43244123899685499</v>
      </c>
      <c r="F1674">
        <f t="shared" si="53"/>
        <v>0</v>
      </c>
      <c r="G1674">
        <v>0</v>
      </c>
      <c r="H1674">
        <v>0</v>
      </c>
      <c r="I1674">
        <v>0</v>
      </c>
      <c r="J1674">
        <v>0</v>
      </c>
      <c r="K1674">
        <v>0</v>
      </c>
      <c r="L1674">
        <v>0</v>
      </c>
      <c r="M1674">
        <f t="shared" si="52"/>
        <v>0</v>
      </c>
      <c r="N1674">
        <v>0</v>
      </c>
      <c r="O1674">
        <v>0</v>
      </c>
      <c r="P1674">
        <v>0</v>
      </c>
      <c r="Q1674">
        <v>0</v>
      </c>
      <c r="R1674">
        <v>0</v>
      </c>
      <c r="S1674">
        <v>0</v>
      </c>
    </row>
    <row r="1675" spans="1:19" x14ac:dyDescent="0.25">
      <c r="A1675">
        <v>18139</v>
      </c>
      <c r="B1675" t="s">
        <v>98</v>
      </c>
      <c r="C1675">
        <v>17</v>
      </c>
      <c r="D1675">
        <v>0</v>
      </c>
      <c r="E1675">
        <v>0.18018384958202299</v>
      </c>
      <c r="F1675">
        <f t="shared" si="53"/>
        <v>0</v>
      </c>
      <c r="G1675">
        <v>0</v>
      </c>
      <c r="H1675">
        <v>0</v>
      </c>
      <c r="I1675">
        <v>0</v>
      </c>
      <c r="J1675">
        <v>0</v>
      </c>
      <c r="K1675">
        <v>0</v>
      </c>
      <c r="L1675">
        <v>0</v>
      </c>
      <c r="M1675">
        <f t="shared" si="52"/>
        <v>0</v>
      </c>
      <c r="N1675">
        <v>0</v>
      </c>
      <c r="O1675">
        <v>0</v>
      </c>
      <c r="P1675">
        <v>0</v>
      </c>
      <c r="Q1675">
        <v>0</v>
      </c>
      <c r="R1675">
        <v>0</v>
      </c>
      <c r="S1675">
        <v>0</v>
      </c>
    </row>
    <row r="1676" spans="1:19" x14ac:dyDescent="0.25">
      <c r="A1676">
        <v>18139</v>
      </c>
      <c r="B1676" t="s">
        <v>98</v>
      </c>
      <c r="C1676">
        <v>18</v>
      </c>
      <c r="D1676">
        <v>0</v>
      </c>
      <c r="E1676">
        <v>0.18018384958202299</v>
      </c>
      <c r="F1676">
        <f t="shared" si="53"/>
        <v>0</v>
      </c>
      <c r="G1676">
        <v>0</v>
      </c>
      <c r="H1676">
        <v>0</v>
      </c>
      <c r="I1676">
        <v>0</v>
      </c>
      <c r="J1676">
        <v>0</v>
      </c>
      <c r="K1676">
        <v>0</v>
      </c>
      <c r="L1676">
        <v>0</v>
      </c>
      <c r="M1676">
        <f t="shared" si="52"/>
        <v>0</v>
      </c>
      <c r="N1676">
        <v>0</v>
      </c>
      <c r="O1676">
        <v>0</v>
      </c>
      <c r="P1676">
        <v>0</v>
      </c>
      <c r="Q1676">
        <v>0</v>
      </c>
      <c r="R1676">
        <v>0</v>
      </c>
      <c r="S1676">
        <v>0</v>
      </c>
    </row>
    <row r="1677" spans="1:19" x14ac:dyDescent="0.25">
      <c r="A1677">
        <v>18139</v>
      </c>
      <c r="B1677" t="s">
        <v>98</v>
      </c>
      <c r="C1677">
        <v>19</v>
      </c>
      <c r="D1677">
        <v>0</v>
      </c>
      <c r="E1677">
        <v>0.18018384958202299</v>
      </c>
      <c r="F1677">
        <f t="shared" si="53"/>
        <v>0</v>
      </c>
      <c r="G1677">
        <v>0</v>
      </c>
      <c r="H1677">
        <v>0</v>
      </c>
      <c r="I1677">
        <v>0</v>
      </c>
      <c r="J1677">
        <v>0</v>
      </c>
      <c r="K1677">
        <v>0</v>
      </c>
      <c r="L1677">
        <v>0</v>
      </c>
      <c r="M1677">
        <f t="shared" si="52"/>
        <v>0</v>
      </c>
      <c r="N1677">
        <v>0</v>
      </c>
      <c r="O1677">
        <v>0</v>
      </c>
      <c r="P1677">
        <v>0</v>
      </c>
      <c r="Q1677">
        <v>0</v>
      </c>
      <c r="R1677">
        <v>0</v>
      </c>
      <c r="S1677">
        <v>0</v>
      </c>
    </row>
    <row r="1678" spans="1:19" x14ac:dyDescent="0.25">
      <c r="A1678">
        <v>18139</v>
      </c>
      <c r="B1678" t="s">
        <v>98</v>
      </c>
      <c r="C1678">
        <v>20</v>
      </c>
      <c r="D1678">
        <v>0</v>
      </c>
      <c r="E1678">
        <v>0.252257389414832</v>
      </c>
      <c r="F1678">
        <f t="shared" si="53"/>
        <v>0</v>
      </c>
      <c r="G1678">
        <v>0</v>
      </c>
      <c r="H1678">
        <v>0</v>
      </c>
      <c r="I1678">
        <v>0</v>
      </c>
      <c r="J1678">
        <v>0</v>
      </c>
      <c r="K1678">
        <v>0</v>
      </c>
      <c r="L1678">
        <v>0</v>
      </c>
      <c r="M1678">
        <f t="shared" si="52"/>
        <v>0</v>
      </c>
      <c r="N1678">
        <v>0</v>
      </c>
      <c r="O1678">
        <v>0</v>
      </c>
      <c r="P1678">
        <v>0</v>
      </c>
      <c r="Q1678">
        <v>0</v>
      </c>
      <c r="R1678">
        <v>0</v>
      </c>
      <c r="S1678">
        <v>0</v>
      </c>
    </row>
    <row r="1679" spans="1:19" x14ac:dyDescent="0.25">
      <c r="A1679">
        <v>18139</v>
      </c>
      <c r="B1679" t="s">
        <v>98</v>
      </c>
      <c r="C1679">
        <v>21</v>
      </c>
      <c r="D1679">
        <v>0</v>
      </c>
      <c r="E1679">
        <v>0.32433092924764101</v>
      </c>
      <c r="F1679">
        <f t="shared" si="53"/>
        <v>0</v>
      </c>
      <c r="G1679">
        <v>0</v>
      </c>
      <c r="H1679">
        <v>0</v>
      </c>
      <c r="I1679">
        <v>0</v>
      </c>
      <c r="J1679">
        <v>0</v>
      </c>
      <c r="K1679">
        <v>0</v>
      </c>
      <c r="L1679">
        <v>0</v>
      </c>
      <c r="M1679">
        <f t="shared" si="52"/>
        <v>0</v>
      </c>
      <c r="N1679">
        <v>0</v>
      </c>
      <c r="O1679">
        <v>0</v>
      </c>
      <c r="P1679">
        <v>0</v>
      </c>
      <c r="Q1679">
        <v>0</v>
      </c>
      <c r="R1679">
        <v>0</v>
      </c>
      <c r="S1679">
        <v>0</v>
      </c>
    </row>
    <row r="1680" spans="1:19" x14ac:dyDescent="0.25">
      <c r="A1680">
        <v>18139</v>
      </c>
      <c r="B1680" t="s">
        <v>98</v>
      </c>
      <c r="C1680">
        <v>22</v>
      </c>
      <c r="D1680">
        <v>0</v>
      </c>
      <c r="E1680">
        <v>0.32433092924764101</v>
      </c>
      <c r="F1680">
        <f t="shared" si="53"/>
        <v>0</v>
      </c>
      <c r="G1680">
        <v>0</v>
      </c>
      <c r="H1680">
        <v>0</v>
      </c>
      <c r="I1680">
        <v>0</v>
      </c>
      <c r="J1680">
        <v>0</v>
      </c>
      <c r="K1680">
        <v>0</v>
      </c>
      <c r="L1680">
        <v>0</v>
      </c>
      <c r="M1680">
        <f t="shared" si="52"/>
        <v>0</v>
      </c>
      <c r="N1680">
        <v>0</v>
      </c>
      <c r="O1680">
        <v>0</v>
      </c>
      <c r="P1680">
        <v>0</v>
      </c>
      <c r="Q1680">
        <v>0</v>
      </c>
      <c r="R1680">
        <v>0</v>
      </c>
      <c r="S1680">
        <v>0</v>
      </c>
    </row>
    <row r="1681" spans="1:19" x14ac:dyDescent="0.25">
      <c r="A1681">
        <v>18139</v>
      </c>
      <c r="B1681" t="s">
        <v>98</v>
      </c>
      <c r="C1681">
        <v>23</v>
      </c>
      <c r="D1681">
        <v>0</v>
      </c>
      <c r="E1681">
        <v>0.46847800891326002</v>
      </c>
      <c r="F1681">
        <f t="shared" si="53"/>
        <v>0</v>
      </c>
      <c r="G1681">
        <v>0</v>
      </c>
      <c r="H1681">
        <v>0</v>
      </c>
      <c r="I1681">
        <v>0</v>
      </c>
      <c r="J1681">
        <v>0</v>
      </c>
      <c r="K1681">
        <v>0</v>
      </c>
      <c r="L1681">
        <v>0</v>
      </c>
      <c r="M1681">
        <f t="shared" si="52"/>
        <v>0</v>
      </c>
      <c r="N1681">
        <v>0</v>
      </c>
      <c r="O1681">
        <v>0</v>
      </c>
      <c r="P1681">
        <v>0</v>
      </c>
      <c r="Q1681">
        <v>0</v>
      </c>
      <c r="R1681">
        <v>0</v>
      </c>
      <c r="S1681">
        <v>0</v>
      </c>
    </row>
    <row r="1682" spans="1:19" x14ac:dyDescent="0.25">
      <c r="A1682">
        <v>18141</v>
      </c>
      <c r="B1682" t="s">
        <v>99</v>
      </c>
      <c r="C1682">
        <v>0</v>
      </c>
      <c r="D1682">
        <v>76.879976717112896</v>
      </c>
      <c r="E1682">
        <v>10.2415599534342</v>
      </c>
      <c r="F1682">
        <f t="shared" si="53"/>
        <v>2</v>
      </c>
      <c r="G1682">
        <v>0</v>
      </c>
      <c r="H1682">
        <v>1</v>
      </c>
      <c r="I1682">
        <v>1</v>
      </c>
      <c r="J1682">
        <v>0</v>
      </c>
      <c r="K1682">
        <v>0</v>
      </c>
      <c r="L1682">
        <v>0</v>
      </c>
      <c r="M1682">
        <f t="shared" si="52"/>
        <v>68</v>
      </c>
      <c r="N1682">
        <v>0</v>
      </c>
      <c r="O1682">
        <v>50</v>
      </c>
      <c r="P1682">
        <v>18</v>
      </c>
      <c r="Q1682">
        <v>0</v>
      </c>
      <c r="R1682">
        <v>0</v>
      </c>
      <c r="S1682">
        <v>0</v>
      </c>
    </row>
    <row r="1683" spans="1:19" x14ac:dyDescent="0.25">
      <c r="A1683">
        <v>18141</v>
      </c>
      <c r="B1683" t="s">
        <v>99</v>
      </c>
      <c r="C1683">
        <v>1</v>
      </c>
      <c r="D1683">
        <v>76.743422584400406</v>
      </c>
      <c r="E1683">
        <v>10.5146682188591</v>
      </c>
      <c r="F1683">
        <f t="shared" si="53"/>
        <v>2</v>
      </c>
      <c r="G1683">
        <v>0</v>
      </c>
      <c r="H1683">
        <v>1</v>
      </c>
      <c r="I1683">
        <v>1</v>
      </c>
      <c r="J1683">
        <v>0</v>
      </c>
      <c r="K1683">
        <v>0</v>
      </c>
      <c r="L1683">
        <v>0</v>
      </c>
      <c r="M1683">
        <f t="shared" si="52"/>
        <v>68</v>
      </c>
      <c r="N1683">
        <v>0</v>
      </c>
      <c r="O1683">
        <v>50</v>
      </c>
      <c r="P1683">
        <v>18</v>
      </c>
      <c r="Q1683">
        <v>0</v>
      </c>
      <c r="R1683">
        <v>0</v>
      </c>
      <c r="S1683">
        <v>0</v>
      </c>
    </row>
    <row r="1684" spans="1:19" x14ac:dyDescent="0.25">
      <c r="A1684">
        <v>18141</v>
      </c>
      <c r="B1684" t="s">
        <v>99</v>
      </c>
      <c r="C1684">
        <v>2</v>
      </c>
      <c r="D1684">
        <v>74.695110593713594</v>
      </c>
      <c r="E1684">
        <v>10.7422584400465</v>
      </c>
      <c r="F1684">
        <f t="shared" si="53"/>
        <v>2</v>
      </c>
      <c r="G1684">
        <v>0</v>
      </c>
      <c r="H1684">
        <v>1</v>
      </c>
      <c r="I1684">
        <v>1</v>
      </c>
      <c r="J1684">
        <v>0</v>
      </c>
      <c r="K1684">
        <v>0</v>
      </c>
      <c r="L1684">
        <v>0</v>
      </c>
      <c r="M1684">
        <f t="shared" si="52"/>
        <v>68</v>
      </c>
      <c r="N1684">
        <v>0</v>
      </c>
      <c r="O1684">
        <v>50</v>
      </c>
      <c r="P1684">
        <v>18</v>
      </c>
      <c r="Q1684">
        <v>0</v>
      </c>
      <c r="R1684">
        <v>0</v>
      </c>
      <c r="S1684">
        <v>0</v>
      </c>
    </row>
    <row r="1685" spans="1:19" x14ac:dyDescent="0.25">
      <c r="A1685">
        <v>18141</v>
      </c>
      <c r="B1685" t="s">
        <v>99</v>
      </c>
      <c r="C1685">
        <v>3</v>
      </c>
      <c r="D1685">
        <v>72.464726426076794</v>
      </c>
      <c r="E1685">
        <v>11.743655413271201</v>
      </c>
      <c r="F1685">
        <f t="shared" si="53"/>
        <v>2</v>
      </c>
      <c r="G1685">
        <v>0</v>
      </c>
      <c r="H1685">
        <v>1</v>
      </c>
      <c r="I1685">
        <v>1</v>
      </c>
      <c r="J1685">
        <v>0</v>
      </c>
      <c r="K1685">
        <v>0</v>
      </c>
      <c r="L1685">
        <v>0</v>
      </c>
      <c r="M1685">
        <f t="shared" si="52"/>
        <v>68</v>
      </c>
      <c r="N1685">
        <v>0</v>
      </c>
      <c r="O1685">
        <v>50</v>
      </c>
      <c r="P1685">
        <v>18</v>
      </c>
      <c r="Q1685">
        <v>0</v>
      </c>
      <c r="R1685">
        <v>0</v>
      </c>
      <c r="S1685">
        <v>0</v>
      </c>
    </row>
    <row r="1686" spans="1:19" x14ac:dyDescent="0.25">
      <c r="A1686">
        <v>18141</v>
      </c>
      <c r="B1686" t="s">
        <v>99</v>
      </c>
      <c r="C1686">
        <v>4</v>
      </c>
      <c r="D1686">
        <v>70.006752037252596</v>
      </c>
      <c r="E1686">
        <v>14.019557625145501</v>
      </c>
      <c r="F1686">
        <f t="shared" si="53"/>
        <v>2</v>
      </c>
      <c r="G1686">
        <v>0</v>
      </c>
      <c r="H1686">
        <v>1</v>
      </c>
      <c r="I1686">
        <v>1</v>
      </c>
      <c r="J1686">
        <v>0</v>
      </c>
      <c r="K1686">
        <v>0</v>
      </c>
      <c r="L1686">
        <v>0</v>
      </c>
      <c r="M1686">
        <f t="shared" si="52"/>
        <v>68</v>
      </c>
      <c r="N1686">
        <v>0</v>
      </c>
      <c r="O1686">
        <v>50</v>
      </c>
      <c r="P1686">
        <v>18</v>
      </c>
      <c r="Q1686">
        <v>0</v>
      </c>
      <c r="R1686">
        <v>0</v>
      </c>
      <c r="S1686">
        <v>0</v>
      </c>
    </row>
    <row r="1687" spans="1:19" x14ac:dyDescent="0.25">
      <c r="A1687">
        <v>18141</v>
      </c>
      <c r="B1687" t="s">
        <v>99</v>
      </c>
      <c r="C1687">
        <v>5</v>
      </c>
      <c r="D1687">
        <v>71.144703143189702</v>
      </c>
      <c r="E1687">
        <v>12.380908032596</v>
      </c>
      <c r="F1687">
        <f t="shared" si="53"/>
        <v>2</v>
      </c>
      <c r="G1687">
        <v>0</v>
      </c>
      <c r="H1687">
        <v>1</v>
      </c>
      <c r="I1687">
        <v>1</v>
      </c>
      <c r="J1687">
        <v>0</v>
      </c>
      <c r="K1687">
        <v>0</v>
      </c>
      <c r="L1687">
        <v>0</v>
      </c>
      <c r="M1687">
        <f t="shared" si="52"/>
        <v>68</v>
      </c>
      <c r="N1687">
        <v>0</v>
      </c>
      <c r="O1687">
        <v>50</v>
      </c>
      <c r="P1687">
        <v>18</v>
      </c>
      <c r="Q1687">
        <v>0</v>
      </c>
      <c r="R1687">
        <v>0</v>
      </c>
      <c r="S1687">
        <v>0</v>
      </c>
    </row>
    <row r="1688" spans="1:19" x14ac:dyDescent="0.25">
      <c r="A1688">
        <v>18141</v>
      </c>
      <c r="B1688" t="s">
        <v>99</v>
      </c>
      <c r="C1688">
        <v>6</v>
      </c>
      <c r="D1688">
        <v>67.548777648428398</v>
      </c>
      <c r="E1688">
        <v>17.661001164144299</v>
      </c>
      <c r="F1688">
        <f t="shared" si="53"/>
        <v>2</v>
      </c>
      <c r="G1688">
        <v>0</v>
      </c>
      <c r="H1688">
        <v>1</v>
      </c>
      <c r="I1688">
        <v>1</v>
      </c>
      <c r="J1688">
        <v>0</v>
      </c>
      <c r="K1688">
        <v>0</v>
      </c>
      <c r="L1688">
        <v>0</v>
      </c>
      <c r="M1688">
        <f t="shared" si="52"/>
        <v>68</v>
      </c>
      <c r="N1688">
        <v>0</v>
      </c>
      <c r="O1688">
        <v>50</v>
      </c>
      <c r="P1688">
        <v>18</v>
      </c>
      <c r="Q1688">
        <v>0</v>
      </c>
      <c r="R1688">
        <v>0</v>
      </c>
      <c r="S1688">
        <v>0</v>
      </c>
    </row>
    <row r="1689" spans="1:19" x14ac:dyDescent="0.25">
      <c r="A1689">
        <v>18141</v>
      </c>
      <c r="B1689" t="s">
        <v>99</v>
      </c>
      <c r="C1689">
        <v>7</v>
      </c>
      <c r="D1689">
        <v>58.445168800931299</v>
      </c>
      <c r="E1689">
        <v>22.3493597206053</v>
      </c>
      <c r="F1689">
        <f t="shared" si="53"/>
        <v>2</v>
      </c>
      <c r="G1689">
        <v>0</v>
      </c>
      <c r="H1689">
        <v>1</v>
      </c>
      <c r="I1689">
        <v>1</v>
      </c>
      <c r="J1689">
        <v>0</v>
      </c>
      <c r="K1689">
        <v>0</v>
      </c>
      <c r="L1689">
        <v>0</v>
      </c>
      <c r="M1689">
        <f t="shared" si="52"/>
        <v>68</v>
      </c>
      <c r="N1689">
        <v>0</v>
      </c>
      <c r="O1689">
        <v>50</v>
      </c>
      <c r="P1689">
        <v>18</v>
      </c>
      <c r="Q1689">
        <v>0</v>
      </c>
      <c r="R1689">
        <v>0</v>
      </c>
      <c r="S1689">
        <v>0</v>
      </c>
    </row>
    <row r="1690" spans="1:19" x14ac:dyDescent="0.25">
      <c r="A1690">
        <v>18141</v>
      </c>
      <c r="B1690" t="s">
        <v>99</v>
      </c>
      <c r="C1690">
        <v>8</v>
      </c>
      <c r="D1690">
        <v>49.205005820721702</v>
      </c>
      <c r="E1690">
        <v>24.625261932479599</v>
      </c>
      <c r="F1690">
        <f t="shared" si="53"/>
        <v>2</v>
      </c>
      <c r="G1690">
        <v>0</v>
      </c>
      <c r="H1690">
        <v>1</v>
      </c>
      <c r="I1690">
        <v>1</v>
      </c>
      <c r="J1690">
        <v>0</v>
      </c>
      <c r="K1690">
        <v>0</v>
      </c>
      <c r="L1690">
        <v>0</v>
      </c>
      <c r="M1690">
        <f t="shared" si="52"/>
        <v>68</v>
      </c>
      <c r="N1690">
        <v>0</v>
      </c>
      <c r="O1690">
        <v>50</v>
      </c>
      <c r="P1690">
        <v>18</v>
      </c>
      <c r="Q1690">
        <v>0</v>
      </c>
      <c r="R1690">
        <v>0</v>
      </c>
      <c r="S1690">
        <v>0</v>
      </c>
    </row>
    <row r="1691" spans="1:19" x14ac:dyDescent="0.25">
      <c r="A1691">
        <v>18141</v>
      </c>
      <c r="B1691" t="s">
        <v>99</v>
      </c>
      <c r="C1691">
        <v>9</v>
      </c>
      <c r="D1691">
        <v>43.151105937136201</v>
      </c>
      <c r="E1691">
        <v>28.266705471478399</v>
      </c>
      <c r="F1691">
        <f t="shared" si="53"/>
        <v>2</v>
      </c>
      <c r="G1691">
        <v>0</v>
      </c>
      <c r="H1691">
        <v>1</v>
      </c>
      <c r="I1691">
        <v>1</v>
      </c>
      <c r="J1691">
        <v>0</v>
      </c>
      <c r="K1691">
        <v>0</v>
      </c>
      <c r="L1691">
        <v>0</v>
      </c>
      <c r="M1691">
        <f t="shared" si="52"/>
        <v>68</v>
      </c>
      <c r="N1691">
        <v>0</v>
      </c>
      <c r="O1691">
        <v>50</v>
      </c>
      <c r="P1691">
        <v>18</v>
      </c>
      <c r="Q1691">
        <v>0</v>
      </c>
      <c r="R1691">
        <v>0</v>
      </c>
      <c r="S1691">
        <v>0</v>
      </c>
    </row>
    <row r="1692" spans="1:19" x14ac:dyDescent="0.25">
      <c r="A1692">
        <v>18141</v>
      </c>
      <c r="B1692" t="s">
        <v>99</v>
      </c>
      <c r="C1692">
        <v>10</v>
      </c>
      <c r="D1692">
        <v>42.1497089639115</v>
      </c>
      <c r="E1692">
        <v>29.404656577415601</v>
      </c>
      <c r="F1692">
        <f t="shared" si="53"/>
        <v>2</v>
      </c>
      <c r="G1692">
        <v>0</v>
      </c>
      <c r="H1692">
        <v>1</v>
      </c>
      <c r="I1692">
        <v>1</v>
      </c>
      <c r="J1692">
        <v>0</v>
      </c>
      <c r="K1692">
        <v>0</v>
      </c>
      <c r="L1692">
        <v>0</v>
      </c>
      <c r="M1692">
        <f t="shared" si="52"/>
        <v>68</v>
      </c>
      <c r="N1692">
        <v>0</v>
      </c>
      <c r="O1692">
        <v>50</v>
      </c>
      <c r="P1692">
        <v>18</v>
      </c>
      <c r="Q1692">
        <v>0</v>
      </c>
      <c r="R1692">
        <v>0</v>
      </c>
      <c r="S1692">
        <v>0</v>
      </c>
    </row>
    <row r="1693" spans="1:19" x14ac:dyDescent="0.25">
      <c r="A1693">
        <v>18141</v>
      </c>
      <c r="B1693" t="s">
        <v>99</v>
      </c>
      <c r="C1693">
        <v>11</v>
      </c>
      <c r="D1693">
        <v>42.422817229336403</v>
      </c>
      <c r="E1693">
        <v>30.041909196740399</v>
      </c>
      <c r="F1693">
        <f t="shared" si="53"/>
        <v>2</v>
      </c>
      <c r="G1693">
        <v>0</v>
      </c>
      <c r="H1693">
        <v>1</v>
      </c>
      <c r="I1693">
        <v>1</v>
      </c>
      <c r="J1693">
        <v>0</v>
      </c>
      <c r="K1693">
        <v>0</v>
      </c>
      <c r="L1693">
        <v>0</v>
      </c>
      <c r="M1693">
        <f t="shared" si="52"/>
        <v>68</v>
      </c>
      <c r="N1693">
        <v>0</v>
      </c>
      <c r="O1693">
        <v>50</v>
      </c>
      <c r="P1693">
        <v>18</v>
      </c>
      <c r="Q1693">
        <v>0</v>
      </c>
      <c r="R1693">
        <v>0</v>
      </c>
      <c r="S1693">
        <v>0</v>
      </c>
    </row>
    <row r="1694" spans="1:19" x14ac:dyDescent="0.25">
      <c r="A1694">
        <v>18141</v>
      </c>
      <c r="B1694" t="s">
        <v>99</v>
      </c>
      <c r="C1694">
        <v>12</v>
      </c>
      <c r="D1694">
        <v>43.8793946449359</v>
      </c>
      <c r="E1694">
        <v>30.6336437718277</v>
      </c>
      <c r="F1694">
        <f t="shared" si="53"/>
        <v>2</v>
      </c>
      <c r="G1694">
        <v>0</v>
      </c>
      <c r="H1694">
        <v>1</v>
      </c>
      <c r="I1694">
        <v>1</v>
      </c>
      <c r="J1694">
        <v>0</v>
      </c>
      <c r="K1694">
        <v>0</v>
      </c>
      <c r="L1694">
        <v>0</v>
      </c>
      <c r="M1694">
        <f t="shared" si="52"/>
        <v>68</v>
      </c>
      <c r="N1694">
        <v>0</v>
      </c>
      <c r="O1694">
        <v>50</v>
      </c>
      <c r="P1694">
        <v>18</v>
      </c>
      <c r="Q1694">
        <v>0</v>
      </c>
      <c r="R1694">
        <v>0</v>
      </c>
      <c r="S1694">
        <v>0</v>
      </c>
    </row>
    <row r="1695" spans="1:19" x14ac:dyDescent="0.25">
      <c r="A1695">
        <v>18141</v>
      </c>
      <c r="B1695" t="s">
        <v>99</v>
      </c>
      <c r="C1695">
        <v>13</v>
      </c>
      <c r="D1695">
        <v>45.745634458672797</v>
      </c>
      <c r="E1695">
        <v>24.807334109429501</v>
      </c>
      <c r="F1695">
        <f t="shared" si="53"/>
        <v>2</v>
      </c>
      <c r="G1695">
        <v>0</v>
      </c>
      <c r="H1695">
        <v>1</v>
      </c>
      <c r="I1695">
        <v>1</v>
      </c>
      <c r="J1695">
        <v>0</v>
      </c>
      <c r="K1695">
        <v>0</v>
      </c>
      <c r="L1695">
        <v>0</v>
      </c>
      <c r="M1695">
        <f t="shared" si="52"/>
        <v>68</v>
      </c>
      <c r="N1695">
        <v>0</v>
      </c>
      <c r="O1695">
        <v>50</v>
      </c>
      <c r="P1695">
        <v>18</v>
      </c>
      <c r="Q1695">
        <v>0</v>
      </c>
      <c r="R1695">
        <v>0</v>
      </c>
      <c r="S1695">
        <v>0</v>
      </c>
    </row>
    <row r="1696" spans="1:19" x14ac:dyDescent="0.25">
      <c r="A1696">
        <v>18141</v>
      </c>
      <c r="B1696" t="s">
        <v>99</v>
      </c>
      <c r="C1696">
        <v>14</v>
      </c>
      <c r="D1696">
        <v>49.068451688009297</v>
      </c>
      <c r="E1696">
        <v>19.1630966239813</v>
      </c>
      <c r="F1696">
        <f t="shared" si="53"/>
        <v>2</v>
      </c>
      <c r="G1696">
        <v>0</v>
      </c>
      <c r="H1696">
        <v>1</v>
      </c>
      <c r="I1696">
        <v>1</v>
      </c>
      <c r="J1696">
        <v>0</v>
      </c>
      <c r="K1696">
        <v>0</v>
      </c>
      <c r="L1696">
        <v>0</v>
      </c>
      <c r="M1696">
        <f t="shared" si="52"/>
        <v>68</v>
      </c>
      <c r="N1696">
        <v>0</v>
      </c>
      <c r="O1696">
        <v>50</v>
      </c>
      <c r="P1696">
        <v>18</v>
      </c>
      <c r="Q1696">
        <v>0</v>
      </c>
      <c r="R1696">
        <v>0</v>
      </c>
      <c r="S1696">
        <v>0</v>
      </c>
    </row>
    <row r="1697" spans="1:19" x14ac:dyDescent="0.25">
      <c r="A1697">
        <v>18141</v>
      </c>
      <c r="B1697" t="s">
        <v>99</v>
      </c>
      <c r="C1697">
        <v>15</v>
      </c>
      <c r="D1697">
        <v>51.799534342258397</v>
      </c>
      <c r="E1697">
        <v>16.204423748544801</v>
      </c>
      <c r="F1697">
        <f t="shared" si="53"/>
        <v>2</v>
      </c>
      <c r="G1697">
        <v>0</v>
      </c>
      <c r="H1697">
        <v>1</v>
      </c>
      <c r="I1697">
        <v>1</v>
      </c>
      <c r="J1697">
        <v>0</v>
      </c>
      <c r="K1697">
        <v>0</v>
      </c>
      <c r="L1697">
        <v>0</v>
      </c>
      <c r="M1697">
        <f t="shared" si="52"/>
        <v>68</v>
      </c>
      <c r="N1697">
        <v>0</v>
      </c>
      <c r="O1697">
        <v>50</v>
      </c>
      <c r="P1697">
        <v>18</v>
      </c>
      <c r="Q1697">
        <v>0</v>
      </c>
      <c r="R1697">
        <v>0</v>
      </c>
      <c r="S1697">
        <v>0</v>
      </c>
    </row>
    <row r="1698" spans="1:19" x14ac:dyDescent="0.25">
      <c r="A1698">
        <v>18141</v>
      </c>
      <c r="B1698" t="s">
        <v>99</v>
      </c>
      <c r="C1698">
        <v>16</v>
      </c>
      <c r="D1698">
        <v>54.576135040745001</v>
      </c>
      <c r="E1698">
        <v>12.654016298020901</v>
      </c>
      <c r="F1698">
        <f t="shared" si="53"/>
        <v>2</v>
      </c>
      <c r="G1698">
        <v>0</v>
      </c>
      <c r="H1698">
        <v>1</v>
      </c>
      <c r="I1698">
        <v>1</v>
      </c>
      <c r="J1698">
        <v>0</v>
      </c>
      <c r="K1698">
        <v>0</v>
      </c>
      <c r="L1698">
        <v>0</v>
      </c>
      <c r="M1698">
        <f t="shared" si="52"/>
        <v>68</v>
      </c>
      <c r="N1698">
        <v>0</v>
      </c>
      <c r="O1698">
        <v>50</v>
      </c>
      <c r="P1698">
        <v>18</v>
      </c>
      <c r="Q1698">
        <v>0</v>
      </c>
      <c r="R1698">
        <v>0</v>
      </c>
      <c r="S1698">
        <v>0</v>
      </c>
    </row>
    <row r="1699" spans="1:19" x14ac:dyDescent="0.25">
      <c r="A1699">
        <v>18141</v>
      </c>
      <c r="B1699" t="s">
        <v>99</v>
      </c>
      <c r="C1699">
        <v>17</v>
      </c>
      <c r="D1699">
        <v>61.7679860302677</v>
      </c>
      <c r="E1699">
        <v>11.288474970896299</v>
      </c>
      <c r="F1699">
        <f t="shared" si="53"/>
        <v>2</v>
      </c>
      <c r="G1699">
        <v>0</v>
      </c>
      <c r="H1699">
        <v>1</v>
      </c>
      <c r="I1699">
        <v>1</v>
      </c>
      <c r="J1699">
        <v>0</v>
      </c>
      <c r="K1699">
        <v>0</v>
      </c>
      <c r="L1699">
        <v>0</v>
      </c>
      <c r="M1699">
        <f t="shared" si="52"/>
        <v>68</v>
      </c>
      <c r="N1699">
        <v>0</v>
      </c>
      <c r="O1699">
        <v>50</v>
      </c>
      <c r="P1699">
        <v>18</v>
      </c>
      <c r="Q1699">
        <v>0</v>
      </c>
      <c r="R1699">
        <v>0</v>
      </c>
      <c r="S1699">
        <v>0</v>
      </c>
    </row>
    <row r="1700" spans="1:19" x14ac:dyDescent="0.25">
      <c r="A1700">
        <v>18141</v>
      </c>
      <c r="B1700" t="s">
        <v>99</v>
      </c>
      <c r="C1700">
        <v>18</v>
      </c>
      <c r="D1700">
        <v>67.321187427240901</v>
      </c>
      <c r="E1700">
        <v>10.787776484284</v>
      </c>
      <c r="F1700">
        <f t="shared" si="53"/>
        <v>2</v>
      </c>
      <c r="G1700">
        <v>0</v>
      </c>
      <c r="H1700">
        <v>1</v>
      </c>
      <c r="I1700">
        <v>1</v>
      </c>
      <c r="J1700">
        <v>0</v>
      </c>
      <c r="K1700">
        <v>0</v>
      </c>
      <c r="L1700">
        <v>0</v>
      </c>
      <c r="M1700">
        <f t="shared" si="52"/>
        <v>68</v>
      </c>
      <c r="N1700">
        <v>0</v>
      </c>
      <c r="O1700">
        <v>50</v>
      </c>
      <c r="P1700">
        <v>18</v>
      </c>
      <c r="Q1700">
        <v>0</v>
      </c>
      <c r="R1700">
        <v>0</v>
      </c>
      <c r="S1700">
        <v>0</v>
      </c>
    </row>
    <row r="1701" spans="1:19" x14ac:dyDescent="0.25">
      <c r="A1701">
        <v>18141</v>
      </c>
      <c r="B1701" t="s">
        <v>99</v>
      </c>
      <c r="C1701">
        <v>19</v>
      </c>
      <c r="D1701">
        <v>71.417811408614597</v>
      </c>
      <c r="E1701">
        <v>10.378114086146599</v>
      </c>
      <c r="F1701">
        <f t="shared" si="53"/>
        <v>2</v>
      </c>
      <c r="G1701">
        <v>0</v>
      </c>
      <c r="H1701">
        <v>1</v>
      </c>
      <c r="I1701">
        <v>1</v>
      </c>
      <c r="J1701">
        <v>0</v>
      </c>
      <c r="K1701">
        <v>0</v>
      </c>
      <c r="L1701">
        <v>0</v>
      </c>
      <c r="M1701">
        <f t="shared" si="52"/>
        <v>68</v>
      </c>
      <c r="N1701">
        <v>0</v>
      </c>
      <c r="O1701">
        <v>50</v>
      </c>
      <c r="P1701">
        <v>18</v>
      </c>
      <c r="Q1701">
        <v>0</v>
      </c>
      <c r="R1701">
        <v>0</v>
      </c>
      <c r="S1701">
        <v>0</v>
      </c>
    </row>
    <row r="1702" spans="1:19" x14ac:dyDescent="0.25">
      <c r="A1702">
        <v>18141</v>
      </c>
      <c r="B1702" t="s">
        <v>99</v>
      </c>
      <c r="C1702">
        <v>20</v>
      </c>
      <c r="D1702">
        <v>74.376484284051202</v>
      </c>
      <c r="E1702">
        <v>10.2415599534342</v>
      </c>
      <c r="F1702">
        <f t="shared" si="53"/>
        <v>2</v>
      </c>
      <c r="G1702">
        <v>0</v>
      </c>
      <c r="H1702">
        <v>1</v>
      </c>
      <c r="I1702">
        <v>1</v>
      </c>
      <c r="J1702">
        <v>0</v>
      </c>
      <c r="K1702">
        <v>0</v>
      </c>
      <c r="L1702">
        <v>0</v>
      </c>
      <c r="M1702">
        <f t="shared" si="52"/>
        <v>68</v>
      </c>
      <c r="N1702">
        <v>0</v>
      </c>
      <c r="O1702">
        <v>50</v>
      </c>
      <c r="P1702">
        <v>18</v>
      </c>
      <c r="Q1702">
        <v>0</v>
      </c>
      <c r="R1702">
        <v>0</v>
      </c>
      <c r="S1702">
        <v>0</v>
      </c>
    </row>
    <row r="1703" spans="1:19" x14ac:dyDescent="0.25">
      <c r="A1703">
        <v>18141</v>
      </c>
      <c r="B1703" t="s">
        <v>99</v>
      </c>
      <c r="C1703">
        <v>21</v>
      </c>
      <c r="D1703">
        <v>75.559953434225804</v>
      </c>
      <c r="E1703">
        <v>10.2415599534342</v>
      </c>
      <c r="F1703">
        <f t="shared" si="53"/>
        <v>2</v>
      </c>
      <c r="G1703">
        <v>0</v>
      </c>
      <c r="H1703">
        <v>1</v>
      </c>
      <c r="I1703">
        <v>1</v>
      </c>
      <c r="J1703">
        <v>0</v>
      </c>
      <c r="K1703">
        <v>0</v>
      </c>
      <c r="L1703">
        <v>0</v>
      </c>
      <c r="M1703">
        <f t="shared" si="52"/>
        <v>68</v>
      </c>
      <c r="N1703">
        <v>0</v>
      </c>
      <c r="O1703">
        <v>50</v>
      </c>
      <c r="P1703">
        <v>18</v>
      </c>
      <c r="Q1703">
        <v>0</v>
      </c>
      <c r="R1703">
        <v>0</v>
      </c>
      <c r="S1703">
        <v>0</v>
      </c>
    </row>
    <row r="1704" spans="1:19" x14ac:dyDescent="0.25">
      <c r="A1704">
        <v>18141</v>
      </c>
      <c r="B1704" t="s">
        <v>99</v>
      </c>
      <c r="C1704">
        <v>22</v>
      </c>
      <c r="D1704">
        <v>78.017927823050002</v>
      </c>
      <c r="E1704">
        <v>10.378114086146599</v>
      </c>
      <c r="F1704">
        <f t="shared" si="53"/>
        <v>2</v>
      </c>
      <c r="G1704">
        <v>0</v>
      </c>
      <c r="H1704">
        <v>1</v>
      </c>
      <c r="I1704">
        <v>1</v>
      </c>
      <c r="J1704">
        <v>0</v>
      </c>
      <c r="K1704">
        <v>0</v>
      </c>
      <c r="L1704">
        <v>0</v>
      </c>
      <c r="M1704">
        <f t="shared" si="52"/>
        <v>68</v>
      </c>
      <c r="N1704">
        <v>0</v>
      </c>
      <c r="O1704">
        <v>50</v>
      </c>
      <c r="P1704">
        <v>18</v>
      </c>
      <c r="Q1704">
        <v>0</v>
      </c>
      <c r="R1704">
        <v>0</v>
      </c>
      <c r="S1704">
        <v>0</v>
      </c>
    </row>
    <row r="1705" spans="1:19" x14ac:dyDescent="0.25">
      <c r="A1705">
        <v>18141</v>
      </c>
      <c r="B1705" t="s">
        <v>99</v>
      </c>
      <c r="C1705">
        <v>23</v>
      </c>
      <c r="D1705">
        <v>78.2</v>
      </c>
      <c r="E1705">
        <v>10.2415599534342</v>
      </c>
      <c r="F1705">
        <f t="shared" si="53"/>
        <v>2</v>
      </c>
      <c r="G1705">
        <v>0</v>
      </c>
      <c r="H1705">
        <v>1</v>
      </c>
      <c r="I1705">
        <v>1</v>
      </c>
      <c r="J1705">
        <v>0</v>
      </c>
      <c r="K1705">
        <v>0</v>
      </c>
      <c r="L1705">
        <v>0</v>
      </c>
      <c r="M1705">
        <f t="shared" si="52"/>
        <v>68</v>
      </c>
      <c r="N1705">
        <v>0</v>
      </c>
      <c r="O1705">
        <v>50</v>
      </c>
      <c r="P1705">
        <v>18</v>
      </c>
      <c r="Q1705">
        <v>0</v>
      </c>
      <c r="R1705">
        <v>0</v>
      </c>
      <c r="S1705">
        <v>0</v>
      </c>
    </row>
    <row r="1706" spans="1:19" x14ac:dyDescent="0.25">
      <c r="A1706">
        <v>18143</v>
      </c>
      <c r="B1706" t="s">
        <v>100</v>
      </c>
      <c r="C1706">
        <v>0</v>
      </c>
      <c r="D1706">
        <v>2.98199412297912</v>
      </c>
      <c r="E1706">
        <v>1.17760277467965</v>
      </c>
      <c r="F1706">
        <f t="shared" si="53"/>
        <v>1</v>
      </c>
      <c r="G1706">
        <v>0</v>
      </c>
      <c r="H1706">
        <v>0</v>
      </c>
      <c r="I1706">
        <v>1</v>
      </c>
      <c r="J1706">
        <v>0</v>
      </c>
      <c r="K1706">
        <v>0</v>
      </c>
      <c r="L1706">
        <v>0</v>
      </c>
      <c r="M1706">
        <f t="shared" si="52"/>
        <v>20</v>
      </c>
      <c r="N1706">
        <v>0</v>
      </c>
      <c r="O1706">
        <v>0</v>
      </c>
      <c r="P1706">
        <v>20</v>
      </c>
      <c r="Q1706">
        <v>0</v>
      </c>
      <c r="R1706">
        <v>0</v>
      </c>
      <c r="S1706">
        <v>0</v>
      </c>
    </row>
    <row r="1707" spans="1:19" x14ac:dyDescent="0.25">
      <c r="A1707">
        <v>18143</v>
      </c>
      <c r="B1707" t="s">
        <v>100</v>
      </c>
      <c r="C1707">
        <v>1</v>
      </c>
      <c r="D1707">
        <v>2.9440069366991302</v>
      </c>
      <c r="E1707">
        <v>1.2155899609596399</v>
      </c>
      <c r="F1707">
        <f t="shared" si="53"/>
        <v>1</v>
      </c>
      <c r="G1707">
        <v>0</v>
      </c>
      <c r="H1707">
        <v>0</v>
      </c>
      <c r="I1707">
        <v>1</v>
      </c>
      <c r="J1707">
        <v>0</v>
      </c>
      <c r="K1707">
        <v>0</v>
      </c>
      <c r="L1707">
        <v>0</v>
      </c>
      <c r="M1707">
        <f t="shared" si="52"/>
        <v>20</v>
      </c>
      <c r="N1707">
        <v>0</v>
      </c>
      <c r="O1707">
        <v>0</v>
      </c>
      <c r="P1707">
        <v>20</v>
      </c>
      <c r="Q1707">
        <v>0</v>
      </c>
      <c r="R1707">
        <v>0</v>
      </c>
      <c r="S1707">
        <v>0</v>
      </c>
    </row>
    <row r="1708" spans="1:19" x14ac:dyDescent="0.25">
      <c r="A1708">
        <v>18143</v>
      </c>
      <c r="B1708" t="s">
        <v>100</v>
      </c>
      <c r="C1708">
        <v>2</v>
      </c>
      <c r="D1708">
        <v>2.9440069366991302</v>
      </c>
      <c r="E1708">
        <v>1.3865322992195901</v>
      </c>
      <c r="F1708">
        <f t="shared" si="53"/>
        <v>1</v>
      </c>
      <c r="G1708">
        <v>0</v>
      </c>
      <c r="H1708">
        <v>0</v>
      </c>
      <c r="I1708">
        <v>1</v>
      </c>
      <c r="J1708">
        <v>0</v>
      </c>
      <c r="K1708">
        <v>0</v>
      </c>
      <c r="L1708">
        <v>0</v>
      </c>
      <c r="M1708">
        <f t="shared" si="52"/>
        <v>20</v>
      </c>
      <c r="N1708">
        <v>0</v>
      </c>
      <c r="O1708">
        <v>0</v>
      </c>
      <c r="P1708">
        <v>20</v>
      </c>
      <c r="Q1708">
        <v>0</v>
      </c>
      <c r="R1708">
        <v>0</v>
      </c>
      <c r="S1708">
        <v>0</v>
      </c>
    </row>
    <row r="1709" spans="1:19" x14ac:dyDescent="0.25">
      <c r="A1709">
        <v>18143</v>
      </c>
      <c r="B1709" t="s">
        <v>100</v>
      </c>
      <c r="C1709">
        <v>3</v>
      </c>
      <c r="D1709">
        <v>2.79205819157918</v>
      </c>
      <c r="E1709">
        <v>1.6524426031795101</v>
      </c>
      <c r="F1709">
        <f t="shared" si="53"/>
        <v>1</v>
      </c>
      <c r="G1709">
        <v>0</v>
      </c>
      <c r="H1709">
        <v>0</v>
      </c>
      <c r="I1709">
        <v>1</v>
      </c>
      <c r="J1709">
        <v>0</v>
      </c>
      <c r="K1709">
        <v>0</v>
      </c>
      <c r="L1709">
        <v>0</v>
      </c>
      <c r="M1709">
        <f t="shared" si="52"/>
        <v>20</v>
      </c>
      <c r="N1709">
        <v>0</v>
      </c>
      <c r="O1709">
        <v>0</v>
      </c>
      <c r="P1709">
        <v>20</v>
      </c>
      <c r="Q1709">
        <v>0</v>
      </c>
      <c r="R1709">
        <v>0</v>
      </c>
      <c r="S1709">
        <v>0</v>
      </c>
    </row>
    <row r="1710" spans="1:19" x14ac:dyDescent="0.25">
      <c r="A1710">
        <v>18143</v>
      </c>
      <c r="B1710" t="s">
        <v>100</v>
      </c>
      <c r="C1710">
        <v>4</v>
      </c>
      <c r="D1710">
        <v>2.7730645984391802</v>
      </c>
      <c r="E1710">
        <v>1.99432727969941</v>
      </c>
      <c r="F1710">
        <f t="shared" si="53"/>
        <v>1</v>
      </c>
      <c r="G1710">
        <v>0</v>
      </c>
      <c r="H1710">
        <v>0</v>
      </c>
      <c r="I1710">
        <v>1</v>
      </c>
      <c r="J1710">
        <v>0</v>
      </c>
      <c r="K1710">
        <v>0</v>
      </c>
      <c r="L1710">
        <v>0</v>
      </c>
      <c r="M1710">
        <f t="shared" si="52"/>
        <v>20</v>
      </c>
      <c r="N1710">
        <v>0</v>
      </c>
      <c r="O1710">
        <v>0</v>
      </c>
      <c r="P1710">
        <v>20</v>
      </c>
      <c r="Q1710">
        <v>0</v>
      </c>
      <c r="R1710">
        <v>0</v>
      </c>
      <c r="S1710">
        <v>0</v>
      </c>
    </row>
    <row r="1711" spans="1:19" x14ac:dyDescent="0.25">
      <c r="A1711">
        <v>18143</v>
      </c>
      <c r="B1711" t="s">
        <v>100</v>
      </c>
      <c r="C1711">
        <v>5</v>
      </c>
      <c r="D1711">
        <v>2.8110517847191701</v>
      </c>
      <c r="E1711">
        <v>1.9183529071394301</v>
      </c>
      <c r="F1711">
        <f t="shared" si="53"/>
        <v>1</v>
      </c>
      <c r="G1711">
        <v>0</v>
      </c>
      <c r="H1711">
        <v>0</v>
      </c>
      <c r="I1711">
        <v>1</v>
      </c>
      <c r="J1711">
        <v>0</v>
      </c>
      <c r="K1711">
        <v>0</v>
      </c>
      <c r="L1711">
        <v>0</v>
      </c>
      <c r="M1711">
        <f t="shared" si="52"/>
        <v>20</v>
      </c>
      <c r="N1711">
        <v>0</v>
      </c>
      <c r="O1711">
        <v>0</v>
      </c>
      <c r="P1711">
        <v>20</v>
      </c>
      <c r="Q1711">
        <v>0</v>
      </c>
      <c r="R1711">
        <v>0</v>
      </c>
      <c r="S1711">
        <v>0</v>
      </c>
    </row>
    <row r="1712" spans="1:19" x14ac:dyDescent="0.25">
      <c r="A1712">
        <v>18143</v>
      </c>
      <c r="B1712" t="s">
        <v>100</v>
      </c>
      <c r="C1712">
        <v>6</v>
      </c>
      <c r="D1712">
        <v>2.6401094464592201</v>
      </c>
      <c r="E1712">
        <v>1.80439134829947</v>
      </c>
      <c r="F1712">
        <f t="shared" si="53"/>
        <v>1</v>
      </c>
      <c r="G1712">
        <v>0</v>
      </c>
      <c r="H1712">
        <v>0</v>
      </c>
      <c r="I1712">
        <v>1</v>
      </c>
      <c r="J1712">
        <v>0</v>
      </c>
      <c r="K1712">
        <v>0</v>
      </c>
      <c r="L1712">
        <v>0</v>
      </c>
      <c r="M1712">
        <f t="shared" si="52"/>
        <v>20</v>
      </c>
      <c r="N1712">
        <v>0</v>
      </c>
      <c r="O1712">
        <v>0</v>
      </c>
      <c r="P1712">
        <v>20</v>
      </c>
      <c r="Q1712">
        <v>0</v>
      </c>
      <c r="R1712">
        <v>0</v>
      </c>
      <c r="S1712">
        <v>0</v>
      </c>
    </row>
    <row r="1713" spans="1:19" x14ac:dyDescent="0.25">
      <c r="A1713">
        <v>18143</v>
      </c>
      <c r="B1713" t="s">
        <v>100</v>
      </c>
      <c r="C1713">
        <v>7</v>
      </c>
      <c r="D1713">
        <v>2.2222503973793399</v>
      </c>
      <c r="E1713">
        <v>2.0703016522593898</v>
      </c>
      <c r="F1713">
        <f t="shared" si="53"/>
        <v>1</v>
      </c>
      <c r="G1713">
        <v>0</v>
      </c>
      <c r="H1713">
        <v>0</v>
      </c>
      <c r="I1713">
        <v>1</v>
      </c>
      <c r="J1713">
        <v>0</v>
      </c>
      <c r="K1713">
        <v>0</v>
      </c>
      <c r="L1713">
        <v>0</v>
      </c>
      <c r="M1713">
        <f t="shared" si="52"/>
        <v>20</v>
      </c>
      <c r="N1713">
        <v>0</v>
      </c>
      <c r="O1713">
        <v>0</v>
      </c>
      <c r="P1713">
        <v>20</v>
      </c>
      <c r="Q1713">
        <v>0</v>
      </c>
      <c r="R1713">
        <v>0</v>
      </c>
      <c r="S1713">
        <v>0</v>
      </c>
    </row>
    <row r="1714" spans="1:19" x14ac:dyDescent="0.25">
      <c r="A1714">
        <v>18143</v>
      </c>
      <c r="B1714" t="s">
        <v>100</v>
      </c>
      <c r="C1714">
        <v>8</v>
      </c>
      <c r="D1714">
        <v>1.5574746374795401</v>
      </c>
      <c r="E1714">
        <v>2.7730645984391802</v>
      </c>
      <c r="F1714">
        <f t="shared" si="53"/>
        <v>1</v>
      </c>
      <c r="G1714">
        <v>0</v>
      </c>
      <c r="H1714">
        <v>0</v>
      </c>
      <c r="I1714">
        <v>1</v>
      </c>
      <c r="J1714">
        <v>0</v>
      </c>
      <c r="K1714">
        <v>0</v>
      </c>
      <c r="L1714">
        <v>0</v>
      </c>
      <c r="M1714">
        <f t="shared" si="52"/>
        <v>20</v>
      </c>
      <c r="N1714">
        <v>0</v>
      </c>
      <c r="O1714">
        <v>0</v>
      </c>
      <c r="P1714">
        <v>20</v>
      </c>
      <c r="Q1714">
        <v>0</v>
      </c>
      <c r="R1714">
        <v>0</v>
      </c>
      <c r="S1714">
        <v>0</v>
      </c>
    </row>
    <row r="1715" spans="1:19" x14ac:dyDescent="0.25">
      <c r="A1715">
        <v>18143</v>
      </c>
      <c r="B1715" t="s">
        <v>100</v>
      </c>
      <c r="C1715">
        <v>9</v>
      </c>
      <c r="D1715">
        <v>1.25357714723963</v>
      </c>
      <c r="E1715">
        <v>2.8110517847191701</v>
      </c>
      <c r="F1715">
        <f t="shared" si="53"/>
        <v>1</v>
      </c>
      <c r="G1715">
        <v>0</v>
      </c>
      <c r="H1715">
        <v>0</v>
      </c>
      <c r="I1715">
        <v>1</v>
      </c>
      <c r="J1715">
        <v>0</v>
      </c>
      <c r="K1715">
        <v>0</v>
      </c>
      <c r="L1715">
        <v>0</v>
      </c>
      <c r="M1715">
        <f t="shared" si="52"/>
        <v>20</v>
      </c>
      <c r="N1715">
        <v>0</v>
      </c>
      <c r="O1715">
        <v>0</v>
      </c>
      <c r="P1715">
        <v>20</v>
      </c>
      <c r="Q1715">
        <v>0</v>
      </c>
      <c r="R1715">
        <v>0</v>
      </c>
      <c r="S1715">
        <v>0</v>
      </c>
    </row>
    <row r="1716" spans="1:19" x14ac:dyDescent="0.25">
      <c r="A1716">
        <v>18143</v>
      </c>
      <c r="B1716" t="s">
        <v>100</v>
      </c>
      <c r="C1716">
        <v>10</v>
      </c>
      <c r="D1716">
        <v>1.0446476226996899</v>
      </c>
      <c r="E1716">
        <v>2.7350774121591899</v>
      </c>
      <c r="F1716">
        <f t="shared" si="53"/>
        <v>1</v>
      </c>
      <c r="G1716">
        <v>0</v>
      </c>
      <c r="H1716">
        <v>0</v>
      </c>
      <c r="I1716">
        <v>1</v>
      </c>
      <c r="J1716">
        <v>0</v>
      </c>
      <c r="K1716">
        <v>0</v>
      </c>
      <c r="L1716">
        <v>0</v>
      </c>
      <c r="M1716">
        <f t="shared" si="52"/>
        <v>20</v>
      </c>
      <c r="N1716">
        <v>0</v>
      </c>
      <c r="O1716">
        <v>0</v>
      </c>
      <c r="P1716">
        <v>20</v>
      </c>
      <c r="Q1716">
        <v>0</v>
      </c>
      <c r="R1716">
        <v>0</v>
      </c>
      <c r="S1716">
        <v>0</v>
      </c>
    </row>
    <row r="1717" spans="1:19" x14ac:dyDescent="0.25">
      <c r="A1717">
        <v>18143</v>
      </c>
      <c r="B1717" t="s">
        <v>100</v>
      </c>
      <c r="C1717">
        <v>11</v>
      </c>
      <c r="D1717">
        <v>0.93068606385972696</v>
      </c>
      <c r="E1717">
        <v>2.0133208728394001</v>
      </c>
      <c r="F1717">
        <f t="shared" si="53"/>
        <v>1</v>
      </c>
      <c r="G1717">
        <v>0</v>
      </c>
      <c r="H1717">
        <v>0</v>
      </c>
      <c r="I1717">
        <v>1</v>
      </c>
      <c r="J1717">
        <v>0</v>
      </c>
      <c r="K1717">
        <v>0</v>
      </c>
      <c r="L1717">
        <v>0</v>
      </c>
      <c r="M1717">
        <f t="shared" si="52"/>
        <v>20</v>
      </c>
      <c r="N1717">
        <v>0</v>
      </c>
      <c r="O1717">
        <v>0</v>
      </c>
      <c r="P1717">
        <v>20</v>
      </c>
      <c r="Q1717">
        <v>0</v>
      </c>
      <c r="R1717">
        <v>0</v>
      </c>
      <c r="S1717">
        <v>0</v>
      </c>
    </row>
    <row r="1718" spans="1:19" x14ac:dyDescent="0.25">
      <c r="A1718">
        <v>18143</v>
      </c>
      <c r="B1718" t="s">
        <v>100</v>
      </c>
      <c r="C1718">
        <v>12</v>
      </c>
      <c r="D1718">
        <v>0.74075013245978205</v>
      </c>
      <c r="E1718">
        <v>2.1082888385393801</v>
      </c>
      <c r="F1718">
        <f t="shared" si="53"/>
        <v>1</v>
      </c>
      <c r="G1718">
        <v>0</v>
      </c>
      <c r="H1718">
        <v>0</v>
      </c>
      <c r="I1718">
        <v>1</v>
      </c>
      <c r="J1718">
        <v>0</v>
      </c>
      <c r="K1718">
        <v>0</v>
      </c>
      <c r="L1718">
        <v>0</v>
      </c>
      <c r="M1718">
        <f t="shared" si="52"/>
        <v>20</v>
      </c>
      <c r="N1718">
        <v>0</v>
      </c>
      <c r="O1718">
        <v>0</v>
      </c>
      <c r="P1718">
        <v>20</v>
      </c>
      <c r="Q1718">
        <v>0</v>
      </c>
      <c r="R1718">
        <v>0</v>
      </c>
      <c r="S1718">
        <v>0</v>
      </c>
    </row>
    <row r="1719" spans="1:19" x14ac:dyDescent="0.25">
      <c r="A1719">
        <v>18143</v>
      </c>
      <c r="B1719" t="s">
        <v>100</v>
      </c>
      <c r="C1719">
        <v>13</v>
      </c>
      <c r="D1719">
        <v>0.87370528443974305</v>
      </c>
      <c r="E1719">
        <v>1.9373465002794299</v>
      </c>
      <c r="F1719">
        <f t="shared" si="53"/>
        <v>1</v>
      </c>
      <c r="G1719">
        <v>0</v>
      </c>
      <c r="H1719">
        <v>0</v>
      </c>
      <c r="I1719">
        <v>1</v>
      </c>
      <c r="J1719">
        <v>0</v>
      </c>
      <c r="K1719">
        <v>0</v>
      </c>
      <c r="L1719">
        <v>0</v>
      </c>
      <c r="M1719">
        <f t="shared" si="52"/>
        <v>20</v>
      </c>
      <c r="N1719">
        <v>0</v>
      </c>
      <c r="O1719">
        <v>0</v>
      </c>
      <c r="P1719">
        <v>20</v>
      </c>
      <c r="Q1719">
        <v>0</v>
      </c>
      <c r="R1719">
        <v>0</v>
      </c>
      <c r="S1719">
        <v>0</v>
      </c>
    </row>
    <row r="1720" spans="1:19" x14ac:dyDescent="0.25">
      <c r="A1720">
        <v>18143</v>
      </c>
      <c r="B1720" t="s">
        <v>100</v>
      </c>
      <c r="C1720">
        <v>14</v>
      </c>
      <c r="D1720">
        <v>0.89269887757973798</v>
      </c>
      <c r="E1720">
        <v>1.36753870607959</v>
      </c>
      <c r="F1720">
        <f t="shared" si="53"/>
        <v>1</v>
      </c>
      <c r="G1720">
        <v>0</v>
      </c>
      <c r="H1720">
        <v>0</v>
      </c>
      <c r="I1720">
        <v>1</v>
      </c>
      <c r="J1720">
        <v>0</v>
      </c>
      <c r="K1720">
        <v>0</v>
      </c>
      <c r="L1720">
        <v>0</v>
      </c>
      <c r="M1720">
        <f t="shared" si="52"/>
        <v>20</v>
      </c>
      <c r="N1720">
        <v>0</v>
      </c>
      <c r="O1720">
        <v>0</v>
      </c>
      <c r="P1720">
        <v>20</v>
      </c>
      <c r="Q1720">
        <v>0</v>
      </c>
      <c r="R1720">
        <v>0</v>
      </c>
      <c r="S1720">
        <v>0</v>
      </c>
    </row>
    <row r="1721" spans="1:19" x14ac:dyDescent="0.25">
      <c r="A1721">
        <v>18143</v>
      </c>
      <c r="B1721" t="s">
        <v>100</v>
      </c>
      <c r="C1721">
        <v>15</v>
      </c>
      <c r="D1721">
        <v>0.81672450501976002</v>
      </c>
      <c r="E1721">
        <v>1.3865322992195901</v>
      </c>
      <c r="F1721">
        <f t="shared" si="53"/>
        <v>1</v>
      </c>
      <c r="G1721">
        <v>0</v>
      </c>
      <c r="H1721">
        <v>0</v>
      </c>
      <c r="I1721">
        <v>1</v>
      </c>
      <c r="J1721">
        <v>0</v>
      </c>
      <c r="K1721">
        <v>0</v>
      </c>
      <c r="L1721">
        <v>0</v>
      </c>
      <c r="M1721">
        <f t="shared" si="52"/>
        <v>20</v>
      </c>
      <c r="N1721">
        <v>0</v>
      </c>
      <c r="O1721">
        <v>0</v>
      </c>
      <c r="P1721">
        <v>20</v>
      </c>
      <c r="Q1721">
        <v>0</v>
      </c>
      <c r="R1721">
        <v>0</v>
      </c>
      <c r="S1721">
        <v>0</v>
      </c>
    </row>
    <row r="1722" spans="1:19" x14ac:dyDescent="0.25">
      <c r="A1722">
        <v>18143</v>
      </c>
      <c r="B1722" t="s">
        <v>100</v>
      </c>
      <c r="C1722">
        <v>16</v>
      </c>
      <c r="D1722">
        <v>1.08263480897968</v>
      </c>
      <c r="E1722">
        <v>1.08263480897968</v>
      </c>
      <c r="F1722">
        <f t="shared" si="53"/>
        <v>1</v>
      </c>
      <c r="G1722">
        <v>0</v>
      </c>
      <c r="H1722">
        <v>0</v>
      </c>
      <c r="I1722">
        <v>1</v>
      </c>
      <c r="J1722">
        <v>0</v>
      </c>
      <c r="K1722">
        <v>0</v>
      </c>
      <c r="L1722">
        <v>0</v>
      </c>
      <c r="M1722">
        <f t="shared" si="52"/>
        <v>20</v>
      </c>
      <c r="N1722">
        <v>0</v>
      </c>
      <c r="O1722">
        <v>0</v>
      </c>
      <c r="P1722">
        <v>20</v>
      </c>
      <c r="Q1722">
        <v>0</v>
      </c>
      <c r="R1722">
        <v>0</v>
      </c>
      <c r="S1722">
        <v>0</v>
      </c>
    </row>
    <row r="1723" spans="1:19" x14ac:dyDescent="0.25">
      <c r="A1723">
        <v>18143</v>
      </c>
      <c r="B1723" t="s">
        <v>100</v>
      </c>
      <c r="C1723">
        <v>17</v>
      </c>
      <c r="D1723">
        <v>1.2345835540996299</v>
      </c>
      <c r="E1723">
        <v>1.1396155883996599</v>
      </c>
      <c r="F1723">
        <f t="shared" si="53"/>
        <v>1</v>
      </c>
      <c r="G1723">
        <v>0</v>
      </c>
      <c r="H1723">
        <v>0</v>
      </c>
      <c r="I1723">
        <v>1</v>
      </c>
      <c r="J1723">
        <v>0</v>
      </c>
      <c r="K1723">
        <v>0</v>
      </c>
      <c r="L1723">
        <v>0</v>
      </c>
      <c r="M1723">
        <f t="shared" si="52"/>
        <v>20</v>
      </c>
      <c r="N1723">
        <v>0</v>
      </c>
      <c r="O1723">
        <v>0</v>
      </c>
      <c r="P1723">
        <v>20</v>
      </c>
      <c r="Q1723">
        <v>0</v>
      </c>
      <c r="R1723">
        <v>0</v>
      </c>
      <c r="S1723">
        <v>0</v>
      </c>
    </row>
    <row r="1724" spans="1:19" x14ac:dyDescent="0.25">
      <c r="A1724">
        <v>18143</v>
      </c>
      <c r="B1724" t="s">
        <v>100</v>
      </c>
      <c r="C1724">
        <v>18</v>
      </c>
      <c r="D1724">
        <v>1.6904297894595</v>
      </c>
      <c r="E1724">
        <v>0.89269887757973798</v>
      </c>
      <c r="F1724">
        <f t="shared" si="53"/>
        <v>1</v>
      </c>
      <c r="G1724">
        <v>0</v>
      </c>
      <c r="H1724">
        <v>0</v>
      </c>
      <c r="I1724">
        <v>1</v>
      </c>
      <c r="J1724">
        <v>0</v>
      </c>
      <c r="K1724">
        <v>0</v>
      </c>
      <c r="L1724">
        <v>0</v>
      </c>
      <c r="M1724">
        <f t="shared" si="52"/>
        <v>20</v>
      </c>
      <c r="N1724">
        <v>0</v>
      </c>
      <c r="O1724">
        <v>0</v>
      </c>
      <c r="P1724">
        <v>20</v>
      </c>
      <c r="Q1724">
        <v>0</v>
      </c>
      <c r="R1724">
        <v>0</v>
      </c>
      <c r="S1724">
        <v>0</v>
      </c>
    </row>
    <row r="1725" spans="1:19" x14ac:dyDescent="0.25">
      <c r="A1725">
        <v>18143</v>
      </c>
      <c r="B1725" t="s">
        <v>100</v>
      </c>
      <c r="C1725">
        <v>19</v>
      </c>
      <c r="D1725">
        <v>1.9563400934194199</v>
      </c>
      <c r="E1725">
        <v>0.83571809815975395</v>
      </c>
      <c r="F1725">
        <f t="shared" si="53"/>
        <v>1</v>
      </c>
      <c r="G1725">
        <v>0</v>
      </c>
      <c r="H1725">
        <v>0</v>
      </c>
      <c r="I1725">
        <v>1</v>
      </c>
      <c r="J1725">
        <v>0</v>
      </c>
      <c r="K1725">
        <v>0</v>
      </c>
      <c r="L1725">
        <v>0</v>
      </c>
      <c r="M1725">
        <f t="shared" si="52"/>
        <v>20</v>
      </c>
      <c r="N1725">
        <v>0</v>
      </c>
      <c r="O1725">
        <v>0</v>
      </c>
      <c r="P1725">
        <v>20</v>
      </c>
      <c r="Q1725">
        <v>0</v>
      </c>
      <c r="R1725">
        <v>0</v>
      </c>
      <c r="S1725">
        <v>0</v>
      </c>
    </row>
    <row r="1726" spans="1:19" x14ac:dyDescent="0.25">
      <c r="A1726">
        <v>18143</v>
      </c>
      <c r="B1726" t="s">
        <v>100</v>
      </c>
      <c r="C1726">
        <v>20</v>
      </c>
      <c r="D1726">
        <v>2.3172183630793199</v>
      </c>
      <c r="E1726">
        <v>0.87370528443974305</v>
      </c>
      <c r="F1726">
        <f t="shared" si="53"/>
        <v>1</v>
      </c>
      <c r="G1726">
        <v>0</v>
      </c>
      <c r="H1726">
        <v>0</v>
      </c>
      <c r="I1726">
        <v>1</v>
      </c>
      <c r="J1726">
        <v>0</v>
      </c>
      <c r="K1726">
        <v>0</v>
      </c>
      <c r="L1726">
        <v>0</v>
      </c>
      <c r="M1726">
        <f t="shared" si="52"/>
        <v>20</v>
      </c>
      <c r="N1726">
        <v>0</v>
      </c>
      <c r="O1726">
        <v>0</v>
      </c>
      <c r="P1726">
        <v>20</v>
      </c>
      <c r="Q1726">
        <v>0</v>
      </c>
      <c r="R1726">
        <v>0</v>
      </c>
      <c r="S1726">
        <v>0</v>
      </c>
    </row>
    <row r="1727" spans="1:19" x14ac:dyDescent="0.25">
      <c r="A1727">
        <v>18143</v>
      </c>
      <c r="B1727" t="s">
        <v>100</v>
      </c>
      <c r="C1727">
        <v>21</v>
      </c>
      <c r="D1727">
        <v>2.8110517847191701</v>
      </c>
      <c r="E1727">
        <v>0.81672450501976002</v>
      </c>
      <c r="F1727">
        <f t="shared" si="53"/>
        <v>1</v>
      </c>
      <c r="G1727">
        <v>0</v>
      </c>
      <c r="H1727">
        <v>0</v>
      </c>
      <c r="I1727">
        <v>1</v>
      </c>
      <c r="J1727">
        <v>0</v>
      </c>
      <c r="K1727">
        <v>0</v>
      </c>
      <c r="L1727">
        <v>0</v>
      </c>
      <c r="M1727">
        <f t="shared" si="52"/>
        <v>20</v>
      </c>
      <c r="N1727">
        <v>0</v>
      </c>
      <c r="O1727">
        <v>0</v>
      </c>
      <c r="P1727">
        <v>20</v>
      </c>
      <c r="Q1727">
        <v>0</v>
      </c>
      <c r="R1727">
        <v>0</v>
      </c>
      <c r="S1727">
        <v>0</v>
      </c>
    </row>
    <row r="1728" spans="1:19" x14ac:dyDescent="0.25">
      <c r="A1728">
        <v>18143</v>
      </c>
      <c r="B1728" t="s">
        <v>100</v>
      </c>
      <c r="C1728">
        <v>22</v>
      </c>
      <c r="D1728">
        <v>2.9060197504191398</v>
      </c>
      <c r="E1728">
        <v>0.83571809815975395</v>
      </c>
      <c r="F1728">
        <f t="shared" si="53"/>
        <v>1</v>
      </c>
      <c r="G1728">
        <v>0</v>
      </c>
      <c r="H1728">
        <v>0</v>
      </c>
      <c r="I1728">
        <v>1</v>
      </c>
      <c r="J1728">
        <v>0</v>
      </c>
      <c r="K1728">
        <v>0</v>
      </c>
      <c r="L1728">
        <v>0</v>
      </c>
      <c r="M1728">
        <f t="shared" si="52"/>
        <v>20</v>
      </c>
      <c r="N1728">
        <v>0</v>
      </c>
      <c r="O1728">
        <v>0</v>
      </c>
      <c r="P1728">
        <v>20</v>
      </c>
      <c r="Q1728">
        <v>0</v>
      </c>
      <c r="R1728">
        <v>0</v>
      </c>
      <c r="S1728">
        <v>0</v>
      </c>
    </row>
    <row r="1729" spans="1:19" x14ac:dyDescent="0.25">
      <c r="A1729">
        <v>18143</v>
      </c>
      <c r="B1729" t="s">
        <v>100</v>
      </c>
      <c r="C1729">
        <v>23</v>
      </c>
      <c r="D1729">
        <v>2.9060197504191398</v>
      </c>
      <c r="E1729">
        <v>0.91169247071973203</v>
      </c>
      <c r="F1729">
        <f t="shared" si="53"/>
        <v>1</v>
      </c>
      <c r="G1729">
        <v>0</v>
      </c>
      <c r="H1729">
        <v>0</v>
      </c>
      <c r="I1729">
        <v>1</v>
      </c>
      <c r="J1729">
        <v>0</v>
      </c>
      <c r="K1729">
        <v>0</v>
      </c>
      <c r="L1729">
        <v>0</v>
      </c>
      <c r="M1729">
        <f t="shared" si="52"/>
        <v>20</v>
      </c>
      <c r="N1729">
        <v>0</v>
      </c>
      <c r="O1729">
        <v>0</v>
      </c>
      <c r="P1729">
        <v>20</v>
      </c>
      <c r="Q1729">
        <v>0</v>
      </c>
      <c r="R1729">
        <v>0</v>
      </c>
      <c r="S1729">
        <v>0</v>
      </c>
    </row>
    <row r="1730" spans="1:19" x14ac:dyDescent="0.25">
      <c r="A1730">
        <v>18145</v>
      </c>
      <c r="B1730" t="s">
        <v>101</v>
      </c>
      <c r="C1730">
        <v>0</v>
      </c>
      <c r="D1730">
        <v>116.149999999999</v>
      </c>
      <c r="E1730">
        <v>12.8052296819787</v>
      </c>
      <c r="F1730">
        <f t="shared" si="53"/>
        <v>4</v>
      </c>
      <c r="G1730">
        <v>0</v>
      </c>
      <c r="H1730">
        <v>1</v>
      </c>
      <c r="I1730">
        <v>3</v>
      </c>
      <c r="J1730">
        <v>0</v>
      </c>
      <c r="K1730">
        <v>0</v>
      </c>
      <c r="L1730">
        <v>0</v>
      </c>
      <c r="M1730">
        <f t="shared" ref="M1730:M1793" si="54">SUM(N1730:S1730)</f>
        <v>101</v>
      </c>
      <c r="N1730">
        <v>0</v>
      </c>
      <c r="O1730">
        <v>70</v>
      </c>
      <c r="P1730">
        <v>31</v>
      </c>
      <c r="Q1730">
        <v>0</v>
      </c>
      <c r="R1730">
        <v>0</v>
      </c>
      <c r="S1730">
        <v>0</v>
      </c>
    </row>
    <row r="1731" spans="1:19" x14ac:dyDescent="0.25">
      <c r="A1731">
        <v>18145</v>
      </c>
      <c r="B1731" t="s">
        <v>101</v>
      </c>
      <c r="C1731">
        <v>1</v>
      </c>
      <c r="D1731">
        <v>114.672473498233</v>
      </c>
      <c r="E1731">
        <v>14.6110954063604</v>
      </c>
      <c r="F1731">
        <f t="shared" ref="F1731:F1794" si="55">SUM(G1731:L1731)</f>
        <v>4</v>
      </c>
      <c r="G1731">
        <v>0</v>
      </c>
      <c r="H1731">
        <v>1</v>
      </c>
      <c r="I1731">
        <v>3</v>
      </c>
      <c r="J1731">
        <v>0</v>
      </c>
      <c r="K1731">
        <v>0</v>
      </c>
      <c r="L1731">
        <v>0</v>
      </c>
      <c r="M1731">
        <f t="shared" si="54"/>
        <v>101</v>
      </c>
      <c r="N1731">
        <v>0</v>
      </c>
      <c r="O1731">
        <v>70</v>
      </c>
      <c r="P1731">
        <v>31</v>
      </c>
      <c r="Q1731">
        <v>0</v>
      </c>
      <c r="R1731">
        <v>0</v>
      </c>
      <c r="S1731">
        <v>0</v>
      </c>
    </row>
    <row r="1732" spans="1:19" x14ac:dyDescent="0.25">
      <c r="A1732">
        <v>18145</v>
      </c>
      <c r="B1732" t="s">
        <v>101</v>
      </c>
      <c r="C1732">
        <v>2</v>
      </c>
      <c r="D1732">
        <v>113.482243816254</v>
      </c>
      <c r="E1732">
        <v>15.472985865724301</v>
      </c>
      <c r="F1732">
        <f t="shared" si="55"/>
        <v>4</v>
      </c>
      <c r="G1732">
        <v>0</v>
      </c>
      <c r="H1732">
        <v>1</v>
      </c>
      <c r="I1732">
        <v>3</v>
      </c>
      <c r="J1732">
        <v>0</v>
      </c>
      <c r="K1732">
        <v>0</v>
      </c>
      <c r="L1732">
        <v>0</v>
      </c>
      <c r="M1732">
        <f t="shared" si="54"/>
        <v>101</v>
      </c>
      <c r="N1732">
        <v>0</v>
      </c>
      <c r="O1732">
        <v>70</v>
      </c>
      <c r="P1732">
        <v>31</v>
      </c>
      <c r="Q1732">
        <v>0</v>
      </c>
      <c r="R1732">
        <v>0</v>
      </c>
      <c r="S1732">
        <v>0</v>
      </c>
    </row>
    <row r="1733" spans="1:19" x14ac:dyDescent="0.25">
      <c r="A1733">
        <v>18145</v>
      </c>
      <c r="B1733" t="s">
        <v>101</v>
      </c>
      <c r="C1733">
        <v>3</v>
      </c>
      <c r="D1733">
        <v>112.866607773851</v>
      </c>
      <c r="E1733">
        <v>16.540088339222599</v>
      </c>
      <c r="F1733">
        <f t="shared" si="55"/>
        <v>4</v>
      </c>
      <c r="G1733">
        <v>0</v>
      </c>
      <c r="H1733">
        <v>1</v>
      </c>
      <c r="I1733">
        <v>3</v>
      </c>
      <c r="J1733">
        <v>0</v>
      </c>
      <c r="K1733">
        <v>0</v>
      </c>
      <c r="L1733">
        <v>0</v>
      </c>
      <c r="M1733">
        <f t="shared" si="54"/>
        <v>101</v>
      </c>
      <c r="N1733">
        <v>0</v>
      </c>
      <c r="O1733">
        <v>70</v>
      </c>
      <c r="P1733">
        <v>31</v>
      </c>
      <c r="Q1733">
        <v>0</v>
      </c>
      <c r="R1733">
        <v>0</v>
      </c>
      <c r="S1733">
        <v>0</v>
      </c>
    </row>
    <row r="1734" spans="1:19" x14ac:dyDescent="0.25">
      <c r="A1734">
        <v>18145</v>
      </c>
      <c r="B1734" t="s">
        <v>101</v>
      </c>
      <c r="C1734">
        <v>4</v>
      </c>
      <c r="D1734">
        <v>110.198851590106</v>
      </c>
      <c r="E1734">
        <v>17.976572438162499</v>
      </c>
      <c r="F1734">
        <f t="shared" si="55"/>
        <v>4</v>
      </c>
      <c r="G1734">
        <v>0</v>
      </c>
      <c r="H1734">
        <v>1</v>
      </c>
      <c r="I1734">
        <v>3</v>
      </c>
      <c r="J1734">
        <v>0</v>
      </c>
      <c r="K1734">
        <v>0</v>
      </c>
      <c r="L1734">
        <v>0</v>
      </c>
      <c r="M1734">
        <f t="shared" si="54"/>
        <v>101</v>
      </c>
      <c r="N1734">
        <v>0</v>
      </c>
      <c r="O1734">
        <v>70</v>
      </c>
      <c r="P1734">
        <v>31</v>
      </c>
      <c r="Q1734">
        <v>0</v>
      </c>
      <c r="R1734">
        <v>0</v>
      </c>
      <c r="S1734">
        <v>0</v>
      </c>
    </row>
    <row r="1735" spans="1:19" x14ac:dyDescent="0.25">
      <c r="A1735">
        <v>18145</v>
      </c>
      <c r="B1735" t="s">
        <v>101</v>
      </c>
      <c r="C1735">
        <v>5</v>
      </c>
      <c r="D1735">
        <v>107.777349823321</v>
      </c>
      <c r="E1735">
        <v>20.0286925795053</v>
      </c>
      <c r="F1735">
        <f t="shared" si="55"/>
        <v>4</v>
      </c>
      <c r="G1735">
        <v>0</v>
      </c>
      <c r="H1735">
        <v>1</v>
      </c>
      <c r="I1735">
        <v>3</v>
      </c>
      <c r="J1735">
        <v>0</v>
      </c>
      <c r="K1735">
        <v>0</v>
      </c>
      <c r="L1735">
        <v>0</v>
      </c>
      <c r="M1735">
        <f t="shared" si="54"/>
        <v>101</v>
      </c>
      <c r="N1735">
        <v>0</v>
      </c>
      <c r="O1735">
        <v>70</v>
      </c>
      <c r="P1735">
        <v>31</v>
      </c>
      <c r="Q1735">
        <v>0</v>
      </c>
      <c r="R1735">
        <v>0</v>
      </c>
      <c r="S1735">
        <v>0</v>
      </c>
    </row>
    <row r="1736" spans="1:19" x14ac:dyDescent="0.25">
      <c r="A1736">
        <v>18145</v>
      </c>
      <c r="B1736" t="s">
        <v>101</v>
      </c>
      <c r="C1736">
        <v>6</v>
      </c>
      <c r="D1736">
        <v>103.46789752650101</v>
      </c>
      <c r="E1736">
        <v>21.506219081272</v>
      </c>
      <c r="F1736">
        <f t="shared" si="55"/>
        <v>4</v>
      </c>
      <c r="G1736">
        <v>0</v>
      </c>
      <c r="H1736">
        <v>1</v>
      </c>
      <c r="I1736">
        <v>3</v>
      </c>
      <c r="J1736">
        <v>0</v>
      </c>
      <c r="K1736">
        <v>0</v>
      </c>
      <c r="L1736">
        <v>0</v>
      </c>
      <c r="M1736">
        <f t="shared" si="54"/>
        <v>101</v>
      </c>
      <c r="N1736">
        <v>0</v>
      </c>
      <c r="O1736">
        <v>70</v>
      </c>
      <c r="P1736">
        <v>31</v>
      </c>
      <c r="Q1736">
        <v>0</v>
      </c>
      <c r="R1736">
        <v>0</v>
      </c>
      <c r="S1736">
        <v>0</v>
      </c>
    </row>
    <row r="1737" spans="1:19" x14ac:dyDescent="0.25">
      <c r="A1737">
        <v>18145</v>
      </c>
      <c r="B1737" t="s">
        <v>101</v>
      </c>
      <c r="C1737">
        <v>7</v>
      </c>
      <c r="D1737">
        <v>100.47180212014101</v>
      </c>
      <c r="E1737">
        <v>19.207844522968099</v>
      </c>
      <c r="F1737">
        <f t="shared" si="55"/>
        <v>4</v>
      </c>
      <c r="G1737">
        <v>0</v>
      </c>
      <c r="H1737">
        <v>1</v>
      </c>
      <c r="I1737">
        <v>3</v>
      </c>
      <c r="J1737">
        <v>0</v>
      </c>
      <c r="K1737">
        <v>0</v>
      </c>
      <c r="L1737">
        <v>0</v>
      </c>
      <c r="M1737">
        <f t="shared" si="54"/>
        <v>101</v>
      </c>
      <c r="N1737">
        <v>0</v>
      </c>
      <c r="O1737">
        <v>70</v>
      </c>
      <c r="P1737">
        <v>31</v>
      </c>
      <c r="Q1737">
        <v>0</v>
      </c>
      <c r="R1737">
        <v>0</v>
      </c>
      <c r="S1737">
        <v>0</v>
      </c>
    </row>
    <row r="1738" spans="1:19" x14ac:dyDescent="0.25">
      <c r="A1738">
        <v>18145</v>
      </c>
      <c r="B1738" t="s">
        <v>101</v>
      </c>
      <c r="C1738">
        <v>8</v>
      </c>
      <c r="D1738">
        <v>91.237261484098894</v>
      </c>
      <c r="E1738">
        <v>13.995459363957499</v>
      </c>
      <c r="F1738">
        <f t="shared" si="55"/>
        <v>4</v>
      </c>
      <c r="G1738">
        <v>0</v>
      </c>
      <c r="H1738">
        <v>1</v>
      </c>
      <c r="I1738">
        <v>3</v>
      </c>
      <c r="J1738">
        <v>0</v>
      </c>
      <c r="K1738">
        <v>0</v>
      </c>
      <c r="L1738">
        <v>0</v>
      </c>
      <c r="M1738">
        <f t="shared" si="54"/>
        <v>101</v>
      </c>
      <c r="N1738">
        <v>0</v>
      </c>
      <c r="O1738">
        <v>70</v>
      </c>
      <c r="P1738">
        <v>31</v>
      </c>
      <c r="Q1738">
        <v>0</v>
      </c>
      <c r="R1738">
        <v>0</v>
      </c>
      <c r="S1738">
        <v>0</v>
      </c>
    </row>
    <row r="1739" spans="1:19" x14ac:dyDescent="0.25">
      <c r="A1739">
        <v>18145</v>
      </c>
      <c r="B1739" t="s">
        <v>101</v>
      </c>
      <c r="C1739">
        <v>9</v>
      </c>
      <c r="D1739">
        <v>84.916731448763201</v>
      </c>
      <c r="E1739">
        <v>9.0293286219081192</v>
      </c>
      <c r="F1739">
        <f t="shared" si="55"/>
        <v>4</v>
      </c>
      <c r="G1739">
        <v>0</v>
      </c>
      <c r="H1739">
        <v>1</v>
      </c>
      <c r="I1739">
        <v>3</v>
      </c>
      <c r="J1739">
        <v>0</v>
      </c>
      <c r="K1739">
        <v>0</v>
      </c>
      <c r="L1739">
        <v>0</v>
      </c>
      <c r="M1739">
        <f t="shared" si="54"/>
        <v>101</v>
      </c>
      <c r="N1739">
        <v>0</v>
      </c>
      <c r="O1739">
        <v>70</v>
      </c>
      <c r="P1739">
        <v>31</v>
      </c>
      <c r="Q1739">
        <v>0</v>
      </c>
      <c r="R1739">
        <v>0</v>
      </c>
      <c r="S1739">
        <v>0</v>
      </c>
    </row>
    <row r="1740" spans="1:19" x14ac:dyDescent="0.25">
      <c r="A1740">
        <v>18145</v>
      </c>
      <c r="B1740" t="s">
        <v>101</v>
      </c>
      <c r="C1740">
        <v>10</v>
      </c>
      <c r="D1740">
        <v>83.028780918727904</v>
      </c>
      <c r="E1740">
        <v>7.0592932862190798</v>
      </c>
      <c r="F1740">
        <f t="shared" si="55"/>
        <v>4</v>
      </c>
      <c r="G1740">
        <v>0</v>
      </c>
      <c r="H1740">
        <v>1</v>
      </c>
      <c r="I1740">
        <v>3</v>
      </c>
      <c r="J1740">
        <v>0</v>
      </c>
      <c r="K1740">
        <v>0</v>
      </c>
      <c r="L1740">
        <v>0</v>
      </c>
      <c r="M1740">
        <f t="shared" si="54"/>
        <v>101</v>
      </c>
      <c r="N1740">
        <v>0</v>
      </c>
      <c r="O1740">
        <v>70</v>
      </c>
      <c r="P1740">
        <v>31</v>
      </c>
      <c r="Q1740">
        <v>0</v>
      </c>
      <c r="R1740">
        <v>0</v>
      </c>
      <c r="S1740">
        <v>0</v>
      </c>
    </row>
    <row r="1741" spans="1:19" x14ac:dyDescent="0.25">
      <c r="A1741">
        <v>18145</v>
      </c>
      <c r="B1741" t="s">
        <v>101</v>
      </c>
      <c r="C1741">
        <v>11</v>
      </c>
      <c r="D1741">
        <v>80.237897526501698</v>
      </c>
      <c r="E1741">
        <v>5.8690636042402797</v>
      </c>
      <c r="F1741">
        <f t="shared" si="55"/>
        <v>4</v>
      </c>
      <c r="G1741">
        <v>0</v>
      </c>
      <c r="H1741">
        <v>1</v>
      </c>
      <c r="I1741">
        <v>3</v>
      </c>
      <c r="J1741">
        <v>0</v>
      </c>
      <c r="K1741">
        <v>0</v>
      </c>
      <c r="L1741">
        <v>0</v>
      </c>
      <c r="M1741">
        <f t="shared" si="54"/>
        <v>101</v>
      </c>
      <c r="N1741">
        <v>0</v>
      </c>
      <c r="O1741">
        <v>70</v>
      </c>
      <c r="P1741">
        <v>31</v>
      </c>
      <c r="Q1741">
        <v>0</v>
      </c>
      <c r="R1741">
        <v>0</v>
      </c>
      <c r="S1741">
        <v>0</v>
      </c>
    </row>
    <row r="1742" spans="1:19" x14ac:dyDescent="0.25">
      <c r="A1742">
        <v>18145</v>
      </c>
      <c r="B1742" t="s">
        <v>101</v>
      </c>
      <c r="C1742">
        <v>12</v>
      </c>
      <c r="D1742">
        <v>80.689363957597095</v>
      </c>
      <c r="E1742">
        <v>5.2944699646643096</v>
      </c>
      <c r="F1742">
        <f t="shared" si="55"/>
        <v>4</v>
      </c>
      <c r="G1742">
        <v>0</v>
      </c>
      <c r="H1742">
        <v>1</v>
      </c>
      <c r="I1742">
        <v>3</v>
      </c>
      <c r="J1742">
        <v>0</v>
      </c>
      <c r="K1742">
        <v>0</v>
      </c>
      <c r="L1742">
        <v>0</v>
      </c>
      <c r="M1742">
        <f t="shared" si="54"/>
        <v>101</v>
      </c>
      <c r="N1742">
        <v>0</v>
      </c>
      <c r="O1742">
        <v>70</v>
      </c>
      <c r="P1742">
        <v>31</v>
      </c>
      <c r="Q1742">
        <v>0</v>
      </c>
      <c r="R1742">
        <v>0</v>
      </c>
      <c r="S1742">
        <v>0</v>
      </c>
    </row>
    <row r="1743" spans="1:19" x14ac:dyDescent="0.25">
      <c r="A1743">
        <v>18145</v>
      </c>
      <c r="B1743" t="s">
        <v>101</v>
      </c>
      <c r="C1743">
        <v>13</v>
      </c>
      <c r="D1743">
        <v>82.372102473498202</v>
      </c>
      <c r="E1743">
        <v>4.0221554770318004</v>
      </c>
      <c r="F1743">
        <f t="shared" si="55"/>
        <v>4</v>
      </c>
      <c r="G1743">
        <v>0</v>
      </c>
      <c r="H1743">
        <v>1</v>
      </c>
      <c r="I1743">
        <v>3</v>
      </c>
      <c r="J1743">
        <v>0</v>
      </c>
      <c r="K1743">
        <v>0</v>
      </c>
      <c r="L1743">
        <v>0</v>
      </c>
      <c r="M1743">
        <f t="shared" si="54"/>
        <v>101</v>
      </c>
      <c r="N1743">
        <v>0</v>
      </c>
      <c r="O1743">
        <v>70</v>
      </c>
      <c r="P1743">
        <v>31</v>
      </c>
      <c r="Q1743">
        <v>0</v>
      </c>
      <c r="R1743">
        <v>0</v>
      </c>
      <c r="S1743">
        <v>0</v>
      </c>
    </row>
    <row r="1744" spans="1:19" x14ac:dyDescent="0.25">
      <c r="A1744">
        <v>18145</v>
      </c>
      <c r="B1744" t="s">
        <v>101</v>
      </c>
      <c r="C1744">
        <v>14</v>
      </c>
      <c r="D1744">
        <v>84.301095406360403</v>
      </c>
      <c r="E1744">
        <v>3.4475618374558299</v>
      </c>
      <c r="F1744">
        <f t="shared" si="55"/>
        <v>4</v>
      </c>
      <c r="G1744">
        <v>0</v>
      </c>
      <c r="H1744">
        <v>1</v>
      </c>
      <c r="I1744">
        <v>3</v>
      </c>
      <c r="J1744">
        <v>0</v>
      </c>
      <c r="K1744">
        <v>0</v>
      </c>
      <c r="L1744">
        <v>0</v>
      </c>
      <c r="M1744">
        <f t="shared" si="54"/>
        <v>101</v>
      </c>
      <c r="N1744">
        <v>0</v>
      </c>
      <c r="O1744">
        <v>70</v>
      </c>
      <c r="P1744">
        <v>31</v>
      </c>
      <c r="Q1744">
        <v>0</v>
      </c>
      <c r="R1744">
        <v>0</v>
      </c>
      <c r="S1744">
        <v>0</v>
      </c>
    </row>
    <row r="1745" spans="1:19" x14ac:dyDescent="0.25">
      <c r="A1745">
        <v>18145</v>
      </c>
      <c r="B1745" t="s">
        <v>101</v>
      </c>
      <c r="C1745">
        <v>15</v>
      </c>
      <c r="D1745">
        <v>86.886766784452206</v>
      </c>
      <c r="E1745">
        <v>3.4475618374558299</v>
      </c>
      <c r="F1745">
        <f t="shared" si="55"/>
        <v>4</v>
      </c>
      <c r="G1745">
        <v>0</v>
      </c>
      <c r="H1745">
        <v>1</v>
      </c>
      <c r="I1745">
        <v>3</v>
      </c>
      <c r="J1745">
        <v>0</v>
      </c>
      <c r="K1745">
        <v>0</v>
      </c>
      <c r="L1745">
        <v>0</v>
      </c>
      <c r="M1745">
        <f t="shared" si="54"/>
        <v>101</v>
      </c>
      <c r="N1745">
        <v>0</v>
      </c>
      <c r="O1745">
        <v>70</v>
      </c>
      <c r="P1745">
        <v>31</v>
      </c>
      <c r="Q1745">
        <v>0</v>
      </c>
      <c r="R1745">
        <v>0</v>
      </c>
      <c r="S1745">
        <v>0</v>
      </c>
    </row>
    <row r="1746" spans="1:19" x14ac:dyDescent="0.25">
      <c r="A1746">
        <v>18145</v>
      </c>
      <c r="B1746" t="s">
        <v>101</v>
      </c>
      <c r="C1746">
        <v>16</v>
      </c>
      <c r="D1746">
        <v>92.386448763250897</v>
      </c>
      <c r="E1746">
        <v>2.7498409893992899</v>
      </c>
      <c r="F1746">
        <f t="shared" si="55"/>
        <v>4</v>
      </c>
      <c r="G1746">
        <v>0</v>
      </c>
      <c r="H1746">
        <v>1</v>
      </c>
      <c r="I1746">
        <v>3</v>
      </c>
      <c r="J1746">
        <v>0</v>
      </c>
      <c r="K1746">
        <v>0</v>
      </c>
      <c r="L1746">
        <v>0</v>
      </c>
      <c r="M1746">
        <f t="shared" si="54"/>
        <v>101</v>
      </c>
      <c r="N1746">
        <v>0</v>
      </c>
      <c r="O1746">
        <v>70</v>
      </c>
      <c r="P1746">
        <v>31</v>
      </c>
      <c r="Q1746">
        <v>0</v>
      </c>
      <c r="R1746">
        <v>0</v>
      </c>
      <c r="S1746">
        <v>0</v>
      </c>
    </row>
    <row r="1747" spans="1:19" x14ac:dyDescent="0.25">
      <c r="A1747">
        <v>18145</v>
      </c>
      <c r="B1747" t="s">
        <v>101</v>
      </c>
      <c r="C1747">
        <v>17</v>
      </c>
      <c r="D1747">
        <v>96.531731448763196</v>
      </c>
      <c r="E1747">
        <v>2.2162897526501699</v>
      </c>
      <c r="F1747">
        <f t="shared" si="55"/>
        <v>4</v>
      </c>
      <c r="G1747">
        <v>0</v>
      </c>
      <c r="H1747">
        <v>1</v>
      </c>
      <c r="I1747">
        <v>3</v>
      </c>
      <c r="J1747">
        <v>0</v>
      </c>
      <c r="K1747">
        <v>0</v>
      </c>
      <c r="L1747">
        <v>0</v>
      </c>
      <c r="M1747">
        <f t="shared" si="54"/>
        <v>101</v>
      </c>
      <c r="N1747">
        <v>0</v>
      </c>
      <c r="O1747">
        <v>70</v>
      </c>
      <c r="P1747">
        <v>31</v>
      </c>
      <c r="Q1747">
        <v>0</v>
      </c>
      <c r="R1747">
        <v>0</v>
      </c>
      <c r="S1747">
        <v>0</v>
      </c>
    </row>
    <row r="1748" spans="1:19" x14ac:dyDescent="0.25">
      <c r="A1748">
        <v>18145</v>
      </c>
      <c r="B1748" t="s">
        <v>101</v>
      </c>
      <c r="C1748">
        <v>18</v>
      </c>
      <c r="D1748">
        <v>98.830106007067101</v>
      </c>
      <c r="E1748">
        <v>2.0521201413427499</v>
      </c>
      <c r="F1748">
        <f t="shared" si="55"/>
        <v>4</v>
      </c>
      <c r="G1748">
        <v>0</v>
      </c>
      <c r="H1748">
        <v>1</v>
      </c>
      <c r="I1748">
        <v>3</v>
      </c>
      <c r="J1748">
        <v>0</v>
      </c>
      <c r="K1748">
        <v>0</v>
      </c>
      <c r="L1748">
        <v>0</v>
      </c>
      <c r="M1748">
        <f t="shared" si="54"/>
        <v>101</v>
      </c>
      <c r="N1748">
        <v>0</v>
      </c>
      <c r="O1748">
        <v>70</v>
      </c>
      <c r="P1748">
        <v>31</v>
      </c>
      <c r="Q1748">
        <v>0</v>
      </c>
      <c r="R1748">
        <v>0</v>
      </c>
      <c r="S1748">
        <v>0</v>
      </c>
    </row>
    <row r="1749" spans="1:19" x14ac:dyDescent="0.25">
      <c r="A1749">
        <v>18145</v>
      </c>
      <c r="B1749" t="s">
        <v>101</v>
      </c>
      <c r="C1749">
        <v>19</v>
      </c>
      <c r="D1749">
        <v>104.042491166077</v>
      </c>
      <c r="E1749">
        <v>2.7498409893992899</v>
      </c>
      <c r="F1749">
        <f t="shared" si="55"/>
        <v>4</v>
      </c>
      <c r="G1749">
        <v>0</v>
      </c>
      <c r="H1749">
        <v>1</v>
      </c>
      <c r="I1749">
        <v>3</v>
      </c>
      <c r="J1749">
        <v>0</v>
      </c>
      <c r="K1749">
        <v>0</v>
      </c>
      <c r="L1749">
        <v>0</v>
      </c>
      <c r="M1749">
        <f t="shared" si="54"/>
        <v>101</v>
      </c>
      <c r="N1749">
        <v>0</v>
      </c>
      <c r="O1749">
        <v>70</v>
      </c>
      <c r="P1749">
        <v>31</v>
      </c>
      <c r="Q1749">
        <v>0</v>
      </c>
      <c r="R1749">
        <v>0</v>
      </c>
      <c r="S1749">
        <v>0</v>
      </c>
    </row>
    <row r="1750" spans="1:19" x14ac:dyDescent="0.25">
      <c r="A1750">
        <v>18145</v>
      </c>
      <c r="B1750" t="s">
        <v>101</v>
      </c>
      <c r="C1750">
        <v>20</v>
      </c>
      <c r="D1750">
        <v>105.807314487632</v>
      </c>
      <c r="E1750">
        <v>4.2273674911660697</v>
      </c>
      <c r="F1750">
        <f t="shared" si="55"/>
        <v>4</v>
      </c>
      <c r="G1750">
        <v>0</v>
      </c>
      <c r="H1750">
        <v>1</v>
      </c>
      <c r="I1750">
        <v>3</v>
      </c>
      <c r="J1750">
        <v>0</v>
      </c>
      <c r="K1750">
        <v>0</v>
      </c>
      <c r="L1750">
        <v>0</v>
      </c>
      <c r="M1750">
        <f t="shared" si="54"/>
        <v>101</v>
      </c>
      <c r="N1750">
        <v>0</v>
      </c>
      <c r="O1750">
        <v>70</v>
      </c>
      <c r="P1750">
        <v>31</v>
      </c>
      <c r="Q1750">
        <v>0</v>
      </c>
      <c r="R1750">
        <v>0</v>
      </c>
      <c r="S1750">
        <v>0</v>
      </c>
    </row>
    <row r="1751" spans="1:19" x14ac:dyDescent="0.25">
      <c r="A1751">
        <v>18145</v>
      </c>
      <c r="B1751" t="s">
        <v>101</v>
      </c>
      <c r="C1751">
        <v>21</v>
      </c>
      <c r="D1751">
        <v>107.777349823321</v>
      </c>
      <c r="E1751">
        <v>5.4175971731448698</v>
      </c>
      <c r="F1751">
        <f t="shared" si="55"/>
        <v>4</v>
      </c>
      <c r="G1751">
        <v>0</v>
      </c>
      <c r="H1751">
        <v>1</v>
      </c>
      <c r="I1751">
        <v>3</v>
      </c>
      <c r="J1751">
        <v>0</v>
      </c>
      <c r="K1751">
        <v>0</v>
      </c>
      <c r="L1751">
        <v>0</v>
      </c>
      <c r="M1751">
        <f t="shared" si="54"/>
        <v>101</v>
      </c>
      <c r="N1751">
        <v>0</v>
      </c>
      <c r="O1751">
        <v>70</v>
      </c>
      <c r="P1751">
        <v>31</v>
      </c>
      <c r="Q1751">
        <v>0</v>
      </c>
      <c r="R1751">
        <v>0</v>
      </c>
      <c r="S1751">
        <v>0</v>
      </c>
    </row>
    <row r="1752" spans="1:19" x14ac:dyDescent="0.25">
      <c r="A1752">
        <v>18145</v>
      </c>
      <c r="B1752" t="s">
        <v>101</v>
      </c>
      <c r="C1752">
        <v>22</v>
      </c>
      <c r="D1752">
        <v>110.36302120141301</v>
      </c>
      <c r="E1752">
        <v>7.42867491166077</v>
      </c>
      <c r="F1752">
        <f t="shared" si="55"/>
        <v>4</v>
      </c>
      <c r="G1752">
        <v>0</v>
      </c>
      <c r="H1752">
        <v>1</v>
      </c>
      <c r="I1752">
        <v>3</v>
      </c>
      <c r="J1752">
        <v>0</v>
      </c>
      <c r="K1752">
        <v>0</v>
      </c>
      <c r="L1752">
        <v>0</v>
      </c>
      <c r="M1752">
        <f t="shared" si="54"/>
        <v>101</v>
      </c>
      <c r="N1752">
        <v>0</v>
      </c>
      <c r="O1752">
        <v>70</v>
      </c>
      <c r="P1752">
        <v>31</v>
      </c>
      <c r="Q1752">
        <v>0</v>
      </c>
      <c r="R1752">
        <v>0</v>
      </c>
      <c r="S1752">
        <v>0</v>
      </c>
    </row>
    <row r="1753" spans="1:19" x14ac:dyDescent="0.25">
      <c r="A1753">
        <v>18145</v>
      </c>
      <c r="B1753" t="s">
        <v>101</v>
      </c>
      <c r="C1753">
        <v>23</v>
      </c>
      <c r="D1753">
        <v>114.303091872791</v>
      </c>
      <c r="E1753">
        <v>10.0553886925795</v>
      </c>
      <c r="F1753">
        <f t="shared" si="55"/>
        <v>4</v>
      </c>
      <c r="G1753">
        <v>0</v>
      </c>
      <c r="H1753">
        <v>1</v>
      </c>
      <c r="I1753">
        <v>3</v>
      </c>
      <c r="J1753">
        <v>0</v>
      </c>
      <c r="K1753">
        <v>0</v>
      </c>
      <c r="L1753">
        <v>0</v>
      </c>
      <c r="M1753">
        <f t="shared" si="54"/>
        <v>101</v>
      </c>
      <c r="N1753">
        <v>0</v>
      </c>
      <c r="O1753">
        <v>70</v>
      </c>
      <c r="P1753">
        <v>31</v>
      </c>
      <c r="Q1753">
        <v>0</v>
      </c>
      <c r="R1753">
        <v>0</v>
      </c>
      <c r="S1753">
        <v>0</v>
      </c>
    </row>
    <row r="1754" spans="1:19" x14ac:dyDescent="0.25">
      <c r="A1754">
        <v>18147</v>
      </c>
      <c r="B1754" t="s">
        <v>102</v>
      </c>
      <c r="C1754">
        <v>0</v>
      </c>
      <c r="D1754">
        <v>30.981696434904599</v>
      </c>
      <c r="E1754">
        <v>11.978506485317</v>
      </c>
      <c r="F1754">
        <f t="shared" si="55"/>
        <v>3</v>
      </c>
      <c r="G1754">
        <v>0</v>
      </c>
      <c r="H1754">
        <v>0</v>
      </c>
      <c r="I1754">
        <v>1</v>
      </c>
      <c r="J1754">
        <v>0</v>
      </c>
      <c r="K1754">
        <v>0</v>
      </c>
      <c r="L1754">
        <v>2</v>
      </c>
      <c r="M1754">
        <f t="shared" si="54"/>
        <v>40</v>
      </c>
      <c r="N1754">
        <v>0</v>
      </c>
      <c r="O1754">
        <v>0</v>
      </c>
      <c r="P1754">
        <v>6</v>
      </c>
      <c r="Q1754">
        <v>0</v>
      </c>
      <c r="R1754">
        <v>0</v>
      </c>
      <c r="S1754">
        <v>34</v>
      </c>
    </row>
    <row r="1755" spans="1:19" x14ac:dyDescent="0.25">
      <c r="A1755">
        <v>18147</v>
      </c>
      <c r="B1755" t="s">
        <v>102</v>
      </c>
      <c r="C1755">
        <v>1</v>
      </c>
      <c r="D1755">
        <v>30.819276007985099</v>
      </c>
      <c r="E1755">
        <v>12.871818833374499</v>
      </c>
      <c r="F1755">
        <f t="shared" si="55"/>
        <v>3</v>
      </c>
      <c r="G1755">
        <v>0</v>
      </c>
      <c r="H1755">
        <v>0</v>
      </c>
      <c r="I1755">
        <v>1</v>
      </c>
      <c r="J1755">
        <v>0</v>
      </c>
      <c r="K1755">
        <v>0</v>
      </c>
      <c r="L1755">
        <v>2</v>
      </c>
      <c r="M1755">
        <f t="shared" si="54"/>
        <v>40</v>
      </c>
      <c r="N1755">
        <v>0</v>
      </c>
      <c r="O1755">
        <v>0</v>
      </c>
      <c r="P1755">
        <v>6</v>
      </c>
      <c r="Q1755">
        <v>0</v>
      </c>
      <c r="R1755">
        <v>0</v>
      </c>
      <c r="S1755">
        <v>34</v>
      </c>
    </row>
    <row r="1756" spans="1:19" x14ac:dyDescent="0.25">
      <c r="A1756">
        <v>18147</v>
      </c>
      <c r="B1756" t="s">
        <v>102</v>
      </c>
      <c r="C1756">
        <v>2</v>
      </c>
      <c r="D1756">
        <v>30.900486221444901</v>
      </c>
      <c r="E1756">
        <v>13.602710754512501</v>
      </c>
      <c r="F1756">
        <f t="shared" si="55"/>
        <v>3</v>
      </c>
      <c r="G1756">
        <v>0</v>
      </c>
      <c r="H1756">
        <v>0</v>
      </c>
      <c r="I1756">
        <v>1</v>
      </c>
      <c r="J1756">
        <v>0</v>
      </c>
      <c r="K1756">
        <v>0</v>
      </c>
      <c r="L1756">
        <v>2</v>
      </c>
      <c r="M1756">
        <f t="shared" si="54"/>
        <v>40</v>
      </c>
      <c r="N1756">
        <v>0</v>
      </c>
      <c r="O1756">
        <v>0</v>
      </c>
      <c r="P1756">
        <v>6</v>
      </c>
      <c r="Q1756">
        <v>0</v>
      </c>
      <c r="R1756">
        <v>0</v>
      </c>
      <c r="S1756">
        <v>34</v>
      </c>
    </row>
    <row r="1757" spans="1:19" x14ac:dyDescent="0.25">
      <c r="A1757">
        <v>18147</v>
      </c>
      <c r="B1757" t="s">
        <v>102</v>
      </c>
      <c r="C1757">
        <v>3</v>
      </c>
      <c r="D1757">
        <v>30.453830047416101</v>
      </c>
      <c r="E1757">
        <v>14.2117873554608</v>
      </c>
      <c r="F1757">
        <f t="shared" si="55"/>
        <v>3</v>
      </c>
      <c r="G1757">
        <v>0</v>
      </c>
      <c r="H1757">
        <v>0</v>
      </c>
      <c r="I1757">
        <v>1</v>
      </c>
      <c r="J1757">
        <v>0</v>
      </c>
      <c r="K1757">
        <v>0</v>
      </c>
      <c r="L1757">
        <v>2</v>
      </c>
      <c r="M1757">
        <f t="shared" si="54"/>
        <v>40</v>
      </c>
      <c r="N1757">
        <v>0</v>
      </c>
      <c r="O1757">
        <v>0</v>
      </c>
      <c r="P1757">
        <v>6</v>
      </c>
      <c r="Q1757">
        <v>0</v>
      </c>
      <c r="R1757">
        <v>0</v>
      </c>
      <c r="S1757">
        <v>34</v>
      </c>
    </row>
    <row r="1758" spans="1:19" x14ac:dyDescent="0.25">
      <c r="A1758">
        <v>18147</v>
      </c>
      <c r="B1758" t="s">
        <v>102</v>
      </c>
      <c r="C1758">
        <v>4</v>
      </c>
      <c r="D1758">
        <v>30.981696434904599</v>
      </c>
      <c r="E1758">
        <v>15.1863099169781</v>
      </c>
      <c r="F1758">
        <f t="shared" si="55"/>
        <v>3</v>
      </c>
      <c r="G1758">
        <v>0</v>
      </c>
      <c r="H1758">
        <v>0</v>
      </c>
      <c r="I1758">
        <v>1</v>
      </c>
      <c r="J1758">
        <v>0</v>
      </c>
      <c r="K1758">
        <v>0</v>
      </c>
      <c r="L1758">
        <v>2</v>
      </c>
      <c r="M1758">
        <f t="shared" si="54"/>
        <v>40</v>
      </c>
      <c r="N1758">
        <v>0</v>
      </c>
      <c r="O1758">
        <v>0</v>
      </c>
      <c r="P1758">
        <v>6</v>
      </c>
      <c r="Q1758">
        <v>0</v>
      </c>
      <c r="R1758">
        <v>0</v>
      </c>
      <c r="S1758">
        <v>34</v>
      </c>
    </row>
    <row r="1759" spans="1:19" x14ac:dyDescent="0.25">
      <c r="A1759">
        <v>18147</v>
      </c>
      <c r="B1759" t="s">
        <v>102</v>
      </c>
      <c r="C1759">
        <v>5</v>
      </c>
      <c r="D1759">
        <v>30.981696434904599</v>
      </c>
      <c r="E1759">
        <v>14.5366282092999</v>
      </c>
      <c r="F1759">
        <f t="shared" si="55"/>
        <v>3</v>
      </c>
      <c r="G1759">
        <v>0</v>
      </c>
      <c r="H1759">
        <v>0</v>
      </c>
      <c r="I1759">
        <v>1</v>
      </c>
      <c r="J1759">
        <v>0</v>
      </c>
      <c r="K1759">
        <v>0</v>
      </c>
      <c r="L1759">
        <v>2</v>
      </c>
      <c r="M1759">
        <f t="shared" si="54"/>
        <v>40</v>
      </c>
      <c r="N1759">
        <v>0</v>
      </c>
      <c r="O1759">
        <v>0</v>
      </c>
      <c r="P1759">
        <v>6</v>
      </c>
      <c r="Q1759">
        <v>0</v>
      </c>
      <c r="R1759">
        <v>0</v>
      </c>
      <c r="S1759">
        <v>34</v>
      </c>
    </row>
    <row r="1760" spans="1:19" x14ac:dyDescent="0.25">
      <c r="A1760">
        <v>18147</v>
      </c>
      <c r="B1760" t="s">
        <v>102</v>
      </c>
      <c r="C1760">
        <v>6</v>
      </c>
      <c r="D1760">
        <v>28.464179817651601</v>
      </c>
      <c r="E1760">
        <v>13.0748443670239</v>
      </c>
      <c r="F1760">
        <f t="shared" si="55"/>
        <v>3</v>
      </c>
      <c r="G1760">
        <v>0</v>
      </c>
      <c r="H1760">
        <v>0</v>
      </c>
      <c r="I1760">
        <v>1</v>
      </c>
      <c r="J1760">
        <v>0</v>
      </c>
      <c r="K1760">
        <v>0</v>
      </c>
      <c r="L1760">
        <v>2</v>
      </c>
      <c r="M1760">
        <f t="shared" si="54"/>
        <v>40</v>
      </c>
      <c r="N1760">
        <v>0</v>
      </c>
      <c r="O1760">
        <v>0</v>
      </c>
      <c r="P1760">
        <v>6</v>
      </c>
      <c r="Q1760">
        <v>0</v>
      </c>
      <c r="R1760">
        <v>0</v>
      </c>
      <c r="S1760">
        <v>34</v>
      </c>
    </row>
    <row r="1761" spans="1:19" x14ac:dyDescent="0.25">
      <c r="A1761">
        <v>18147</v>
      </c>
      <c r="B1761" t="s">
        <v>102</v>
      </c>
      <c r="C1761">
        <v>7</v>
      </c>
      <c r="D1761">
        <v>23.875802757174199</v>
      </c>
      <c r="E1761">
        <v>11.694270738207701</v>
      </c>
      <c r="F1761">
        <f t="shared" si="55"/>
        <v>3</v>
      </c>
      <c r="G1761">
        <v>0</v>
      </c>
      <c r="H1761">
        <v>0</v>
      </c>
      <c r="I1761">
        <v>1</v>
      </c>
      <c r="J1761">
        <v>0</v>
      </c>
      <c r="K1761">
        <v>0</v>
      </c>
      <c r="L1761">
        <v>2</v>
      </c>
      <c r="M1761">
        <f t="shared" si="54"/>
        <v>40</v>
      </c>
      <c r="N1761">
        <v>0</v>
      </c>
      <c r="O1761">
        <v>0</v>
      </c>
      <c r="P1761">
        <v>6</v>
      </c>
      <c r="Q1761">
        <v>0</v>
      </c>
      <c r="R1761">
        <v>0</v>
      </c>
      <c r="S1761">
        <v>34</v>
      </c>
    </row>
    <row r="1762" spans="1:19" x14ac:dyDescent="0.25">
      <c r="A1762">
        <v>18147</v>
      </c>
      <c r="B1762" t="s">
        <v>102</v>
      </c>
      <c r="C1762">
        <v>8</v>
      </c>
      <c r="D1762">
        <v>18.475323562099099</v>
      </c>
      <c r="E1762">
        <v>8.5676775200064004</v>
      </c>
      <c r="F1762">
        <f t="shared" si="55"/>
        <v>3</v>
      </c>
      <c r="G1762">
        <v>0</v>
      </c>
      <c r="H1762">
        <v>0</v>
      </c>
      <c r="I1762">
        <v>1</v>
      </c>
      <c r="J1762">
        <v>0</v>
      </c>
      <c r="K1762">
        <v>0</v>
      </c>
      <c r="L1762">
        <v>2</v>
      </c>
      <c r="M1762">
        <f t="shared" si="54"/>
        <v>40</v>
      </c>
      <c r="N1762">
        <v>0</v>
      </c>
      <c r="O1762">
        <v>0</v>
      </c>
      <c r="P1762">
        <v>6</v>
      </c>
      <c r="Q1762">
        <v>0</v>
      </c>
      <c r="R1762">
        <v>0</v>
      </c>
      <c r="S1762">
        <v>34</v>
      </c>
    </row>
    <row r="1763" spans="1:19" x14ac:dyDescent="0.25">
      <c r="A1763">
        <v>18147</v>
      </c>
      <c r="B1763" t="s">
        <v>102</v>
      </c>
      <c r="C1763">
        <v>9</v>
      </c>
      <c r="D1763">
        <v>18.881374629398</v>
      </c>
      <c r="E1763">
        <v>9.2579643344145008</v>
      </c>
      <c r="F1763">
        <f t="shared" si="55"/>
        <v>3</v>
      </c>
      <c r="G1763">
        <v>0</v>
      </c>
      <c r="H1763">
        <v>0</v>
      </c>
      <c r="I1763">
        <v>1</v>
      </c>
      <c r="J1763">
        <v>0</v>
      </c>
      <c r="K1763">
        <v>0</v>
      </c>
      <c r="L1763">
        <v>2</v>
      </c>
      <c r="M1763">
        <f t="shared" si="54"/>
        <v>40</v>
      </c>
      <c r="N1763">
        <v>0</v>
      </c>
      <c r="O1763">
        <v>0</v>
      </c>
      <c r="P1763">
        <v>6</v>
      </c>
      <c r="Q1763">
        <v>0</v>
      </c>
      <c r="R1763">
        <v>0</v>
      </c>
      <c r="S1763">
        <v>34</v>
      </c>
    </row>
    <row r="1764" spans="1:19" x14ac:dyDescent="0.25">
      <c r="A1764">
        <v>18147</v>
      </c>
      <c r="B1764" t="s">
        <v>102</v>
      </c>
      <c r="C1764">
        <v>10</v>
      </c>
      <c r="D1764">
        <v>22.0079678475993</v>
      </c>
      <c r="E1764">
        <v>7.95860091905808</v>
      </c>
      <c r="F1764">
        <f t="shared" si="55"/>
        <v>3</v>
      </c>
      <c r="G1764">
        <v>0</v>
      </c>
      <c r="H1764">
        <v>0</v>
      </c>
      <c r="I1764">
        <v>1</v>
      </c>
      <c r="J1764">
        <v>0</v>
      </c>
      <c r="K1764">
        <v>0</v>
      </c>
      <c r="L1764">
        <v>2</v>
      </c>
      <c r="M1764">
        <f t="shared" si="54"/>
        <v>40</v>
      </c>
      <c r="N1764">
        <v>0</v>
      </c>
      <c r="O1764">
        <v>0</v>
      </c>
      <c r="P1764">
        <v>6</v>
      </c>
      <c r="Q1764">
        <v>0</v>
      </c>
      <c r="R1764">
        <v>0</v>
      </c>
      <c r="S1764">
        <v>34</v>
      </c>
    </row>
    <row r="1765" spans="1:19" x14ac:dyDescent="0.25">
      <c r="A1765">
        <v>18147</v>
      </c>
      <c r="B1765" t="s">
        <v>102</v>
      </c>
      <c r="C1765">
        <v>11</v>
      </c>
      <c r="D1765">
        <v>23.185515942766099</v>
      </c>
      <c r="E1765">
        <v>6.0907660094832199</v>
      </c>
      <c r="F1765">
        <f t="shared" si="55"/>
        <v>3</v>
      </c>
      <c r="G1765">
        <v>0</v>
      </c>
      <c r="H1765">
        <v>0</v>
      </c>
      <c r="I1765">
        <v>1</v>
      </c>
      <c r="J1765">
        <v>0</v>
      </c>
      <c r="K1765">
        <v>0</v>
      </c>
      <c r="L1765">
        <v>2</v>
      </c>
      <c r="M1765">
        <f t="shared" si="54"/>
        <v>40</v>
      </c>
      <c r="N1765">
        <v>0</v>
      </c>
      <c r="O1765">
        <v>0</v>
      </c>
      <c r="P1765">
        <v>6</v>
      </c>
      <c r="Q1765">
        <v>0</v>
      </c>
      <c r="R1765">
        <v>0</v>
      </c>
      <c r="S1765">
        <v>34</v>
      </c>
    </row>
    <row r="1766" spans="1:19" x14ac:dyDescent="0.25">
      <c r="A1766">
        <v>18147</v>
      </c>
      <c r="B1766" t="s">
        <v>102</v>
      </c>
      <c r="C1766">
        <v>12</v>
      </c>
      <c r="D1766">
        <v>21.1552606062717</v>
      </c>
      <c r="E1766">
        <v>4.1417208864485904</v>
      </c>
      <c r="F1766">
        <f t="shared" si="55"/>
        <v>3</v>
      </c>
      <c r="G1766">
        <v>0</v>
      </c>
      <c r="H1766">
        <v>0</v>
      </c>
      <c r="I1766">
        <v>1</v>
      </c>
      <c r="J1766">
        <v>0</v>
      </c>
      <c r="K1766">
        <v>0</v>
      </c>
      <c r="L1766">
        <v>2</v>
      </c>
      <c r="M1766">
        <f t="shared" si="54"/>
        <v>40</v>
      </c>
      <c r="N1766">
        <v>0</v>
      </c>
      <c r="O1766">
        <v>0</v>
      </c>
      <c r="P1766">
        <v>6</v>
      </c>
      <c r="Q1766">
        <v>0</v>
      </c>
      <c r="R1766">
        <v>0</v>
      </c>
      <c r="S1766">
        <v>34</v>
      </c>
    </row>
    <row r="1767" spans="1:19" x14ac:dyDescent="0.25">
      <c r="A1767">
        <v>18147</v>
      </c>
      <c r="B1767" t="s">
        <v>102</v>
      </c>
      <c r="C1767">
        <v>13</v>
      </c>
      <c r="D1767">
        <v>19.977712511104901</v>
      </c>
      <c r="E1767">
        <v>3.2484085383910499</v>
      </c>
      <c r="F1767">
        <f t="shared" si="55"/>
        <v>3</v>
      </c>
      <c r="G1767">
        <v>0</v>
      </c>
      <c r="H1767">
        <v>0</v>
      </c>
      <c r="I1767">
        <v>1</v>
      </c>
      <c r="J1767">
        <v>0</v>
      </c>
      <c r="K1767">
        <v>0</v>
      </c>
      <c r="L1767">
        <v>2</v>
      </c>
      <c r="M1767">
        <f t="shared" si="54"/>
        <v>40</v>
      </c>
      <c r="N1767">
        <v>0</v>
      </c>
      <c r="O1767">
        <v>0</v>
      </c>
      <c r="P1767">
        <v>6</v>
      </c>
      <c r="Q1767">
        <v>0</v>
      </c>
      <c r="R1767">
        <v>0</v>
      </c>
      <c r="S1767">
        <v>34</v>
      </c>
    </row>
    <row r="1768" spans="1:19" x14ac:dyDescent="0.25">
      <c r="A1768">
        <v>18147</v>
      </c>
      <c r="B1768" t="s">
        <v>102</v>
      </c>
      <c r="C1768">
        <v>14</v>
      </c>
      <c r="D1768">
        <v>17.663221427501298</v>
      </c>
      <c r="E1768">
        <v>2.0708604432242899</v>
      </c>
      <c r="F1768">
        <f t="shared" si="55"/>
        <v>3</v>
      </c>
      <c r="G1768">
        <v>0</v>
      </c>
      <c r="H1768">
        <v>0</v>
      </c>
      <c r="I1768">
        <v>1</v>
      </c>
      <c r="J1768">
        <v>0</v>
      </c>
      <c r="K1768">
        <v>0</v>
      </c>
      <c r="L1768">
        <v>2</v>
      </c>
      <c r="M1768">
        <f t="shared" si="54"/>
        <v>40</v>
      </c>
      <c r="N1768">
        <v>0</v>
      </c>
      <c r="O1768">
        <v>0</v>
      </c>
      <c r="P1768">
        <v>6</v>
      </c>
      <c r="Q1768">
        <v>0</v>
      </c>
      <c r="R1768">
        <v>0</v>
      </c>
      <c r="S1768">
        <v>34</v>
      </c>
    </row>
    <row r="1769" spans="1:19" x14ac:dyDescent="0.25">
      <c r="A1769">
        <v>18147</v>
      </c>
      <c r="B1769" t="s">
        <v>102</v>
      </c>
      <c r="C1769">
        <v>15</v>
      </c>
      <c r="D1769">
        <v>16.0390171583058</v>
      </c>
      <c r="E1769">
        <v>1.29936341535642</v>
      </c>
      <c r="F1769">
        <f t="shared" si="55"/>
        <v>3</v>
      </c>
      <c r="G1769">
        <v>0</v>
      </c>
      <c r="H1769">
        <v>0</v>
      </c>
      <c r="I1769">
        <v>1</v>
      </c>
      <c r="J1769">
        <v>0</v>
      </c>
      <c r="K1769">
        <v>0</v>
      </c>
      <c r="L1769">
        <v>2</v>
      </c>
      <c r="M1769">
        <f t="shared" si="54"/>
        <v>40</v>
      </c>
      <c r="N1769">
        <v>0</v>
      </c>
      <c r="O1769">
        <v>0</v>
      </c>
      <c r="P1769">
        <v>6</v>
      </c>
      <c r="Q1769">
        <v>0</v>
      </c>
      <c r="R1769">
        <v>0</v>
      </c>
      <c r="S1769">
        <v>34</v>
      </c>
    </row>
    <row r="1770" spans="1:19" x14ac:dyDescent="0.25">
      <c r="A1770">
        <v>18147</v>
      </c>
      <c r="B1770" t="s">
        <v>102</v>
      </c>
      <c r="C1770">
        <v>16</v>
      </c>
      <c r="D1770">
        <v>15.8359916246563</v>
      </c>
      <c r="E1770">
        <v>1.4617838422759699</v>
      </c>
      <c r="F1770">
        <f t="shared" si="55"/>
        <v>3</v>
      </c>
      <c r="G1770">
        <v>0</v>
      </c>
      <c r="H1770">
        <v>0</v>
      </c>
      <c r="I1770">
        <v>1</v>
      </c>
      <c r="J1770">
        <v>0</v>
      </c>
      <c r="K1770">
        <v>0</v>
      </c>
      <c r="L1770">
        <v>2</v>
      </c>
      <c r="M1770">
        <f t="shared" si="54"/>
        <v>40</v>
      </c>
      <c r="N1770">
        <v>0</v>
      </c>
      <c r="O1770">
        <v>0</v>
      </c>
      <c r="P1770">
        <v>6</v>
      </c>
      <c r="Q1770">
        <v>0</v>
      </c>
      <c r="R1770">
        <v>0</v>
      </c>
      <c r="S1770">
        <v>34</v>
      </c>
    </row>
    <row r="1771" spans="1:19" x14ac:dyDescent="0.25">
      <c r="A1771">
        <v>18147</v>
      </c>
      <c r="B1771" t="s">
        <v>102</v>
      </c>
      <c r="C1771">
        <v>17</v>
      </c>
      <c r="D1771">
        <v>19.043795056317499</v>
      </c>
      <c r="E1771">
        <v>2.3550961903335099</v>
      </c>
      <c r="F1771">
        <f t="shared" si="55"/>
        <v>3</v>
      </c>
      <c r="G1771">
        <v>0</v>
      </c>
      <c r="H1771">
        <v>0</v>
      </c>
      <c r="I1771">
        <v>1</v>
      </c>
      <c r="J1771">
        <v>0</v>
      </c>
      <c r="K1771">
        <v>0</v>
      </c>
      <c r="L1771">
        <v>2</v>
      </c>
      <c r="M1771">
        <f t="shared" si="54"/>
        <v>40</v>
      </c>
      <c r="N1771">
        <v>0</v>
      </c>
      <c r="O1771">
        <v>0</v>
      </c>
      <c r="P1771">
        <v>6</v>
      </c>
      <c r="Q1771">
        <v>0</v>
      </c>
      <c r="R1771">
        <v>0</v>
      </c>
      <c r="S1771">
        <v>34</v>
      </c>
    </row>
    <row r="1772" spans="1:19" x14ac:dyDescent="0.25">
      <c r="A1772">
        <v>18147</v>
      </c>
      <c r="B1772" t="s">
        <v>102</v>
      </c>
      <c r="C1772">
        <v>18</v>
      </c>
      <c r="D1772">
        <v>21.358286139921098</v>
      </c>
      <c r="E1772">
        <v>2.9235676845519398</v>
      </c>
      <c r="F1772">
        <f t="shared" si="55"/>
        <v>3</v>
      </c>
      <c r="G1772">
        <v>0</v>
      </c>
      <c r="H1772">
        <v>0</v>
      </c>
      <c r="I1772">
        <v>1</v>
      </c>
      <c r="J1772">
        <v>0</v>
      </c>
      <c r="K1772">
        <v>0</v>
      </c>
      <c r="L1772">
        <v>2</v>
      </c>
      <c r="M1772">
        <f t="shared" si="54"/>
        <v>40</v>
      </c>
      <c r="N1772">
        <v>0</v>
      </c>
      <c r="O1772">
        <v>0</v>
      </c>
      <c r="P1772">
        <v>6</v>
      </c>
      <c r="Q1772">
        <v>0</v>
      </c>
      <c r="R1772">
        <v>0</v>
      </c>
      <c r="S1772">
        <v>34</v>
      </c>
    </row>
    <row r="1773" spans="1:19" x14ac:dyDescent="0.25">
      <c r="A1773">
        <v>18147</v>
      </c>
      <c r="B1773" t="s">
        <v>102</v>
      </c>
      <c r="C1773">
        <v>19</v>
      </c>
      <c r="D1773">
        <v>24.8503253186915</v>
      </c>
      <c r="E1773">
        <v>2.67993704417262</v>
      </c>
      <c r="F1773">
        <f t="shared" si="55"/>
        <v>3</v>
      </c>
      <c r="G1773">
        <v>0</v>
      </c>
      <c r="H1773">
        <v>0</v>
      </c>
      <c r="I1773">
        <v>1</v>
      </c>
      <c r="J1773">
        <v>0</v>
      </c>
      <c r="K1773">
        <v>0</v>
      </c>
      <c r="L1773">
        <v>2</v>
      </c>
      <c r="M1773">
        <f t="shared" si="54"/>
        <v>40</v>
      </c>
      <c r="N1773">
        <v>0</v>
      </c>
      <c r="O1773">
        <v>0</v>
      </c>
      <c r="P1773">
        <v>6</v>
      </c>
      <c r="Q1773">
        <v>0</v>
      </c>
      <c r="R1773">
        <v>0</v>
      </c>
      <c r="S1773">
        <v>34</v>
      </c>
    </row>
    <row r="1774" spans="1:19" x14ac:dyDescent="0.25">
      <c r="A1774">
        <v>18147</v>
      </c>
      <c r="B1774" t="s">
        <v>102</v>
      </c>
      <c r="C1774">
        <v>20</v>
      </c>
      <c r="D1774">
        <v>27.327236829214701</v>
      </c>
      <c r="E1774">
        <v>4.1417208864485904</v>
      </c>
      <c r="F1774">
        <f t="shared" si="55"/>
        <v>3</v>
      </c>
      <c r="G1774">
        <v>0</v>
      </c>
      <c r="H1774">
        <v>0</v>
      </c>
      <c r="I1774">
        <v>1</v>
      </c>
      <c r="J1774">
        <v>0</v>
      </c>
      <c r="K1774">
        <v>0</v>
      </c>
      <c r="L1774">
        <v>2</v>
      </c>
      <c r="M1774">
        <f t="shared" si="54"/>
        <v>40</v>
      </c>
      <c r="N1774">
        <v>0</v>
      </c>
      <c r="O1774">
        <v>0</v>
      </c>
      <c r="P1774">
        <v>6</v>
      </c>
      <c r="Q1774">
        <v>0</v>
      </c>
      <c r="R1774">
        <v>0</v>
      </c>
      <c r="S1774">
        <v>34</v>
      </c>
    </row>
    <row r="1775" spans="1:19" x14ac:dyDescent="0.25">
      <c r="A1775">
        <v>18147</v>
      </c>
      <c r="B1775" t="s">
        <v>102</v>
      </c>
      <c r="C1775">
        <v>21</v>
      </c>
      <c r="D1775">
        <v>28.585995137841198</v>
      </c>
      <c r="E1775">
        <v>6.1313711162131099</v>
      </c>
      <c r="F1775">
        <f t="shared" si="55"/>
        <v>3</v>
      </c>
      <c r="G1775">
        <v>0</v>
      </c>
      <c r="H1775">
        <v>0</v>
      </c>
      <c r="I1775">
        <v>1</v>
      </c>
      <c r="J1775">
        <v>0</v>
      </c>
      <c r="K1775">
        <v>0</v>
      </c>
      <c r="L1775">
        <v>2</v>
      </c>
      <c r="M1775">
        <f t="shared" si="54"/>
        <v>40</v>
      </c>
      <c r="N1775">
        <v>0</v>
      </c>
      <c r="O1775">
        <v>0</v>
      </c>
      <c r="P1775">
        <v>6</v>
      </c>
      <c r="Q1775">
        <v>0</v>
      </c>
      <c r="R1775">
        <v>0</v>
      </c>
      <c r="S1775">
        <v>34</v>
      </c>
    </row>
    <row r="1776" spans="1:19" x14ac:dyDescent="0.25">
      <c r="A1776">
        <v>18147</v>
      </c>
      <c r="B1776" t="s">
        <v>102</v>
      </c>
      <c r="C1776">
        <v>22</v>
      </c>
      <c r="D1776">
        <v>30.169594300306901</v>
      </c>
      <c r="E1776">
        <v>8.2834417728971896</v>
      </c>
      <c r="F1776">
        <f t="shared" si="55"/>
        <v>3</v>
      </c>
      <c r="G1776">
        <v>0</v>
      </c>
      <c r="H1776">
        <v>0</v>
      </c>
      <c r="I1776">
        <v>1</v>
      </c>
      <c r="J1776">
        <v>0</v>
      </c>
      <c r="K1776">
        <v>0</v>
      </c>
      <c r="L1776">
        <v>2</v>
      </c>
      <c r="M1776">
        <f t="shared" si="54"/>
        <v>40</v>
      </c>
      <c r="N1776">
        <v>0</v>
      </c>
      <c r="O1776">
        <v>0</v>
      </c>
      <c r="P1776">
        <v>6</v>
      </c>
      <c r="Q1776">
        <v>0</v>
      </c>
      <c r="R1776">
        <v>0</v>
      </c>
      <c r="S1776">
        <v>34</v>
      </c>
    </row>
    <row r="1777" spans="1:19" x14ac:dyDescent="0.25">
      <c r="A1777">
        <v>18147</v>
      </c>
      <c r="B1777" t="s">
        <v>102</v>
      </c>
      <c r="C1777">
        <v>23</v>
      </c>
      <c r="D1777">
        <v>30.859881114715002</v>
      </c>
      <c r="E1777">
        <v>10.6385379632307</v>
      </c>
      <c r="F1777">
        <f t="shared" si="55"/>
        <v>3</v>
      </c>
      <c r="G1777">
        <v>0</v>
      </c>
      <c r="H1777">
        <v>0</v>
      </c>
      <c r="I1777">
        <v>1</v>
      </c>
      <c r="J1777">
        <v>0</v>
      </c>
      <c r="K1777">
        <v>0</v>
      </c>
      <c r="L1777">
        <v>2</v>
      </c>
      <c r="M1777">
        <f t="shared" si="54"/>
        <v>40</v>
      </c>
      <c r="N1777">
        <v>0</v>
      </c>
      <c r="O1777">
        <v>0</v>
      </c>
      <c r="P1777">
        <v>6</v>
      </c>
      <c r="Q1777">
        <v>0</v>
      </c>
      <c r="R1777">
        <v>0</v>
      </c>
      <c r="S1777">
        <v>34</v>
      </c>
    </row>
    <row r="1778" spans="1:19" x14ac:dyDescent="0.25">
      <c r="A1778">
        <v>18149</v>
      </c>
      <c r="B1778" t="s">
        <v>103</v>
      </c>
      <c r="C1778">
        <v>0</v>
      </c>
      <c r="D1778">
        <v>47.467913672282698</v>
      </c>
      <c r="E1778">
        <v>7.5465681513962907E-2</v>
      </c>
      <c r="F1778">
        <f t="shared" si="55"/>
        <v>2</v>
      </c>
      <c r="G1778">
        <v>0</v>
      </c>
      <c r="H1778">
        <v>1</v>
      </c>
      <c r="I1778">
        <v>1</v>
      </c>
      <c r="J1778">
        <v>0</v>
      </c>
      <c r="K1778">
        <v>0</v>
      </c>
      <c r="L1778">
        <v>0</v>
      </c>
      <c r="M1778">
        <f t="shared" si="54"/>
        <v>65</v>
      </c>
      <c r="N1778">
        <v>0</v>
      </c>
      <c r="O1778">
        <v>50</v>
      </c>
      <c r="P1778">
        <v>15</v>
      </c>
      <c r="Q1778">
        <v>0</v>
      </c>
      <c r="R1778">
        <v>0</v>
      </c>
      <c r="S1778">
        <v>0</v>
      </c>
    </row>
    <row r="1779" spans="1:19" x14ac:dyDescent="0.25">
      <c r="A1779">
        <v>18149</v>
      </c>
      <c r="B1779" t="s">
        <v>103</v>
      </c>
      <c r="C1779">
        <v>1</v>
      </c>
      <c r="D1779">
        <v>48.562166054235099</v>
      </c>
      <c r="E1779">
        <v>7.5465681513962907E-2</v>
      </c>
      <c r="F1779">
        <f t="shared" si="55"/>
        <v>2</v>
      </c>
      <c r="G1779">
        <v>0</v>
      </c>
      <c r="H1779">
        <v>1</v>
      </c>
      <c r="I1779">
        <v>1</v>
      </c>
      <c r="J1779">
        <v>0</v>
      </c>
      <c r="K1779">
        <v>0</v>
      </c>
      <c r="L1779">
        <v>0</v>
      </c>
      <c r="M1779">
        <f t="shared" si="54"/>
        <v>65</v>
      </c>
      <c r="N1779">
        <v>0</v>
      </c>
      <c r="O1779">
        <v>50</v>
      </c>
      <c r="P1779">
        <v>15</v>
      </c>
      <c r="Q1779">
        <v>0</v>
      </c>
      <c r="R1779">
        <v>0</v>
      </c>
      <c r="S1779">
        <v>0</v>
      </c>
    </row>
    <row r="1780" spans="1:19" x14ac:dyDescent="0.25">
      <c r="A1780">
        <v>18149</v>
      </c>
      <c r="B1780" t="s">
        <v>103</v>
      </c>
      <c r="C1780">
        <v>2</v>
      </c>
      <c r="D1780">
        <v>48.4489675319642</v>
      </c>
      <c r="E1780">
        <v>7.5465681513962907E-2</v>
      </c>
      <c r="F1780">
        <f t="shared" si="55"/>
        <v>2</v>
      </c>
      <c r="G1780">
        <v>0</v>
      </c>
      <c r="H1780">
        <v>1</v>
      </c>
      <c r="I1780">
        <v>1</v>
      </c>
      <c r="J1780">
        <v>0</v>
      </c>
      <c r="K1780">
        <v>0</v>
      </c>
      <c r="L1780">
        <v>0</v>
      </c>
      <c r="M1780">
        <f t="shared" si="54"/>
        <v>65</v>
      </c>
      <c r="N1780">
        <v>0</v>
      </c>
      <c r="O1780">
        <v>50</v>
      </c>
      <c r="P1780">
        <v>15</v>
      </c>
      <c r="Q1780">
        <v>0</v>
      </c>
      <c r="R1780">
        <v>0</v>
      </c>
      <c r="S1780">
        <v>0</v>
      </c>
    </row>
    <row r="1781" spans="1:19" x14ac:dyDescent="0.25">
      <c r="A1781">
        <v>18149</v>
      </c>
      <c r="B1781" t="s">
        <v>103</v>
      </c>
      <c r="C1781">
        <v>3</v>
      </c>
      <c r="D1781">
        <v>48.9772273025619</v>
      </c>
      <c r="E1781">
        <v>7.5465681513962907E-2</v>
      </c>
      <c r="F1781">
        <f t="shared" si="55"/>
        <v>2</v>
      </c>
      <c r="G1781">
        <v>0</v>
      </c>
      <c r="H1781">
        <v>1</v>
      </c>
      <c r="I1781">
        <v>1</v>
      </c>
      <c r="J1781">
        <v>0</v>
      </c>
      <c r="K1781">
        <v>0</v>
      </c>
      <c r="L1781">
        <v>0</v>
      </c>
      <c r="M1781">
        <f t="shared" si="54"/>
        <v>65</v>
      </c>
      <c r="N1781">
        <v>0</v>
      </c>
      <c r="O1781">
        <v>50</v>
      </c>
      <c r="P1781">
        <v>15</v>
      </c>
      <c r="Q1781">
        <v>0</v>
      </c>
      <c r="R1781">
        <v>0</v>
      </c>
      <c r="S1781">
        <v>0</v>
      </c>
    </row>
    <row r="1782" spans="1:19" x14ac:dyDescent="0.25">
      <c r="A1782">
        <v>18149</v>
      </c>
      <c r="B1782" t="s">
        <v>103</v>
      </c>
      <c r="C1782">
        <v>4</v>
      </c>
      <c r="D1782">
        <v>49.392288550888701</v>
      </c>
      <c r="E1782">
        <v>0.113198522270944</v>
      </c>
      <c r="F1782">
        <f t="shared" si="55"/>
        <v>2</v>
      </c>
      <c r="G1782">
        <v>0</v>
      </c>
      <c r="H1782">
        <v>1</v>
      </c>
      <c r="I1782">
        <v>1</v>
      </c>
      <c r="J1782">
        <v>0</v>
      </c>
      <c r="K1782">
        <v>0</v>
      </c>
      <c r="L1782">
        <v>0</v>
      </c>
      <c r="M1782">
        <f t="shared" si="54"/>
        <v>65</v>
      </c>
      <c r="N1782">
        <v>0</v>
      </c>
      <c r="O1782">
        <v>50</v>
      </c>
      <c r="P1782">
        <v>15</v>
      </c>
      <c r="Q1782">
        <v>0</v>
      </c>
      <c r="R1782">
        <v>0</v>
      </c>
      <c r="S1782">
        <v>0</v>
      </c>
    </row>
    <row r="1783" spans="1:19" x14ac:dyDescent="0.25">
      <c r="A1783">
        <v>18149</v>
      </c>
      <c r="B1783" t="s">
        <v>103</v>
      </c>
      <c r="C1783">
        <v>5</v>
      </c>
      <c r="D1783">
        <v>45.090744704592801</v>
      </c>
      <c r="E1783">
        <v>0.113198522270944</v>
      </c>
      <c r="F1783">
        <f t="shared" si="55"/>
        <v>2</v>
      </c>
      <c r="G1783">
        <v>0</v>
      </c>
      <c r="H1783">
        <v>1</v>
      </c>
      <c r="I1783">
        <v>1</v>
      </c>
      <c r="J1783">
        <v>0</v>
      </c>
      <c r="K1783">
        <v>0</v>
      </c>
      <c r="L1783">
        <v>0</v>
      </c>
      <c r="M1783">
        <f t="shared" si="54"/>
        <v>65</v>
      </c>
      <c r="N1783">
        <v>0</v>
      </c>
      <c r="O1783">
        <v>50</v>
      </c>
      <c r="P1783">
        <v>15</v>
      </c>
      <c r="Q1783">
        <v>0</v>
      </c>
      <c r="R1783">
        <v>0</v>
      </c>
      <c r="S1783">
        <v>0</v>
      </c>
    </row>
    <row r="1784" spans="1:19" x14ac:dyDescent="0.25">
      <c r="A1784">
        <v>18149</v>
      </c>
      <c r="B1784" t="s">
        <v>103</v>
      </c>
      <c r="C1784">
        <v>6</v>
      </c>
      <c r="D1784">
        <v>38.3365662090931</v>
      </c>
      <c r="E1784">
        <v>0.188664203784907</v>
      </c>
      <c r="F1784">
        <f t="shared" si="55"/>
        <v>2</v>
      </c>
      <c r="G1784">
        <v>0</v>
      </c>
      <c r="H1784">
        <v>1</v>
      </c>
      <c r="I1784">
        <v>1</v>
      </c>
      <c r="J1784">
        <v>0</v>
      </c>
      <c r="K1784">
        <v>0</v>
      </c>
      <c r="L1784">
        <v>0</v>
      </c>
      <c r="M1784">
        <f t="shared" si="54"/>
        <v>65</v>
      </c>
      <c r="N1784">
        <v>0</v>
      </c>
      <c r="O1784">
        <v>50</v>
      </c>
      <c r="P1784">
        <v>15</v>
      </c>
      <c r="Q1784">
        <v>0</v>
      </c>
      <c r="R1784">
        <v>0</v>
      </c>
      <c r="S1784">
        <v>0</v>
      </c>
    </row>
    <row r="1785" spans="1:19" x14ac:dyDescent="0.25">
      <c r="A1785">
        <v>18149</v>
      </c>
      <c r="B1785" t="s">
        <v>103</v>
      </c>
      <c r="C1785">
        <v>7</v>
      </c>
      <c r="D1785">
        <v>28.035500682437199</v>
      </c>
      <c r="E1785">
        <v>7.5465681513962907E-2</v>
      </c>
      <c r="F1785">
        <f t="shared" si="55"/>
        <v>2</v>
      </c>
      <c r="G1785">
        <v>0</v>
      </c>
      <c r="H1785">
        <v>1</v>
      </c>
      <c r="I1785">
        <v>1</v>
      </c>
      <c r="J1785">
        <v>0</v>
      </c>
      <c r="K1785">
        <v>0</v>
      </c>
      <c r="L1785">
        <v>0</v>
      </c>
      <c r="M1785">
        <f t="shared" si="54"/>
        <v>65</v>
      </c>
      <c r="N1785">
        <v>0</v>
      </c>
      <c r="O1785">
        <v>50</v>
      </c>
      <c r="P1785">
        <v>15</v>
      </c>
      <c r="Q1785">
        <v>0</v>
      </c>
      <c r="R1785">
        <v>0</v>
      </c>
      <c r="S1785">
        <v>0</v>
      </c>
    </row>
    <row r="1786" spans="1:19" x14ac:dyDescent="0.25">
      <c r="A1786">
        <v>18149</v>
      </c>
      <c r="B1786" t="s">
        <v>103</v>
      </c>
      <c r="C1786">
        <v>8</v>
      </c>
      <c r="D1786">
        <v>19.092817423032599</v>
      </c>
      <c r="E1786">
        <v>0.52825977059773999</v>
      </c>
      <c r="F1786">
        <f t="shared" si="55"/>
        <v>2</v>
      </c>
      <c r="G1786">
        <v>0</v>
      </c>
      <c r="H1786">
        <v>1</v>
      </c>
      <c r="I1786">
        <v>1</v>
      </c>
      <c r="J1786">
        <v>0</v>
      </c>
      <c r="K1786">
        <v>0</v>
      </c>
      <c r="L1786">
        <v>0</v>
      </c>
      <c r="M1786">
        <f t="shared" si="54"/>
        <v>65</v>
      </c>
      <c r="N1786">
        <v>0</v>
      </c>
      <c r="O1786">
        <v>50</v>
      </c>
      <c r="P1786">
        <v>15</v>
      </c>
      <c r="Q1786">
        <v>0</v>
      </c>
      <c r="R1786">
        <v>0</v>
      </c>
      <c r="S1786">
        <v>0</v>
      </c>
    </row>
    <row r="1787" spans="1:19" x14ac:dyDescent="0.25">
      <c r="A1787">
        <v>18149</v>
      </c>
      <c r="B1787" t="s">
        <v>103</v>
      </c>
      <c r="C1787">
        <v>9</v>
      </c>
      <c r="D1787">
        <v>14.6403422137088</v>
      </c>
      <c r="E1787">
        <v>1.3583822672513299</v>
      </c>
      <c r="F1787">
        <f t="shared" si="55"/>
        <v>2</v>
      </c>
      <c r="G1787">
        <v>0</v>
      </c>
      <c r="H1787">
        <v>1</v>
      </c>
      <c r="I1787">
        <v>1</v>
      </c>
      <c r="J1787">
        <v>0</v>
      </c>
      <c r="K1787">
        <v>0</v>
      </c>
      <c r="L1787">
        <v>0</v>
      </c>
      <c r="M1787">
        <f t="shared" si="54"/>
        <v>65</v>
      </c>
      <c r="N1787">
        <v>0</v>
      </c>
      <c r="O1787">
        <v>50</v>
      </c>
      <c r="P1787">
        <v>15</v>
      </c>
      <c r="Q1787">
        <v>0</v>
      </c>
      <c r="R1787">
        <v>0</v>
      </c>
      <c r="S1787">
        <v>0</v>
      </c>
    </row>
    <row r="1788" spans="1:19" x14ac:dyDescent="0.25">
      <c r="A1788">
        <v>18149</v>
      </c>
      <c r="B1788" t="s">
        <v>103</v>
      </c>
      <c r="C1788">
        <v>10</v>
      </c>
      <c r="D1788">
        <v>12.149974723748</v>
      </c>
      <c r="E1788">
        <v>0.86785533741057397</v>
      </c>
      <c r="F1788">
        <f t="shared" si="55"/>
        <v>2</v>
      </c>
      <c r="G1788">
        <v>0</v>
      </c>
      <c r="H1788">
        <v>1</v>
      </c>
      <c r="I1788">
        <v>1</v>
      </c>
      <c r="J1788">
        <v>0</v>
      </c>
      <c r="K1788">
        <v>0</v>
      </c>
      <c r="L1788">
        <v>0</v>
      </c>
      <c r="M1788">
        <f t="shared" si="54"/>
        <v>65</v>
      </c>
      <c r="N1788">
        <v>0</v>
      </c>
      <c r="O1788">
        <v>50</v>
      </c>
      <c r="P1788">
        <v>15</v>
      </c>
      <c r="Q1788">
        <v>0</v>
      </c>
      <c r="R1788">
        <v>0</v>
      </c>
      <c r="S1788">
        <v>0</v>
      </c>
    </row>
    <row r="1789" spans="1:19" x14ac:dyDescent="0.25">
      <c r="A1789">
        <v>18149</v>
      </c>
      <c r="B1789" t="s">
        <v>103</v>
      </c>
      <c r="C1789">
        <v>11</v>
      </c>
      <c r="D1789">
        <v>9.5086758707593297</v>
      </c>
      <c r="E1789">
        <v>0.452794089083777</v>
      </c>
      <c r="F1789">
        <f t="shared" si="55"/>
        <v>2</v>
      </c>
      <c r="G1789">
        <v>0</v>
      </c>
      <c r="H1789">
        <v>1</v>
      </c>
      <c r="I1789">
        <v>1</v>
      </c>
      <c r="J1789">
        <v>0</v>
      </c>
      <c r="K1789">
        <v>0</v>
      </c>
      <c r="L1789">
        <v>0</v>
      </c>
      <c r="M1789">
        <f t="shared" si="54"/>
        <v>65</v>
      </c>
      <c r="N1789">
        <v>0</v>
      </c>
      <c r="O1789">
        <v>50</v>
      </c>
      <c r="P1789">
        <v>15</v>
      </c>
      <c r="Q1789">
        <v>0</v>
      </c>
      <c r="R1789">
        <v>0</v>
      </c>
      <c r="S1789">
        <v>0</v>
      </c>
    </row>
    <row r="1790" spans="1:19" x14ac:dyDescent="0.25">
      <c r="A1790">
        <v>18149</v>
      </c>
      <c r="B1790" t="s">
        <v>103</v>
      </c>
      <c r="C1790">
        <v>12</v>
      </c>
      <c r="D1790">
        <v>8.2634921257789404</v>
      </c>
      <c r="E1790">
        <v>0.90558817816755499</v>
      </c>
      <c r="F1790">
        <f t="shared" si="55"/>
        <v>2</v>
      </c>
      <c r="G1790">
        <v>0</v>
      </c>
      <c r="H1790">
        <v>1</v>
      </c>
      <c r="I1790">
        <v>1</v>
      </c>
      <c r="J1790">
        <v>0</v>
      </c>
      <c r="K1790">
        <v>0</v>
      </c>
      <c r="L1790">
        <v>0</v>
      </c>
      <c r="M1790">
        <f t="shared" si="54"/>
        <v>65</v>
      </c>
      <c r="N1790">
        <v>0</v>
      </c>
      <c r="O1790">
        <v>50</v>
      </c>
      <c r="P1790">
        <v>15</v>
      </c>
      <c r="Q1790">
        <v>0</v>
      </c>
      <c r="R1790">
        <v>0</v>
      </c>
      <c r="S1790">
        <v>0</v>
      </c>
    </row>
    <row r="1791" spans="1:19" x14ac:dyDescent="0.25">
      <c r="A1791">
        <v>18149</v>
      </c>
      <c r="B1791" t="s">
        <v>103</v>
      </c>
      <c r="C1791">
        <v>13</v>
      </c>
      <c r="D1791">
        <v>7.9616293997230896</v>
      </c>
      <c r="E1791">
        <v>1.0942523819524601</v>
      </c>
      <c r="F1791">
        <f t="shared" si="55"/>
        <v>2</v>
      </c>
      <c r="G1791">
        <v>0</v>
      </c>
      <c r="H1791">
        <v>1</v>
      </c>
      <c r="I1791">
        <v>1</v>
      </c>
      <c r="J1791">
        <v>0</v>
      </c>
      <c r="K1791">
        <v>0</v>
      </c>
      <c r="L1791">
        <v>0</v>
      </c>
      <c r="M1791">
        <f t="shared" si="54"/>
        <v>65</v>
      </c>
      <c r="N1791">
        <v>0</v>
      </c>
      <c r="O1791">
        <v>50</v>
      </c>
      <c r="P1791">
        <v>15</v>
      </c>
      <c r="Q1791">
        <v>0</v>
      </c>
      <c r="R1791">
        <v>0</v>
      </c>
      <c r="S1791">
        <v>0</v>
      </c>
    </row>
    <row r="1792" spans="1:19" x14ac:dyDescent="0.25">
      <c r="A1792">
        <v>18149</v>
      </c>
      <c r="B1792" t="s">
        <v>103</v>
      </c>
      <c r="C1792">
        <v>14</v>
      </c>
      <c r="D1792">
        <v>8.9804161001615892</v>
      </c>
      <c r="E1792">
        <v>0.67919113362566597</v>
      </c>
      <c r="F1792">
        <f t="shared" si="55"/>
        <v>2</v>
      </c>
      <c r="G1792">
        <v>0</v>
      </c>
      <c r="H1792">
        <v>1</v>
      </c>
      <c r="I1792">
        <v>1</v>
      </c>
      <c r="J1792">
        <v>0</v>
      </c>
      <c r="K1792">
        <v>0</v>
      </c>
      <c r="L1792">
        <v>0</v>
      </c>
      <c r="M1792">
        <f t="shared" si="54"/>
        <v>65</v>
      </c>
      <c r="N1792">
        <v>0</v>
      </c>
      <c r="O1792">
        <v>50</v>
      </c>
      <c r="P1792">
        <v>15</v>
      </c>
      <c r="Q1792">
        <v>0</v>
      </c>
      <c r="R1792">
        <v>0</v>
      </c>
      <c r="S1792">
        <v>0</v>
      </c>
    </row>
    <row r="1793" spans="1:19" x14ac:dyDescent="0.25">
      <c r="A1793">
        <v>18149</v>
      </c>
      <c r="B1793" t="s">
        <v>103</v>
      </c>
      <c r="C1793">
        <v>15</v>
      </c>
      <c r="D1793">
        <v>10.150134163628</v>
      </c>
      <c r="E1793">
        <v>0.15093136302792501</v>
      </c>
      <c r="F1793">
        <f t="shared" si="55"/>
        <v>2</v>
      </c>
      <c r="G1793">
        <v>0</v>
      </c>
      <c r="H1793">
        <v>1</v>
      </c>
      <c r="I1793">
        <v>1</v>
      </c>
      <c r="J1793">
        <v>0</v>
      </c>
      <c r="K1793">
        <v>0</v>
      </c>
      <c r="L1793">
        <v>0</v>
      </c>
      <c r="M1793">
        <f t="shared" si="54"/>
        <v>65</v>
      </c>
      <c r="N1793">
        <v>0</v>
      </c>
      <c r="O1793">
        <v>50</v>
      </c>
      <c r="P1793">
        <v>15</v>
      </c>
      <c r="Q1793">
        <v>0</v>
      </c>
      <c r="R1793">
        <v>0</v>
      </c>
      <c r="S1793">
        <v>0</v>
      </c>
    </row>
    <row r="1794" spans="1:19" x14ac:dyDescent="0.25">
      <c r="A1794">
        <v>18149</v>
      </c>
      <c r="B1794" t="s">
        <v>103</v>
      </c>
      <c r="C1794">
        <v>16</v>
      </c>
      <c r="D1794">
        <v>13.206494264943499</v>
      </c>
      <c r="E1794">
        <v>7.5465681513962907E-2</v>
      </c>
      <c r="F1794">
        <f t="shared" si="55"/>
        <v>2</v>
      </c>
      <c r="G1794">
        <v>0</v>
      </c>
      <c r="H1794">
        <v>1</v>
      </c>
      <c r="I1794">
        <v>1</v>
      </c>
      <c r="J1794">
        <v>0</v>
      </c>
      <c r="K1794">
        <v>0</v>
      </c>
      <c r="L1794">
        <v>0</v>
      </c>
      <c r="M1794">
        <f t="shared" ref="M1794:M1857" si="56">SUM(N1794:S1794)</f>
        <v>65</v>
      </c>
      <c r="N1794">
        <v>0</v>
      </c>
      <c r="O1794">
        <v>50</v>
      </c>
      <c r="P1794">
        <v>15</v>
      </c>
      <c r="Q1794">
        <v>0</v>
      </c>
      <c r="R1794">
        <v>0</v>
      </c>
      <c r="S1794">
        <v>0</v>
      </c>
    </row>
    <row r="1795" spans="1:19" x14ac:dyDescent="0.25">
      <c r="A1795">
        <v>18149</v>
      </c>
      <c r="B1795" t="s">
        <v>103</v>
      </c>
      <c r="C1795">
        <v>17</v>
      </c>
      <c r="D1795">
        <v>16.6779156145858</v>
      </c>
      <c r="E1795">
        <v>0</v>
      </c>
      <c r="F1795">
        <f t="shared" ref="F1795:F1858" si="57">SUM(G1795:L1795)</f>
        <v>2</v>
      </c>
      <c r="G1795">
        <v>0</v>
      </c>
      <c r="H1795">
        <v>1</v>
      </c>
      <c r="I1795">
        <v>1</v>
      </c>
      <c r="J1795">
        <v>0</v>
      </c>
      <c r="K1795">
        <v>0</v>
      </c>
      <c r="L1795">
        <v>0</v>
      </c>
      <c r="M1795">
        <f t="shared" si="56"/>
        <v>65</v>
      </c>
      <c r="N1795">
        <v>0</v>
      </c>
      <c r="O1795">
        <v>50</v>
      </c>
      <c r="P1795">
        <v>15</v>
      </c>
      <c r="Q1795">
        <v>0</v>
      </c>
      <c r="R1795">
        <v>0</v>
      </c>
      <c r="S1795">
        <v>0</v>
      </c>
    </row>
    <row r="1796" spans="1:19" x14ac:dyDescent="0.25">
      <c r="A1796">
        <v>18149</v>
      </c>
      <c r="B1796" t="s">
        <v>103</v>
      </c>
      <c r="C1796">
        <v>18</v>
      </c>
      <c r="D1796">
        <v>22.828368657973801</v>
      </c>
      <c r="E1796">
        <v>0</v>
      </c>
      <c r="F1796">
        <f t="shared" si="57"/>
        <v>2</v>
      </c>
      <c r="G1796">
        <v>0</v>
      </c>
      <c r="H1796">
        <v>1</v>
      </c>
      <c r="I1796">
        <v>1</v>
      </c>
      <c r="J1796">
        <v>0</v>
      </c>
      <c r="K1796">
        <v>0</v>
      </c>
      <c r="L1796">
        <v>0</v>
      </c>
      <c r="M1796">
        <f t="shared" si="56"/>
        <v>65</v>
      </c>
      <c r="N1796">
        <v>0</v>
      </c>
      <c r="O1796">
        <v>50</v>
      </c>
      <c r="P1796">
        <v>15</v>
      </c>
      <c r="Q1796">
        <v>0</v>
      </c>
      <c r="R1796">
        <v>0</v>
      </c>
      <c r="S1796">
        <v>0</v>
      </c>
    </row>
    <row r="1797" spans="1:19" x14ac:dyDescent="0.25">
      <c r="A1797">
        <v>18149</v>
      </c>
      <c r="B1797" t="s">
        <v>103</v>
      </c>
      <c r="C1797">
        <v>19</v>
      </c>
      <c r="D1797">
        <v>30.714532376182898</v>
      </c>
      <c r="E1797">
        <v>0</v>
      </c>
      <c r="F1797">
        <f t="shared" si="57"/>
        <v>2</v>
      </c>
      <c r="G1797">
        <v>0</v>
      </c>
      <c r="H1797">
        <v>1</v>
      </c>
      <c r="I1797">
        <v>1</v>
      </c>
      <c r="J1797">
        <v>0</v>
      </c>
      <c r="K1797">
        <v>0</v>
      </c>
      <c r="L1797">
        <v>0</v>
      </c>
      <c r="M1797">
        <f t="shared" si="56"/>
        <v>65</v>
      </c>
      <c r="N1797">
        <v>0</v>
      </c>
      <c r="O1797">
        <v>50</v>
      </c>
      <c r="P1797">
        <v>15</v>
      </c>
      <c r="Q1797">
        <v>0</v>
      </c>
      <c r="R1797">
        <v>0</v>
      </c>
      <c r="S1797">
        <v>0</v>
      </c>
    </row>
    <row r="1798" spans="1:19" x14ac:dyDescent="0.25">
      <c r="A1798">
        <v>18149</v>
      </c>
      <c r="B1798" t="s">
        <v>103</v>
      </c>
      <c r="C1798">
        <v>20</v>
      </c>
      <c r="D1798">
        <v>36.449924171244099</v>
      </c>
      <c r="E1798">
        <v>7.5465681513962907E-2</v>
      </c>
      <c r="F1798">
        <f t="shared" si="57"/>
        <v>2</v>
      </c>
      <c r="G1798">
        <v>0</v>
      </c>
      <c r="H1798">
        <v>1</v>
      </c>
      <c r="I1798">
        <v>1</v>
      </c>
      <c r="J1798">
        <v>0</v>
      </c>
      <c r="K1798">
        <v>0</v>
      </c>
      <c r="L1798">
        <v>0</v>
      </c>
      <c r="M1798">
        <f t="shared" si="56"/>
        <v>65</v>
      </c>
      <c r="N1798">
        <v>0</v>
      </c>
      <c r="O1798">
        <v>50</v>
      </c>
      <c r="P1798">
        <v>15</v>
      </c>
      <c r="Q1798">
        <v>0</v>
      </c>
      <c r="R1798">
        <v>0</v>
      </c>
      <c r="S1798">
        <v>0</v>
      </c>
    </row>
    <row r="1799" spans="1:19" x14ac:dyDescent="0.25">
      <c r="A1799">
        <v>18149</v>
      </c>
      <c r="B1799" t="s">
        <v>103</v>
      </c>
      <c r="C1799">
        <v>21</v>
      </c>
      <c r="D1799">
        <v>40.147742565428302</v>
      </c>
      <c r="E1799">
        <v>7.5465681513962907E-2</v>
      </c>
      <c r="F1799">
        <f t="shared" si="57"/>
        <v>2</v>
      </c>
      <c r="G1799">
        <v>0</v>
      </c>
      <c r="H1799">
        <v>1</v>
      </c>
      <c r="I1799">
        <v>1</v>
      </c>
      <c r="J1799">
        <v>0</v>
      </c>
      <c r="K1799">
        <v>0</v>
      </c>
      <c r="L1799">
        <v>0</v>
      </c>
      <c r="M1799">
        <f t="shared" si="56"/>
        <v>65</v>
      </c>
      <c r="N1799">
        <v>0</v>
      </c>
      <c r="O1799">
        <v>50</v>
      </c>
      <c r="P1799">
        <v>15</v>
      </c>
      <c r="Q1799">
        <v>0</v>
      </c>
      <c r="R1799">
        <v>0</v>
      </c>
      <c r="S1799">
        <v>0</v>
      </c>
    </row>
    <row r="1800" spans="1:19" x14ac:dyDescent="0.25">
      <c r="A1800">
        <v>18149</v>
      </c>
      <c r="B1800" t="s">
        <v>103</v>
      </c>
      <c r="C1800">
        <v>22</v>
      </c>
      <c r="D1800">
        <v>42.939972781444901</v>
      </c>
      <c r="E1800">
        <v>7.5465681513962907E-2</v>
      </c>
      <c r="F1800">
        <f t="shared" si="57"/>
        <v>2</v>
      </c>
      <c r="G1800">
        <v>0</v>
      </c>
      <c r="H1800">
        <v>1</v>
      </c>
      <c r="I1800">
        <v>1</v>
      </c>
      <c r="J1800">
        <v>0</v>
      </c>
      <c r="K1800">
        <v>0</v>
      </c>
      <c r="L1800">
        <v>0</v>
      </c>
      <c r="M1800">
        <f t="shared" si="56"/>
        <v>65</v>
      </c>
      <c r="N1800">
        <v>0</v>
      </c>
      <c r="O1800">
        <v>50</v>
      </c>
      <c r="P1800">
        <v>15</v>
      </c>
      <c r="Q1800">
        <v>0</v>
      </c>
      <c r="R1800">
        <v>0</v>
      </c>
      <c r="S1800">
        <v>0</v>
      </c>
    </row>
    <row r="1801" spans="1:19" x14ac:dyDescent="0.25">
      <c r="A1801">
        <v>18149</v>
      </c>
      <c r="B1801" t="s">
        <v>103</v>
      </c>
      <c r="C1801">
        <v>23</v>
      </c>
      <c r="D1801">
        <v>45.6190044751906</v>
      </c>
      <c r="E1801">
        <v>7.5465681513962907E-2</v>
      </c>
      <c r="F1801">
        <f t="shared" si="57"/>
        <v>2</v>
      </c>
      <c r="G1801">
        <v>0</v>
      </c>
      <c r="H1801">
        <v>1</v>
      </c>
      <c r="I1801">
        <v>1</v>
      </c>
      <c r="J1801">
        <v>0</v>
      </c>
      <c r="K1801">
        <v>0</v>
      </c>
      <c r="L1801">
        <v>0</v>
      </c>
      <c r="M1801">
        <f t="shared" si="56"/>
        <v>65</v>
      </c>
      <c r="N1801">
        <v>0</v>
      </c>
      <c r="O1801">
        <v>50</v>
      </c>
      <c r="P1801">
        <v>15</v>
      </c>
      <c r="Q1801">
        <v>0</v>
      </c>
      <c r="R1801">
        <v>0</v>
      </c>
      <c r="S1801">
        <v>0</v>
      </c>
    </row>
    <row r="1802" spans="1:19" x14ac:dyDescent="0.25">
      <c r="A1802">
        <v>18151</v>
      </c>
      <c r="B1802" t="s">
        <v>104</v>
      </c>
      <c r="C1802">
        <v>0</v>
      </c>
      <c r="D1802">
        <v>427.08733936220801</v>
      </c>
      <c r="E1802">
        <v>44.643098524512098</v>
      </c>
      <c r="F1802">
        <f t="shared" si="57"/>
        <v>5</v>
      </c>
      <c r="G1802">
        <v>2</v>
      </c>
      <c r="H1802">
        <v>1</v>
      </c>
      <c r="I1802">
        <v>1</v>
      </c>
      <c r="J1802">
        <v>0</v>
      </c>
      <c r="K1802">
        <v>0</v>
      </c>
      <c r="L1802">
        <v>1</v>
      </c>
      <c r="M1802">
        <f t="shared" si="56"/>
        <v>372</v>
      </c>
      <c r="N1802">
        <v>240</v>
      </c>
      <c r="O1802">
        <v>60</v>
      </c>
      <c r="P1802">
        <v>25</v>
      </c>
      <c r="Q1802">
        <v>0</v>
      </c>
      <c r="R1802">
        <v>0</v>
      </c>
      <c r="S1802">
        <v>47</v>
      </c>
    </row>
    <row r="1803" spans="1:19" x14ac:dyDescent="0.25">
      <c r="A1803">
        <v>18151</v>
      </c>
      <c r="B1803" t="s">
        <v>104</v>
      </c>
      <c r="C1803">
        <v>1</v>
      </c>
      <c r="D1803">
        <v>427.8</v>
      </c>
      <c r="E1803">
        <v>45.661185149928599</v>
      </c>
      <c r="F1803">
        <f t="shared" si="57"/>
        <v>5</v>
      </c>
      <c r="G1803">
        <v>2</v>
      </c>
      <c r="H1803">
        <v>1</v>
      </c>
      <c r="I1803">
        <v>1</v>
      </c>
      <c r="J1803">
        <v>0</v>
      </c>
      <c r="K1803">
        <v>0</v>
      </c>
      <c r="L1803">
        <v>1</v>
      </c>
      <c r="M1803">
        <f t="shared" si="56"/>
        <v>372</v>
      </c>
      <c r="N1803">
        <v>240</v>
      </c>
      <c r="O1803">
        <v>60</v>
      </c>
      <c r="P1803">
        <v>25</v>
      </c>
      <c r="Q1803">
        <v>0</v>
      </c>
      <c r="R1803">
        <v>0</v>
      </c>
      <c r="S1803">
        <v>47</v>
      </c>
    </row>
    <row r="1804" spans="1:19" x14ac:dyDescent="0.25">
      <c r="A1804">
        <v>18151</v>
      </c>
      <c r="B1804" t="s">
        <v>104</v>
      </c>
      <c r="C1804">
        <v>2</v>
      </c>
      <c r="D1804">
        <v>426.01834840552101</v>
      </c>
      <c r="E1804">
        <v>44.541289861970398</v>
      </c>
      <c r="F1804">
        <f t="shared" si="57"/>
        <v>5</v>
      </c>
      <c r="G1804">
        <v>2</v>
      </c>
      <c r="H1804">
        <v>1</v>
      </c>
      <c r="I1804">
        <v>1</v>
      </c>
      <c r="J1804">
        <v>0</v>
      </c>
      <c r="K1804">
        <v>0</v>
      </c>
      <c r="L1804">
        <v>1</v>
      </c>
      <c r="M1804">
        <f t="shared" si="56"/>
        <v>372</v>
      </c>
      <c r="N1804">
        <v>240</v>
      </c>
      <c r="O1804">
        <v>60</v>
      </c>
      <c r="P1804">
        <v>25</v>
      </c>
      <c r="Q1804">
        <v>0</v>
      </c>
      <c r="R1804">
        <v>0</v>
      </c>
      <c r="S1804">
        <v>47</v>
      </c>
    </row>
    <row r="1805" spans="1:19" x14ac:dyDescent="0.25">
      <c r="A1805">
        <v>18151</v>
      </c>
      <c r="B1805" t="s">
        <v>104</v>
      </c>
      <c r="C1805">
        <v>3</v>
      </c>
      <c r="D1805">
        <v>413.801308900523</v>
      </c>
      <c r="E1805">
        <v>45.355759162303599</v>
      </c>
      <c r="F1805">
        <f t="shared" si="57"/>
        <v>5</v>
      </c>
      <c r="G1805">
        <v>2</v>
      </c>
      <c r="H1805">
        <v>1</v>
      </c>
      <c r="I1805">
        <v>1</v>
      </c>
      <c r="J1805">
        <v>0</v>
      </c>
      <c r="K1805">
        <v>0</v>
      </c>
      <c r="L1805">
        <v>1</v>
      </c>
      <c r="M1805">
        <f t="shared" si="56"/>
        <v>372</v>
      </c>
      <c r="N1805">
        <v>240</v>
      </c>
      <c r="O1805">
        <v>60</v>
      </c>
      <c r="P1805">
        <v>25</v>
      </c>
      <c r="Q1805">
        <v>0</v>
      </c>
      <c r="R1805">
        <v>0</v>
      </c>
      <c r="S1805">
        <v>47</v>
      </c>
    </row>
    <row r="1806" spans="1:19" x14ac:dyDescent="0.25">
      <c r="A1806">
        <v>18151</v>
      </c>
      <c r="B1806" t="s">
        <v>104</v>
      </c>
      <c r="C1806">
        <v>4</v>
      </c>
      <c r="D1806">
        <v>388.603664921465</v>
      </c>
      <c r="E1806">
        <v>46.119324131366</v>
      </c>
      <c r="F1806">
        <f t="shared" si="57"/>
        <v>5</v>
      </c>
      <c r="G1806">
        <v>2</v>
      </c>
      <c r="H1806">
        <v>1</v>
      </c>
      <c r="I1806">
        <v>1</v>
      </c>
      <c r="J1806">
        <v>0</v>
      </c>
      <c r="K1806">
        <v>0</v>
      </c>
      <c r="L1806">
        <v>1</v>
      </c>
      <c r="M1806">
        <f t="shared" si="56"/>
        <v>372</v>
      </c>
      <c r="N1806">
        <v>240</v>
      </c>
      <c r="O1806">
        <v>60</v>
      </c>
      <c r="P1806">
        <v>25</v>
      </c>
      <c r="Q1806">
        <v>0</v>
      </c>
      <c r="R1806">
        <v>0</v>
      </c>
      <c r="S1806">
        <v>47</v>
      </c>
    </row>
    <row r="1807" spans="1:19" x14ac:dyDescent="0.25">
      <c r="A1807">
        <v>18151</v>
      </c>
      <c r="B1807" t="s">
        <v>104</v>
      </c>
      <c r="C1807">
        <v>5</v>
      </c>
      <c r="D1807">
        <v>377.20109471680098</v>
      </c>
      <c r="E1807">
        <v>46.3229414564493</v>
      </c>
      <c r="F1807">
        <f t="shared" si="57"/>
        <v>5</v>
      </c>
      <c r="G1807">
        <v>2</v>
      </c>
      <c r="H1807">
        <v>1</v>
      </c>
      <c r="I1807">
        <v>1</v>
      </c>
      <c r="J1807">
        <v>0</v>
      </c>
      <c r="K1807">
        <v>0</v>
      </c>
      <c r="L1807">
        <v>1</v>
      </c>
      <c r="M1807">
        <f t="shared" si="56"/>
        <v>372</v>
      </c>
      <c r="N1807">
        <v>240</v>
      </c>
      <c r="O1807">
        <v>60</v>
      </c>
      <c r="P1807">
        <v>25</v>
      </c>
      <c r="Q1807">
        <v>0</v>
      </c>
      <c r="R1807">
        <v>0</v>
      </c>
      <c r="S1807">
        <v>47</v>
      </c>
    </row>
    <row r="1808" spans="1:19" x14ac:dyDescent="0.25">
      <c r="A1808">
        <v>18151</v>
      </c>
      <c r="B1808" t="s">
        <v>104</v>
      </c>
      <c r="C1808">
        <v>6</v>
      </c>
      <c r="D1808">
        <v>352.86882436934701</v>
      </c>
      <c r="E1808">
        <v>46.5774631128034</v>
      </c>
      <c r="F1808">
        <f t="shared" si="57"/>
        <v>5</v>
      </c>
      <c r="G1808">
        <v>2</v>
      </c>
      <c r="H1808">
        <v>1</v>
      </c>
      <c r="I1808">
        <v>1</v>
      </c>
      <c r="J1808">
        <v>0</v>
      </c>
      <c r="K1808">
        <v>0</v>
      </c>
      <c r="L1808">
        <v>1</v>
      </c>
      <c r="M1808">
        <f t="shared" si="56"/>
        <v>372</v>
      </c>
      <c r="N1808">
        <v>240</v>
      </c>
      <c r="O1808">
        <v>60</v>
      </c>
      <c r="P1808">
        <v>25</v>
      </c>
      <c r="Q1808">
        <v>0</v>
      </c>
      <c r="R1808">
        <v>0</v>
      </c>
      <c r="S1808">
        <v>47</v>
      </c>
    </row>
    <row r="1809" spans="1:19" x14ac:dyDescent="0.25">
      <c r="A1809">
        <v>18151</v>
      </c>
      <c r="B1809" t="s">
        <v>104</v>
      </c>
      <c r="C1809">
        <v>7</v>
      </c>
      <c r="D1809">
        <v>308.48024750118901</v>
      </c>
      <c r="E1809">
        <v>44.235863874345497</v>
      </c>
      <c r="F1809">
        <f t="shared" si="57"/>
        <v>5</v>
      </c>
      <c r="G1809">
        <v>2</v>
      </c>
      <c r="H1809">
        <v>1</v>
      </c>
      <c r="I1809">
        <v>1</v>
      </c>
      <c r="J1809">
        <v>0</v>
      </c>
      <c r="K1809">
        <v>0</v>
      </c>
      <c r="L1809">
        <v>1</v>
      </c>
      <c r="M1809">
        <f t="shared" si="56"/>
        <v>372</v>
      </c>
      <c r="N1809">
        <v>240</v>
      </c>
      <c r="O1809">
        <v>60</v>
      </c>
      <c r="P1809">
        <v>25</v>
      </c>
      <c r="Q1809">
        <v>0</v>
      </c>
      <c r="R1809">
        <v>0</v>
      </c>
      <c r="S1809">
        <v>47</v>
      </c>
    </row>
    <row r="1810" spans="1:19" x14ac:dyDescent="0.25">
      <c r="A1810">
        <v>18151</v>
      </c>
      <c r="B1810" t="s">
        <v>104</v>
      </c>
      <c r="C1810">
        <v>8</v>
      </c>
      <c r="D1810">
        <v>279.413874345549</v>
      </c>
      <c r="E1810">
        <v>54.111304140885203</v>
      </c>
      <c r="F1810">
        <f t="shared" si="57"/>
        <v>5</v>
      </c>
      <c r="G1810">
        <v>2</v>
      </c>
      <c r="H1810">
        <v>1</v>
      </c>
      <c r="I1810">
        <v>1</v>
      </c>
      <c r="J1810">
        <v>0</v>
      </c>
      <c r="K1810">
        <v>0</v>
      </c>
      <c r="L1810">
        <v>1</v>
      </c>
      <c r="M1810">
        <f t="shared" si="56"/>
        <v>372</v>
      </c>
      <c r="N1810">
        <v>240</v>
      </c>
      <c r="O1810">
        <v>60</v>
      </c>
      <c r="P1810">
        <v>25</v>
      </c>
      <c r="Q1810">
        <v>0</v>
      </c>
      <c r="R1810">
        <v>0</v>
      </c>
      <c r="S1810">
        <v>47</v>
      </c>
    </row>
    <row r="1811" spans="1:19" x14ac:dyDescent="0.25">
      <c r="A1811">
        <v>18151</v>
      </c>
      <c r="B1811" t="s">
        <v>104</v>
      </c>
      <c r="C1811">
        <v>9</v>
      </c>
      <c r="D1811">
        <v>245.00254640647299</v>
      </c>
      <c r="E1811">
        <v>41.385221323179401</v>
      </c>
      <c r="F1811">
        <f t="shared" si="57"/>
        <v>5</v>
      </c>
      <c r="G1811">
        <v>2</v>
      </c>
      <c r="H1811">
        <v>1</v>
      </c>
      <c r="I1811">
        <v>1</v>
      </c>
      <c r="J1811">
        <v>0</v>
      </c>
      <c r="K1811">
        <v>0</v>
      </c>
      <c r="L1811">
        <v>1</v>
      </c>
      <c r="M1811">
        <f t="shared" si="56"/>
        <v>372</v>
      </c>
      <c r="N1811">
        <v>240</v>
      </c>
      <c r="O1811">
        <v>60</v>
      </c>
      <c r="P1811">
        <v>25</v>
      </c>
      <c r="Q1811">
        <v>0</v>
      </c>
      <c r="R1811">
        <v>0</v>
      </c>
      <c r="S1811">
        <v>47</v>
      </c>
    </row>
    <row r="1812" spans="1:19" x14ac:dyDescent="0.25">
      <c r="A1812">
        <v>18151</v>
      </c>
      <c r="B1812" t="s">
        <v>104</v>
      </c>
      <c r="C1812">
        <v>10</v>
      </c>
      <c r="D1812">
        <v>221.23022370299799</v>
      </c>
      <c r="E1812">
        <v>29.320894811994201</v>
      </c>
      <c r="F1812">
        <f t="shared" si="57"/>
        <v>5</v>
      </c>
      <c r="G1812">
        <v>2</v>
      </c>
      <c r="H1812">
        <v>1</v>
      </c>
      <c r="I1812">
        <v>1</v>
      </c>
      <c r="J1812">
        <v>0</v>
      </c>
      <c r="K1812">
        <v>0</v>
      </c>
      <c r="L1812">
        <v>1</v>
      </c>
      <c r="M1812">
        <f t="shared" si="56"/>
        <v>372</v>
      </c>
      <c r="N1812">
        <v>240</v>
      </c>
      <c r="O1812">
        <v>60</v>
      </c>
      <c r="P1812">
        <v>25</v>
      </c>
      <c r="Q1812">
        <v>0</v>
      </c>
      <c r="R1812">
        <v>0</v>
      </c>
      <c r="S1812">
        <v>47</v>
      </c>
    </row>
    <row r="1813" spans="1:19" x14ac:dyDescent="0.25">
      <c r="A1813">
        <v>18151</v>
      </c>
      <c r="B1813" t="s">
        <v>104</v>
      </c>
      <c r="C1813">
        <v>11</v>
      </c>
      <c r="D1813">
        <v>215.12170395049901</v>
      </c>
      <c r="E1813">
        <v>28.7100428367444</v>
      </c>
      <c r="F1813">
        <f t="shared" si="57"/>
        <v>5</v>
      </c>
      <c r="G1813">
        <v>2</v>
      </c>
      <c r="H1813">
        <v>1</v>
      </c>
      <c r="I1813">
        <v>1</v>
      </c>
      <c r="J1813">
        <v>0</v>
      </c>
      <c r="K1813">
        <v>0</v>
      </c>
      <c r="L1813">
        <v>1</v>
      </c>
      <c r="M1813">
        <f t="shared" si="56"/>
        <v>372</v>
      </c>
      <c r="N1813">
        <v>240</v>
      </c>
      <c r="O1813">
        <v>60</v>
      </c>
      <c r="P1813">
        <v>25</v>
      </c>
      <c r="Q1813">
        <v>0</v>
      </c>
      <c r="R1813">
        <v>0</v>
      </c>
      <c r="S1813">
        <v>47</v>
      </c>
    </row>
    <row r="1814" spans="1:19" x14ac:dyDescent="0.25">
      <c r="A1814">
        <v>18151</v>
      </c>
      <c r="B1814" t="s">
        <v>104</v>
      </c>
      <c r="C1814">
        <v>12</v>
      </c>
      <c r="D1814">
        <v>215.01989528795801</v>
      </c>
      <c r="E1814">
        <v>30.440790099952299</v>
      </c>
      <c r="F1814">
        <f t="shared" si="57"/>
        <v>5</v>
      </c>
      <c r="G1814">
        <v>2</v>
      </c>
      <c r="H1814">
        <v>1</v>
      </c>
      <c r="I1814">
        <v>1</v>
      </c>
      <c r="J1814">
        <v>0</v>
      </c>
      <c r="K1814">
        <v>0</v>
      </c>
      <c r="L1814">
        <v>1</v>
      </c>
      <c r="M1814">
        <f t="shared" si="56"/>
        <v>372</v>
      </c>
      <c r="N1814">
        <v>240</v>
      </c>
      <c r="O1814">
        <v>60</v>
      </c>
      <c r="P1814">
        <v>25</v>
      </c>
      <c r="Q1814">
        <v>0</v>
      </c>
      <c r="R1814">
        <v>0</v>
      </c>
      <c r="S1814">
        <v>47</v>
      </c>
    </row>
    <row r="1815" spans="1:19" x14ac:dyDescent="0.25">
      <c r="A1815">
        <v>18151</v>
      </c>
      <c r="B1815" t="s">
        <v>104</v>
      </c>
      <c r="C1815">
        <v>13</v>
      </c>
      <c r="D1815">
        <v>223.21549262255999</v>
      </c>
      <c r="E1815">
        <v>27.386530223702898</v>
      </c>
      <c r="F1815">
        <f t="shared" si="57"/>
        <v>5</v>
      </c>
      <c r="G1815">
        <v>2</v>
      </c>
      <c r="H1815">
        <v>1</v>
      </c>
      <c r="I1815">
        <v>1</v>
      </c>
      <c r="J1815">
        <v>0</v>
      </c>
      <c r="K1815">
        <v>0</v>
      </c>
      <c r="L1815">
        <v>1</v>
      </c>
      <c r="M1815">
        <f t="shared" si="56"/>
        <v>372</v>
      </c>
      <c r="N1815">
        <v>240</v>
      </c>
      <c r="O1815">
        <v>60</v>
      </c>
      <c r="P1815">
        <v>25</v>
      </c>
      <c r="Q1815">
        <v>0</v>
      </c>
      <c r="R1815">
        <v>0</v>
      </c>
      <c r="S1815">
        <v>47</v>
      </c>
    </row>
    <row r="1816" spans="1:19" x14ac:dyDescent="0.25">
      <c r="A1816">
        <v>18151</v>
      </c>
      <c r="B1816" t="s">
        <v>104</v>
      </c>
      <c r="C1816">
        <v>14</v>
      </c>
      <c r="D1816">
        <v>235.483436458829</v>
      </c>
      <c r="E1816">
        <v>22.7033317467872</v>
      </c>
      <c r="F1816">
        <f t="shared" si="57"/>
        <v>5</v>
      </c>
      <c r="G1816">
        <v>2</v>
      </c>
      <c r="H1816">
        <v>1</v>
      </c>
      <c r="I1816">
        <v>1</v>
      </c>
      <c r="J1816">
        <v>0</v>
      </c>
      <c r="K1816">
        <v>0</v>
      </c>
      <c r="L1816">
        <v>1</v>
      </c>
      <c r="M1816">
        <f t="shared" si="56"/>
        <v>372</v>
      </c>
      <c r="N1816">
        <v>240</v>
      </c>
      <c r="O1816">
        <v>60</v>
      </c>
      <c r="P1816">
        <v>25</v>
      </c>
      <c r="Q1816">
        <v>0</v>
      </c>
      <c r="R1816">
        <v>0</v>
      </c>
      <c r="S1816">
        <v>47</v>
      </c>
    </row>
    <row r="1817" spans="1:19" x14ac:dyDescent="0.25">
      <c r="A1817">
        <v>18151</v>
      </c>
      <c r="B1817" t="s">
        <v>104</v>
      </c>
      <c r="C1817">
        <v>15</v>
      </c>
      <c r="D1817">
        <v>245.86792003807699</v>
      </c>
      <c r="E1817">
        <v>22.9069490718705</v>
      </c>
      <c r="F1817">
        <f t="shared" si="57"/>
        <v>5</v>
      </c>
      <c r="G1817">
        <v>2</v>
      </c>
      <c r="H1817">
        <v>1</v>
      </c>
      <c r="I1817">
        <v>1</v>
      </c>
      <c r="J1817">
        <v>0</v>
      </c>
      <c r="K1817">
        <v>0</v>
      </c>
      <c r="L1817">
        <v>1</v>
      </c>
      <c r="M1817">
        <f t="shared" si="56"/>
        <v>372</v>
      </c>
      <c r="N1817">
        <v>240</v>
      </c>
      <c r="O1817">
        <v>60</v>
      </c>
      <c r="P1817">
        <v>25</v>
      </c>
      <c r="Q1817">
        <v>0</v>
      </c>
      <c r="R1817">
        <v>0</v>
      </c>
      <c r="S1817">
        <v>47</v>
      </c>
    </row>
    <row r="1818" spans="1:19" x14ac:dyDescent="0.25">
      <c r="A1818">
        <v>18151</v>
      </c>
      <c r="B1818" t="s">
        <v>104</v>
      </c>
      <c r="C1818">
        <v>16</v>
      </c>
      <c r="D1818">
        <v>254.419847691575</v>
      </c>
      <c r="E1818">
        <v>21.074393146120801</v>
      </c>
      <c r="F1818">
        <f t="shared" si="57"/>
        <v>5</v>
      </c>
      <c r="G1818">
        <v>2</v>
      </c>
      <c r="H1818">
        <v>1</v>
      </c>
      <c r="I1818">
        <v>1</v>
      </c>
      <c r="J1818">
        <v>0</v>
      </c>
      <c r="K1818">
        <v>0</v>
      </c>
      <c r="L1818">
        <v>1</v>
      </c>
      <c r="M1818">
        <f t="shared" si="56"/>
        <v>372</v>
      </c>
      <c r="N1818">
        <v>240</v>
      </c>
      <c r="O1818">
        <v>60</v>
      </c>
      <c r="P1818">
        <v>25</v>
      </c>
      <c r="Q1818">
        <v>0</v>
      </c>
      <c r="R1818">
        <v>0</v>
      </c>
      <c r="S1818">
        <v>47</v>
      </c>
    </row>
    <row r="1819" spans="1:19" x14ac:dyDescent="0.25">
      <c r="A1819">
        <v>18151</v>
      </c>
      <c r="B1819" t="s">
        <v>104</v>
      </c>
      <c r="C1819">
        <v>17</v>
      </c>
      <c r="D1819">
        <v>279.77020466444498</v>
      </c>
      <c r="E1819">
        <v>23.772322703474501</v>
      </c>
      <c r="F1819">
        <f t="shared" si="57"/>
        <v>5</v>
      </c>
      <c r="G1819">
        <v>2</v>
      </c>
      <c r="H1819">
        <v>1</v>
      </c>
      <c r="I1819">
        <v>1</v>
      </c>
      <c r="J1819">
        <v>0</v>
      </c>
      <c r="K1819">
        <v>0</v>
      </c>
      <c r="L1819">
        <v>1</v>
      </c>
      <c r="M1819">
        <f t="shared" si="56"/>
        <v>372</v>
      </c>
      <c r="N1819">
        <v>240</v>
      </c>
      <c r="O1819">
        <v>60</v>
      </c>
      <c r="P1819">
        <v>25</v>
      </c>
      <c r="Q1819">
        <v>0</v>
      </c>
      <c r="R1819">
        <v>0</v>
      </c>
      <c r="S1819">
        <v>47</v>
      </c>
    </row>
    <row r="1820" spans="1:19" x14ac:dyDescent="0.25">
      <c r="A1820">
        <v>18151</v>
      </c>
      <c r="B1820" t="s">
        <v>104</v>
      </c>
      <c r="C1820">
        <v>18</v>
      </c>
      <c r="D1820">
        <v>308.98929081389798</v>
      </c>
      <c r="E1820">
        <v>25.248548310328399</v>
      </c>
      <c r="F1820">
        <f t="shared" si="57"/>
        <v>5</v>
      </c>
      <c r="G1820">
        <v>2</v>
      </c>
      <c r="H1820">
        <v>1</v>
      </c>
      <c r="I1820">
        <v>1</v>
      </c>
      <c r="J1820">
        <v>0</v>
      </c>
      <c r="K1820">
        <v>0</v>
      </c>
      <c r="L1820">
        <v>1</v>
      </c>
      <c r="M1820">
        <f t="shared" si="56"/>
        <v>372</v>
      </c>
      <c r="N1820">
        <v>240</v>
      </c>
      <c r="O1820">
        <v>60</v>
      </c>
      <c r="P1820">
        <v>25</v>
      </c>
      <c r="Q1820">
        <v>0</v>
      </c>
      <c r="R1820">
        <v>0</v>
      </c>
      <c r="S1820">
        <v>47</v>
      </c>
    </row>
    <row r="1821" spans="1:19" x14ac:dyDescent="0.25">
      <c r="A1821">
        <v>18151</v>
      </c>
      <c r="B1821" t="s">
        <v>104</v>
      </c>
      <c r="C1821">
        <v>19</v>
      </c>
      <c r="D1821">
        <v>338.20837696335002</v>
      </c>
      <c r="E1821">
        <v>26.1648262732032</v>
      </c>
      <c r="F1821">
        <f t="shared" si="57"/>
        <v>5</v>
      </c>
      <c r="G1821">
        <v>2</v>
      </c>
      <c r="H1821">
        <v>1</v>
      </c>
      <c r="I1821">
        <v>1</v>
      </c>
      <c r="J1821">
        <v>0</v>
      </c>
      <c r="K1821">
        <v>0</v>
      </c>
      <c r="L1821">
        <v>1</v>
      </c>
      <c r="M1821">
        <f t="shared" si="56"/>
        <v>372</v>
      </c>
      <c r="N1821">
        <v>240</v>
      </c>
      <c r="O1821">
        <v>60</v>
      </c>
      <c r="P1821">
        <v>25</v>
      </c>
      <c r="Q1821">
        <v>0</v>
      </c>
      <c r="R1821">
        <v>0</v>
      </c>
      <c r="S1821">
        <v>47</v>
      </c>
    </row>
    <row r="1822" spans="1:19" x14ac:dyDescent="0.25">
      <c r="A1822">
        <v>18151</v>
      </c>
      <c r="B1822" t="s">
        <v>104</v>
      </c>
      <c r="C1822">
        <v>20</v>
      </c>
      <c r="D1822">
        <v>367.783793431699</v>
      </c>
      <c r="E1822">
        <v>32.935102332222698</v>
      </c>
      <c r="F1822">
        <f t="shared" si="57"/>
        <v>5</v>
      </c>
      <c r="G1822">
        <v>2</v>
      </c>
      <c r="H1822">
        <v>1</v>
      </c>
      <c r="I1822">
        <v>1</v>
      </c>
      <c r="J1822">
        <v>0</v>
      </c>
      <c r="K1822">
        <v>0</v>
      </c>
      <c r="L1822">
        <v>1</v>
      </c>
      <c r="M1822">
        <f t="shared" si="56"/>
        <v>372</v>
      </c>
      <c r="N1822">
        <v>240</v>
      </c>
      <c r="O1822">
        <v>60</v>
      </c>
      <c r="P1822">
        <v>25</v>
      </c>
      <c r="Q1822">
        <v>0</v>
      </c>
      <c r="R1822">
        <v>0</v>
      </c>
      <c r="S1822">
        <v>47</v>
      </c>
    </row>
    <row r="1823" spans="1:19" x14ac:dyDescent="0.25">
      <c r="A1823">
        <v>18151</v>
      </c>
      <c r="B1823" t="s">
        <v>104</v>
      </c>
      <c r="C1823">
        <v>21</v>
      </c>
      <c r="D1823">
        <v>392.52329842931903</v>
      </c>
      <c r="E1823">
        <v>39.501761066158899</v>
      </c>
      <c r="F1823">
        <f t="shared" si="57"/>
        <v>5</v>
      </c>
      <c r="G1823">
        <v>2</v>
      </c>
      <c r="H1823">
        <v>1</v>
      </c>
      <c r="I1823">
        <v>1</v>
      </c>
      <c r="J1823">
        <v>0</v>
      </c>
      <c r="K1823">
        <v>0</v>
      </c>
      <c r="L1823">
        <v>1</v>
      </c>
      <c r="M1823">
        <f t="shared" si="56"/>
        <v>372</v>
      </c>
      <c r="N1823">
        <v>240</v>
      </c>
      <c r="O1823">
        <v>60</v>
      </c>
      <c r="P1823">
        <v>25</v>
      </c>
      <c r="Q1823">
        <v>0</v>
      </c>
      <c r="R1823">
        <v>0</v>
      </c>
      <c r="S1823">
        <v>47</v>
      </c>
    </row>
    <row r="1824" spans="1:19" x14ac:dyDescent="0.25">
      <c r="A1824">
        <v>18151</v>
      </c>
      <c r="B1824" t="s">
        <v>104</v>
      </c>
      <c r="C1824">
        <v>22</v>
      </c>
      <c r="D1824">
        <v>410.18710138029502</v>
      </c>
      <c r="E1824">
        <v>41.537934316991901</v>
      </c>
      <c r="F1824">
        <f t="shared" si="57"/>
        <v>5</v>
      </c>
      <c r="G1824">
        <v>2</v>
      </c>
      <c r="H1824">
        <v>1</v>
      </c>
      <c r="I1824">
        <v>1</v>
      </c>
      <c r="J1824">
        <v>0</v>
      </c>
      <c r="K1824">
        <v>0</v>
      </c>
      <c r="L1824">
        <v>1</v>
      </c>
      <c r="M1824">
        <f t="shared" si="56"/>
        <v>372</v>
      </c>
      <c r="N1824">
        <v>240</v>
      </c>
      <c r="O1824">
        <v>60</v>
      </c>
      <c r="P1824">
        <v>25</v>
      </c>
      <c r="Q1824">
        <v>0</v>
      </c>
      <c r="R1824">
        <v>0</v>
      </c>
      <c r="S1824">
        <v>47</v>
      </c>
    </row>
    <row r="1825" spans="1:19" x14ac:dyDescent="0.25">
      <c r="A1825">
        <v>18151</v>
      </c>
      <c r="B1825" t="s">
        <v>104</v>
      </c>
      <c r="C1825">
        <v>23</v>
      </c>
      <c r="D1825">
        <v>417.00828177058497</v>
      </c>
      <c r="E1825">
        <v>39.450856734888099</v>
      </c>
      <c r="F1825">
        <f t="shared" si="57"/>
        <v>5</v>
      </c>
      <c r="G1825">
        <v>2</v>
      </c>
      <c r="H1825">
        <v>1</v>
      </c>
      <c r="I1825">
        <v>1</v>
      </c>
      <c r="J1825">
        <v>0</v>
      </c>
      <c r="K1825">
        <v>0</v>
      </c>
      <c r="L1825">
        <v>1</v>
      </c>
      <c r="M1825">
        <f t="shared" si="56"/>
        <v>372</v>
      </c>
      <c r="N1825">
        <v>240</v>
      </c>
      <c r="O1825">
        <v>60</v>
      </c>
      <c r="P1825">
        <v>25</v>
      </c>
      <c r="Q1825">
        <v>0</v>
      </c>
      <c r="R1825">
        <v>0</v>
      </c>
      <c r="S1825">
        <v>47</v>
      </c>
    </row>
    <row r="1826" spans="1:19" x14ac:dyDescent="0.25">
      <c r="A1826">
        <v>18153</v>
      </c>
      <c r="B1826" t="s">
        <v>105</v>
      </c>
      <c r="C1826">
        <v>0</v>
      </c>
      <c r="D1826">
        <v>25.699638306163699</v>
      </c>
      <c r="E1826">
        <v>0</v>
      </c>
      <c r="F1826">
        <f t="shared" si="57"/>
        <v>2</v>
      </c>
      <c r="G1826">
        <v>0</v>
      </c>
      <c r="H1826">
        <v>0</v>
      </c>
      <c r="I1826">
        <v>2</v>
      </c>
      <c r="J1826">
        <v>0</v>
      </c>
      <c r="K1826">
        <v>0</v>
      </c>
      <c r="L1826">
        <v>0</v>
      </c>
      <c r="M1826">
        <f t="shared" si="56"/>
        <v>42</v>
      </c>
      <c r="N1826">
        <v>0</v>
      </c>
      <c r="O1826">
        <v>0</v>
      </c>
      <c r="P1826">
        <v>42</v>
      </c>
      <c r="Q1826">
        <v>0</v>
      </c>
      <c r="R1826">
        <v>0</v>
      </c>
      <c r="S1826">
        <v>0</v>
      </c>
    </row>
    <row r="1827" spans="1:19" x14ac:dyDescent="0.25">
      <c r="A1827">
        <v>18153</v>
      </c>
      <c r="B1827" t="s">
        <v>105</v>
      </c>
      <c r="C1827">
        <v>1</v>
      </c>
      <c r="D1827">
        <v>26.972382298468901</v>
      </c>
      <c r="E1827">
        <v>0</v>
      </c>
      <c r="F1827">
        <f t="shared" si="57"/>
        <v>2</v>
      </c>
      <c r="G1827">
        <v>0</v>
      </c>
      <c r="H1827">
        <v>0</v>
      </c>
      <c r="I1827">
        <v>2</v>
      </c>
      <c r="J1827">
        <v>0</v>
      </c>
      <c r="K1827">
        <v>0</v>
      </c>
      <c r="L1827">
        <v>0</v>
      </c>
      <c r="M1827">
        <f t="shared" si="56"/>
        <v>42</v>
      </c>
      <c r="N1827">
        <v>0</v>
      </c>
      <c r="O1827">
        <v>0</v>
      </c>
      <c r="P1827">
        <v>42</v>
      </c>
      <c r="Q1827">
        <v>0</v>
      </c>
      <c r="R1827">
        <v>0</v>
      </c>
      <c r="S1827">
        <v>0</v>
      </c>
    </row>
    <row r="1828" spans="1:19" x14ac:dyDescent="0.25">
      <c r="A1828">
        <v>18153</v>
      </c>
      <c r="B1828" t="s">
        <v>105</v>
      </c>
      <c r="C1828">
        <v>2</v>
      </c>
      <c r="D1828">
        <v>27.608754294621502</v>
      </c>
      <c r="E1828">
        <v>0</v>
      </c>
      <c r="F1828">
        <f t="shared" si="57"/>
        <v>2</v>
      </c>
      <c r="G1828">
        <v>0</v>
      </c>
      <c r="H1828">
        <v>0</v>
      </c>
      <c r="I1828">
        <v>2</v>
      </c>
      <c r="J1828">
        <v>0</v>
      </c>
      <c r="K1828">
        <v>0</v>
      </c>
      <c r="L1828">
        <v>0</v>
      </c>
      <c r="M1828">
        <f t="shared" si="56"/>
        <v>42</v>
      </c>
      <c r="N1828">
        <v>0</v>
      </c>
      <c r="O1828">
        <v>0</v>
      </c>
      <c r="P1828">
        <v>42</v>
      </c>
      <c r="Q1828">
        <v>0</v>
      </c>
      <c r="R1828">
        <v>0</v>
      </c>
      <c r="S1828">
        <v>0</v>
      </c>
    </row>
    <row r="1829" spans="1:19" x14ac:dyDescent="0.25">
      <c r="A1829">
        <v>18153</v>
      </c>
      <c r="B1829" t="s">
        <v>105</v>
      </c>
      <c r="C1829">
        <v>3</v>
      </c>
      <c r="D1829">
        <v>27.510850910598101</v>
      </c>
      <c r="E1829">
        <v>0</v>
      </c>
      <c r="F1829">
        <f t="shared" si="57"/>
        <v>2</v>
      </c>
      <c r="G1829">
        <v>0</v>
      </c>
      <c r="H1829">
        <v>0</v>
      </c>
      <c r="I1829">
        <v>2</v>
      </c>
      <c r="J1829">
        <v>0</v>
      </c>
      <c r="K1829">
        <v>0</v>
      </c>
      <c r="L1829">
        <v>0</v>
      </c>
      <c r="M1829">
        <f t="shared" si="56"/>
        <v>42</v>
      </c>
      <c r="N1829">
        <v>0</v>
      </c>
      <c r="O1829">
        <v>0</v>
      </c>
      <c r="P1829">
        <v>42</v>
      </c>
      <c r="Q1829">
        <v>0</v>
      </c>
      <c r="R1829">
        <v>0</v>
      </c>
      <c r="S1829">
        <v>0</v>
      </c>
    </row>
    <row r="1830" spans="1:19" x14ac:dyDescent="0.25">
      <c r="A1830">
        <v>18153</v>
      </c>
      <c r="B1830" t="s">
        <v>105</v>
      </c>
      <c r="C1830">
        <v>4</v>
      </c>
      <c r="D1830">
        <v>26.825527222433699</v>
      </c>
      <c r="E1830">
        <v>0</v>
      </c>
      <c r="F1830">
        <f t="shared" si="57"/>
        <v>2</v>
      </c>
      <c r="G1830">
        <v>0</v>
      </c>
      <c r="H1830">
        <v>0</v>
      </c>
      <c r="I1830">
        <v>2</v>
      </c>
      <c r="J1830">
        <v>0</v>
      </c>
      <c r="K1830">
        <v>0</v>
      </c>
      <c r="L1830">
        <v>0</v>
      </c>
      <c r="M1830">
        <f t="shared" si="56"/>
        <v>42</v>
      </c>
      <c r="N1830">
        <v>0</v>
      </c>
      <c r="O1830">
        <v>0</v>
      </c>
      <c r="P1830">
        <v>42</v>
      </c>
      <c r="Q1830">
        <v>0</v>
      </c>
      <c r="R1830">
        <v>0</v>
      </c>
      <c r="S1830">
        <v>0</v>
      </c>
    </row>
    <row r="1831" spans="1:19" x14ac:dyDescent="0.25">
      <c r="A1831">
        <v>18153</v>
      </c>
      <c r="B1831" t="s">
        <v>105</v>
      </c>
      <c r="C1831">
        <v>5</v>
      </c>
      <c r="D1831">
        <v>25.3080247700697</v>
      </c>
      <c r="E1831">
        <v>0</v>
      </c>
      <c r="F1831">
        <f t="shared" si="57"/>
        <v>2</v>
      </c>
      <c r="G1831">
        <v>0</v>
      </c>
      <c r="H1831">
        <v>0</v>
      </c>
      <c r="I1831">
        <v>2</v>
      </c>
      <c r="J1831">
        <v>0</v>
      </c>
      <c r="K1831">
        <v>0</v>
      </c>
      <c r="L1831">
        <v>0</v>
      </c>
      <c r="M1831">
        <f t="shared" si="56"/>
        <v>42</v>
      </c>
      <c r="N1831">
        <v>0</v>
      </c>
      <c r="O1831">
        <v>0</v>
      </c>
      <c r="P1831">
        <v>42</v>
      </c>
      <c r="Q1831">
        <v>0</v>
      </c>
      <c r="R1831">
        <v>0</v>
      </c>
      <c r="S1831">
        <v>0</v>
      </c>
    </row>
    <row r="1832" spans="1:19" x14ac:dyDescent="0.25">
      <c r="A1832">
        <v>18153</v>
      </c>
      <c r="B1832" t="s">
        <v>105</v>
      </c>
      <c r="C1832">
        <v>6</v>
      </c>
      <c r="D1832">
        <v>23.301005397588401</v>
      </c>
      <c r="E1832">
        <v>0</v>
      </c>
      <c r="F1832">
        <f t="shared" si="57"/>
        <v>2</v>
      </c>
      <c r="G1832">
        <v>0</v>
      </c>
      <c r="H1832">
        <v>0</v>
      </c>
      <c r="I1832">
        <v>2</v>
      </c>
      <c r="J1832">
        <v>0</v>
      </c>
      <c r="K1832">
        <v>0</v>
      </c>
      <c r="L1832">
        <v>0</v>
      </c>
      <c r="M1832">
        <f t="shared" si="56"/>
        <v>42</v>
      </c>
      <c r="N1832">
        <v>0</v>
      </c>
      <c r="O1832">
        <v>0</v>
      </c>
      <c r="P1832">
        <v>42</v>
      </c>
      <c r="Q1832">
        <v>0</v>
      </c>
      <c r="R1832">
        <v>0</v>
      </c>
      <c r="S1832">
        <v>0</v>
      </c>
    </row>
    <row r="1833" spans="1:19" x14ac:dyDescent="0.25">
      <c r="A1833">
        <v>18153</v>
      </c>
      <c r="B1833" t="s">
        <v>105</v>
      </c>
      <c r="C1833">
        <v>7</v>
      </c>
      <c r="D1833">
        <v>19.8743869567666</v>
      </c>
      <c r="E1833">
        <v>0</v>
      </c>
      <c r="F1833">
        <f t="shared" si="57"/>
        <v>2</v>
      </c>
      <c r="G1833">
        <v>0</v>
      </c>
      <c r="H1833">
        <v>0</v>
      </c>
      <c r="I1833">
        <v>2</v>
      </c>
      <c r="J1833">
        <v>0</v>
      </c>
      <c r="K1833">
        <v>0</v>
      </c>
      <c r="L1833">
        <v>0</v>
      </c>
      <c r="M1833">
        <f t="shared" si="56"/>
        <v>42</v>
      </c>
      <c r="N1833">
        <v>0</v>
      </c>
      <c r="O1833">
        <v>0</v>
      </c>
      <c r="P1833">
        <v>42</v>
      </c>
      <c r="Q1833">
        <v>0</v>
      </c>
      <c r="R1833">
        <v>0</v>
      </c>
      <c r="S1833">
        <v>0</v>
      </c>
    </row>
    <row r="1834" spans="1:19" x14ac:dyDescent="0.25">
      <c r="A1834">
        <v>18153</v>
      </c>
      <c r="B1834" t="s">
        <v>105</v>
      </c>
      <c r="C1834">
        <v>8</v>
      </c>
      <c r="D1834">
        <v>15.5666380597334</v>
      </c>
      <c r="E1834">
        <v>0</v>
      </c>
      <c r="F1834">
        <f t="shared" si="57"/>
        <v>2</v>
      </c>
      <c r="G1834">
        <v>0</v>
      </c>
      <c r="H1834">
        <v>0</v>
      </c>
      <c r="I1834">
        <v>2</v>
      </c>
      <c r="J1834">
        <v>0</v>
      </c>
      <c r="K1834">
        <v>0</v>
      </c>
      <c r="L1834">
        <v>0</v>
      </c>
      <c r="M1834">
        <f t="shared" si="56"/>
        <v>42</v>
      </c>
      <c r="N1834">
        <v>0</v>
      </c>
      <c r="O1834">
        <v>0</v>
      </c>
      <c r="P1834">
        <v>42</v>
      </c>
      <c r="Q1834">
        <v>0</v>
      </c>
      <c r="R1834">
        <v>0</v>
      </c>
      <c r="S1834">
        <v>0</v>
      </c>
    </row>
    <row r="1835" spans="1:19" x14ac:dyDescent="0.25">
      <c r="A1835">
        <v>18153</v>
      </c>
      <c r="B1835" t="s">
        <v>105</v>
      </c>
      <c r="C1835">
        <v>9</v>
      </c>
      <c r="D1835">
        <v>11.9442128508646</v>
      </c>
      <c r="E1835">
        <v>0.58742030414088398</v>
      </c>
      <c r="F1835">
        <f t="shared" si="57"/>
        <v>2</v>
      </c>
      <c r="G1835">
        <v>0</v>
      </c>
      <c r="H1835">
        <v>0</v>
      </c>
      <c r="I1835">
        <v>2</v>
      </c>
      <c r="J1835">
        <v>0</v>
      </c>
      <c r="K1835">
        <v>0</v>
      </c>
      <c r="L1835">
        <v>0</v>
      </c>
      <c r="M1835">
        <f t="shared" si="56"/>
        <v>42</v>
      </c>
      <c r="N1835">
        <v>0</v>
      </c>
      <c r="O1835">
        <v>0</v>
      </c>
      <c r="P1835">
        <v>42</v>
      </c>
      <c r="Q1835">
        <v>0</v>
      </c>
      <c r="R1835">
        <v>0</v>
      </c>
      <c r="S1835">
        <v>0</v>
      </c>
    </row>
    <row r="1836" spans="1:19" x14ac:dyDescent="0.25">
      <c r="A1836">
        <v>18153</v>
      </c>
      <c r="B1836" t="s">
        <v>105</v>
      </c>
      <c r="C1836">
        <v>10</v>
      </c>
      <c r="D1836">
        <v>8.8113045621132695</v>
      </c>
      <c r="E1836">
        <v>0.979033840234807</v>
      </c>
      <c r="F1836">
        <f t="shared" si="57"/>
        <v>2</v>
      </c>
      <c r="G1836">
        <v>0</v>
      </c>
      <c r="H1836">
        <v>0</v>
      </c>
      <c r="I1836">
        <v>2</v>
      </c>
      <c r="J1836">
        <v>0</v>
      </c>
      <c r="K1836">
        <v>0</v>
      </c>
      <c r="L1836">
        <v>0</v>
      </c>
      <c r="M1836">
        <f t="shared" si="56"/>
        <v>42</v>
      </c>
      <c r="N1836">
        <v>0</v>
      </c>
      <c r="O1836">
        <v>0</v>
      </c>
      <c r="P1836">
        <v>42</v>
      </c>
      <c r="Q1836">
        <v>0</v>
      </c>
      <c r="R1836">
        <v>0</v>
      </c>
      <c r="S1836">
        <v>0</v>
      </c>
    </row>
    <row r="1837" spans="1:19" x14ac:dyDescent="0.25">
      <c r="A1837">
        <v>18153</v>
      </c>
      <c r="B1837" t="s">
        <v>105</v>
      </c>
      <c r="C1837">
        <v>11</v>
      </c>
      <c r="D1837">
        <v>7.5385605698080198</v>
      </c>
      <c r="E1837">
        <v>1.3706473763287299</v>
      </c>
      <c r="F1837">
        <f t="shared" si="57"/>
        <v>2</v>
      </c>
      <c r="G1837">
        <v>0</v>
      </c>
      <c r="H1837">
        <v>0</v>
      </c>
      <c r="I1837">
        <v>2</v>
      </c>
      <c r="J1837">
        <v>0</v>
      </c>
      <c r="K1837">
        <v>0</v>
      </c>
      <c r="L1837">
        <v>0</v>
      </c>
      <c r="M1837">
        <f t="shared" si="56"/>
        <v>42</v>
      </c>
      <c r="N1837">
        <v>0</v>
      </c>
      <c r="O1837">
        <v>0</v>
      </c>
      <c r="P1837">
        <v>42</v>
      </c>
      <c r="Q1837">
        <v>0</v>
      </c>
      <c r="R1837">
        <v>0</v>
      </c>
      <c r="S1837">
        <v>0</v>
      </c>
    </row>
    <row r="1838" spans="1:19" x14ac:dyDescent="0.25">
      <c r="A1838">
        <v>18153</v>
      </c>
      <c r="B1838" t="s">
        <v>105</v>
      </c>
      <c r="C1838">
        <v>12</v>
      </c>
      <c r="D1838">
        <v>6.4126716535379904</v>
      </c>
      <c r="E1838">
        <v>1.32169568431699</v>
      </c>
      <c r="F1838">
        <f t="shared" si="57"/>
        <v>2</v>
      </c>
      <c r="G1838">
        <v>0</v>
      </c>
      <c r="H1838">
        <v>0</v>
      </c>
      <c r="I1838">
        <v>2</v>
      </c>
      <c r="J1838">
        <v>0</v>
      </c>
      <c r="K1838">
        <v>0</v>
      </c>
      <c r="L1838">
        <v>0</v>
      </c>
      <c r="M1838">
        <f t="shared" si="56"/>
        <v>42</v>
      </c>
      <c r="N1838">
        <v>0</v>
      </c>
      <c r="O1838">
        <v>0</v>
      </c>
      <c r="P1838">
        <v>42</v>
      </c>
      <c r="Q1838">
        <v>0</v>
      </c>
      <c r="R1838">
        <v>0</v>
      </c>
      <c r="S1838">
        <v>0</v>
      </c>
    </row>
    <row r="1839" spans="1:19" x14ac:dyDescent="0.25">
      <c r="A1839">
        <v>18153</v>
      </c>
      <c r="B1839" t="s">
        <v>105</v>
      </c>
      <c r="C1839">
        <v>13</v>
      </c>
      <c r="D1839">
        <v>7.4406571857845396</v>
      </c>
      <c r="E1839">
        <v>1.07693722425828</v>
      </c>
      <c r="F1839">
        <f t="shared" si="57"/>
        <v>2</v>
      </c>
      <c r="G1839">
        <v>0</v>
      </c>
      <c r="H1839">
        <v>0</v>
      </c>
      <c r="I1839">
        <v>2</v>
      </c>
      <c r="J1839">
        <v>0</v>
      </c>
      <c r="K1839">
        <v>0</v>
      </c>
      <c r="L1839">
        <v>0</v>
      </c>
      <c r="M1839">
        <f t="shared" si="56"/>
        <v>42</v>
      </c>
      <c r="N1839">
        <v>0</v>
      </c>
      <c r="O1839">
        <v>0</v>
      </c>
      <c r="P1839">
        <v>42</v>
      </c>
      <c r="Q1839">
        <v>0</v>
      </c>
      <c r="R1839">
        <v>0</v>
      </c>
      <c r="S1839">
        <v>0</v>
      </c>
    </row>
    <row r="1840" spans="1:19" x14ac:dyDescent="0.25">
      <c r="A1840">
        <v>18153</v>
      </c>
      <c r="B1840" t="s">
        <v>105</v>
      </c>
      <c r="C1840">
        <v>14</v>
      </c>
      <c r="D1840">
        <v>7.2448504177375703</v>
      </c>
      <c r="E1840">
        <v>0.88113045621132702</v>
      </c>
      <c r="F1840">
        <f t="shared" si="57"/>
        <v>2</v>
      </c>
      <c r="G1840">
        <v>0</v>
      </c>
      <c r="H1840">
        <v>0</v>
      </c>
      <c r="I1840">
        <v>2</v>
      </c>
      <c r="J1840">
        <v>0</v>
      </c>
      <c r="K1840">
        <v>0</v>
      </c>
      <c r="L1840">
        <v>0</v>
      </c>
      <c r="M1840">
        <f t="shared" si="56"/>
        <v>42</v>
      </c>
      <c r="N1840">
        <v>0</v>
      </c>
      <c r="O1840">
        <v>0</v>
      </c>
      <c r="P1840">
        <v>42</v>
      </c>
      <c r="Q1840">
        <v>0</v>
      </c>
      <c r="R1840">
        <v>0</v>
      </c>
      <c r="S1840">
        <v>0</v>
      </c>
    </row>
    <row r="1841" spans="1:19" x14ac:dyDescent="0.25">
      <c r="A1841">
        <v>18153</v>
      </c>
      <c r="B1841" t="s">
        <v>105</v>
      </c>
      <c r="C1841">
        <v>15</v>
      </c>
      <c r="D1841">
        <v>8.3217876419958596</v>
      </c>
      <c r="E1841">
        <v>0.244758460058701</v>
      </c>
      <c r="F1841">
        <f t="shared" si="57"/>
        <v>2</v>
      </c>
      <c r="G1841">
        <v>0</v>
      </c>
      <c r="H1841">
        <v>0</v>
      </c>
      <c r="I1841">
        <v>2</v>
      </c>
      <c r="J1841">
        <v>0</v>
      </c>
      <c r="K1841">
        <v>0</v>
      </c>
      <c r="L1841">
        <v>0</v>
      </c>
      <c r="M1841">
        <f t="shared" si="56"/>
        <v>42</v>
      </c>
      <c r="N1841">
        <v>0</v>
      </c>
      <c r="O1841">
        <v>0</v>
      </c>
      <c r="P1841">
        <v>42</v>
      </c>
      <c r="Q1841">
        <v>0</v>
      </c>
      <c r="R1841">
        <v>0</v>
      </c>
      <c r="S1841">
        <v>0</v>
      </c>
    </row>
    <row r="1842" spans="1:19" x14ac:dyDescent="0.25">
      <c r="A1842">
        <v>18153</v>
      </c>
      <c r="B1842" t="s">
        <v>105</v>
      </c>
      <c r="C1842">
        <v>16</v>
      </c>
      <c r="D1842">
        <v>10.377758706488899</v>
      </c>
      <c r="E1842">
        <v>0.14685507603522099</v>
      </c>
      <c r="F1842">
        <f t="shared" si="57"/>
        <v>2</v>
      </c>
      <c r="G1842">
        <v>0</v>
      </c>
      <c r="H1842">
        <v>0</v>
      </c>
      <c r="I1842">
        <v>2</v>
      </c>
      <c r="J1842">
        <v>0</v>
      </c>
      <c r="K1842">
        <v>0</v>
      </c>
      <c r="L1842">
        <v>0</v>
      </c>
      <c r="M1842">
        <f t="shared" si="56"/>
        <v>42</v>
      </c>
      <c r="N1842">
        <v>0</v>
      </c>
      <c r="O1842">
        <v>0</v>
      </c>
      <c r="P1842">
        <v>42</v>
      </c>
      <c r="Q1842">
        <v>0</v>
      </c>
      <c r="R1842">
        <v>0</v>
      </c>
      <c r="S1842">
        <v>0</v>
      </c>
    </row>
    <row r="1843" spans="1:19" x14ac:dyDescent="0.25">
      <c r="A1843">
        <v>18153</v>
      </c>
      <c r="B1843" t="s">
        <v>105</v>
      </c>
      <c r="C1843">
        <v>17</v>
      </c>
      <c r="D1843">
        <v>11.307840854712</v>
      </c>
      <c r="E1843">
        <v>0.14685507603522099</v>
      </c>
      <c r="F1843">
        <f t="shared" si="57"/>
        <v>2</v>
      </c>
      <c r="G1843">
        <v>0</v>
      </c>
      <c r="H1843">
        <v>0</v>
      </c>
      <c r="I1843">
        <v>2</v>
      </c>
      <c r="J1843">
        <v>0</v>
      </c>
      <c r="K1843">
        <v>0</v>
      </c>
      <c r="L1843">
        <v>0</v>
      </c>
      <c r="M1843">
        <f t="shared" si="56"/>
        <v>42</v>
      </c>
      <c r="N1843">
        <v>0</v>
      </c>
      <c r="O1843">
        <v>0</v>
      </c>
      <c r="P1843">
        <v>42</v>
      </c>
      <c r="Q1843">
        <v>0</v>
      </c>
      <c r="R1843">
        <v>0</v>
      </c>
      <c r="S1843">
        <v>0</v>
      </c>
    </row>
    <row r="1844" spans="1:19" x14ac:dyDescent="0.25">
      <c r="A1844">
        <v>18153</v>
      </c>
      <c r="B1844" t="s">
        <v>105</v>
      </c>
      <c r="C1844">
        <v>18</v>
      </c>
      <c r="D1844">
        <v>13.3638119192051</v>
      </c>
      <c r="E1844">
        <v>0</v>
      </c>
      <c r="F1844">
        <f t="shared" si="57"/>
        <v>2</v>
      </c>
      <c r="G1844">
        <v>0</v>
      </c>
      <c r="H1844">
        <v>0</v>
      </c>
      <c r="I1844">
        <v>2</v>
      </c>
      <c r="J1844">
        <v>0</v>
      </c>
      <c r="K1844">
        <v>0</v>
      </c>
      <c r="L1844">
        <v>0</v>
      </c>
      <c r="M1844">
        <f t="shared" si="56"/>
        <v>42</v>
      </c>
      <c r="N1844">
        <v>0</v>
      </c>
      <c r="O1844">
        <v>0</v>
      </c>
      <c r="P1844">
        <v>42</v>
      </c>
      <c r="Q1844">
        <v>0</v>
      </c>
      <c r="R1844">
        <v>0</v>
      </c>
      <c r="S1844">
        <v>0</v>
      </c>
    </row>
    <row r="1845" spans="1:19" x14ac:dyDescent="0.25">
      <c r="A1845">
        <v>18153</v>
      </c>
      <c r="B1845" t="s">
        <v>105</v>
      </c>
      <c r="C1845">
        <v>19</v>
      </c>
      <c r="D1845">
        <v>16.007203287839101</v>
      </c>
      <c r="E1845">
        <v>0</v>
      </c>
      <c r="F1845">
        <f t="shared" si="57"/>
        <v>2</v>
      </c>
      <c r="G1845">
        <v>0</v>
      </c>
      <c r="H1845">
        <v>0</v>
      </c>
      <c r="I1845">
        <v>2</v>
      </c>
      <c r="J1845">
        <v>0</v>
      </c>
      <c r="K1845">
        <v>0</v>
      </c>
      <c r="L1845">
        <v>0</v>
      </c>
      <c r="M1845">
        <f t="shared" si="56"/>
        <v>42</v>
      </c>
      <c r="N1845">
        <v>0</v>
      </c>
      <c r="O1845">
        <v>0</v>
      </c>
      <c r="P1845">
        <v>42</v>
      </c>
      <c r="Q1845">
        <v>0</v>
      </c>
      <c r="R1845">
        <v>0</v>
      </c>
      <c r="S1845">
        <v>0</v>
      </c>
    </row>
    <row r="1846" spans="1:19" x14ac:dyDescent="0.25">
      <c r="A1846">
        <v>18153</v>
      </c>
      <c r="B1846" t="s">
        <v>105</v>
      </c>
      <c r="C1846">
        <v>20</v>
      </c>
      <c r="D1846">
        <v>18.112126044343899</v>
      </c>
      <c r="E1846">
        <v>0</v>
      </c>
      <c r="F1846">
        <f t="shared" si="57"/>
        <v>2</v>
      </c>
      <c r="G1846">
        <v>0</v>
      </c>
      <c r="H1846">
        <v>0</v>
      </c>
      <c r="I1846">
        <v>2</v>
      </c>
      <c r="J1846">
        <v>0</v>
      </c>
      <c r="K1846">
        <v>0</v>
      </c>
      <c r="L1846">
        <v>0</v>
      </c>
      <c r="M1846">
        <f t="shared" si="56"/>
        <v>42</v>
      </c>
      <c r="N1846">
        <v>0</v>
      </c>
      <c r="O1846">
        <v>0</v>
      </c>
      <c r="P1846">
        <v>42</v>
      </c>
      <c r="Q1846">
        <v>0</v>
      </c>
      <c r="R1846">
        <v>0</v>
      </c>
      <c r="S1846">
        <v>0</v>
      </c>
    </row>
    <row r="1847" spans="1:19" x14ac:dyDescent="0.25">
      <c r="A1847">
        <v>18153</v>
      </c>
      <c r="B1847" t="s">
        <v>105</v>
      </c>
      <c r="C1847">
        <v>21</v>
      </c>
      <c r="D1847">
        <v>20.6086623369427</v>
      </c>
      <c r="E1847">
        <v>0</v>
      </c>
      <c r="F1847">
        <f t="shared" si="57"/>
        <v>2</v>
      </c>
      <c r="G1847">
        <v>0</v>
      </c>
      <c r="H1847">
        <v>0</v>
      </c>
      <c r="I1847">
        <v>2</v>
      </c>
      <c r="J1847">
        <v>0</v>
      </c>
      <c r="K1847">
        <v>0</v>
      </c>
      <c r="L1847">
        <v>0</v>
      </c>
      <c r="M1847">
        <f t="shared" si="56"/>
        <v>42</v>
      </c>
      <c r="N1847">
        <v>0</v>
      </c>
      <c r="O1847">
        <v>0</v>
      </c>
      <c r="P1847">
        <v>42</v>
      </c>
      <c r="Q1847">
        <v>0</v>
      </c>
      <c r="R1847">
        <v>0</v>
      </c>
      <c r="S1847">
        <v>0</v>
      </c>
    </row>
    <row r="1848" spans="1:19" x14ac:dyDescent="0.25">
      <c r="A1848">
        <v>18153</v>
      </c>
      <c r="B1848" t="s">
        <v>105</v>
      </c>
      <c r="C1848">
        <v>22</v>
      </c>
      <c r="D1848">
        <v>22.6646334014358</v>
      </c>
      <c r="E1848">
        <v>0</v>
      </c>
      <c r="F1848">
        <f t="shared" si="57"/>
        <v>2</v>
      </c>
      <c r="G1848">
        <v>0</v>
      </c>
      <c r="H1848">
        <v>0</v>
      </c>
      <c r="I1848">
        <v>2</v>
      </c>
      <c r="J1848">
        <v>0</v>
      </c>
      <c r="K1848">
        <v>0</v>
      </c>
      <c r="L1848">
        <v>0</v>
      </c>
      <c r="M1848">
        <f t="shared" si="56"/>
        <v>42</v>
      </c>
      <c r="N1848">
        <v>0</v>
      </c>
      <c r="O1848">
        <v>0</v>
      </c>
      <c r="P1848">
        <v>42</v>
      </c>
      <c r="Q1848">
        <v>0</v>
      </c>
      <c r="R1848">
        <v>0</v>
      </c>
      <c r="S1848">
        <v>0</v>
      </c>
    </row>
    <row r="1849" spans="1:19" x14ac:dyDescent="0.25">
      <c r="A1849">
        <v>18153</v>
      </c>
      <c r="B1849" t="s">
        <v>105</v>
      </c>
      <c r="C1849">
        <v>23</v>
      </c>
      <c r="D1849">
        <v>24.426894313858401</v>
      </c>
      <c r="E1849">
        <v>0</v>
      </c>
      <c r="F1849">
        <f t="shared" si="57"/>
        <v>2</v>
      </c>
      <c r="G1849">
        <v>0</v>
      </c>
      <c r="H1849">
        <v>0</v>
      </c>
      <c r="I1849">
        <v>2</v>
      </c>
      <c r="J1849">
        <v>0</v>
      </c>
      <c r="K1849">
        <v>0</v>
      </c>
      <c r="L1849">
        <v>0</v>
      </c>
      <c r="M1849">
        <f t="shared" si="56"/>
        <v>42</v>
      </c>
      <c r="N1849">
        <v>0</v>
      </c>
      <c r="O1849">
        <v>0</v>
      </c>
      <c r="P1849">
        <v>42</v>
      </c>
      <c r="Q1849">
        <v>0</v>
      </c>
      <c r="R1849">
        <v>0</v>
      </c>
      <c r="S1849">
        <v>0</v>
      </c>
    </row>
    <row r="1850" spans="1:19" x14ac:dyDescent="0.25">
      <c r="A1850">
        <v>18155</v>
      </c>
      <c r="B1850" t="s">
        <v>106</v>
      </c>
      <c r="C1850">
        <v>0</v>
      </c>
      <c r="D1850">
        <v>0</v>
      </c>
      <c r="E1850">
        <v>0</v>
      </c>
      <c r="F1850">
        <f t="shared" si="57"/>
        <v>0</v>
      </c>
      <c r="G1850">
        <v>0</v>
      </c>
      <c r="H1850">
        <v>0</v>
      </c>
      <c r="I1850">
        <v>0</v>
      </c>
      <c r="J1850">
        <v>0</v>
      </c>
      <c r="K1850">
        <v>0</v>
      </c>
      <c r="L1850">
        <v>0</v>
      </c>
      <c r="M1850">
        <f t="shared" si="56"/>
        <v>0</v>
      </c>
      <c r="N1850">
        <v>0</v>
      </c>
      <c r="O1850">
        <v>0</v>
      </c>
      <c r="P1850">
        <v>0</v>
      </c>
      <c r="Q1850">
        <v>0</v>
      </c>
      <c r="R1850">
        <v>0</v>
      </c>
      <c r="S1850">
        <v>0</v>
      </c>
    </row>
    <row r="1851" spans="1:19" x14ac:dyDescent="0.25">
      <c r="A1851">
        <v>18155</v>
      </c>
      <c r="B1851" t="s">
        <v>106</v>
      </c>
      <c r="C1851">
        <v>1</v>
      </c>
      <c r="D1851">
        <v>0</v>
      </c>
      <c r="E1851">
        <v>0</v>
      </c>
      <c r="F1851">
        <f t="shared" si="57"/>
        <v>0</v>
      </c>
      <c r="G1851">
        <v>0</v>
      </c>
      <c r="H1851">
        <v>0</v>
      </c>
      <c r="I1851">
        <v>0</v>
      </c>
      <c r="J1851">
        <v>0</v>
      </c>
      <c r="K1851">
        <v>0</v>
      </c>
      <c r="L1851">
        <v>0</v>
      </c>
      <c r="M1851">
        <f t="shared" si="56"/>
        <v>0</v>
      </c>
      <c r="N1851">
        <v>0</v>
      </c>
      <c r="O1851">
        <v>0</v>
      </c>
      <c r="P1851">
        <v>0</v>
      </c>
      <c r="Q1851">
        <v>0</v>
      </c>
      <c r="R1851">
        <v>0</v>
      </c>
      <c r="S1851">
        <v>0</v>
      </c>
    </row>
    <row r="1852" spans="1:19" x14ac:dyDescent="0.25">
      <c r="A1852">
        <v>18155</v>
      </c>
      <c r="B1852" t="s">
        <v>106</v>
      </c>
      <c r="C1852">
        <v>2</v>
      </c>
      <c r="D1852">
        <v>0</v>
      </c>
      <c r="E1852">
        <v>0</v>
      </c>
      <c r="F1852">
        <f t="shared" si="57"/>
        <v>0</v>
      </c>
      <c r="G1852">
        <v>0</v>
      </c>
      <c r="H1852">
        <v>0</v>
      </c>
      <c r="I1852">
        <v>0</v>
      </c>
      <c r="J1852">
        <v>0</v>
      </c>
      <c r="K1852">
        <v>0</v>
      </c>
      <c r="L1852">
        <v>0</v>
      </c>
      <c r="M1852">
        <f t="shared" si="56"/>
        <v>0</v>
      </c>
      <c r="N1852">
        <v>0</v>
      </c>
      <c r="O1852">
        <v>0</v>
      </c>
      <c r="P1852">
        <v>0</v>
      </c>
      <c r="Q1852">
        <v>0</v>
      </c>
      <c r="R1852">
        <v>0</v>
      </c>
      <c r="S1852">
        <v>0</v>
      </c>
    </row>
    <row r="1853" spans="1:19" x14ac:dyDescent="0.25">
      <c r="A1853">
        <v>18155</v>
      </c>
      <c r="B1853" t="s">
        <v>106</v>
      </c>
      <c r="C1853">
        <v>3</v>
      </c>
      <c r="D1853">
        <v>0</v>
      </c>
      <c r="E1853">
        <v>0</v>
      </c>
      <c r="F1853">
        <f t="shared" si="57"/>
        <v>0</v>
      </c>
      <c r="G1853">
        <v>0</v>
      </c>
      <c r="H1853">
        <v>0</v>
      </c>
      <c r="I1853">
        <v>0</v>
      </c>
      <c r="J1853">
        <v>0</v>
      </c>
      <c r="K1853">
        <v>0</v>
      </c>
      <c r="L1853">
        <v>0</v>
      </c>
      <c r="M1853">
        <f t="shared" si="56"/>
        <v>0</v>
      </c>
      <c r="N1853">
        <v>0</v>
      </c>
      <c r="O1853">
        <v>0</v>
      </c>
      <c r="P1853">
        <v>0</v>
      </c>
      <c r="Q1853">
        <v>0</v>
      </c>
      <c r="R1853">
        <v>0</v>
      </c>
      <c r="S1853">
        <v>0</v>
      </c>
    </row>
    <row r="1854" spans="1:19" x14ac:dyDescent="0.25">
      <c r="A1854">
        <v>18155</v>
      </c>
      <c r="B1854" t="s">
        <v>106</v>
      </c>
      <c r="C1854">
        <v>4</v>
      </c>
      <c r="D1854">
        <v>0</v>
      </c>
      <c r="E1854">
        <v>0</v>
      </c>
      <c r="F1854">
        <f t="shared" si="57"/>
        <v>0</v>
      </c>
      <c r="G1854">
        <v>0</v>
      </c>
      <c r="H1854">
        <v>0</v>
      </c>
      <c r="I1854">
        <v>0</v>
      </c>
      <c r="J1854">
        <v>0</v>
      </c>
      <c r="K1854">
        <v>0</v>
      </c>
      <c r="L1854">
        <v>0</v>
      </c>
      <c r="M1854">
        <f t="shared" si="56"/>
        <v>0</v>
      </c>
      <c r="N1854">
        <v>0</v>
      </c>
      <c r="O1854">
        <v>0</v>
      </c>
      <c r="P1854">
        <v>0</v>
      </c>
      <c r="Q1854">
        <v>0</v>
      </c>
      <c r="R1854">
        <v>0</v>
      </c>
      <c r="S1854">
        <v>0</v>
      </c>
    </row>
    <row r="1855" spans="1:19" x14ac:dyDescent="0.25">
      <c r="A1855">
        <v>18155</v>
      </c>
      <c r="B1855" t="s">
        <v>106</v>
      </c>
      <c r="C1855">
        <v>5</v>
      </c>
      <c r="D1855">
        <v>0</v>
      </c>
      <c r="E1855">
        <v>0</v>
      </c>
      <c r="F1855">
        <f t="shared" si="57"/>
        <v>0</v>
      </c>
      <c r="G1855">
        <v>0</v>
      </c>
      <c r="H1855">
        <v>0</v>
      </c>
      <c r="I1855">
        <v>0</v>
      </c>
      <c r="J1855">
        <v>0</v>
      </c>
      <c r="K1855">
        <v>0</v>
      </c>
      <c r="L1855">
        <v>0</v>
      </c>
      <c r="M1855">
        <f t="shared" si="56"/>
        <v>0</v>
      </c>
      <c r="N1855">
        <v>0</v>
      </c>
      <c r="O1855">
        <v>0</v>
      </c>
      <c r="P1855">
        <v>0</v>
      </c>
      <c r="Q1855">
        <v>0</v>
      </c>
      <c r="R1855">
        <v>0</v>
      </c>
      <c r="S1855">
        <v>0</v>
      </c>
    </row>
    <row r="1856" spans="1:19" x14ac:dyDescent="0.25">
      <c r="A1856">
        <v>18155</v>
      </c>
      <c r="B1856" t="s">
        <v>106</v>
      </c>
      <c r="C1856">
        <v>6</v>
      </c>
      <c r="D1856">
        <v>0</v>
      </c>
      <c r="E1856">
        <v>0</v>
      </c>
      <c r="F1856">
        <f t="shared" si="57"/>
        <v>0</v>
      </c>
      <c r="G1856">
        <v>0</v>
      </c>
      <c r="H1856">
        <v>0</v>
      </c>
      <c r="I1856">
        <v>0</v>
      </c>
      <c r="J1856">
        <v>0</v>
      </c>
      <c r="K1856">
        <v>0</v>
      </c>
      <c r="L1856">
        <v>0</v>
      </c>
      <c r="M1856">
        <f t="shared" si="56"/>
        <v>0</v>
      </c>
      <c r="N1856">
        <v>0</v>
      </c>
      <c r="O1856">
        <v>0</v>
      </c>
      <c r="P1856">
        <v>0</v>
      </c>
      <c r="Q1856">
        <v>0</v>
      </c>
      <c r="R1856">
        <v>0</v>
      </c>
      <c r="S1856">
        <v>0</v>
      </c>
    </row>
    <row r="1857" spans="1:19" x14ac:dyDescent="0.25">
      <c r="A1857">
        <v>18155</v>
      </c>
      <c r="B1857" t="s">
        <v>106</v>
      </c>
      <c r="C1857">
        <v>7</v>
      </c>
      <c r="D1857">
        <v>0</v>
      </c>
      <c r="E1857">
        <v>0</v>
      </c>
      <c r="F1857">
        <f t="shared" si="57"/>
        <v>0</v>
      </c>
      <c r="G1857">
        <v>0</v>
      </c>
      <c r="H1857">
        <v>0</v>
      </c>
      <c r="I1857">
        <v>0</v>
      </c>
      <c r="J1857">
        <v>0</v>
      </c>
      <c r="K1857">
        <v>0</v>
      </c>
      <c r="L1857">
        <v>0</v>
      </c>
      <c r="M1857">
        <f t="shared" si="56"/>
        <v>0</v>
      </c>
      <c r="N1857">
        <v>0</v>
      </c>
      <c r="O1857">
        <v>0</v>
      </c>
      <c r="P1857">
        <v>0</v>
      </c>
      <c r="Q1857">
        <v>0</v>
      </c>
      <c r="R1857">
        <v>0</v>
      </c>
      <c r="S1857">
        <v>0</v>
      </c>
    </row>
    <row r="1858" spans="1:19" x14ac:dyDescent="0.25">
      <c r="A1858">
        <v>18155</v>
      </c>
      <c r="B1858" t="s">
        <v>106</v>
      </c>
      <c r="C1858">
        <v>8</v>
      </c>
      <c r="D1858">
        <v>0</v>
      </c>
      <c r="E1858">
        <v>0</v>
      </c>
      <c r="F1858">
        <f t="shared" si="57"/>
        <v>0</v>
      </c>
      <c r="G1858">
        <v>0</v>
      </c>
      <c r="H1858">
        <v>0</v>
      </c>
      <c r="I1858">
        <v>0</v>
      </c>
      <c r="J1858">
        <v>0</v>
      </c>
      <c r="K1858">
        <v>0</v>
      </c>
      <c r="L1858">
        <v>0</v>
      </c>
      <c r="M1858">
        <f t="shared" ref="M1858:M1921" si="58">SUM(N1858:S1858)</f>
        <v>0</v>
      </c>
      <c r="N1858">
        <v>0</v>
      </c>
      <c r="O1858">
        <v>0</v>
      </c>
      <c r="P1858">
        <v>0</v>
      </c>
      <c r="Q1858">
        <v>0</v>
      </c>
      <c r="R1858">
        <v>0</v>
      </c>
      <c r="S1858">
        <v>0</v>
      </c>
    </row>
    <row r="1859" spans="1:19" x14ac:dyDescent="0.25">
      <c r="A1859">
        <v>18155</v>
      </c>
      <c r="B1859" t="s">
        <v>106</v>
      </c>
      <c r="C1859">
        <v>9</v>
      </c>
      <c r="D1859">
        <v>0</v>
      </c>
      <c r="E1859">
        <v>0</v>
      </c>
      <c r="F1859">
        <f t="shared" ref="F1859:F1922" si="59">SUM(G1859:L1859)</f>
        <v>0</v>
      </c>
      <c r="G1859">
        <v>0</v>
      </c>
      <c r="H1859">
        <v>0</v>
      </c>
      <c r="I1859">
        <v>0</v>
      </c>
      <c r="J1859">
        <v>0</v>
      </c>
      <c r="K1859">
        <v>0</v>
      </c>
      <c r="L1859">
        <v>0</v>
      </c>
      <c r="M1859">
        <f t="shared" si="58"/>
        <v>0</v>
      </c>
      <c r="N1859">
        <v>0</v>
      </c>
      <c r="O1859">
        <v>0</v>
      </c>
      <c r="P1859">
        <v>0</v>
      </c>
      <c r="Q1859">
        <v>0</v>
      </c>
      <c r="R1859">
        <v>0</v>
      </c>
      <c r="S1859">
        <v>0</v>
      </c>
    </row>
    <row r="1860" spans="1:19" x14ac:dyDescent="0.25">
      <c r="A1860">
        <v>18155</v>
      </c>
      <c r="B1860" t="s">
        <v>106</v>
      </c>
      <c r="C1860">
        <v>10</v>
      </c>
      <c r="D1860">
        <v>0</v>
      </c>
      <c r="E1860">
        <v>0</v>
      </c>
      <c r="F1860">
        <f t="shared" si="59"/>
        <v>0</v>
      </c>
      <c r="G1860">
        <v>0</v>
      </c>
      <c r="H1860">
        <v>0</v>
      </c>
      <c r="I1860">
        <v>0</v>
      </c>
      <c r="J1860">
        <v>0</v>
      </c>
      <c r="K1860">
        <v>0</v>
      </c>
      <c r="L1860">
        <v>0</v>
      </c>
      <c r="M1860">
        <f t="shared" si="58"/>
        <v>0</v>
      </c>
      <c r="N1860">
        <v>0</v>
      </c>
      <c r="O1860">
        <v>0</v>
      </c>
      <c r="P1860">
        <v>0</v>
      </c>
      <c r="Q1860">
        <v>0</v>
      </c>
      <c r="R1860">
        <v>0</v>
      </c>
      <c r="S1860">
        <v>0</v>
      </c>
    </row>
    <row r="1861" spans="1:19" x14ac:dyDescent="0.25">
      <c r="A1861">
        <v>18155</v>
      </c>
      <c r="B1861" t="s">
        <v>106</v>
      </c>
      <c r="C1861">
        <v>11</v>
      </c>
      <c r="D1861">
        <v>0</v>
      </c>
      <c r="E1861">
        <v>0</v>
      </c>
      <c r="F1861">
        <f t="shared" si="59"/>
        <v>0</v>
      </c>
      <c r="G1861">
        <v>0</v>
      </c>
      <c r="H1861">
        <v>0</v>
      </c>
      <c r="I1861">
        <v>0</v>
      </c>
      <c r="J1861">
        <v>0</v>
      </c>
      <c r="K1861">
        <v>0</v>
      </c>
      <c r="L1861">
        <v>0</v>
      </c>
      <c r="M1861">
        <f t="shared" si="58"/>
        <v>0</v>
      </c>
      <c r="N1861">
        <v>0</v>
      </c>
      <c r="O1861">
        <v>0</v>
      </c>
      <c r="P1861">
        <v>0</v>
      </c>
      <c r="Q1861">
        <v>0</v>
      </c>
      <c r="R1861">
        <v>0</v>
      </c>
      <c r="S1861">
        <v>0</v>
      </c>
    </row>
    <row r="1862" spans="1:19" x14ac:dyDescent="0.25">
      <c r="A1862">
        <v>18155</v>
      </c>
      <c r="B1862" t="s">
        <v>106</v>
      </c>
      <c r="C1862">
        <v>12</v>
      </c>
      <c r="D1862">
        <v>0</v>
      </c>
      <c r="E1862">
        <v>0</v>
      </c>
      <c r="F1862">
        <f t="shared" si="59"/>
        <v>0</v>
      </c>
      <c r="G1862">
        <v>0</v>
      </c>
      <c r="H1862">
        <v>0</v>
      </c>
      <c r="I1862">
        <v>0</v>
      </c>
      <c r="J1862">
        <v>0</v>
      </c>
      <c r="K1862">
        <v>0</v>
      </c>
      <c r="L1862">
        <v>0</v>
      </c>
      <c r="M1862">
        <f t="shared" si="58"/>
        <v>0</v>
      </c>
      <c r="N1862">
        <v>0</v>
      </c>
      <c r="O1862">
        <v>0</v>
      </c>
      <c r="P1862">
        <v>0</v>
      </c>
      <c r="Q1862">
        <v>0</v>
      </c>
      <c r="R1862">
        <v>0</v>
      </c>
      <c r="S1862">
        <v>0</v>
      </c>
    </row>
    <row r="1863" spans="1:19" x14ac:dyDescent="0.25">
      <c r="A1863">
        <v>18155</v>
      </c>
      <c r="B1863" t="s">
        <v>106</v>
      </c>
      <c r="C1863">
        <v>13</v>
      </c>
      <c r="D1863">
        <v>0</v>
      </c>
      <c r="E1863">
        <v>0</v>
      </c>
      <c r="F1863">
        <f t="shared" si="59"/>
        <v>0</v>
      </c>
      <c r="G1863">
        <v>0</v>
      </c>
      <c r="H1863">
        <v>0</v>
      </c>
      <c r="I1863">
        <v>0</v>
      </c>
      <c r="J1863">
        <v>0</v>
      </c>
      <c r="K1863">
        <v>0</v>
      </c>
      <c r="L1863">
        <v>0</v>
      </c>
      <c r="M1863">
        <f t="shared" si="58"/>
        <v>0</v>
      </c>
      <c r="N1863">
        <v>0</v>
      </c>
      <c r="O1863">
        <v>0</v>
      </c>
      <c r="P1863">
        <v>0</v>
      </c>
      <c r="Q1863">
        <v>0</v>
      </c>
      <c r="R1863">
        <v>0</v>
      </c>
      <c r="S1863">
        <v>0</v>
      </c>
    </row>
    <row r="1864" spans="1:19" x14ac:dyDescent="0.25">
      <c r="A1864">
        <v>18155</v>
      </c>
      <c r="B1864" t="s">
        <v>106</v>
      </c>
      <c r="C1864">
        <v>14</v>
      </c>
      <c r="D1864">
        <v>0</v>
      </c>
      <c r="E1864">
        <v>0</v>
      </c>
      <c r="F1864">
        <f t="shared" si="59"/>
        <v>0</v>
      </c>
      <c r="G1864">
        <v>0</v>
      </c>
      <c r="H1864">
        <v>0</v>
      </c>
      <c r="I1864">
        <v>0</v>
      </c>
      <c r="J1864">
        <v>0</v>
      </c>
      <c r="K1864">
        <v>0</v>
      </c>
      <c r="L1864">
        <v>0</v>
      </c>
      <c r="M1864">
        <f t="shared" si="58"/>
        <v>0</v>
      </c>
      <c r="N1864">
        <v>0</v>
      </c>
      <c r="O1864">
        <v>0</v>
      </c>
      <c r="P1864">
        <v>0</v>
      </c>
      <c r="Q1864">
        <v>0</v>
      </c>
      <c r="R1864">
        <v>0</v>
      </c>
      <c r="S1864">
        <v>0</v>
      </c>
    </row>
    <row r="1865" spans="1:19" x14ac:dyDescent="0.25">
      <c r="A1865">
        <v>18155</v>
      </c>
      <c r="B1865" t="s">
        <v>106</v>
      </c>
      <c r="C1865">
        <v>15</v>
      </c>
      <c r="D1865">
        <v>0</v>
      </c>
      <c r="E1865">
        <v>0</v>
      </c>
      <c r="F1865">
        <f t="shared" si="59"/>
        <v>0</v>
      </c>
      <c r="G1865">
        <v>0</v>
      </c>
      <c r="H1865">
        <v>0</v>
      </c>
      <c r="I1865">
        <v>0</v>
      </c>
      <c r="J1865">
        <v>0</v>
      </c>
      <c r="K1865">
        <v>0</v>
      </c>
      <c r="L1865">
        <v>0</v>
      </c>
      <c r="M1865">
        <f t="shared" si="58"/>
        <v>0</v>
      </c>
      <c r="N1865">
        <v>0</v>
      </c>
      <c r="O1865">
        <v>0</v>
      </c>
      <c r="P1865">
        <v>0</v>
      </c>
      <c r="Q1865">
        <v>0</v>
      </c>
      <c r="R1865">
        <v>0</v>
      </c>
      <c r="S1865">
        <v>0</v>
      </c>
    </row>
    <row r="1866" spans="1:19" x14ac:dyDescent="0.25">
      <c r="A1866">
        <v>18155</v>
      </c>
      <c r="B1866" t="s">
        <v>106</v>
      </c>
      <c r="C1866">
        <v>16</v>
      </c>
      <c r="D1866">
        <v>0</v>
      </c>
      <c r="E1866">
        <v>0</v>
      </c>
      <c r="F1866">
        <f t="shared" si="59"/>
        <v>0</v>
      </c>
      <c r="G1866">
        <v>0</v>
      </c>
      <c r="H1866">
        <v>0</v>
      </c>
      <c r="I1866">
        <v>0</v>
      </c>
      <c r="J1866">
        <v>0</v>
      </c>
      <c r="K1866">
        <v>0</v>
      </c>
      <c r="L1866">
        <v>0</v>
      </c>
      <c r="M1866">
        <f t="shared" si="58"/>
        <v>0</v>
      </c>
      <c r="N1866">
        <v>0</v>
      </c>
      <c r="O1866">
        <v>0</v>
      </c>
      <c r="P1866">
        <v>0</v>
      </c>
      <c r="Q1866">
        <v>0</v>
      </c>
      <c r="R1866">
        <v>0</v>
      </c>
      <c r="S1866">
        <v>0</v>
      </c>
    </row>
    <row r="1867" spans="1:19" x14ac:dyDescent="0.25">
      <c r="A1867">
        <v>18155</v>
      </c>
      <c r="B1867" t="s">
        <v>106</v>
      </c>
      <c r="C1867">
        <v>17</v>
      </c>
      <c r="D1867">
        <v>0</v>
      </c>
      <c r="E1867">
        <v>0</v>
      </c>
      <c r="F1867">
        <f t="shared" si="59"/>
        <v>0</v>
      </c>
      <c r="G1867">
        <v>0</v>
      </c>
      <c r="H1867">
        <v>0</v>
      </c>
      <c r="I1867">
        <v>0</v>
      </c>
      <c r="J1867">
        <v>0</v>
      </c>
      <c r="K1867">
        <v>0</v>
      </c>
      <c r="L1867">
        <v>0</v>
      </c>
      <c r="M1867">
        <f t="shared" si="58"/>
        <v>0</v>
      </c>
      <c r="N1867">
        <v>0</v>
      </c>
      <c r="O1867">
        <v>0</v>
      </c>
      <c r="P1867">
        <v>0</v>
      </c>
      <c r="Q1867">
        <v>0</v>
      </c>
      <c r="R1867">
        <v>0</v>
      </c>
      <c r="S1867">
        <v>0</v>
      </c>
    </row>
    <row r="1868" spans="1:19" x14ac:dyDescent="0.25">
      <c r="A1868">
        <v>18155</v>
      </c>
      <c r="B1868" t="s">
        <v>106</v>
      </c>
      <c r="C1868">
        <v>18</v>
      </c>
      <c r="D1868">
        <v>0</v>
      </c>
      <c r="E1868">
        <v>0</v>
      </c>
      <c r="F1868">
        <f t="shared" si="59"/>
        <v>0</v>
      </c>
      <c r="G1868">
        <v>0</v>
      </c>
      <c r="H1868">
        <v>0</v>
      </c>
      <c r="I1868">
        <v>0</v>
      </c>
      <c r="J1868">
        <v>0</v>
      </c>
      <c r="K1868">
        <v>0</v>
      </c>
      <c r="L1868">
        <v>0</v>
      </c>
      <c r="M1868">
        <f t="shared" si="58"/>
        <v>0</v>
      </c>
      <c r="N1868">
        <v>0</v>
      </c>
      <c r="O1868">
        <v>0</v>
      </c>
      <c r="P1868">
        <v>0</v>
      </c>
      <c r="Q1868">
        <v>0</v>
      </c>
      <c r="R1868">
        <v>0</v>
      </c>
      <c r="S1868">
        <v>0</v>
      </c>
    </row>
    <row r="1869" spans="1:19" x14ac:dyDescent="0.25">
      <c r="A1869">
        <v>18155</v>
      </c>
      <c r="B1869" t="s">
        <v>106</v>
      </c>
      <c r="C1869">
        <v>19</v>
      </c>
      <c r="D1869">
        <v>0</v>
      </c>
      <c r="E1869">
        <v>0</v>
      </c>
      <c r="F1869">
        <f t="shared" si="59"/>
        <v>0</v>
      </c>
      <c r="G1869">
        <v>0</v>
      </c>
      <c r="H1869">
        <v>0</v>
      </c>
      <c r="I1869">
        <v>0</v>
      </c>
      <c r="J1869">
        <v>0</v>
      </c>
      <c r="K1869">
        <v>0</v>
      </c>
      <c r="L1869">
        <v>0</v>
      </c>
      <c r="M1869">
        <f t="shared" si="58"/>
        <v>0</v>
      </c>
      <c r="N1869">
        <v>0</v>
      </c>
      <c r="O1869">
        <v>0</v>
      </c>
      <c r="P1869">
        <v>0</v>
      </c>
      <c r="Q1869">
        <v>0</v>
      </c>
      <c r="R1869">
        <v>0</v>
      </c>
      <c r="S1869">
        <v>0</v>
      </c>
    </row>
    <row r="1870" spans="1:19" x14ac:dyDescent="0.25">
      <c r="A1870">
        <v>18155</v>
      </c>
      <c r="B1870" t="s">
        <v>106</v>
      </c>
      <c r="C1870">
        <v>20</v>
      </c>
      <c r="D1870">
        <v>0</v>
      </c>
      <c r="E1870">
        <v>0</v>
      </c>
      <c r="F1870">
        <f t="shared" si="59"/>
        <v>0</v>
      </c>
      <c r="G1870">
        <v>0</v>
      </c>
      <c r="H1870">
        <v>0</v>
      </c>
      <c r="I1870">
        <v>0</v>
      </c>
      <c r="J1870">
        <v>0</v>
      </c>
      <c r="K1870">
        <v>0</v>
      </c>
      <c r="L1870">
        <v>0</v>
      </c>
      <c r="M1870">
        <f t="shared" si="58"/>
        <v>0</v>
      </c>
      <c r="N1870">
        <v>0</v>
      </c>
      <c r="O1870">
        <v>0</v>
      </c>
      <c r="P1870">
        <v>0</v>
      </c>
      <c r="Q1870">
        <v>0</v>
      </c>
      <c r="R1870">
        <v>0</v>
      </c>
      <c r="S1870">
        <v>0</v>
      </c>
    </row>
    <row r="1871" spans="1:19" x14ac:dyDescent="0.25">
      <c r="A1871">
        <v>18155</v>
      </c>
      <c r="B1871" t="s">
        <v>106</v>
      </c>
      <c r="C1871">
        <v>21</v>
      </c>
      <c r="D1871">
        <v>0</v>
      </c>
      <c r="E1871">
        <v>0</v>
      </c>
      <c r="F1871">
        <f t="shared" si="59"/>
        <v>0</v>
      </c>
      <c r="G1871">
        <v>0</v>
      </c>
      <c r="H1871">
        <v>0</v>
      </c>
      <c r="I1871">
        <v>0</v>
      </c>
      <c r="J1871">
        <v>0</v>
      </c>
      <c r="K1871">
        <v>0</v>
      </c>
      <c r="L1871">
        <v>0</v>
      </c>
      <c r="M1871">
        <f t="shared" si="58"/>
        <v>0</v>
      </c>
      <c r="N1871">
        <v>0</v>
      </c>
      <c r="O1871">
        <v>0</v>
      </c>
      <c r="P1871">
        <v>0</v>
      </c>
      <c r="Q1871">
        <v>0</v>
      </c>
      <c r="R1871">
        <v>0</v>
      </c>
      <c r="S1871">
        <v>0</v>
      </c>
    </row>
    <row r="1872" spans="1:19" x14ac:dyDescent="0.25">
      <c r="A1872">
        <v>18155</v>
      </c>
      <c r="B1872" t="s">
        <v>106</v>
      </c>
      <c r="C1872">
        <v>22</v>
      </c>
      <c r="D1872">
        <v>0</v>
      </c>
      <c r="E1872">
        <v>0</v>
      </c>
      <c r="F1872">
        <f t="shared" si="59"/>
        <v>0</v>
      </c>
      <c r="G1872">
        <v>0</v>
      </c>
      <c r="H1872">
        <v>0</v>
      </c>
      <c r="I1872">
        <v>0</v>
      </c>
      <c r="J1872">
        <v>0</v>
      </c>
      <c r="K1872">
        <v>0</v>
      </c>
      <c r="L1872">
        <v>0</v>
      </c>
      <c r="M1872">
        <f t="shared" si="58"/>
        <v>0</v>
      </c>
      <c r="N1872">
        <v>0</v>
      </c>
      <c r="O1872">
        <v>0</v>
      </c>
      <c r="P1872">
        <v>0</v>
      </c>
      <c r="Q1872">
        <v>0</v>
      </c>
      <c r="R1872">
        <v>0</v>
      </c>
      <c r="S1872">
        <v>0</v>
      </c>
    </row>
    <row r="1873" spans="1:19" x14ac:dyDescent="0.25">
      <c r="A1873">
        <v>18155</v>
      </c>
      <c r="B1873" t="s">
        <v>106</v>
      </c>
      <c r="C1873">
        <v>23</v>
      </c>
      <c r="D1873">
        <v>0</v>
      </c>
      <c r="E1873">
        <v>0</v>
      </c>
      <c r="F1873">
        <f t="shared" si="59"/>
        <v>0</v>
      </c>
      <c r="G1873">
        <v>0</v>
      </c>
      <c r="H1873">
        <v>0</v>
      </c>
      <c r="I1873">
        <v>0</v>
      </c>
      <c r="J1873">
        <v>0</v>
      </c>
      <c r="K1873">
        <v>0</v>
      </c>
      <c r="L1873">
        <v>0</v>
      </c>
      <c r="M1873">
        <f t="shared" si="58"/>
        <v>0</v>
      </c>
      <c r="N1873">
        <v>0</v>
      </c>
      <c r="O1873">
        <v>0</v>
      </c>
      <c r="P1873">
        <v>0</v>
      </c>
      <c r="Q1873">
        <v>0</v>
      </c>
      <c r="R1873">
        <v>0</v>
      </c>
      <c r="S1873">
        <v>0</v>
      </c>
    </row>
    <row r="1874" spans="1:19" x14ac:dyDescent="0.25">
      <c r="A1874">
        <v>18157</v>
      </c>
      <c r="B1874" t="s">
        <v>107</v>
      </c>
      <c r="C1874">
        <v>0</v>
      </c>
      <c r="D1874">
        <v>103.22995951417001</v>
      </c>
      <c r="E1874">
        <v>14.4564777327935</v>
      </c>
      <c r="F1874">
        <f t="shared" si="59"/>
        <v>3</v>
      </c>
      <c r="G1874">
        <v>0</v>
      </c>
      <c r="H1874">
        <v>1</v>
      </c>
      <c r="I1874">
        <v>2</v>
      </c>
      <c r="J1874">
        <v>0</v>
      </c>
      <c r="K1874">
        <v>0</v>
      </c>
      <c r="L1874">
        <v>0</v>
      </c>
      <c r="M1874">
        <f t="shared" si="58"/>
        <v>92</v>
      </c>
      <c r="N1874">
        <v>0</v>
      </c>
      <c r="O1874">
        <v>64</v>
      </c>
      <c r="P1874">
        <v>28</v>
      </c>
      <c r="Q1874">
        <v>0</v>
      </c>
      <c r="R1874">
        <v>0</v>
      </c>
      <c r="S1874">
        <v>0</v>
      </c>
    </row>
    <row r="1875" spans="1:19" x14ac:dyDescent="0.25">
      <c r="A1875">
        <v>18157</v>
      </c>
      <c r="B1875" t="s">
        <v>107</v>
      </c>
      <c r="C1875">
        <v>1</v>
      </c>
      <c r="D1875">
        <v>103.908164642375</v>
      </c>
      <c r="E1875">
        <v>16.276923076923001</v>
      </c>
      <c r="F1875">
        <f t="shared" si="59"/>
        <v>3</v>
      </c>
      <c r="G1875">
        <v>0</v>
      </c>
      <c r="H1875">
        <v>1</v>
      </c>
      <c r="I1875">
        <v>2</v>
      </c>
      <c r="J1875">
        <v>0</v>
      </c>
      <c r="K1875">
        <v>0</v>
      </c>
      <c r="L1875">
        <v>0</v>
      </c>
      <c r="M1875">
        <f t="shared" si="58"/>
        <v>92</v>
      </c>
      <c r="N1875">
        <v>0</v>
      </c>
      <c r="O1875">
        <v>64</v>
      </c>
      <c r="P1875">
        <v>28</v>
      </c>
      <c r="Q1875">
        <v>0</v>
      </c>
      <c r="R1875">
        <v>0</v>
      </c>
      <c r="S1875">
        <v>0</v>
      </c>
    </row>
    <row r="1876" spans="1:19" x14ac:dyDescent="0.25">
      <c r="A1876">
        <v>18157</v>
      </c>
      <c r="B1876" t="s">
        <v>107</v>
      </c>
      <c r="C1876">
        <v>2</v>
      </c>
      <c r="D1876">
        <v>105.799999999999</v>
      </c>
      <c r="E1876">
        <v>17.383468286099799</v>
      </c>
      <c r="F1876">
        <f t="shared" si="59"/>
        <v>3</v>
      </c>
      <c r="G1876">
        <v>0</v>
      </c>
      <c r="H1876">
        <v>1</v>
      </c>
      <c r="I1876">
        <v>2</v>
      </c>
      <c r="J1876">
        <v>0</v>
      </c>
      <c r="K1876">
        <v>0</v>
      </c>
      <c r="L1876">
        <v>0</v>
      </c>
      <c r="M1876">
        <f t="shared" si="58"/>
        <v>92</v>
      </c>
      <c r="N1876">
        <v>0</v>
      </c>
      <c r="O1876">
        <v>64</v>
      </c>
      <c r="P1876">
        <v>28</v>
      </c>
      <c r="Q1876">
        <v>0</v>
      </c>
      <c r="R1876">
        <v>0</v>
      </c>
      <c r="S1876">
        <v>0</v>
      </c>
    </row>
    <row r="1877" spans="1:19" x14ac:dyDescent="0.25">
      <c r="A1877">
        <v>18157</v>
      </c>
      <c r="B1877" t="s">
        <v>107</v>
      </c>
      <c r="C1877">
        <v>3</v>
      </c>
      <c r="D1877">
        <v>103.22995951417001</v>
      </c>
      <c r="E1877">
        <v>18.347233468285999</v>
      </c>
      <c r="F1877">
        <f t="shared" si="59"/>
        <v>3</v>
      </c>
      <c r="G1877">
        <v>0</v>
      </c>
      <c r="H1877">
        <v>1</v>
      </c>
      <c r="I1877">
        <v>2</v>
      </c>
      <c r="J1877">
        <v>0</v>
      </c>
      <c r="K1877">
        <v>0</v>
      </c>
      <c r="L1877">
        <v>0</v>
      </c>
      <c r="M1877">
        <f t="shared" si="58"/>
        <v>92</v>
      </c>
      <c r="N1877">
        <v>0</v>
      </c>
      <c r="O1877">
        <v>64</v>
      </c>
      <c r="P1877">
        <v>28</v>
      </c>
      <c r="Q1877">
        <v>0</v>
      </c>
      <c r="R1877">
        <v>0</v>
      </c>
      <c r="S1877">
        <v>0</v>
      </c>
    </row>
    <row r="1878" spans="1:19" x14ac:dyDescent="0.25">
      <c r="A1878">
        <v>18157</v>
      </c>
      <c r="B1878" t="s">
        <v>107</v>
      </c>
      <c r="C1878">
        <v>4</v>
      </c>
      <c r="D1878">
        <v>98.625303643724607</v>
      </c>
      <c r="E1878">
        <v>19.632253711200999</v>
      </c>
      <c r="F1878">
        <f t="shared" si="59"/>
        <v>3</v>
      </c>
      <c r="G1878">
        <v>0</v>
      </c>
      <c r="H1878">
        <v>1</v>
      </c>
      <c r="I1878">
        <v>2</v>
      </c>
      <c r="J1878">
        <v>0</v>
      </c>
      <c r="K1878">
        <v>0</v>
      </c>
      <c r="L1878">
        <v>0</v>
      </c>
      <c r="M1878">
        <f t="shared" si="58"/>
        <v>92</v>
      </c>
      <c r="N1878">
        <v>0</v>
      </c>
      <c r="O1878">
        <v>64</v>
      </c>
      <c r="P1878">
        <v>28</v>
      </c>
      <c r="Q1878">
        <v>0</v>
      </c>
      <c r="R1878">
        <v>0</v>
      </c>
      <c r="S1878">
        <v>0</v>
      </c>
    </row>
    <row r="1879" spans="1:19" x14ac:dyDescent="0.25">
      <c r="A1879">
        <v>18157</v>
      </c>
      <c r="B1879" t="s">
        <v>107</v>
      </c>
      <c r="C1879">
        <v>5</v>
      </c>
      <c r="D1879">
        <v>92.450067476383197</v>
      </c>
      <c r="E1879">
        <v>19.203913630229401</v>
      </c>
      <c r="F1879">
        <f t="shared" si="59"/>
        <v>3</v>
      </c>
      <c r="G1879">
        <v>0</v>
      </c>
      <c r="H1879">
        <v>1</v>
      </c>
      <c r="I1879">
        <v>2</v>
      </c>
      <c r="J1879">
        <v>0</v>
      </c>
      <c r="K1879">
        <v>0</v>
      </c>
      <c r="L1879">
        <v>0</v>
      </c>
      <c r="M1879">
        <f t="shared" si="58"/>
        <v>92</v>
      </c>
      <c r="N1879">
        <v>0</v>
      </c>
      <c r="O1879">
        <v>64</v>
      </c>
      <c r="P1879">
        <v>28</v>
      </c>
      <c r="Q1879">
        <v>0</v>
      </c>
      <c r="R1879">
        <v>0</v>
      </c>
      <c r="S1879">
        <v>0</v>
      </c>
    </row>
    <row r="1880" spans="1:19" x14ac:dyDescent="0.25">
      <c r="A1880">
        <v>18157</v>
      </c>
      <c r="B1880" t="s">
        <v>107</v>
      </c>
      <c r="C1880">
        <v>6</v>
      </c>
      <c r="D1880">
        <v>85.489541160593703</v>
      </c>
      <c r="E1880">
        <v>19.3109986504723</v>
      </c>
      <c r="F1880">
        <f t="shared" si="59"/>
        <v>3</v>
      </c>
      <c r="G1880">
        <v>0</v>
      </c>
      <c r="H1880">
        <v>1</v>
      </c>
      <c r="I1880">
        <v>2</v>
      </c>
      <c r="J1880">
        <v>0</v>
      </c>
      <c r="K1880">
        <v>0</v>
      </c>
      <c r="L1880">
        <v>0</v>
      </c>
      <c r="M1880">
        <f t="shared" si="58"/>
        <v>92</v>
      </c>
      <c r="N1880">
        <v>0</v>
      </c>
      <c r="O1880">
        <v>64</v>
      </c>
      <c r="P1880">
        <v>28</v>
      </c>
      <c r="Q1880">
        <v>0</v>
      </c>
      <c r="R1880">
        <v>0</v>
      </c>
      <c r="S1880">
        <v>0</v>
      </c>
    </row>
    <row r="1881" spans="1:19" x14ac:dyDescent="0.25">
      <c r="A1881">
        <v>18157</v>
      </c>
      <c r="B1881" t="s">
        <v>107</v>
      </c>
      <c r="C1881">
        <v>7</v>
      </c>
      <c r="D1881">
        <v>81.991430499325205</v>
      </c>
      <c r="E1881">
        <v>17.740418353576199</v>
      </c>
      <c r="F1881">
        <f t="shared" si="59"/>
        <v>3</v>
      </c>
      <c r="G1881">
        <v>0</v>
      </c>
      <c r="H1881">
        <v>1</v>
      </c>
      <c r="I1881">
        <v>2</v>
      </c>
      <c r="J1881">
        <v>0</v>
      </c>
      <c r="K1881">
        <v>0</v>
      </c>
      <c r="L1881">
        <v>0</v>
      </c>
      <c r="M1881">
        <f t="shared" si="58"/>
        <v>92</v>
      </c>
      <c r="N1881">
        <v>0</v>
      </c>
      <c r="O1881">
        <v>64</v>
      </c>
      <c r="P1881">
        <v>28</v>
      </c>
      <c r="Q1881">
        <v>0</v>
      </c>
      <c r="R1881">
        <v>0</v>
      </c>
      <c r="S1881">
        <v>0</v>
      </c>
    </row>
    <row r="1882" spans="1:19" x14ac:dyDescent="0.25">
      <c r="A1882">
        <v>18157</v>
      </c>
      <c r="B1882" t="s">
        <v>107</v>
      </c>
      <c r="C1882">
        <v>8</v>
      </c>
      <c r="D1882">
        <v>75.709109311740804</v>
      </c>
      <c r="E1882">
        <v>15.384547908232101</v>
      </c>
      <c r="F1882">
        <f t="shared" si="59"/>
        <v>3</v>
      </c>
      <c r="G1882">
        <v>0</v>
      </c>
      <c r="H1882">
        <v>1</v>
      </c>
      <c r="I1882">
        <v>2</v>
      </c>
      <c r="J1882">
        <v>0</v>
      </c>
      <c r="K1882">
        <v>0</v>
      </c>
      <c r="L1882">
        <v>0</v>
      </c>
      <c r="M1882">
        <f t="shared" si="58"/>
        <v>92</v>
      </c>
      <c r="N1882">
        <v>0</v>
      </c>
      <c r="O1882">
        <v>64</v>
      </c>
      <c r="P1882">
        <v>28</v>
      </c>
      <c r="Q1882">
        <v>0</v>
      </c>
      <c r="R1882">
        <v>0</v>
      </c>
      <c r="S1882">
        <v>0</v>
      </c>
    </row>
    <row r="1883" spans="1:19" x14ac:dyDescent="0.25">
      <c r="A1883">
        <v>18157</v>
      </c>
      <c r="B1883" t="s">
        <v>107</v>
      </c>
      <c r="C1883">
        <v>9</v>
      </c>
      <c r="D1883">
        <v>65.179082321187494</v>
      </c>
      <c r="E1883">
        <v>11.3510121457489</v>
      </c>
      <c r="F1883">
        <f t="shared" si="59"/>
        <v>3</v>
      </c>
      <c r="G1883">
        <v>0</v>
      </c>
      <c r="H1883">
        <v>1</v>
      </c>
      <c r="I1883">
        <v>2</v>
      </c>
      <c r="J1883">
        <v>0</v>
      </c>
      <c r="K1883">
        <v>0</v>
      </c>
      <c r="L1883">
        <v>0</v>
      </c>
      <c r="M1883">
        <f t="shared" si="58"/>
        <v>92</v>
      </c>
      <c r="N1883">
        <v>0</v>
      </c>
      <c r="O1883">
        <v>64</v>
      </c>
      <c r="P1883">
        <v>28</v>
      </c>
      <c r="Q1883">
        <v>0</v>
      </c>
      <c r="R1883">
        <v>0</v>
      </c>
      <c r="S1883">
        <v>0</v>
      </c>
    </row>
    <row r="1884" spans="1:19" x14ac:dyDescent="0.25">
      <c r="A1884">
        <v>18157</v>
      </c>
      <c r="B1884" t="s">
        <v>107</v>
      </c>
      <c r="C1884">
        <v>10</v>
      </c>
      <c r="D1884">
        <v>62.501956815114603</v>
      </c>
      <c r="E1884">
        <v>11.3153171390013</v>
      </c>
      <c r="F1884">
        <f t="shared" si="59"/>
        <v>3</v>
      </c>
      <c r="G1884">
        <v>0</v>
      </c>
      <c r="H1884">
        <v>1</v>
      </c>
      <c r="I1884">
        <v>2</v>
      </c>
      <c r="J1884">
        <v>0</v>
      </c>
      <c r="K1884">
        <v>0</v>
      </c>
      <c r="L1884">
        <v>0</v>
      </c>
      <c r="M1884">
        <f t="shared" si="58"/>
        <v>92</v>
      </c>
      <c r="N1884">
        <v>0</v>
      </c>
      <c r="O1884">
        <v>64</v>
      </c>
      <c r="P1884">
        <v>28</v>
      </c>
      <c r="Q1884">
        <v>0</v>
      </c>
      <c r="R1884">
        <v>0</v>
      </c>
      <c r="S1884">
        <v>0</v>
      </c>
    </row>
    <row r="1885" spans="1:19" x14ac:dyDescent="0.25">
      <c r="A1885">
        <v>18157</v>
      </c>
      <c r="B1885" t="s">
        <v>107</v>
      </c>
      <c r="C1885">
        <v>11</v>
      </c>
      <c r="D1885">
        <v>64.358097165991794</v>
      </c>
      <c r="E1885">
        <v>9.8161268556005297</v>
      </c>
      <c r="F1885">
        <f t="shared" si="59"/>
        <v>3</v>
      </c>
      <c r="G1885">
        <v>0</v>
      </c>
      <c r="H1885">
        <v>1</v>
      </c>
      <c r="I1885">
        <v>2</v>
      </c>
      <c r="J1885">
        <v>0</v>
      </c>
      <c r="K1885">
        <v>0</v>
      </c>
      <c r="L1885">
        <v>0</v>
      </c>
      <c r="M1885">
        <f t="shared" si="58"/>
        <v>92</v>
      </c>
      <c r="N1885">
        <v>0</v>
      </c>
      <c r="O1885">
        <v>64</v>
      </c>
      <c r="P1885">
        <v>28</v>
      </c>
      <c r="Q1885">
        <v>0</v>
      </c>
      <c r="R1885">
        <v>0</v>
      </c>
      <c r="S1885">
        <v>0</v>
      </c>
    </row>
    <row r="1886" spans="1:19" x14ac:dyDescent="0.25">
      <c r="A1886">
        <v>18157</v>
      </c>
      <c r="B1886" t="s">
        <v>107</v>
      </c>
      <c r="C1886">
        <v>12</v>
      </c>
      <c r="D1886">
        <v>63.751282051281997</v>
      </c>
      <c r="E1886">
        <v>9.7090418353576204</v>
      </c>
      <c r="F1886">
        <f t="shared" si="59"/>
        <v>3</v>
      </c>
      <c r="G1886">
        <v>0</v>
      </c>
      <c r="H1886">
        <v>1</v>
      </c>
      <c r="I1886">
        <v>2</v>
      </c>
      <c r="J1886">
        <v>0</v>
      </c>
      <c r="K1886">
        <v>0</v>
      </c>
      <c r="L1886">
        <v>0</v>
      </c>
      <c r="M1886">
        <f t="shared" si="58"/>
        <v>92</v>
      </c>
      <c r="N1886">
        <v>0</v>
      </c>
      <c r="O1886">
        <v>64</v>
      </c>
      <c r="P1886">
        <v>28</v>
      </c>
      <c r="Q1886">
        <v>0</v>
      </c>
      <c r="R1886">
        <v>0</v>
      </c>
      <c r="S1886">
        <v>0</v>
      </c>
    </row>
    <row r="1887" spans="1:19" x14ac:dyDescent="0.25">
      <c r="A1887">
        <v>18157</v>
      </c>
      <c r="B1887" t="s">
        <v>107</v>
      </c>
      <c r="C1887">
        <v>13</v>
      </c>
      <c r="D1887">
        <v>69.248313090418307</v>
      </c>
      <c r="E1887">
        <v>9.1379217273954101</v>
      </c>
      <c r="F1887">
        <f t="shared" si="59"/>
        <v>3</v>
      </c>
      <c r="G1887">
        <v>0</v>
      </c>
      <c r="H1887">
        <v>1</v>
      </c>
      <c r="I1887">
        <v>2</v>
      </c>
      <c r="J1887">
        <v>0</v>
      </c>
      <c r="K1887">
        <v>0</v>
      </c>
      <c r="L1887">
        <v>0</v>
      </c>
      <c r="M1887">
        <f t="shared" si="58"/>
        <v>92</v>
      </c>
      <c r="N1887">
        <v>0</v>
      </c>
      <c r="O1887">
        <v>64</v>
      </c>
      <c r="P1887">
        <v>28</v>
      </c>
      <c r="Q1887">
        <v>0</v>
      </c>
      <c r="R1887">
        <v>0</v>
      </c>
      <c r="S1887">
        <v>0</v>
      </c>
    </row>
    <row r="1888" spans="1:19" x14ac:dyDescent="0.25">
      <c r="A1888">
        <v>18157</v>
      </c>
      <c r="B1888" t="s">
        <v>107</v>
      </c>
      <c r="C1888">
        <v>14</v>
      </c>
      <c r="D1888">
        <v>70.997368421052599</v>
      </c>
      <c r="E1888">
        <v>6.7106612685559996</v>
      </c>
      <c r="F1888">
        <f t="shared" si="59"/>
        <v>3</v>
      </c>
      <c r="G1888">
        <v>0</v>
      </c>
      <c r="H1888">
        <v>1</v>
      </c>
      <c r="I1888">
        <v>2</v>
      </c>
      <c r="J1888">
        <v>0</v>
      </c>
      <c r="K1888">
        <v>0</v>
      </c>
      <c r="L1888">
        <v>0</v>
      </c>
      <c r="M1888">
        <f t="shared" si="58"/>
        <v>92</v>
      </c>
      <c r="N1888">
        <v>0</v>
      </c>
      <c r="O1888">
        <v>64</v>
      </c>
      <c r="P1888">
        <v>28</v>
      </c>
      <c r="Q1888">
        <v>0</v>
      </c>
      <c r="R1888">
        <v>0</v>
      </c>
      <c r="S1888">
        <v>0</v>
      </c>
    </row>
    <row r="1889" spans="1:19" x14ac:dyDescent="0.25">
      <c r="A1889">
        <v>18157</v>
      </c>
      <c r="B1889" t="s">
        <v>107</v>
      </c>
      <c r="C1889">
        <v>15</v>
      </c>
      <c r="D1889">
        <v>77.422469635627493</v>
      </c>
      <c r="E1889">
        <v>4.17631578947368</v>
      </c>
      <c r="F1889">
        <f t="shared" si="59"/>
        <v>3</v>
      </c>
      <c r="G1889">
        <v>0</v>
      </c>
      <c r="H1889">
        <v>1</v>
      </c>
      <c r="I1889">
        <v>2</v>
      </c>
      <c r="J1889">
        <v>0</v>
      </c>
      <c r="K1889">
        <v>0</v>
      </c>
      <c r="L1889">
        <v>0</v>
      </c>
      <c r="M1889">
        <f t="shared" si="58"/>
        <v>92</v>
      </c>
      <c r="N1889">
        <v>0</v>
      </c>
      <c r="O1889">
        <v>64</v>
      </c>
      <c r="P1889">
        <v>28</v>
      </c>
      <c r="Q1889">
        <v>0</v>
      </c>
      <c r="R1889">
        <v>0</v>
      </c>
      <c r="S1889">
        <v>0</v>
      </c>
    </row>
    <row r="1890" spans="1:19" x14ac:dyDescent="0.25">
      <c r="A1890">
        <v>18157</v>
      </c>
      <c r="B1890" t="s">
        <v>107</v>
      </c>
      <c r="C1890">
        <v>16</v>
      </c>
      <c r="D1890">
        <v>78.957354925775903</v>
      </c>
      <c r="E1890">
        <v>3.5695006747638298</v>
      </c>
      <c r="F1890">
        <f t="shared" si="59"/>
        <v>3</v>
      </c>
      <c r="G1890">
        <v>0</v>
      </c>
      <c r="H1890">
        <v>1</v>
      </c>
      <c r="I1890">
        <v>2</v>
      </c>
      <c r="J1890">
        <v>0</v>
      </c>
      <c r="K1890">
        <v>0</v>
      </c>
      <c r="L1890">
        <v>0</v>
      </c>
      <c r="M1890">
        <f t="shared" si="58"/>
        <v>92</v>
      </c>
      <c r="N1890">
        <v>0</v>
      </c>
      <c r="O1890">
        <v>64</v>
      </c>
      <c r="P1890">
        <v>28</v>
      </c>
      <c r="Q1890">
        <v>0</v>
      </c>
      <c r="R1890">
        <v>0</v>
      </c>
      <c r="S1890">
        <v>0</v>
      </c>
    </row>
    <row r="1891" spans="1:19" x14ac:dyDescent="0.25">
      <c r="A1891">
        <v>18157</v>
      </c>
      <c r="B1891" t="s">
        <v>107</v>
      </c>
      <c r="C1891">
        <v>17</v>
      </c>
      <c r="D1891">
        <v>84.739946018893306</v>
      </c>
      <c r="E1891">
        <v>4.1049257759784004</v>
      </c>
      <c r="F1891">
        <f t="shared" si="59"/>
        <v>3</v>
      </c>
      <c r="G1891">
        <v>0</v>
      </c>
      <c r="H1891">
        <v>1</v>
      </c>
      <c r="I1891">
        <v>2</v>
      </c>
      <c r="J1891">
        <v>0</v>
      </c>
      <c r="K1891">
        <v>0</v>
      </c>
      <c r="L1891">
        <v>0</v>
      </c>
      <c r="M1891">
        <f t="shared" si="58"/>
        <v>92</v>
      </c>
      <c r="N1891">
        <v>0</v>
      </c>
      <c r="O1891">
        <v>64</v>
      </c>
      <c r="P1891">
        <v>28</v>
      </c>
      <c r="Q1891">
        <v>0</v>
      </c>
      <c r="R1891">
        <v>0</v>
      </c>
      <c r="S1891">
        <v>0</v>
      </c>
    </row>
    <row r="1892" spans="1:19" x14ac:dyDescent="0.25">
      <c r="A1892">
        <v>18157</v>
      </c>
      <c r="B1892" t="s">
        <v>107</v>
      </c>
      <c r="C1892">
        <v>18</v>
      </c>
      <c r="D1892">
        <v>91.629082321187497</v>
      </c>
      <c r="E1892">
        <v>4.2120107962213202</v>
      </c>
      <c r="F1892">
        <f t="shared" si="59"/>
        <v>3</v>
      </c>
      <c r="G1892">
        <v>0</v>
      </c>
      <c r="H1892">
        <v>1</v>
      </c>
      <c r="I1892">
        <v>2</v>
      </c>
      <c r="J1892">
        <v>0</v>
      </c>
      <c r="K1892">
        <v>0</v>
      </c>
      <c r="L1892">
        <v>0</v>
      </c>
      <c r="M1892">
        <f t="shared" si="58"/>
        <v>92</v>
      </c>
      <c r="N1892">
        <v>0</v>
      </c>
      <c r="O1892">
        <v>64</v>
      </c>
      <c r="P1892">
        <v>28</v>
      </c>
      <c r="Q1892">
        <v>0</v>
      </c>
      <c r="R1892">
        <v>0</v>
      </c>
      <c r="S1892">
        <v>0</v>
      </c>
    </row>
    <row r="1893" spans="1:19" x14ac:dyDescent="0.25">
      <c r="A1893">
        <v>18157</v>
      </c>
      <c r="B1893" t="s">
        <v>107</v>
      </c>
      <c r="C1893">
        <v>19</v>
      </c>
      <c r="D1893">
        <v>96.554993252361598</v>
      </c>
      <c r="E1893">
        <v>4.4261808367071502</v>
      </c>
      <c r="F1893">
        <f t="shared" si="59"/>
        <v>3</v>
      </c>
      <c r="G1893">
        <v>0</v>
      </c>
      <c r="H1893">
        <v>1</v>
      </c>
      <c r="I1893">
        <v>2</v>
      </c>
      <c r="J1893">
        <v>0</v>
      </c>
      <c r="K1893">
        <v>0</v>
      </c>
      <c r="L1893">
        <v>0</v>
      </c>
      <c r="M1893">
        <f t="shared" si="58"/>
        <v>92</v>
      </c>
      <c r="N1893">
        <v>0</v>
      </c>
      <c r="O1893">
        <v>64</v>
      </c>
      <c r="P1893">
        <v>28</v>
      </c>
      <c r="Q1893">
        <v>0</v>
      </c>
      <c r="R1893">
        <v>0</v>
      </c>
      <c r="S1893">
        <v>0</v>
      </c>
    </row>
    <row r="1894" spans="1:19" x14ac:dyDescent="0.25">
      <c r="A1894">
        <v>18157</v>
      </c>
      <c r="B1894" t="s">
        <v>107</v>
      </c>
      <c r="C1894">
        <v>20</v>
      </c>
      <c r="D1894">
        <v>97.982793522267201</v>
      </c>
      <c r="E1894">
        <v>5.8539811066126797</v>
      </c>
      <c r="F1894">
        <f t="shared" si="59"/>
        <v>3</v>
      </c>
      <c r="G1894">
        <v>0</v>
      </c>
      <c r="H1894">
        <v>1</v>
      </c>
      <c r="I1894">
        <v>2</v>
      </c>
      <c r="J1894">
        <v>0</v>
      </c>
      <c r="K1894">
        <v>0</v>
      </c>
      <c r="L1894">
        <v>0</v>
      </c>
      <c r="M1894">
        <f t="shared" si="58"/>
        <v>92</v>
      </c>
      <c r="N1894">
        <v>0</v>
      </c>
      <c r="O1894">
        <v>64</v>
      </c>
      <c r="P1894">
        <v>28</v>
      </c>
      <c r="Q1894">
        <v>0</v>
      </c>
      <c r="R1894">
        <v>0</v>
      </c>
      <c r="S1894">
        <v>0</v>
      </c>
    </row>
    <row r="1895" spans="1:19" x14ac:dyDescent="0.25">
      <c r="A1895">
        <v>18157</v>
      </c>
      <c r="B1895" t="s">
        <v>107</v>
      </c>
      <c r="C1895">
        <v>21</v>
      </c>
      <c r="D1895">
        <v>100.909784075573</v>
      </c>
      <c r="E1895">
        <v>8.35263157894736</v>
      </c>
      <c r="F1895">
        <f t="shared" si="59"/>
        <v>3</v>
      </c>
      <c r="G1895">
        <v>0</v>
      </c>
      <c r="H1895">
        <v>1</v>
      </c>
      <c r="I1895">
        <v>2</v>
      </c>
      <c r="J1895">
        <v>0</v>
      </c>
      <c r="K1895">
        <v>0</v>
      </c>
      <c r="L1895">
        <v>0</v>
      </c>
      <c r="M1895">
        <f t="shared" si="58"/>
        <v>92</v>
      </c>
      <c r="N1895">
        <v>0</v>
      </c>
      <c r="O1895">
        <v>64</v>
      </c>
      <c r="P1895">
        <v>28</v>
      </c>
      <c r="Q1895">
        <v>0</v>
      </c>
      <c r="R1895">
        <v>0</v>
      </c>
      <c r="S1895">
        <v>0</v>
      </c>
    </row>
    <row r="1896" spans="1:19" x14ac:dyDescent="0.25">
      <c r="A1896">
        <v>18157</v>
      </c>
      <c r="B1896" t="s">
        <v>107</v>
      </c>
      <c r="C1896">
        <v>22</v>
      </c>
      <c r="D1896">
        <v>102.873009446693</v>
      </c>
      <c r="E1896">
        <v>11.065452091767799</v>
      </c>
      <c r="F1896">
        <f t="shared" si="59"/>
        <v>3</v>
      </c>
      <c r="G1896">
        <v>0</v>
      </c>
      <c r="H1896">
        <v>1</v>
      </c>
      <c r="I1896">
        <v>2</v>
      </c>
      <c r="J1896">
        <v>0</v>
      </c>
      <c r="K1896">
        <v>0</v>
      </c>
      <c r="L1896">
        <v>0</v>
      </c>
      <c r="M1896">
        <f t="shared" si="58"/>
        <v>92</v>
      </c>
      <c r="N1896">
        <v>0</v>
      </c>
      <c r="O1896">
        <v>64</v>
      </c>
      <c r="P1896">
        <v>28</v>
      </c>
      <c r="Q1896">
        <v>0</v>
      </c>
      <c r="R1896">
        <v>0</v>
      </c>
      <c r="S1896">
        <v>0</v>
      </c>
    </row>
    <row r="1897" spans="1:19" x14ac:dyDescent="0.25">
      <c r="A1897">
        <v>18157</v>
      </c>
      <c r="B1897" t="s">
        <v>107</v>
      </c>
      <c r="C1897">
        <v>23</v>
      </c>
      <c r="D1897">
        <v>103.693994601889</v>
      </c>
      <c r="E1897">
        <v>12.564642375168599</v>
      </c>
      <c r="F1897">
        <f t="shared" si="59"/>
        <v>3</v>
      </c>
      <c r="G1897">
        <v>0</v>
      </c>
      <c r="H1897">
        <v>1</v>
      </c>
      <c r="I1897">
        <v>2</v>
      </c>
      <c r="J1897">
        <v>0</v>
      </c>
      <c r="K1897">
        <v>0</v>
      </c>
      <c r="L1897">
        <v>0</v>
      </c>
      <c r="M1897">
        <f t="shared" si="58"/>
        <v>92</v>
      </c>
      <c r="N1897">
        <v>0</v>
      </c>
      <c r="O1897">
        <v>64</v>
      </c>
      <c r="P1897">
        <v>28</v>
      </c>
      <c r="Q1897">
        <v>0</v>
      </c>
      <c r="R1897">
        <v>0</v>
      </c>
      <c r="S1897">
        <v>0</v>
      </c>
    </row>
    <row r="1898" spans="1:19" x14ac:dyDescent="0.25">
      <c r="A1898">
        <v>18159</v>
      </c>
      <c r="B1898" t="s">
        <v>108</v>
      </c>
      <c r="C1898">
        <v>0</v>
      </c>
      <c r="D1898">
        <v>0</v>
      </c>
      <c r="E1898">
        <v>0</v>
      </c>
      <c r="F1898">
        <f t="shared" si="59"/>
        <v>0</v>
      </c>
      <c r="G1898">
        <v>0</v>
      </c>
      <c r="H1898">
        <v>0</v>
      </c>
      <c r="I1898">
        <v>0</v>
      </c>
      <c r="J1898">
        <v>0</v>
      </c>
      <c r="K1898">
        <v>0</v>
      </c>
      <c r="L1898">
        <v>0</v>
      </c>
      <c r="M1898">
        <f t="shared" si="58"/>
        <v>0</v>
      </c>
      <c r="N1898">
        <v>0</v>
      </c>
      <c r="O1898">
        <v>0</v>
      </c>
      <c r="P1898">
        <v>0</v>
      </c>
      <c r="Q1898">
        <v>0</v>
      </c>
      <c r="R1898">
        <v>0</v>
      </c>
      <c r="S1898">
        <v>0</v>
      </c>
    </row>
    <row r="1899" spans="1:19" x14ac:dyDescent="0.25">
      <c r="A1899">
        <v>18159</v>
      </c>
      <c r="B1899" t="s">
        <v>108</v>
      </c>
      <c r="C1899">
        <v>1</v>
      </c>
      <c r="D1899">
        <v>0</v>
      </c>
      <c r="E1899">
        <v>0</v>
      </c>
      <c r="F1899">
        <f t="shared" si="59"/>
        <v>0</v>
      </c>
      <c r="G1899">
        <v>0</v>
      </c>
      <c r="H1899">
        <v>0</v>
      </c>
      <c r="I1899">
        <v>0</v>
      </c>
      <c r="J1899">
        <v>0</v>
      </c>
      <c r="K1899">
        <v>0</v>
      </c>
      <c r="L1899">
        <v>0</v>
      </c>
      <c r="M1899">
        <f t="shared" si="58"/>
        <v>0</v>
      </c>
      <c r="N1899">
        <v>0</v>
      </c>
      <c r="O1899">
        <v>0</v>
      </c>
      <c r="P1899">
        <v>0</v>
      </c>
      <c r="Q1899">
        <v>0</v>
      </c>
      <c r="R1899">
        <v>0</v>
      </c>
      <c r="S1899">
        <v>0</v>
      </c>
    </row>
    <row r="1900" spans="1:19" x14ac:dyDescent="0.25">
      <c r="A1900">
        <v>18159</v>
      </c>
      <c r="B1900" t="s">
        <v>108</v>
      </c>
      <c r="C1900">
        <v>2</v>
      </c>
      <c r="D1900">
        <v>0</v>
      </c>
      <c r="E1900">
        <v>0</v>
      </c>
      <c r="F1900">
        <f t="shared" si="59"/>
        <v>0</v>
      </c>
      <c r="G1900">
        <v>0</v>
      </c>
      <c r="H1900">
        <v>0</v>
      </c>
      <c r="I1900">
        <v>0</v>
      </c>
      <c r="J1900">
        <v>0</v>
      </c>
      <c r="K1900">
        <v>0</v>
      </c>
      <c r="L1900">
        <v>0</v>
      </c>
      <c r="M1900">
        <f t="shared" si="58"/>
        <v>0</v>
      </c>
      <c r="N1900">
        <v>0</v>
      </c>
      <c r="O1900">
        <v>0</v>
      </c>
      <c r="P1900">
        <v>0</v>
      </c>
      <c r="Q1900">
        <v>0</v>
      </c>
      <c r="R1900">
        <v>0</v>
      </c>
      <c r="S1900">
        <v>0</v>
      </c>
    </row>
    <row r="1901" spans="1:19" x14ac:dyDescent="0.25">
      <c r="A1901">
        <v>18159</v>
      </c>
      <c r="B1901" t="s">
        <v>108</v>
      </c>
      <c r="C1901">
        <v>3</v>
      </c>
      <c r="D1901">
        <v>0</v>
      </c>
      <c r="E1901">
        <v>0</v>
      </c>
      <c r="F1901">
        <f t="shared" si="59"/>
        <v>0</v>
      </c>
      <c r="G1901">
        <v>0</v>
      </c>
      <c r="H1901">
        <v>0</v>
      </c>
      <c r="I1901">
        <v>0</v>
      </c>
      <c r="J1901">
        <v>0</v>
      </c>
      <c r="K1901">
        <v>0</v>
      </c>
      <c r="L1901">
        <v>0</v>
      </c>
      <c r="M1901">
        <f t="shared" si="58"/>
        <v>0</v>
      </c>
      <c r="N1901">
        <v>0</v>
      </c>
      <c r="O1901">
        <v>0</v>
      </c>
      <c r="P1901">
        <v>0</v>
      </c>
      <c r="Q1901">
        <v>0</v>
      </c>
      <c r="R1901">
        <v>0</v>
      </c>
      <c r="S1901">
        <v>0</v>
      </c>
    </row>
    <row r="1902" spans="1:19" x14ac:dyDescent="0.25">
      <c r="A1902">
        <v>18159</v>
      </c>
      <c r="B1902" t="s">
        <v>108</v>
      </c>
      <c r="C1902">
        <v>4</v>
      </c>
      <c r="D1902">
        <v>0</v>
      </c>
      <c r="E1902">
        <v>0</v>
      </c>
      <c r="F1902">
        <f t="shared" si="59"/>
        <v>0</v>
      </c>
      <c r="G1902">
        <v>0</v>
      </c>
      <c r="H1902">
        <v>0</v>
      </c>
      <c r="I1902">
        <v>0</v>
      </c>
      <c r="J1902">
        <v>0</v>
      </c>
      <c r="K1902">
        <v>0</v>
      </c>
      <c r="L1902">
        <v>0</v>
      </c>
      <c r="M1902">
        <f t="shared" si="58"/>
        <v>0</v>
      </c>
      <c r="N1902">
        <v>0</v>
      </c>
      <c r="O1902">
        <v>0</v>
      </c>
      <c r="P1902">
        <v>0</v>
      </c>
      <c r="Q1902">
        <v>0</v>
      </c>
      <c r="R1902">
        <v>0</v>
      </c>
      <c r="S1902">
        <v>0</v>
      </c>
    </row>
    <row r="1903" spans="1:19" x14ac:dyDescent="0.25">
      <c r="A1903">
        <v>18159</v>
      </c>
      <c r="B1903" t="s">
        <v>108</v>
      </c>
      <c r="C1903">
        <v>5</v>
      </c>
      <c r="D1903">
        <v>0</v>
      </c>
      <c r="E1903">
        <v>0</v>
      </c>
      <c r="F1903">
        <f t="shared" si="59"/>
        <v>0</v>
      </c>
      <c r="G1903">
        <v>0</v>
      </c>
      <c r="H1903">
        <v>0</v>
      </c>
      <c r="I1903">
        <v>0</v>
      </c>
      <c r="J1903">
        <v>0</v>
      </c>
      <c r="K1903">
        <v>0</v>
      </c>
      <c r="L1903">
        <v>0</v>
      </c>
      <c r="M1903">
        <f t="shared" si="58"/>
        <v>0</v>
      </c>
      <c r="N1903">
        <v>0</v>
      </c>
      <c r="O1903">
        <v>0</v>
      </c>
      <c r="P1903">
        <v>0</v>
      </c>
      <c r="Q1903">
        <v>0</v>
      </c>
      <c r="R1903">
        <v>0</v>
      </c>
      <c r="S1903">
        <v>0</v>
      </c>
    </row>
    <row r="1904" spans="1:19" x14ac:dyDescent="0.25">
      <c r="A1904">
        <v>18159</v>
      </c>
      <c r="B1904" t="s">
        <v>108</v>
      </c>
      <c r="C1904">
        <v>6</v>
      </c>
      <c r="D1904">
        <v>0</v>
      </c>
      <c r="E1904">
        <v>0</v>
      </c>
      <c r="F1904">
        <f t="shared" si="59"/>
        <v>0</v>
      </c>
      <c r="G1904">
        <v>0</v>
      </c>
      <c r="H1904">
        <v>0</v>
      </c>
      <c r="I1904">
        <v>0</v>
      </c>
      <c r="J1904">
        <v>0</v>
      </c>
      <c r="K1904">
        <v>0</v>
      </c>
      <c r="L1904">
        <v>0</v>
      </c>
      <c r="M1904">
        <f t="shared" si="58"/>
        <v>0</v>
      </c>
      <c r="N1904">
        <v>0</v>
      </c>
      <c r="O1904">
        <v>0</v>
      </c>
      <c r="P1904">
        <v>0</v>
      </c>
      <c r="Q1904">
        <v>0</v>
      </c>
      <c r="R1904">
        <v>0</v>
      </c>
      <c r="S1904">
        <v>0</v>
      </c>
    </row>
    <row r="1905" spans="1:19" x14ac:dyDescent="0.25">
      <c r="A1905">
        <v>18159</v>
      </c>
      <c r="B1905" t="s">
        <v>108</v>
      </c>
      <c r="C1905">
        <v>7</v>
      </c>
      <c r="D1905">
        <v>0</v>
      </c>
      <c r="E1905">
        <v>0</v>
      </c>
      <c r="F1905">
        <f t="shared" si="59"/>
        <v>0</v>
      </c>
      <c r="G1905">
        <v>0</v>
      </c>
      <c r="H1905">
        <v>0</v>
      </c>
      <c r="I1905">
        <v>0</v>
      </c>
      <c r="J1905">
        <v>0</v>
      </c>
      <c r="K1905">
        <v>0</v>
      </c>
      <c r="L1905">
        <v>0</v>
      </c>
      <c r="M1905">
        <f t="shared" si="58"/>
        <v>0</v>
      </c>
      <c r="N1905">
        <v>0</v>
      </c>
      <c r="O1905">
        <v>0</v>
      </c>
      <c r="P1905">
        <v>0</v>
      </c>
      <c r="Q1905">
        <v>0</v>
      </c>
      <c r="R1905">
        <v>0</v>
      </c>
      <c r="S1905">
        <v>0</v>
      </c>
    </row>
    <row r="1906" spans="1:19" x14ac:dyDescent="0.25">
      <c r="A1906">
        <v>18159</v>
      </c>
      <c r="B1906" t="s">
        <v>108</v>
      </c>
      <c r="C1906">
        <v>8</v>
      </c>
      <c r="D1906">
        <v>0</v>
      </c>
      <c r="E1906">
        <v>0.10545026156036399</v>
      </c>
      <c r="F1906">
        <f t="shared" si="59"/>
        <v>0</v>
      </c>
      <c r="G1906">
        <v>0</v>
      </c>
      <c r="H1906">
        <v>0</v>
      </c>
      <c r="I1906">
        <v>0</v>
      </c>
      <c r="J1906">
        <v>0</v>
      </c>
      <c r="K1906">
        <v>0</v>
      </c>
      <c r="L1906">
        <v>0</v>
      </c>
      <c r="M1906">
        <f t="shared" si="58"/>
        <v>0</v>
      </c>
      <c r="N1906">
        <v>0</v>
      </c>
      <c r="O1906">
        <v>0</v>
      </c>
      <c r="P1906">
        <v>0</v>
      </c>
      <c r="Q1906">
        <v>0</v>
      </c>
      <c r="R1906">
        <v>0</v>
      </c>
      <c r="S1906">
        <v>0</v>
      </c>
    </row>
    <row r="1907" spans="1:19" x14ac:dyDescent="0.25">
      <c r="A1907">
        <v>18159</v>
      </c>
      <c r="B1907" t="s">
        <v>108</v>
      </c>
      <c r="C1907">
        <v>9</v>
      </c>
      <c r="D1907">
        <v>0</v>
      </c>
      <c r="E1907">
        <v>0.73815183092255099</v>
      </c>
      <c r="F1907">
        <f t="shared" si="59"/>
        <v>0</v>
      </c>
      <c r="G1907">
        <v>0</v>
      </c>
      <c r="H1907">
        <v>0</v>
      </c>
      <c r="I1907">
        <v>0</v>
      </c>
      <c r="J1907">
        <v>0</v>
      </c>
      <c r="K1907">
        <v>0</v>
      </c>
      <c r="L1907">
        <v>0</v>
      </c>
      <c r="M1907">
        <f t="shared" si="58"/>
        <v>0</v>
      </c>
      <c r="N1907">
        <v>0</v>
      </c>
      <c r="O1907">
        <v>0</v>
      </c>
      <c r="P1907">
        <v>0</v>
      </c>
      <c r="Q1907">
        <v>0</v>
      </c>
      <c r="R1907">
        <v>0</v>
      </c>
      <c r="S1907">
        <v>0</v>
      </c>
    </row>
    <row r="1908" spans="1:19" x14ac:dyDescent="0.25">
      <c r="A1908">
        <v>18159</v>
      </c>
      <c r="B1908" t="s">
        <v>108</v>
      </c>
      <c r="C1908">
        <v>10</v>
      </c>
      <c r="D1908">
        <v>0</v>
      </c>
      <c r="E1908">
        <v>0.52725130780182194</v>
      </c>
      <c r="F1908">
        <f t="shared" si="59"/>
        <v>0</v>
      </c>
      <c r="G1908">
        <v>0</v>
      </c>
      <c r="H1908">
        <v>0</v>
      </c>
      <c r="I1908">
        <v>0</v>
      </c>
      <c r="J1908">
        <v>0</v>
      </c>
      <c r="K1908">
        <v>0</v>
      </c>
      <c r="L1908">
        <v>0</v>
      </c>
      <c r="M1908">
        <f t="shared" si="58"/>
        <v>0</v>
      </c>
      <c r="N1908">
        <v>0</v>
      </c>
      <c r="O1908">
        <v>0</v>
      </c>
      <c r="P1908">
        <v>0</v>
      </c>
      <c r="Q1908">
        <v>0</v>
      </c>
      <c r="R1908">
        <v>0</v>
      </c>
      <c r="S1908">
        <v>0</v>
      </c>
    </row>
    <row r="1909" spans="1:19" x14ac:dyDescent="0.25">
      <c r="A1909">
        <v>18159</v>
      </c>
      <c r="B1909" t="s">
        <v>108</v>
      </c>
      <c r="C1909">
        <v>11</v>
      </c>
      <c r="D1909">
        <v>0</v>
      </c>
      <c r="E1909">
        <v>0.60633900397209495</v>
      </c>
      <c r="F1909">
        <f t="shared" si="59"/>
        <v>0</v>
      </c>
      <c r="G1909">
        <v>0</v>
      </c>
      <c r="H1909">
        <v>0</v>
      </c>
      <c r="I1909">
        <v>0</v>
      </c>
      <c r="J1909">
        <v>0</v>
      </c>
      <c r="K1909">
        <v>0</v>
      </c>
      <c r="L1909">
        <v>0</v>
      </c>
      <c r="M1909">
        <f t="shared" si="58"/>
        <v>0</v>
      </c>
      <c r="N1909">
        <v>0</v>
      </c>
      <c r="O1909">
        <v>0</v>
      </c>
      <c r="P1909">
        <v>0</v>
      </c>
      <c r="Q1909">
        <v>0</v>
      </c>
      <c r="R1909">
        <v>0</v>
      </c>
      <c r="S1909">
        <v>0</v>
      </c>
    </row>
    <row r="1910" spans="1:19" x14ac:dyDescent="0.25">
      <c r="A1910">
        <v>18159</v>
      </c>
      <c r="B1910" t="s">
        <v>108</v>
      </c>
      <c r="C1910">
        <v>12</v>
      </c>
      <c r="D1910">
        <v>0</v>
      </c>
      <c r="E1910">
        <v>0.71178926553246002</v>
      </c>
      <c r="F1910">
        <f t="shared" si="59"/>
        <v>0</v>
      </c>
      <c r="G1910">
        <v>0</v>
      </c>
      <c r="H1910">
        <v>0</v>
      </c>
      <c r="I1910">
        <v>0</v>
      </c>
      <c r="J1910">
        <v>0</v>
      </c>
      <c r="K1910">
        <v>0</v>
      </c>
      <c r="L1910">
        <v>0</v>
      </c>
      <c r="M1910">
        <f t="shared" si="58"/>
        <v>0</v>
      </c>
      <c r="N1910">
        <v>0</v>
      </c>
      <c r="O1910">
        <v>0</v>
      </c>
      <c r="P1910">
        <v>0</v>
      </c>
      <c r="Q1910">
        <v>0</v>
      </c>
      <c r="R1910">
        <v>0</v>
      </c>
      <c r="S1910">
        <v>0</v>
      </c>
    </row>
    <row r="1911" spans="1:19" x14ac:dyDescent="0.25">
      <c r="A1911">
        <v>18159</v>
      </c>
      <c r="B1911" t="s">
        <v>108</v>
      </c>
      <c r="C1911">
        <v>13</v>
      </c>
      <c r="D1911">
        <v>0</v>
      </c>
      <c r="E1911">
        <v>1.08086518099373</v>
      </c>
      <c r="F1911">
        <f t="shared" si="59"/>
        <v>0</v>
      </c>
      <c r="G1911">
        <v>0</v>
      </c>
      <c r="H1911">
        <v>0</v>
      </c>
      <c r="I1911">
        <v>0</v>
      </c>
      <c r="J1911">
        <v>0</v>
      </c>
      <c r="K1911">
        <v>0</v>
      </c>
      <c r="L1911">
        <v>0</v>
      </c>
      <c r="M1911">
        <f t="shared" si="58"/>
        <v>0</v>
      </c>
      <c r="N1911">
        <v>0</v>
      </c>
      <c r="O1911">
        <v>0</v>
      </c>
      <c r="P1911">
        <v>0</v>
      </c>
      <c r="Q1911">
        <v>0</v>
      </c>
      <c r="R1911">
        <v>0</v>
      </c>
      <c r="S1911">
        <v>0</v>
      </c>
    </row>
    <row r="1912" spans="1:19" x14ac:dyDescent="0.25">
      <c r="A1912">
        <v>18159</v>
      </c>
      <c r="B1912" t="s">
        <v>108</v>
      </c>
      <c r="C1912">
        <v>14</v>
      </c>
      <c r="D1912">
        <v>0</v>
      </c>
      <c r="E1912">
        <v>0.68542670014236895</v>
      </c>
      <c r="F1912">
        <f t="shared" si="59"/>
        <v>0</v>
      </c>
      <c r="G1912">
        <v>0</v>
      </c>
      <c r="H1912">
        <v>0</v>
      </c>
      <c r="I1912">
        <v>0</v>
      </c>
      <c r="J1912">
        <v>0</v>
      </c>
      <c r="K1912">
        <v>0</v>
      </c>
      <c r="L1912">
        <v>0</v>
      </c>
      <c r="M1912">
        <f t="shared" si="58"/>
        <v>0</v>
      </c>
      <c r="N1912">
        <v>0</v>
      </c>
      <c r="O1912">
        <v>0</v>
      </c>
      <c r="P1912">
        <v>0</v>
      </c>
      <c r="Q1912">
        <v>0</v>
      </c>
      <c r="R1912">
        <v>0</v>
      </c>
      <c r="S1912">
        <v>0</v>
      </c>
    </row>
    <row r="1913" spans="1:19" x14ac:dyDescent="0.25">
      <c r="A1913">
        <v>18159</v>
      </c>
      <c r="B1913" t="s">
        <v>108</v>
      </c>
      <c r="C1913">
        <v>15</v>
      </c>
      <c r="D1913">
        <v>0</v>
      </c>
      <c r="E1913">
        <v>0.448163611631549</v>
      </c>
      <c r="F1913">
        <f t="shared" si="59"/>
        <v>0</v>
      </c>
      <c r="G1913">
        <v>0</v>
      </c>
      <c r="H1913">
        <v>0</v>
      </c>
      <c r="I1913">
        <v>0</v>
      </c>
      <c r="J1913">
        <v>0</v>
      </c>
      <c r="K1913">
        <v>0</v>
      </c>
      <c r="L1913">
        <v>0</v>
      </c>
      <c r="M1913">
        <f t="shared" si="58"/>
        <v>0</v>
      </c>
      <c r="N1913">
        <v>0</v>
      </c>
      <c r="O1913">
        <v>0</v>
      </c>
      <c r="P1913">
        <v>0</v>
      </c>
      <c r="Q1913">
        <v>0</v>
      </c>
      <c r="R1913">
        <v>0</v>
      </c>
      <c r="S1913">
        <v>0</v>
      </c>
    </row>
    <row r="1914" spans="1:19" x14ac:dyDescent="0.25">
      <c r="A1914">
        <v>18159</v>
      </c>
      <c r="B1914" t="s">
        <v>108</v>
      </c>
      <c r="C1914">
        <v>16</v>
      </c>
      <c r="D1914">
        <v>0</v>
      </c>
      <c r="E1914">
        <v>0.13181282695045499</v>
      </c>
      <c r="F1914">
        <f t="shared" si="59"/>
        <v>0</v>
      </c>
      <c r="G1914">
        <v>0</v>
      </c>
      <c r="H1914">
        <v>0</v>
      </c>
      <c r="I1914">
        <v>0</v>
      </c>
      <c r="J1914">
        <v>0</v>
      </c>
      <c r="K1914">
        <v>0</v>
      </c>
      <c r="L1914">
        <v>0</v>
      </c>
      <c r="M1914">
        <f t="shared" si="58"/>
        <v>0</v>
      </c>
      <c r="N1914">
        <v>0</v>
      </c>
      <c r="O1914">
        <v>0</v>
      </c>
      <c r="P1914">
        <v>0</v>
      </c>
      <c r="Q1914">
        <v>0</v>
      </c>
      <c r="R1914">
        <v>0</v>
      </c>
      <c r="S1914">
        <v>0</v>
      </c>
    </row>
    <row r="1915" spans="1:19" x14ac:dyDescent="0.25">
      <c r="A1915">
        <v>18159</v>
      </c>
      <c r="B1915" t="s">
        <v>108</v>
      </c>
      <c r="C1915">
        <v>17</v>
      </c>
      <c r="D1915">
        <v>0</v>
      </c>
      <c r="E1915">
        <v>5.2725130780182199E-2</v>
      </c>
      <c r="F1915">
        <f t="shared" si="59"/>
        <v>0</v>
      </c>
      <c r="G1915">
        <v>0</v>
      </c>
      <c r="H1915">
        <v>0</v>
      </c>
      <c r="I1915">
        <v>0</v>
      </c>
      <c r="J1915">
        <v>0</v>
      </c>
      <c r="K1915">
        <v>0</v>
      </c>
      <c r="L1915">
        <v>0</v>
      </c>
      <c r="M1915">
        <f t="shared" si="58"/>
        <v>0</v>
      </c>
      <c r="N1915">
        <v>0</v>
      </c>
      <c r="O1915">
        <v>0</v>
      </c>
      <c r="P1915">
        <v>0</v>
      </c>
      <c r="Q1915">
        <v>0</v>
      </c>
      <c r="R1915">
        <v>0</v>
      </c>
      <c r="S1915">
        <v>0</v>
      </c>
    </row>
    <row r="1916" spans="1:19" x14ac:dyDescent="0.25">
      <c r="A1916">
        <v>18159</v>
      </c>
      <c r="B1916" t="s">
        <v>108</v>
      </c>
      <c r="C1916">
        <v>18</v>
      </c>
      <c r="D1916">
        <v>0</v>
      </c>
      <c r="E1916">
        <v>0</v>
      </c>
      <c r="F1916">
        <f t="shared" si="59"/>
        <v>0</v>
      </c>
      <c r="G1916">
        <v>0</v>
      </c>
      <c r="H1916">
        <v>0</v>
      </c>
      <c r="I1916">
        <v>0</v>
      </c>
      <c r="J1916">
        <v>0</v>
      </c>
      <c r="K1916">
        <v>0</v>
      </c>
      <c r="L1916">
        <v>0</v>
      </c>
      <c r="M1916">
        <f t="shared" si="58"/>
        <v>0</v>
      </c>
      <c r="N1916">
        <v>0</v>
      </c>
      <c r="O1916">
        <v>0</v>
      </c>
      <c r="P1916">
        <v>0</v>
      </c>
      <c r="Q1916">
        <v>0</v>
      </c>
      <c r="R1916">
        <v>0</v>
      </c>
      <c r="S1916">
        <v>0</v>
      </c>
    </row>
    <row r="1917" spans="1:19" x14ac:dyDescent="0.25">
      <c r="A1917">
        <v>18159</v>
      </c>
      <c r="B1917" t="s">
        <v>108</v>
      </c>
      <c r="C1917">
        <v>19</v>
      </c>
      <c r="D1917">
        <v>0</v>
      </c>
      <c r="E1917">
        <v>0</v>
      </c>
      <c r="F1917">
        <f t="shared" si="59"/>
        <v>0</v>
      </c>
      <c r="G1917">
        <v>0</v>
      </c>
      <c r="H1917">
        <v>0</v>
      </c>
      <c r="I1917">
        <v>0</v>
      </c>
      <c r="J1917">
        <v>0</v>
      </c>
      <c r="K1917">
        <v>0</v>
      </c>
      <c r="L1917">
        <v>0</v>
      </c>
      <c r="M1917">
        <f t="shared" si="58"/>
        <v>0</v>
      </c>
      <c r="N1917">
        <v>0</v>
      </c>
      <c r="O1917">
        <v>0</v>
      </c>
      <c r="P1917">
        <v>0</v>
      </c>
      <c r="Q1917">
        <v>0</v>
      </c>
      <c r="R1917">
        <v>0</v>
      </c>
      <c r="S1917">
        <v>0</v>
      </c>
    </row>
    <row r="1918" spans="1:19" x14ac:dyDescent="0.25">
      <c r="A1918">
        <v>18159</v>
      </c>
      <c r="B1918" t="s">
        <v>108</v>
      </c>
      <c r="C1918">
        <v>20</v>
      </c>
      <c r="D1918">
        <v>0</v>
      </c>
      <c r="E1918">
        <v>0</v>
      </c>
      <c r="F1918">
        <f t="shared" si="59"/>
        <v>0</v>
      </c>
      <c r="G1918">
        <v>0</v>
      </c>
      <c r="H1918">
        <v>0</v>
      </c>
      <c r="I1918">
        <v>0</v>
      </c>
      <c r="J1918">
        <v>0</v>
      </c>
      <c r="K1918">
        <v>0</v>
      </c>
      <c r="L1918">
        <v>0</v>
      </c>
      <c r="M1918">
        <f t="shared" si="58"/>
        <v>0</v>
      </c>
      <c r="N1918">
        <v>0</v>
      </c>
      <c r="O1918">
        <v>0</v>
      </c>
      <c r="P1918">
        <v>0</v>
      </c>
      <c r="Q1918">
        <v>0</v>
      </c>
      <c r="R1918">
        <v>0</v>
      </c>
      <c r="S1918">
        <v>0</v>
      </c>
    </row>
    <row r="1919" spans="1:19" x14ac:dyDescent="0.25">
      <c r="A1919">
        <v>18159</v>
      </c>
      <c r="B1919" t="s">
        <v>108</v>
      </c>
      <c r="C1919">
        <v>21</v>
      </c>
      <c r="D1919">
        <v>0</v>
      </c>
      <c r="E1919">
        <v>0</v>
      </c>
      <c r="F1919">
        <f t="shared" si="59"/>
        <v>0</v>
      </c>
      <c r="G1919">
        <v>0</v>
      </c>
      <c r="H1919">
        <v>0</v>
      </c>
      <c r="I1919">
        <v>0</v>
      </c>
      <c r="J1919">
        <v>0</v>
      </c>
      <c r="K1919">
        <v>0</v>
      </c>
      <c r="L1919">
        <v>0</v>
      </c>
      <c r="M1919">
        <f t="shared" si="58"/>
        <v>0</v>
      </c>
      <c r="N1919">
        <v>0</v>
      </c>
      <c r="O1919">
        <v>0</v>
      </c>
      <c r="P1919">
        <v>0</v>
      </c>
      <c r="Q1919">
        <v>0</v>
      </c>
      <c r="R1919">
        <v>0</v>
      </c>
      <c r="S1919">
        <v>0</v>
      </c>
    </row>
    <row r="1920" spans="1:19" x14ac:dyDescent="0.25">
      <c r="A1920">
        <v>18159</v>
      </c>
      <c r="B1920" t="s">
        <v>108</v>
      </c>
      <c r="C1920">
        <v>22</v>
      </c>
      <c r="D1920">
        <v>0</v>
      </c>
      <c r="E1920">
        <v>0</v>
      </c>
      <c r="F1920">
        <f t="shared" si="59"/>
        <v>0</v>
      </c>
      <c r="G1920">
        <v>0</v>
      </c>
      <c r="H1920">
        <v>0</v>
      </c>
      <c r="I1920">
        <v>0</v>
      </c>
      <c r="J1920">
        <v>0</v>
      </c>
      <c r="K1920">
        <v>0</v>
      </c>
      <c r="L1920">
        <v>0</v>
      </c>
      <c r="M1920">
        <f t="shared" si="58"/>
        <v>0</v>
      </c>
      <c r="N1920">
        <v>0</v>
      </c>
      <c r="O1920">
        <v>0</v>
      </c>
      <c r="P1920">
        <v>0</v>
      </c>
      <c r="Q1920">
        <v>0</v>
      </c>
      <c r="R1920">
        <v>0</v>
      </c>
      <c r="S1920">
        <v>0</v>
      </c>
    </row>
    <row r="1921" spans="1:19" x14ac:dyDescent="0.25">
      <c r="A1921">
        <v>18159</v>
      </c>
      <c r="B1921" t="s">
        <v>108</v>
      </c>
      <c r="C1921">
        <v>23</v>
      </c>
      <c r="D1921">
        <v>0</v>
      </c>
      <c r="E1921">
        <v>0</v>
      </c>
      <c r="F1921">
        <f t="shared" si="59"/>
        <v>0</v>
      </c>
      <c r="G1921">
        <v>0</v>
      </c>
      <c r="H1921">
        <v>0</v>
      </c>
      <c r="I1921">
        <v>0</v>
      </c>
      <c r="J1921">
        <v>0</v>
      </c>
      <c r="K1921">
        <v>0</v>
      </c>
      <c r="L1921">
        <v>0</v>
      </c>
      <c r="M1921">
        <f t="shared" si="58"/>
        <v>0</v>
      </c>
      <c r="N1921">
        <v>0</v>
      </c>
      <c r="O1921">
        <v>0</v>
      </c>
      <c r="P1921">
        <v>0</v>
      </c>
      <c r="Q1921">
        <v>0</v>
      </c>
      <c r="R1921">
        <v>0</v>
      </c>
      <c r="S1921">
        <v>0</v>
      </c>
    </row>
    <row r="1922" spans="1:19" x14ac:dyDescent="0.25">
      <c r="A1922">
        <v>18161</v>
      </c>
      <c r="B1922" t="s">
        <v>109</v>
      </c>
      <c r="C1922">
        <v>0</v>
      </c>
      <c r="D1922">
        <v>0</v>
      </c>
      <c r="E1922">
        <v>0</v>
      </c>
      <c r="F1922">
        <f t="shared" si="59"/>
        <v>0</v>
      </c>
      <c r="G1922">
        <v>0</v>
      </c>
      <c r="H1922">
        <v>0</v>
      </c>
      <c r="I1922">
        <v>0</v>
      </c>
      <c r="J1922">
        <v>0</v>
      </c>
      <c r="K1922">
        <v>0</v>
      </c>
      <c r="L1922">
        <v>0</v>
      </c>
      <c r="M1922">
        <f t="shared" ref="M1922:M1985" si="60">SUM(N1922:S1922)</f>
        <v>0</v>
      </c>
      <c r="N1922">
        <v>0</v>
      </c>
      <c r="O1922">
        <v>0</v>
      </c>
      <c r="P1922">
        <v>0</v>
      </c>
      <c r="Q1922">
        <v>0</v>
      </c>
      <c r="R1922">
        <v>0</v>
      </c>
      <c r="S1922">
        <v>0</v>
      </c>
    </row>
    <row r="1923" spans="1:19" x14ac:dyDescent="0.25">
      <c r="A1923">
        <v>18161</v>
      </c>
      <c r="B1923" t="s">
        <v>109</v>
      </c>
      <c r="C1923">
        <v>1</v>
      </c>
      <c r="D1923">
        <v>0</v>
      </c>
      <c r="E1923">
        <v>0</v>
      </c>
      <c r="F1923">
        <f t="shared" ref="F1923:F1986" si="61">SUM(G1923:L1923)</f>
        <v>0</v>
      </c>
      <c r="G1923">
        <v>0</v>
      </c>
      <c r="H1923">
        <v>0</v>
      </c>
      <c r="I1923">
        <v>0</v>
      </c>
      <c r="J1923">
        <v>0</v>
      </c>
      <c r="K1923">
        <v>0</v>
      </c>
      <c r="L1923">
        <v>0</v>
      </c>
      <c r="M1923">
        <f t="shared" si="60"/>
        <v>0</v>
      </c>
      <c r="N1923">
        <v>0</v>
      </c>
      <c r="O1923">
        <v>0</v>
      </c>
      <c r="P1923">
        <v>0</v>
      </c>
      <c r="Q1923">
        <v>0</v>
      </c>
      <c r="R1923">
        <v>0</v>
      </c>
      <c r="S1923">
        <v>0</v>
      </c>
    </row>
    <row r="1924" spans="1:19" x14ac:dyDescent="0.25">
      <c r="A1924">
        <v>18161</v>
      </c>
      <c r="B1924" t="s">
        <v>109</v>
      </c>
      <c r="C1924">
        <v>2</v>
      </c>
      <c r="D1924">
        <v>0</v>
      </c>
      <c r="E1924">
        <v>0</v>
      </c>
      <c r="F1924">
        <f t="shared" si="61"/>
        <v>0</v>
      </c>
      <c r="G1924">
        <v>0</v>
      </c>
      <c r="H1924">
        <v>0</v>
      </c>
      <c r="I1924">
        <v>0</v>
      </c>
      <c r="J1924">
        <v>0</v>
      </c>
      <c r="K1924">
        <v>0</v>
      </c>
      <c r="L1924">
        <v>0</v>
      </c>
      <c r="M1924">
        <f t="shared" si="60"/>
        <v>0</v>
      </c>
      <c r="N1924">
        <v>0</v>
      </c>
      <c r="O1924">
        <v>0</v>
      </c>
      <c r="P1924">
        <v>0</v>
      </c>
      <c r="Q1924">
        <v>0</v>
      </c>
      <c r="R1924">
        <v>0</v>
      </c>
      <c r="S1924">
        <v>0</v>
      </c>
    </row>
    <row r="1925" spans="1:19" x14ac:dyDescent="0.25">
      <c r="A1925">
        <v>18161</v>
      </c>
      <c r="B1925" t="s">
        <v>109</v>
      </c>
      <c r="C1925">
        <v>3</v>
      </c>
      <c r="D1925">
        <v>0</v>
      </c>
      <c r="E1925">
        <v>0</v>
      </c>
      <c r="F1925">
        <f t="shared" si="61"/>
        <v>0</v>
      </c>
      <c r="G1925">
        <v>0</v>
      </c>
      <c r="H1925">
        <v>0</v>
      </c>
      <c r="I1925">
        <v>0</v>
      </c>
      <c r="J1925">
        <v>0</v>
      </c>
      <c r="K1925">
        <v>0</v>
      </c>
      <c r="L1925">
        <v>0</v>
      </c>
      <c r="M1925">
        <f t="shared" si="60"/>
        <v>0</v>
      </c>
      <c r="N1925">
        <v>0</v>
      </c>
      <c r="O1925">
        <v>0</v>
      </c>
      <c r="P1925">
        <v>0</v>
      </c>
      <c r="Q1925">
        <v>0</v>
      </c>
      <c r="R1925">
        <v>0</v>
      </c>
      <c r="S1925">
        <v>0</v>
      </c>
    </row>
    <row r="1926" spans="1:19" x14ac:dyDescent="0.25">
      <c r="A1926">
        <v>18161</v>
      </c>
      <c r="B1926" t="s">
        <v>109</v>
      </c>
      <c r="C1926">
        <v>4</v>
      </c>
      <c r="D1926">
        <v>0</v>
      </c>
      <c r="E1926">
        <v>0</v>
      </c>
      <c r="F1926">
        <f t="shared" si="61"/>
        <v>0</v>
      </c>
      <c r="G1926">
        <v>0</v>
      </c>
      <c r="H1926">
        <v>0</v>
      </c>
      <c r="I1926">
        <v>0</v>
      </c>
      <c r="J1926">
        <v>0</v>
      </c>
      <c r="K1926">
        <v>0</v>
      </c>
      <c r="L1926">
        <v>0</v>
      </c>
      <c r="M1926">
        <f t="shared" si="60"/>
        <v>0</v>
      </c>
      <c r="N1926">
        <v>0</v>
      </c>
      <c r="O1926">
        <v>0</v>
      </c>
      <c r="P1926">
        <v>0</v>
      </c>
      <c r="Q1926">
        <v>0</v>
      </c>
      <c r="R1926">
        <v>0</v>
      </c>
      <c r="S1926">
        <v>0</v>
      </c>
    </row>
    <row r="1927" spans="1:19" x14ac:dyDescent="0.25">
      <c r="A1927">
        <v>18161</v>
      </c>
      <c r="B1927" t="s">
        <v>109</v>
      </c>
      <c r="C1927">
        <v>5</v>
      </c>
      <c r="D1927">
        <v>0</v>
      </c>
      <c r="E1927">
        <v>0</v>
      </c>
      <c r="F1927">
        <f t="shared" si="61"/>
        <v>0</v>
      </c>
      <c r="G1927">
        <v>0</v>
      </c>
      <c r="H1927">
        <v>0</v>
      </c>
      <c r="I1927">
        <v>0</v>
      </c>
      <c r="J1927">
        <v>0</v>
      </c>
      <c r="K1927">
        <v>0</v>
      </c>
      <c r="L1927">
        <v>0</v>
      </c>
      <c r="M1927">
        <f t="shared" si="60"/>
        <v>0</v>
      </c>
      <c r="N1927">
        <v>0</v>
      </c>
      <c r="O1927">
        <v>0</v>
      </c>
      <c r="P1927">
        <v>0</v>
      </c>
      <c r="Q1927">
        <v>0</v>
      </c>
      <c r="R1927">
        <v>0</v>
      </c>
      <c r="S1927">
        <v>0</v>
      </c>
    </row>
    <row r="1928" spans="1:19" x14ac:dyDescent="0.25">
      <c r="A1928">
        <v>18161</v>
      </c>
      <c r="B1928" t="s">
        <v>109</v>
      </c>
      <c r="C1928">
        <v>6</v>
      </c>
      <c r="D1928">
        <v>0</v>
      </c>
      <c r="E1928">
        <v>0</v>
      </c>
      <c r="F1928">
        <f t="shared" si="61"/>
        <v>0</v>
      </c>
      <c r="G1928">
        <v>0</v>
      </c>
      <c r="H1928">
        <v>0</v>
      </c>
      <c r="I1928">
        <v>0</v>
      </c>
      <c r="J1928">
        <v>0</v>
      </c>
      <c r="K1928">
        <v>0</v>
      </c>
      <c r="L1928">
        <v>0</v>
      </c>
      <c r="M1928">
        <f t="shared" si="60"/>
        <v>0</v>
      </c>
      <c r="N1928">
        <v>0</v>
      </c>
      <c r="O1928">
        <v>0</v>
      </c>
      <c r="P1928">
        <v>0</v>
      </c>
      <c r="Q1928">
        <v>0</v>
      </c>
      <c r="R1928">
        <v>0</v>
      </c>
      <c r="S1928">
        <v>0</v>
      </c>
    </row>
    <row r="1929" spans="1:19" x14ac:dyDescent="0.25">
      <c r="A1929">
        <v>18161</v>
      </c>
      <c r="B1929" t="s">
        <v>109</v>
      </c>
      <c r="C1929">
        <v>7</v>
      </c>
      <c r="D1929">
        <v>0</v>
      </c>
      <c r="E1929">
        <v>0</v>
      </c>
      <c r="F1929">
        <f t="shared" si="61"/>
        <v>0</v>
      </c>
      <c r="G1929">
        <v>0</v>
      </c>
      <c r="H1929">
        <v>0</v>
      </c>
      <c r="I1929">
        <v>0</v>
      </c>
      <c r="J1929">
        <v>0</v>
      </c>
      <c r="K1929">
        <v>0</v>
      </c>
      <c r="L1929">
        <v>0</v>
      </c>
      <c r="M1929">
        <f t="shared" si="60"/>
        <v>0</v>
      </c>
      <c r="N1929">
        <v>0</v>
      </c>
      <c r="O1929">
        <v>0</v>
      </c>
      <c r="P1929">
        <v>0</v>
      </c>
      <c r="Q1929">
        <v>0</v>
      </c>
      <c r="R1929">
        <v>0</v>
      </c>
      <c r="S1929">
        <v>0</v>
      </c>
    </row>
    <row r="1930" spans="1:19" x14ac:dyDescent="0.25">
      <c r="A1930">
        <v>18161</v>
      </c>
      <c r="B1930" t="s">
        <v>109</v>
      </c>
      <c r="C1930">
        <v>8</v>
      </c>
      <c r="D1930">
        <v>0</v>
      </c>
      <c r="E1930">
        <v>0.120041333097088</v>
      </c>
      <c r="F1930">
        <f t="shared" si="61"/>
        <v>0</v>
      </c>
      <c r="G1930">
        <v>0</v>
      </c>
      <c r="H1930">
        <v>0</v>
      </c>
      <c r="I1930">
        <v>0</v>
      </c>
      <c r="J1930">
        <v>0</v>
      </c>
      <c r="K1930">
        <v>0</v>
      </c>
      <c r="L1930">
        <v>0</v>
      </c>
      <c r="M1930">
        <f t="shared" si="60"/>
        <v>0</v>
      </c>
      <c r="N1930">
        <v>0</v>
      </c>
      <c r="O1930">
        <v>0</v>
      </c>
      <c r="P1930">
        <v>0</v>
      </c>
      <c r="Q1930">
        <v>0</v>
      </c>
      <c r="R1930">
        <v>0</v>
      </c>
      <c r="S1930">
        <v>0</v>
      </c>
    </row>
    <row r="1931" spans="1:19" x14ac:dyDescent="0.25">
      <c r="A1931">
        <v>18161</v>
      </c>
      <c r="B1931" t="s">
        <v>109</v>
      </c>
      <c r="C1931">
        <v>9</v>
      </c>
      <c r="D1931">
        <v>0</v>
      </c>
      <c r="E1931">
        <v>0.24008266619417601</v>
      </c>
      <c r="F1931">
        <f t="shared" si="61"/>
        <v>0</v>
      </c>
      <c r="G1931">
        <v>0</v>
      </c>
      <c r="H1931">
        <v>0</v>
      </c>
      <c r="I1931">
        <v>0</v>
      </c>
      <c r="J1931">
        <v>0</v>
      </c>
      <c r="K1931">
        <v>0</v>
      </c>
      <c r="L1931">
        <v>0</v>
      </c>
      <c r="M1931">
        <f t="shared" si="60"/>
        <v>0</v>
      </c>
      <c r="N1931">
        <v>0</v>
      </c>
      <c r="O1931">
        <v>0</v>
      </c>
      <c r="P1931">
        <v>0</v>
      </c>
      <c r="Q1931">
        <v>0</v>
      </c>
      <c r="R1931">
        <v>0</v>
      </c>
      <c r="S1931">
        <v>0</v>
      </c>
    </row>
    <row r="1932" spans="1:19" x14ac:dyDescent="0.25">
      <c r="A1932">
        <v>18161</v>
      </c>
      <c r="B1932" t="s">
        <v>109</v>
      </c>
      <c r="C1932">
        <v>10</v>
      </c>
      <c r="D1932">
        <v>0</v>
      </c>
      <c r="E1932">
        <v>0.48016533238835202</v>
      </c>
      <c r="F1932">
        <f t="shared" si="61"/>
        <v>0</v>
      </c>
      <c r="G1932">
        <v>0</v>
      </c>
      <c r="H1932">
        <v>0</v>
      </c>
      <c r="I1932">
        <v>0</v>
      </c>
      <c r="J1932">
        <v>0</v>
      </c>
      <c r="K1932">
        <v>0</v>
      </c>
      <c r="L1932">
        <v>0</v>
      </c>
      <c r="M1932">
        <f t="shared" si="60"/>
        <v>0</v>
      </c>
      <c r="N1932">
        <v>0</v>
      </c>
      <c r="O1932">
        <v>0</v>
      </c>
      <c r="P1932">
        <v>0</v>
      </c>
      <c r="Q1932">
        <v>0</v>
      </c>
      <c r="R1932">
        <v>0</v>
      </c>
      <c r="S1932">
        <v>0</v>
      </c>
    </row>
    <row r="1933" spans="1:19" x14ac:dyDescent="0.25">
      <c r="A1933">
        <v>18161</v>
      </c>
      <c r="B1933" t="s">
        <v>109</v>
      </c>
      <c r="C1933">
        <v>11</v>
      </c>
      <c r="D1933">
        <v>0</v>
      </c>
      <c r="E1933">
        <v>0.48016533238835202</v>
      </c>
      <c r="F1933">
        <f t="shared" si="61"/>
        <v>0</v>
      </c>
      <c r="G1933">
        <v>0</v>
      </c>
      <c r="H1933">
        <v>0</v>
      </c>
      <c r="I1933">
        <v>0</v>
      </c>
      <c r="J1933">
        <v>0</v>
      </c>
      <c r="K1933">
        <v>0</v>
      </c>
      <c r="L1933">
        <v>0</v>
      </c>
      <c r="M1933">
        <f t="shared" si="60"/>
        <v>0</v>
      </c>
      <c r="N1933">
        <v>0</v>
      </c>
      <c r="O1933">
        <v>0</v>
      </c>
      <c r="P1933">
        <v>0</v>
      </c>
      <c r="Q1933">
        <v>0</v>
      </c>
      <c r="R1933">
        <v>0</v>
      </c>
      <c r="S1933">
        <v>0</v>
      </c>
    </row>
    <row r="1934" spans="1:19" x14ac:dyDescent="0.25">
      <c r="A1934">
        <v>18161</v>
      </c>
      <c r="B1934" t="s">
        <v>109</v>
      </c>
      <c r="C1934">
        <v>12</v>
      </c>
      <c r="D1934">
        <v>0</v>
      </c>
      <c r="E1934">
        <v>0.36012399929126399</v>
      </c>
      <c r="F1934">
        <f t="shared" si="61"/>
        <v>0</v>
      </c>
      <c r="G1934">
        <v>0</v>
      </c>
      <c r="H1934">
        <v>0</v>
      </c>
      <c r="I1934">
        <v>0</v>
      </c>
      <c r="J1934">
        <v>0</v>
      </c>
      <c r="K1934">
        <v>0</v>
      </c>
      <c r="L1934">
        <v>0</v>
      </c>
      <c r="M1934">
        <f t="shared" si="60"/>
        <v>0</v>
      </c>
      <c r="N1934">
        <v>0</v>
      </c>
      <c r="O1934">
        <v>0</v>
      </c>
      <c r="P1934">
        <v>0</v>
      </c>
      <c r="Q1934">
        <v>0</v>
      </c>
      <c r="R1934">
        <v>0</v>
      </c>
      <c r="S1934">
        <v>0</v>
      </c>
    </row>
    <row r="1935" spans="1:19" x14ac:dyDescent="0.25">
      <c r="A1935">
        <v>18161</v>
      </c>
      <c r="B1935" t="s">
        <v>109</v>
      </c>
      <c r="C1935">
        <v>13</v>
      </c>
      <c r="D1935">
        <v>0</v>
      </c>
      <c r="E1935">
        <v>0</v>
      </c>
      <c r="F1935">
        <f t="shared" si="61"/>
        <v>0</v>
      </c>
      <c r="G1935">
        <v>0</v>
      </c>
      <c r="H1935">
        <v>0</v>
      </c>
      <c r="I1935">
        <v>0</v>
      </c>
      <c r="J1935">
        <v>0</v>
      </c>
      <c r="K1935">
        <v>0</v>
      </c>
      <c r="L1935">
        <v>0</v>
      </c>
      <c r="M1935">
        <f t="shared" si="60"/>
        <v>0</v>
      </c>
      <c r="N1935">
        <v>0</v>
      </c>
      <c r="O1935">
        <v>0</v>
      </c>
      <c r="P1935">
        <v>0</v>
      </c>
      <c r="Q1935">
        <v>0</v>
      </c>
      <c r="R1935">
        <v>0</v>
      </c>
      <c r="S1935">
        <v>0</v>
      </c>
    </row>
    <row r="1936" spans="1:19" x14ac:dyDescent="0.25">
      <c r="A1936">
        <v>18161</v>
      </c>
      <c r="B1936" t="s">
        <v>109</v>
      </c>
      <c r="C1936">
        <v>14</v>
      </c>
      <c r="D1936">
        <v>0</v>
      </c>
      <c r="E1936">
        <v>0</v>
      </c>
      <c r="F1936">
        <f t="shared" si="61"/>
        <v>0</v>
      </c>
      <c r="G1936">
        <v>0</v>
      </c>
      <c r="H1936">
        <v>0</v>
      </c>
      <c r="I1936">
        <v>0</v>
      </c>
      <c r="J1936">
        <v>0</v>
      </c>
      <c r="K1936">
        <v>0</v>
      </c>
      <c r="L1936">
        <v>0</v>
      </c>
      <c r="M1936">
        <f t="shared" si="60"/>
        <v>0</v>
      </c>
      <c r="N1936">
        <v>0</v>
      </c>
      <c r="O1936">
        <v>0</v>
      </c>
      <c r="P1936">
        <v>0</v>
      </c>
      <c r="Q1936">
        <v>0</v>
      </c>
      <c r="R1936">
        <v>0</v>
      </c>
      <c r="S1936">
        <v>0</v>
      </c>
    </row>
    <row r="1937" spans="1:19" x14ac:dyDescent="0.25">
      <c r="A1937">
        <v>18161</v>
      </c>
      <c r="B1937" t="s">
        <v>109</v>
      </c>
      <c r="C1937">
        <v>15</v>
      </c>
      <c r="D1937">
        <v>0</v>
      </c>
      <c r="E1937">
        <v>0</v>
      </c>
      <c r="F1937">
        <f t="shared" si="61"/>
        <v>0</v>
      </c>
      <c r="G1937">
        <v>0</v>
      </c>
      <c r="H1937">
        <v>0</v>
      </c>
      <c r="I1937">
        <v>0</v>
      </c>
      <c r="J1937">
        <v>0</v>
      </c>
      <c r="K1937">
        <v>0</v>
      </c>
      <c r="L1937">
        <v>0</v>
      </c>
      <c r="M1937">
        <f t="shared" si="60"/>
        <v>0</v>
      </c>
      <c r="N1937">
        <v>0</v>
      </c>
      <c r="O1937">
        <v>0</v>
      </c>
      <c r="P1937">
        <v>0</v>
      </c>
      <c r="Q1937">
        <v>0</v>
      </c>
      <c r="R1937">
        <v>0</v>
      </c>
      <c r="S1937">
        <v>0</v>
      </c>
    </row>
    <row r="1938" spans="1:19" x14ac:dyDescent="0.25">
      <c r="A1938">
        <v>18161</v>
      </c>
      <c r="B1938" t="s">
        <v>109</v>
      </c>
      <c r="C1938">
        <v>16</v>
      </c>
      <c r="D1938">
        <v>0</v>
      </c>
      <c r="E1938">
        <v>0</v>
      </c>
      <c r="F1938">
        <f t="shared" si="61"/>
        <v>0</v>
      </c>
      <c r="G1938">
        <v>0</v>
      </c>
      <c r="H1938">
        <v>0</v>
      </c>
      <c r="I1938">
        <v>0</v>
      </c>
      <c r="J1938">
        <v>0</v>
      </c>
      <c r="K1938">
        <v>0</v>
      </c>
      <c r="L1938">
        <v>0</v>
      </c>
      <c r="M1938">
        <f t="shared" si="60"/>
        <v>0</v>
      </c>
      <c r="N1938">
        <v>0</v>
      </c>
      <c r="O1938">
        <v>0</v>
      </c>
      <c r="P1938">
        <v>0</v>
      </c>
      <c r="Q1938">
        <v>0</v>
      </c>
      <c r="R1938">
        <v>0</v>
      </c>
      <c r="S1938">
        <v>0</v>
      </c>
    </row>
    <row r="1939" spans="1:19" x14ac:dyDescent="0.25">
      <c r="A1939">
        <v>18161</v>
      </c>
      <c r="B1939" t="s">
        <v>109</v>
      </c>
      <c r="C1939">
        <v>17</v>
      </c>
      <c r="D1939">
        <v>0</v>
      </c>
      <c r="E1939">
        <v>0</v>
      </c>
      <c r="F1939">
        <f t="shared" si="61"/>
        <v>0</v>
      </c>
      <c r="G1939">
        <v>0</v>
      </c>
      <c r="H1939">
        <v>0</v>
      </c>
      <c r="I1939">
        <v>0</v>
      </c>
      <c r="J1939">
        <v>0</v>
      </c>
      <c r="K1939">
        <v>0</v>
      </c>
      <c r="L1939">
        <v>0</v>
      </c>
      <c r="M1939">
        <f t="shared" si="60"/>
        <v>0</v>
      </c>
      <c r="N1939">
        <v>0</v>
      </c>
      <c r="O1939">
        <v>0</v>
      </c>
      <c r="P1939">
        <v>0</v>
      </c>
      <c r="Q1939">
        <v>0</v>
      </c>
      <c r="R1939">
        <v>0</v>
      </c>
      <c r="S1939">
        <v>0</v>
      </c>
    </row>
    <row r="1940" spans="1:19" x14ac:dyDescent="0.25">
      <c r="A1940">
        <v>18161</v>
      </c>
      <c r="B1940" t="s">
        <v>109</v>
      </c>
      <c r="C1940">
        <v>18</v>
      </c>
      <c r="D1940">
        <v>0</v>
      </c>
      <c r="E1940">
        <v>0</v>
      </c>
      <c r="F1940">
        <f t="shared" si="61"/>
        <v>0</v>
      </c>
      <c r="G1940">
        <v>0</v>
      </c>
      <c r="H1940">
        <v>0</v>
      </c>
      <c r="I1940">
        <v>0</v>
      </c>
      <c r="J1940">
        <v>0</v>
      </c>
      <c r="K1940">
        <v>0</v>
      </c>
      <c r="L1940">
        <v>0</v>
      </c>
      <c r="M1940">
        <f t="shared" si="60"/>
        <v>0</v>
      </c>
      <c r="N1940">
        <v>0</v>
      </c>
      <c r="O1940">
        <v>0</v>
      </c>
      <c r="P1940">
        <v>0</v>
      </c>
      <c r="Q1940">
        <v>0</v>
      </c>
      <c r="R1940">
        <v>0</v>
      </c>
      <c r="S1940">
        <v>0</v>
      </c>
    </row>
    <row r="1941" spans="1:19" x14ac:dyDescent="0.25">
      <c r="A1941">
        <v>18161</v>
      </c>
      <c r="B1941" t="s">
        <v>109</v>
      </c>
      <c r="C1941">
        <v>19</v>
      </c>
      <c r="D1941">
        <v>0</v>
      </c>
      <c r="E1941">
        <v>0</v>
      </c>
      <c r="F1941">
        <f t="shared" si="61"/>
        <v>0</v>
      </c>
      <c r="G1941">
        <v>0</v>
      </c>
      <c r="H1941">
        <v>0</v>
      </c>
      <c r="I1941">
        <v>0</v>
      </c>
      <c r="J1941">
        <v>0</v>
      </c>
      <c r="K1941">
        <v>0</v>
      </c>
      <c r="L1941">
        <v>0</v>
      </c>
      <c r="M1941">
        <f t="shared" si="60"/>
        <v>0</v>
      </c>
      <c r="N1941">
        <v>0</v>
      </c>
      <c r="O1941">
        <v>0</v>
      </c>
      <c r="P1941">
        <v>0</v>
      </c>
      <c r="Q1941">
        <v>0</v>
      </c>
      <c r="R1941">
        <v>0</v>
      </c>
      <c r="S1941">
        <v>0</v>
      </c>
    </row>
    <row r="1942" spans="1:19" x14ac:dyDescent="0.25">
      <c r="A1942">
        <v>18161</v>
      </c>
      <c r="B1942" t="s">
        <v>109</v>
      </c>
      <c r="C1942">
        <v>20</v>
      </c>
      <c r="D1942">
        <v>0</v>
      </c>
      <c r="E1942">
        <v>0</v>
      </c>
      <c r="F1942">
        <f t="shared" si="61"/>
        <v>0</v>
      </c>
      <c r="G1942">
        <v>0</v>
      </c>
      <c r="H1942">
        <v>0</v>
      </c>
      <c r="I1942">
        <v>0</v>
      </c>
      <c r="J1942">
        <v>0</v>
      </c>
      <c r="K1942">
        <v>0</v>
      </c>
      <c r="L1942">
        <v>0</v>
      </c>
      <c r="M1942">
        <f t="shared" si="60"/>
        <v>0</v>
      </c>
      <c r="N1942">
        <v>0</v>
      </c>
      <c r="O1942">
        <v>0</v>
      </c>
      <c r="P1942">
        <v>0</v>
      </c>
      <c r="Q1942">
        <v>0</v>
      </c>
      <c r="R1942">
        <v>0</v>
      </c>
      <c r="S1942">
        <v>0</v>
      </c>
    </row>
    <row r="1943" spans="1:19" x14ac:dyDescent="0.25">
      <c r="A1943">
        <v>18161</v>
      </c>
      <c r="B1943" t="s">
        <v>109</v>
      </c>
      <c r="C1943">
        <v>21</v>
      </c>
      <c r="D1943">
        <v>0</v>
      </c>
      <c r="E1943">
        <v>0</v>
      </c>
      <c r="F1943">
        <f t="shared" si="61"/>
        <v>0</v>
      </c>
      <c r="G1943">
        <v>0</v>
      </c>
      <c r="H1943">
        <v>0</v>
      </c>
      <c r="I1943">
        <v>0</v>
      </c>
      <c r="J1943">
        <v>0</v>
      </c>
      <c r="K1943">
        <v>0</v>
      </c>
      <c r="L1943">
        <v>0</v>
      </c>
      <c r="M1943">
        <f t="shared" si="60"/>
        <v>0</v>
      </c>
      <c r="N1943">
        <v>0</v>
      </c>
      <c r="O1943">
        <v>0</v>
      </c>
      <c r="P1943">
        <v>0</v>
      </c>
      <c r="Q1943">
        <v>0</v>
      </c>
      <c r="R1943">
        <v>0</v>
      </c>
      <c r="S1943">
        <v>0</v>
      </c>
    </row>
    <row r="1944" spans="1:19" x14ac:dyDescent="0.25">
      <c r="A1944">
        <v>18161</v>
      </c>
      <c r="B1944" t="s">
        <v>109</v>
      </c>
      <c r="C1944">
        <v>22</v>
      </c>
      <c r="D1944">
        <v>0</v>
      </c>
      <c r="E1944">
        <v>0</v>
      </c>
      <c r="F1944">
        <f t="shared" si="61"/>
        <v>0</v>
      </c>
      <c r="G1944">
        <v>0</v>
      </c>
      <c r="H1944">
        <v>0</v>
      </c>
      <c r="I1944">
        <v>0</v>
      </c>
      <c r="J1944">
        <v>0</v>
      </c>
      <c r="K1944">
        <v>0</v>
      </c>
      <c r="L1944">
        <v>0</v>
      </c>
      <c r="M1944">
        <f t="shared" si="60"/>
        <v>0</v>
      </c>
      <c r="N1944">
        <v>0</v>
      </c>
      <c r="O1944">
        <v>0</v>
      </c>
      <c r="P1944">
        <v>0</v>
      </c>
      <c r="Q1944">
        <v>0</v>
      </c>
      <c r="R1944">
        <v>0</v>
      </c>
      <c r="S1944">
        <v>0</v>
      </c>
    </row>
    <row r="1945" spans="1:19" x14ac:dyDescent="0.25">
      <c r="A1945">
        <v>18161</v>
      </c>
      <c r="B1945" t="s">
        <v>109</v>
      </c>
      <c r="C1945">
        <v>23</v>
      </c>
      <c r="D1945">
        <v>0</v>
      </c>
      <c r="E1945">
        <v>0</v>
      </c>
      <c r="F1945">
        <f t="shared" si="61"/>
        <v>0</v>
      </c>
      <c r="G1945">
        <v>0</v>
      </c>
      <c r="H1945">
        <v>0</v>
      </c>
      <c r="I1945">
        <v>0</v>
      </c>
      <c r="J1945">
        <v>0</v>
      </c>
      <c r="K1945">
        <v>0</v>
      </c>
      <c r="L1945">
        <v>0</v>
      </c>
      <c r="M1945">
        <f t="shared" si="60"/>
        <v>0</v>
      </c>
      <c r="N1945">
        <v>0</v>
      </c>
      <c r="O1945">
        <v>0</v>
      </c>
      <c r="P1945">
        <v>0</v>
      </c>
      <c r="Q1945">
        <v>0</v>
      </c>
      <c r="R1945">
        <v>0</v>
      </c>
      <c r="S1945">
        <v>0</v>
      </c>
    </row>
    <row r="1946" spans="1:19" x14ac:dyDescent="0.25">
      <c r="A1946">
        <v>18163</v>
      </c>
      <c r="B1946" t="s">
        <v>110</v>
      </c>
      <c r="C1946">
        <v>0</v>
      </c>
      <c r="D1946">
        <v>13.7167246516004</v>
      </c>
      <c r="E1946">
        <v>28.027246907166202</v>
      </c>
      <c r="F1946">
        <f t="shared" si="61"/>
        <v>2</v>
      </c>
      <c r="G1946">
        <v>0</v>
      </c>
      <c r="H1946">
        <v>0</v>
      </c>
      <c r="I1946">
        <v>2</v>
      </c>
      <c r="J1946">
        <v>0</v>
      </c>
      <c r="K1946">
        <v>0</v>
      </c>
      <c r="L1946">
        <v>0</v>
      </c>
      <c r="M1946">
        <f t="shared" si="60"/>
        <v>40</v>
      </c>
      <c r="N1946">
        <v>0</v>
      </c>
      <c r="O1946">
        <v>0</v>
      </c>
      <c r="P1946">
        <v>40</v>
      </c>
      <c r="Q1946">
        <v>0</v>
      </c>
      <c r="R1946">
        <v>0</v>
      </c>
      <c r="S1946">
        <v>0</v>
      </c>
    </row>
    <row r="1947" spans="1:19" x14ac:dyDescent="0.25">
      <c r="A1947">
        <v>18163</v>
      </c>
      <c r="B1947" t="s">
        <v>110</v>
      </c>
      <c r="C1947">
        <v>1</v>
      </c>
      <c r="D1947">
        <v>13.8057942921952</v>
      </c>
      <c r="E1947">
        <v>30.3727474428295</v>
      </c>
      <c r="F1947">
        <f t="shared" si="61"/>
        <v>2</v>
      </c>
      <c r="G1947">
        <v>0</v>
      </c>
      <c r="H1947">
        <v>0</v>
      </c>
      <c r="I1947">
        <v>2</v>
      </c>
      <c r="J1947">
        <v>0</v>
      </c>
      <c r="K1947">
        <v>0</v>
      </c>
      <c r="L1947">
        <v>0</v>
      </c>
      <c r="M1947">
        <f t="shared" si="60"/>
        <v>40</v>
      </c>
      <c r="N1947">
        <v>0</v>
      </c>
      <c r="O1947">
        <v>0</v>
      </c>
      <c r="P1947">
        <v>40</v>
      </c>
      <c r="Q1947">
        <v>0</v>
      </c>
      <c r="R1947">
        <v>0</v>
      </c>
      <c r="S1947">
        <v>0</v>
      </c>
    </row>
    <row r="1948" spans="1:19" x14ac:dyDescent="0.25">
      <c r="A1948">
        <v>18163</v>
      </c>
      <c r="B1948" t="s">
        <v>110</v>
      </c>
      <c r="C1948">
        <v>2</v>
      </c>
      <c r="D1948">
        <v>13.6870347714021</v>
      </c>
      <c r="E1948">
        <v>25.058258887339299</v>
      </c>
      <c r="F1948">
        <f t="shared" si="61"/>
        <v>2</v>
      </c>
      <c r="G1948">
        <v>0</v>
      </c>
      <c r="H1948">
        <v>0</v>
      </c>
      <c r="I1948">
        <v>2</v>
      </c>
      <c r="J1948">
        <v>0</v>
      </c>
      <c r="K1948">
        <v>0</v>
      </c>
      <c r="L1948">
        <v>0</v>
      </c>
      <c r="M1948">
        <f t="shared" si="60"/>
        <v>40</v>
      </c>
      <c r="N1948">
        <v>0</v>
      </c>
      <c r="O1948">
        <v>0</v>
      </c>
      <c r="P1948">
        <v>40</v>
      </c>
      <c r="Q1948">
        <v>0</v>
      </c>
      <c r="R1948">
        <v>0</v>
      </c>
      <c r="S1948">
        <v>0</v>
      </c>
    </row>
    <row r="1949" spans="1:19" x14ac:dyDescent="0.25">
      <c r="A1949">
        <v>18163</v>
      </c>
      <c r="B1949" t="s">
        <v>110</v>
      </c>
      <c r="C1949">
        <v>3</v>
      </c>
      <c r="D1949">
        <v>13.122927047635001</v>
      </c>
      <c r="E1949">
        <v>21.643922664538302</v>
      </c>
      <c r="F1949">
        <f t="shared" si="61"/>
        <v>2</v>
      </c>
      <c r="G1949">
        <v>0</v>
      </c>
      <c r="H1949">
        <v>0</v>
      </c>
      <c r="I1949">
        <v>2</v>
      </c>
      <c r="J1949">
        <v>0</v>
      </c>
      <c r="K1949">
        <v>0</v>
      </c>
      <c r="L1949">
        <v>0</v>
      </c>
      <c r="M1949">
        <f t="shared" si="60"/>
        <v>40</v>
      </c>
      <c r="N1949">
        <v>0</v>
      </c>
      <c r="O1949">
        <v>0</v>
      </c>
      <c r="P1949">
        <v>40</v>
      </c>
      <c r="Q1949">
        <v>0</v>
      </c>
      <c r="R1949">
        <v>0</v>
      </c>
      <c r="S1949">
        <v>0</v>
      </c>
    </row>
    <row r="1950" spans="1:19" x14ac:dyDescent="0.25">
      <c r="A1950">
        <v>18163</v>
      </c>
      <c r="B1950" t="s">
        <v>110</v>
      </c>
      <c r="C1950">
        <v>4</v>
      </c>
      <c r="D1950">
        <v>12.4994395634714</v>
      </c>
      <c r="E1950">
        <v>13.8354841723935</v>
      </c>
      <c r="F1950">
        <f t="shared" si="61"/>
        <v>2</v>
      </c>
      <c r="G1950">
        <v>0</v>
      </c>
      <c r="H1950">
        <v>0</v>
      </c>
      <c r="I1950">
        <v>2</v>
      </c>
      <c r="J1950">
        <v>0</v>
      </c>
      <c r="K1950">
        <v>0</v>
      </c>
      <c r="L1950">
        <v>0</v>
      </c>
      <c r="M1950">
        <f t="shared" si="60"/>
        <v>40</v>
      </c>
      <c r="N1950">
        <v>0</v>
      </c>
      <c r="O1950">
        <v>0</v>
      </c>
      <c r="P1950">
        <v>40</v>
      </c>
      <c r="Q1950">
        <v>0</v>
      </c>
      <c r="R1950">
        <v>0</v>
      </c>
      <c r="S1950">
        <v>0</v>
      </c>
    </row>
    <row r="1951" spans="1:19" x14ac:dyDescent="0.25">
      <c r="A1951">
        <v>18163</v>
      </c>
      <c r="B1951" t="s">
        <v>110</v>
      </c>
      <c r="C1951">
        <v>5</v>
      </c>
      <c r="D1951">
        <v>11.7571925585146</v>
      </c>
      <c r="E1951">
        <v>9.4413819030496509</v>
      </c>
      <c r="F1951">
        <f t="shared" si="61"/>
        <v>2</v>
      </c>
      <c r="G1951">
        <v>0</v>
      </c>
      <c r="H1951">
        <v>0</v>
      </c>
      <c r="I1951">
        <v>2</v>
      </c>
      <c r="J1951">
        <v>0</v>
      </c>
      <c r="K1951">
        <v>0</v>
      </c>
      <c r="L1951">
        <v>0</v>
      </c>
      <c r="M1951">
        <f t="shared" si="60"/>
        <v>40</v>
      </c>
      <c r="N1951">
        <v>0</v>
      </c>
      <c r="O1951">
        <v>0</v>
      </c>
      <c r="P1951">
        <v>40</v>
      </c>
      <c r="Q1951">
        <v>0</v>
      </c>
      <c r="R1951">
        <v>0</v>
      </c>
      <c r="S1951">
        <v>0</v>
      </c>
    </row>
    <row r="1952" spans="1:19" x14ac:dyDescent="0.25">
      <c r="A1952">
        <v>18163</v>
      </c>
      <c r="B1952" t="s">
        <v>110</v>
      </c>
      <c r="C1952">
        <v>6</v>
      </c>
      <c r="D1952">
        <v>10.8664961525665</v>
      </c>
      <c r="E1952">
        <v>11.014945553557901</v>
      </c>
      <c r="F1952">
        <f t="shared" si="61"/>
        <v>2</v>
      </c>
      <c r="G1952">
        <v>0</v>
      </c>
      <c r="H1952">
        <v>0</v>
      </c>
      <c r="I1952">
        <v>2</v>
      </c>
      <c r="J1952">
        <v>0</v>
      </c>
      <c r="K1952">
        <v>0</v>
      </c>
      <c r="L1952">
        <v>0</v>
      </c>
      <c r="M1952">
        <f t="shared" si="60"/>
        <v>40</v>
      </c>
      <c r="N1952">
        <v>0</v>
      </c>
      <c r="O1952">
        <v>0</v>
      </c>
      <c r="P1952">
        <v>40</v>
      </c>
      <c r="Q1952">
        <v>0</v>
      </c>
      <c r="R1952">
        <v>0</v>
      </c>
      <c r="S1952">
        <v>0</v>
      </c>
    </row>
    <row r="1953" spans="1:19" x14ac:dyDescent="0.25">
      <c r="A1953">
        <v>18163</v>
      </c>
      <c r="B1953" t="s">
        <v>110</v>
      </c>
      <c r="C1953">
        <v>7</v>
      </c>
      <c r="D1953">
        <v>8.1944069347223394</v>
      </c>
      <c r="E1953">
        <v>15.290288302108699</v>
      </c>
      <c r="F1953">
        <f t="shared" si="61"/>
        <v>2</v>
      </c>
      <c r="G1953">
        <v>0</v>
      </c>
      <c r="H1953">
        <v>0</v>
      </c>
      <c r="I1953">
        <v>2</v>
      </c>
      <c r="J1953">
        <v>0</v>
      </c>
      <c r="K1953">
        <v>0</v>
      </c>
      <c r="L1953">
        <v>0</v>
      </c>
      <c r="M1953">
        <f t="shared" si="60"/>
        <v>40</v>
      </c>
      <c r="N1953">
        <v>0</v>
      </c>
      <c r="O1953">
        <v>0</v>
      </c>
      <c r="P1953">
        <v>40</v>
      </c>
      <c r="Q1953">
        <v>0</v>
      </c>
      <c r="R1953">
        <v>0</v>
      </c>
      <c r="S1953">
        <v>0</v>
      </c>
    </row>
    <row r="1954" spans="1:19" x14ac:dyDescent="0.25">
      <c r="A1954">
        <v>18163</v>
      </c>
      <c r="B1954" t="s">
        <v>110</v>
      </c>
      <c r="C1954">
        <v>8</v>
      </c>
      <c r="D1954">
        <v>10.3023884287994</v>
      </c>
      <c r="E1954">
        <v>21.881441706124502</v>
      </c>
      <c r="F1954">
        <f t="shared" si="61"/>
        <v>2</v>
      </c>
      <c r="G1954">
        <v>0</v>
      </c>
      <c r="H1954">
        <v>0</v>
      </c>
      <c r="I1954">
        <v>2</v>
      </c>
      <c r="J1954">
        <v>0</v>
      </c>
      <c r="K1954">
        <v>0</v>
      </c>
      <c r="L1954">
        <v>0</v>
      </c>
      <c r="M1954">
        <f t="shared" si="60"/>
        <v>40</v>
      </c>
      <c r="N1954">
        <v>0</v>
      </c>
      <c r="O1954">
        <v>0</v>
      </c>
      <c r="P1954">
        <v>40</v>
      </c>
      <c r="Q1954">
        <v>0</v>
      </c>
      <c r="R1954">
        <v>0</v>
      </c>
      <c r="S1954">
        <v>0</v>
      </c>
    </row>
    <row r="1955" spans="1:19" x14ac:dyDescent="0.25">
      <c r="A1955">
        <v>18163</v>
      </c>
      <c r="B1955" t="s">
        <v>110</v>
      </c>
      <c r="C1955">
        <v>9</v>
      </c>
      <c r="D1955">
        <v>9.2929325020582993</v>
      </c>
      <c r="E1955">
        <v>23.4550053566327</v>
      </c>
      <c r="F1955">
        <f t="shared" si="61"/>
        <v>2</v>
      </c>
      <c r="G1955">
        <v>0</v>
      </c>
      <c r="H1955">
        <v>0</v>
      </c>
      <c r="I1955">
        <v>2</v>
      </c>
      <c r="J1955">
        <v>0</v>
      </c>
      <c r="K1955">
        <v>0</v>
      </c>
      <c r="L1955">
        <v>0</v>
      </c>
      <c r="M1955">
        <f t="shared" si="60"/>
        <v>40</v>
      </c>
      <c r="N1955">
        <v>0</v>
      </c>
      <c r="O1955">
        <v>0</v>
      </c>
      <c r="P1955">
        <v>40</v>
      </c>
      <c r="Q1955">
        <v>0</v>
      </c>
      <c r="R1955">
        <v>0</v>
      </c>
      <c r="S1955">
        <v>0</v>
      </c>
    </row>
    <row r="1956" spans="1:19" x14ac:dyDescent="0.25">
      <c r="A1956">
        <v>18163</v>
      </c>
      <c r="B1956" t="s">
        <v>110</v>
      </c>
      <c r="C1956">
        <v>10</v>
      </c>
      <c r="D1956">
        <v>5.3441784356884803</v>
      </c>
      <c r="E1956">
        <v>25.177018408132401</v>
      </c>
      <c r="F1956">
        <f t="shared" si="61"/>
        <v>2</v>
      </c>
      <c r="G1956">
        <v>0</v>
      </c>
      <c r="H1956">
        <v>0</v>
      </c>
      <c r="I1956">
        <v>2</v>
      </c>
      <c r="J1956">
        <v>0</v>
      </c>
      <c r="K1956">
        <v>0</v>
      </c>
      <c r="L1956">
        <v>0</v>
      </c>
      <c r="M1956">
        <f t="shared" si="60"/>
        <v>40</v>
      </c>
      <c r="N1956">
        <v>0</v>
      </c>
      <c r="O1956">
        <v>0</v>
      </c>
      <c r="P1956">
        <v>40</v>
      </c>
      <c r="Q1956">
        <v>0</v>
      </c>
      <c r="R1956">
        <v>0</v>
      </c>
      <c r="S1956">
        <v>0</v>
      </c>
    </row>
    <row r="1957" spans="1:19" x14ac:dyDescent="0.25">
      <c r="A1957">
        <v>18163</v>
      </c>
      <c r="B1957" t="s">
        <v>110</v>
      </c>
      <c r="C1957">
        <v>11</v>
      </c>
      <c r="D1957">
        <v>7.0661914871881004</v>
      </c>
      <c r="E1957">
        <v>24.4644612833739</v>
      </c>
      <c r="F1957">
        <f t="shared" si="61"/>
        <v>2</v>
      </c>
      <c r="G1957">
        <v>0</v>
      </c>
      <c r="H1957">
        <v>0</v>
      </c>
      <c r="I1957">
        <v>2</v>
      </c>
      <c r="J1957">
        <v>0</v>
      </c>
      <c r="K1957">
        <v>0</v>
      </c>
      <c r="L1957">
        <v>0</v>
      </c>
      <c r="M1957">
        <f t="shared" si="60"/>
        <v>40</v>
      </c>
      <c r="N1957">
        <v>0</v>
      </c>
      <c r="O1957">
        <v>0</v>
      </c>
      <c r="P1957">
        <v>40</v>
      </c>
      <c r="Q1957">
        <v>0</v>
      </c>
      <c r="R1957">
        <v>0</v>
      </c>
      <c r="S1957">
        <v>0</v>
      </c>
    </row>
    <row r="1958" spans="1:19" x14ac:dyDescent="0.25">
      <c r="A1958">
        <v>18163</v>
      </c>
      <c r="B1958" t="s">
        <v>110</v>
      </c>
      <c r="C1958">
        <v>12</v>
      </c>
      <c r="D1958">
        <v>6.6505331644123302</v>
      </c>
      <c r="E1958">
        <v>27.1365505012181</v>
      </c>
      <c r="F1958">
        <f t="shared" si="61"/>
        <v>2</v>
      </c>
      <c r="G1958">
        <v>0</v>
      </c>
      <c r="H1958">
        <v>0</v>
      </c>
      <c r="I1958">
        <v>2</v>
      </c>
      <c r="J1958">
        <v>0</v>
      </c>
      <c r="K1958">
        <v>0</v>
      </c>
      <c r="L1958">
        <v>0</v>
      </c>
      <c r="M1958">
        <f t="shared" si="60"/>
        <v>40</v>
      </c>
      <c r="N1958">
        <v>0</v>
      </c>
      <c r="O1958">
        <v>0</v>
      </c>
      <c r="P1958">
        <v>40</v>
      </c>
      <c r="Q1958">
        <v>0</v>
      </c>
      <c r="R1958">
        <v>0</v>
      </c>
      <c r="S1958">
        <v>0</v>
      </c>
    </row>
    <row r="1959" spans="1:19" x14ac:dyDescent="0.25">
      <c r="A1959">
        <v>18163</v>
      </c>
      <c r="B1959" t="s">
        <v>110</v>
      </c>
      <c r="C1959">
        <v>13</v>
      </c>
      <c r="D1959">
        <v>5.84890639905906</v>
      </c>
      <c r="E1959">
        <v>25.2363981685289</v>
      </c>
      <c r="F1959">
        <f t="shared" si="61"/>
        <v>2</v>
      </c>
      <c r="G1959">
        <v>0</v>
      </c>
      <c r="H1959">
        <v>0</v>
      </c>
      <c r="I1959">
        <v>2</v>
      </c>
      <c r="J1959">
        <v>0</v>
      </c>
      <c r="K1959">
        <v>0</v>
      </c>
      <c r="L1959">
        <v>0</v>
      </c>
      <c r="M1959">
        <f t="shared" si="60"/>
        <v>40</v>
      </c>
      <c r="N1959">
        <v>0</v>
      </c>
      <c r="O1959">
        <v>0</v>
      </c>
      <c r="P1959">
        <v>40</v>
      </c>
      <c r="Q1959">
        <v>0</v>
      </c>
      <c r="R1959">
        <v>0</v>
      </c>
      <c r="S1959">
        <v>0</v>
      </c>
    </row>
    <row r="1960" spans="1:19" x14ac:dyDescent="0.25">
      <c r="A1960">
        <v>18163</v>
      </c>
      <c r="B1960" t="s">
        <v>110</v>
      </c>
      <c r="C1960">
        <v>14</v>
      </c>
      <c r="D1960">
        <v>4.8691403525161698</v>
      </c>
      <c r="E1960">
        <v>19.090592967487101</v>
      </c>
      <c r="F1960">
        <f t="shared" si="61"/>
        <v>2</v>
      </c>
      <c r="G1960">
        <v>0</v>
      </c>
      <c r="H1960">
        <v>0</v>
      </c>
      <c r="I1960">
        <v>2</v>
      </c>
      <c r="J1960">
        <v>0</v>
      </c>
      <c r="K1960">
        <v>0</v>
      </c>
      <c r="L1960">
        <v>0</v>
      </c>
      <c r="M1960">
        <f t="shared" si="60"/>
        <v>40</v>
      </c>
      <c r="N1960">
        <v>0</v>
      </c>
      <c r="O1960">
        <v>0</v>
      </c>
      <c r="P1960">
        <v>40</v>
      </c>
      <c r="Q1960">
        <v>0</v>
      </c>
      <c r="R1960">
        <v>0</v>
      </c>
      <c r="S1960">
        <v>0</v>
      </c>
    </row>
    <row r="1961" spans="1:19" x14ac:dyDescent="0.25">
      <c r="A1961">
        <v>18163</v>
      </c>
      <c r="B1961" t="s">
        <v>110</v>
      </c>
      <c r="C1961">
        <v>15</v>
      </c>
      <c r="D1961">
        <v>5.3738683158867504</v>
      </c>
      <c r="E1961">
        <v>11.786882438712899</v>
      </c>
      <c r="F1961">
        <f t="shared" si="61"/>
        <v>2</v>
      </c>
      <c r="G1961">
        <v>0</v>
      </c>
      <c r="H1961">
        <v>0</v>
      </c>
      <c r="I1961">
        <v>2</v>
      </c>
      <c r="J1961">
        <v>0</v>
      </c>
      <c r="K1961">
        <v>0</v>
      </c>
      <c r="L1961">
        <v>0</v>
      </c>
      <c r="M1961">
        <f t="shared" si="60"/>
        <v>40</v>
      </c>
      <c r="N1961">
        <v>0</v>
      </c>
      <c r="O1961">
        <v>0</v>
      </c>
      <c r="P1961">
        <v>40</v>
      </c>
      <c r="Q1961">
        <v>0</v>
      </c>
      <c r="R1961">
        <v>0</v>
      </c>
      <c r="S1961">
        <v>0</v>
      </c>
    </row>
    <row r="1962" spans="1:19" x14ac:dyDescent="0.25">
      <c r="A1962">
        <v>18163</v>
      </c>
      <c r="B1962" t="s">
        <v>110</v>
      </c>
      <c r="C1962">
        <v>16</v>
      </c>
      <c r="D1962">
        <v>6.0567355604469402</v>
      </c>
      <c r="E1962">
        <v>10.005489626816701</v>
      </c>
      <c r="F1962">
        <f t="shared" si="61"/>
        <v>2</v>
      </c>
      <c r="G1962">
        <v>0</v>
      </c>
      <c r="H1962">
        <v>0</v>
      </c>
      <c r="I1962">
        <v>2</v>
      </c>
      <c r="J1962">
        <v>0</v>
      </c>
      <c r="K1962">
        <v>0</v>
      </c>
      <c r="L1962">
        <v>0</v>
      </c>
      <c r="M1962">
        <f t="shared" si="60"/>
        <v>40</v>
      </c>
      <c r="N1962">
        <v>0</v>
      </c>
      <c r="O1962">
        <v>0</v>
      </c>
      <c r="P1962">
        <v>40</v>
      </c>
      <c r="Q1962">
        <v>0</v>
      </c>
      <c r="R1962">
        <v>0</v>
      </c>
      <c r="S1962">
        <v>0</v>
      </c>
    </row>
    <row r="1963" spans="1:19" x14ac:dyDescent="0.25">
      <c r="A1963">
        <v>18163</v>
      </c>
      <c r="B1963" t="s">
        <v>110</v>
      </c>
      <c r="C1963">
        <v>17</v>
      </c>
      <c r="D1963">
        <v>7.1255712475846398</v>
      </c>
      <c r="E1963">
        <v>9.0257235802738798</v>
      </c>
      <c r="F1963">
        <f t="shared" si="61"/>
        <v>2</v>
      </c>
      <c r="G1963">
        <v>0</v>
      </c>
      <c r="H1963">
        <v>0</v>
      </c>
      <c r="I1963">
        <v>2</v>
      </c>
      <c r="J1963">
        <v>0</v>
      </c>
      <c r="K1963">
        <v>0</v>
      </c>
      <c r="L1963">
        <v>0</v>
      </c>
      <c r="M1963">
        <f t="shared" si="60"/>
        <v>40</v>
      </c>
      <c r="N1963">
        <v>0</v>
      </c>
      <c r="O1963">
        <v>0</v>
      </c>
      <c r="P1963">
        <v>40</v>
      </c>
      <c r="Q1963">
        <v>0</v>
      </c>
      <c r="R1963">
        <v>0</v>
      </c>
      <c r="S1963">
        <v>0</v>
      </c>
    </row>
    <row r="1964" spans="1:19" x14ac:dyDescent="0.25">
      <c r="A1964">
        <v>18163</v>
      </c>
      <c r="B1964" t="s">
        <v>110</v>
      </c>
      <c r="C1964">
        <v>18</v>
      </c>
      <c r="D1964">
        <v>8.7288247782911892</v>
      </c>
      <c r="E1964">
        <v>8.3428563357136891</v>
      </c>
      <c r="F1964">
        <f t="shared" si="61"/>
        <v>2</v>
      </c>
      <c r="G1964">
        <v>0</v>
      </c>
      <c r="H1964">
        <v>0</v>
      </c>
      <c r="I1964">
        <v>2</v>
      </c>
      <c r="J1964">
        <v>0</v>
      </c>
      <c r="K1964">
        <v>0</v>
      </c>
      <c r="L1964">
        <v>0</v>
      </c>
      <c r="M1964">
        <f t="shared" si="60"/>
        <v>40</v>
      </c>
      <c r="N1964">
        <v>0</v>
      </c>
      <c r="O1964">
        <v>0</v>
      </c>
      <c r="P1964">
        <v>40</v>
      </c>
      <c r="Q1964">
        <v>0</v>
      </c>
      <c r="R1964">
        <v>0</v>
      </c>
      <c r="S1964">
        <v>0</v>
      </c>
    </row>
    <row r="1965" spans="1:19" x14ac:dyDescent="0.25">
      <c r="A1965">
        <v>18163</v>
      </c>
      <c r="B1965" t="s">
        <v>110</v>
      </c>
      <c r="C1965">
        <v>19</v>
      </c>
      <c r="D1965">
        <v>10.4211479495925</v>
      </c>
      <c r="E1965">
        <v>8.9366539396790703</v>
      </c>
      <c r="F1965">
        <f t="shared" si="61"/>
        <v>2</v>
      </c>
      <c r="G1965">
        <v>0</v>
      </c>
      <c r="H1965">
        <v>0</v>
      </c>
      <c r="I1965">
        <v>2</v>
      </c>
      <c r="J1965">
        <v>0</v>
      </c>
      <c r="K1965">
        <v>0</v>
      </c>
      <c r="L1965">
        <v>0</v>
      </c>
      <c r="M1965">
        <f t="shared" si="60"/>
        <v>40</v>
      </c>
      <c r="N1965">
        <v>0</v>
      </c>
      <c r="O1965">
        <v>0</v>
      </c>
      <c r="P1965">
        <v>40</v>
      </c>
      <c r="Q1965">
        <v>0</v>
      </c>
      <c r="R1965">
        <v>0</v>
      </c>
      <c r="S1965">
        <v>0</v>
      </c>
    </row>
    <row r="1966" spans="1:19" x14ac:dyDescent="0.25">
      <c r="A1966">
        <v>18163</v>
      </c>
      <c r="B1966" t="s">
        <v>110</v>
      </c>
      <c r="C1966">
        <v>20</v>
      </c>
      <c r="D1966">
        <v>11.400913996135399</v>
      </c>
      <c r="E1966">
        <v>8.49130573670503</v>
      </c>
      <c r="F1966">
        <f t="shared" si="61"/>
        <v>2</v>
      </c>
      <c r="G1966">
        <v>0</v>
      </c>
      <c r="H1966">
        <v>0</v>
      </c>
      <c r="I1966">
        <v>2</v>
      </c>
      <c r="J1966">
        <v>0</v>
      </c>
      <c r="K1966">
        <v>0</v>
      </c>
      <c r="L1966">
        <v>0</v>
      </c>
      <c r="M1966">
        <f t="shared" si="60"/>
        <v>40</v>
      </c>
      <c r="N1966">
        <v>0</v>
      </c>
      <c r="O1966">
        <v>0</v>
      </c>
      <c r="P1966">
        <v>40</v>
      </c>
      <c r="Q1966">
        <v>0</v>
      </c>
      <c r="R1966">
        <v>0</v>
      </c>
      <c r="S1966">
        <v>0</v>
      </c>
    </row>
    <row r="1967" spans="1:19" x14ac:dyDescent="0.25">
      <c r="A1967">
        <v>18163</v>
      </c>
      <c r="B1967" t="s">
        <v>110</v>
      </c>
      <c r="C1967">
        <v>21</v>
      </c>
      <c r="D1967">
        <v>12.796338365454</v>
      </c>
      <c r="E1967">
        <v>11.252464595144</v>
      </c>
      <c r="F1967">
        <f t="shared" si="61"/>
        <v>2</v>
      </c>
      <c r="G1967">
        <v>0</v>
      </c>
      <c r="H1967">
        <v>0</v>
      </c>
      <c r="I1967">
        <v>2</v>
      </c>
      <c r="J1967">
        <v>0</v>
      </c>
      <c r="K1967">
        <v>0</v>
      </c>
      <c r="L1967">
        <v>0</v>
      </c>
      <c r="M1967">
        <f t="shared" si="60"/>
        <v>40</v>
      </c>
      <c r="N1967">
        <v>0</v>
      </c>
      <c r="O1967">
        <v>0</v>
      </c>
      <c r="P1967">
        <v>40</v>
      </c>
      <c r="Q1967">
        <v>0</v>
      </c>
      <c r="R1967">
        <v>0</v>
      </c>
      <c r="S1967">
        <v>0</v>
      </c>
    </row>
    <row r="1968" spans="1:19" x14ac:dyDescent="0.25">
      <c r="A1968">
        <v>18163</v>
      </c>
      <c r="B1968" t="s">
        <v>110</v>
      </c>
      <c r="C1968">
        <v>22</v>
      </c>
      <c r="D1968">
        <v>13.7167246516004</v>
      </c>
      <c r="E1968">
        <v>16.091915067461901</v>
      </c>
      <c r="F1968">
        <f t="shared" si="61"/>
        <v>2</v>
      </c>
      <c r="G1968">
        <v>0</v>
      </c>
      <c r="H1968">
        <v>0</v>
      </c>
      <c r="I1968">
        <v>2</v>
      </c>
      <c r="J1968">
        <v>0</v>
      </c>
      <c r="K1968">
        <v>0</v>
      </c>
      <c r="L1968">
        <v>0</v>
      </c>
      <c r="M1968">
        <f t="shared" si="60"/>
        <v>40</v>
      </c>
      <c r="N1968">
        <v>0</v>
      </c>
      <c r="O1968">
        <v>0</v>
      </c>
      <c r="P1968">
        <v>40</v>
      </c>
      <c r="Q1968">
        <v>0</v>
      </c>
      <c r="R1968">
        <v>0</v>
      </c>
      <c r="S1968">
        <v>0</v>
      </c>
    </row>
    <row r="1969" spans="1:19" x14ac:dyDescent="0.25">
      <c r="A1969">
        <v>18163</v>
      </c>
      <c r="B1969" t="s">
        <v>110</v>
      </c>
      <c r="C1969">
        <v>23</v>
      </c>
      <c r="D1969">
        <v>13.7167246516004</v>
      </c>
      <c r="E1969">
        <v>24.880119606149702</v>
      </c>
      <c r="F1969">
        <f t="shared" si="61"/>
        <v>2</v>
      </c>
      <c r="G1969">
        <v>0</v>
      </c>
      <c r="H1969">
        <v>0</v>
      </c>
      <c r="I1969">
        <v>2</v>
      </c>
      <c r="J1969">
        <v>0</v>
      </c>
      <c r="K1969">
        <v>0</v>
      </c>
      <c r="L1969">
        <v>0</v>
      </c>
      <c r="M1969">
        <f t="shared" si="60"/>
        <v>40</v>
      </c>
      <c r="N1969">
        <v>0</v>
      </c>
      <c r="O1969">
        <v>0</v>
      </c>
      <c r="P1969">
        <v>40</v>
      </c>
      <c r="Q1969">
        <v>0</v>
      </c>
      <c r="R1969">
        <v>0</v>
      </c>
      <c r="S1969">
        <v>0</v>
      </c>
    </row>
    <row r="1970" spans="1:19" x14ac:dyDescent="0.25">
      <c r="A1970">
        <v>18165</v>
      </c>
      <c r="B1970" t="s">
        <v>111</v>
      </c>
      <c r="C1970">
        <v>0</v>
      </c>
      <c r="D1970">
        <v>90.579885103792606</v>
      </c>
      <c r="E1970">
        <v>2.34601107160832</v>
      </c>
      <c r="F1970">
        <f t="shared" si="61"/>
        <v>4</v>
      </c>
      <c r="G1970">
        <v>0</v>
      </c>
      <c r="H1970">
        <v>0</v>
      </c>
      <c r="I1970">
        <v>3</v>
      </c>
      <c r="J1970">
        <v>0</v>
      </c>
      <c r="K1970">
        <v>0</v>
      </c>
      <c r="L1970">
        <v>1</v>
      </c>
      <c r="M1970">
        <f t="shared" si="60"/>
        <v>129</v>
      </c>
      <c r="N1970">
        <v>0</v>
      </c>
      <c r="O1970">
        <v>0</v>
      </c>
      <c r="P1970">
        <v>85</v>
      </c>
      <c r="Q1970">
        <v>0</v>
      </c>
      <c r="R1970">
        <v>0</v>
      </c>
      <c r="S1970">
        <v>44</v>
      </c>
    </row>
    <row r="1971" spans="1:19" x14ac:dyDescent="0.25">
      <c r="A1971">
        <v>18165</v>
      </c>
      <c r="B1971" t="s">
        <v>111</v>
      </c>
      <c r="C1971">
        <v>1</v>
      </c>
      <c r="D1971">
        <v>92.528267180213106</v>
      </c>
      <c r="E1971">
        <v>2.6641142677585998</v>
      </c>
      <c r="F1971">
        <f t="shared" si="61"/>
        <v>4</v>
      </c>
      <c r="G1971">
        <v>0</v>
      </c>
      <c r="H1971">
        <v>0</v>
      </c>
      <c r="I1971">
        <v>3</v>
      </c>
      <c r="J1971">
        <v>0</v>
      </c>
      <c r="K1971">
        <v>0</v>
      </c>
      <c r="L1971">
        <v>1</v>
      </c>
      <c r="M1971">
        <f t="shared" si="60"/>
        <v>129</v>
      </c>
      <c r="N1971">
        <v>0</v>
      </c>
      <c r="O1971">
        <v>0</v>
      </c>
      <c r="P1971">
        <v>85</v>
      </c>
      <c r="Q1971">
        <v>0</v>
      </c>
      <c r="R1971">
        <v>0</v>
      </c>
      <c r="S1971">
        <v>44</v>
      </c>
    </row>
    <row r="1972" spans="1:19" x14ac:dyDescent="0.25">
      <c r="A1972">
        <v>18165</v>
      </c>
      <c r="B1972" t="s">
        <v>111</v>
      </c>
      <c r="C1972">
        <v>2</v>
      </c>
      <c r="D1972">
        <v>92.369215582137997</v>
      </c>
      <c r="E1972">
        <v>2.9424545643901001</v>
      </c>
      <c r="F1972">
        <f t="shared" si="61"/>
        <v>4</v>
      </c>
      <c r="G1972">
        <v>0</v>
      </c>
      <c r="H1972">
        <v>0</v>
      </c>
      <c r="I1972">
        <v>3</v>
      </c>
      <c r="J1972">
        <v>0</v>
      </c>
      <c r="K1972">
        <v>0</v>
      </c>
      <c r="L1972">
        <v>1</v>
      </c>
      <c r="M1972">
        <f t="shared" si="60"/>
        <v>129</v>
      </c>
      <c r="N1972">
        <v>0</v>
      </c>
      <c r="O1972">
        <v>0</v>
      </c>
      <c r="P1972">
        <v>85</v>
      </c>
      <c r="Q1972">
        <v>0</v>
      </c>
      <c r="R1972">
        <v>0</v>
      </c>
      <c r="S1972">
        <v>44</v>
      </c>
    </row>
    <row r="1973" spans="1:19" x14ac:dyDescent="0.25">
      <c r="A1973">
        <v>18165</v>
      </c>
      <c r="B1973" t="s">
        <v>111</v>
      </c>
      <c r="C1973">
        <v>3</v>
      </c>
      <c r="D1973">
        <v>91.653483390799806</v>
      </c>
      <c r="E1973">
        <v>3.1412690619840302</v>
      </c>
      <c r="F1973">
        <f t="shared" si="61"/>
        <v>4</v>
      </c>
      <c r="G1973">
        <v>0</v>
      </c>
      <c r="H1973">
        <v>0</v>
      </c>
      <c r="I1973">
        <v>3</v>
      </c>
      <c r="J1973">
        <v>0</v>
      </c>
      <c r="K1973">
        <v>0</v>
      </c>
      <c r="L1973">
        <v>1</v>
      </c>
      <c r="M1973">
        <f t="shared" si="60"/>
        <v>129</v>
      </c>
      <c r="N1973">
        <v>0</v>
      </c>
      <c r="O1973">
        <v>0</v>
      </c>
      <c r="P1973">
        <v>85</v>
      </c>
      <c r="Q1973">
        <v>0</v>
      </c>
      <c r="R1973">
        <v>0</v>
      </c>
      <c r="S1973">
        <v>44</v>
      </c>
    </row>
    <row r="1974" spans="1:19" x14ac:dyDescent="0.25">
      <c r="A1974">
        <v>18165</v>
      </c>
      <c r="B1974" t="s">
        <v>111</v>
      </c>
      <c r="C1974">
        <v>4</v>
      </c>
      <c r="D1974">
        <v>90.778699601386606</v>
      </c>
      <c r="E1974">
        <v>3.61842385620945</v>
      </c>
      <c r="F1974">
        <f t="shared" si="61"/>
        <v>4</v>
      </c>
      <c r="G1974">
        <v>0</v>
      </c>
      <c r="H1974">
        <v>0</v>
      </c>
      <c r="I1974">
        <v>3</v>
      </c>
      <c r="J1974">
        <v>0</v>
      </c>
      <c r="K1974">
        <v>0</v>
      </c>
      <c r="L1974">
        <v>1</v>
      </c>
      <c r="M1974">
        <f t="shared" si="60"/>
        <v>129</v>
      </c>
      <c r="N1974">
        <v>0</v>
      </c>
      <c r="O1974">
        <v>0</v>
      </c>
      <c r="P1974">
        <v>85</v>
      </c>
      <c r="Q1974">
        <v>0</v>
      </c>
      <c r="R1974">
        <v>0</v>
      </c>
      <c r="S1974">
        <v>44</v>
      </c>
    </row>
    <row r="1975" spans="1:19" x14ac:dyDescent="0.25">
      <c r="A1975">
        <v>18165</v>
      </c>
      <c r="B1975" t="s">
        <v>111</v>
      </c>
      <c r="C1975">
        <v>5</v>
      </c>
      <c r="D1975">
        <v>87.876007936515293</v>
      </c>
      <c r="E1975">
        <v>3.5388980571718802</v>
      </c>
      <c r="F1975">
        <f t="shared" si="61"/>
        <v>4</v>
      </c>
      <c r="G1975">
        <v>0</v>
      </c>
      <c r="H1975">
        <v>0</v>
      </c>
      <c r="I1975">
        <v>3</v>
      </c>
      <c r="J1975">
        <v>0</v>
      </c>
      <c r="K1975">
        <v>0</v>
      </c>
      <c r="L1975">
        <v>1</v>
      </c>
      <c r="M1975">
        <f t="shared" si="60"/>
        <v>129</v>
      </c>
      <c r="N1975">
        <v>0</v>
      </c>
      <c r="O1975">
        <v>0</v>
      </c>
      <c r="P1975">
        <v>85</v>
      </c>
      <c r="Q1975">
        <v>0</v>
      </c>
      <c r="R1975">
        <v>0</v>
      </c>
      <c r="S1975">
        <v>44</v>
      </c>
    </row>
    <row r="1976" spans="1:19" x14ac:dyDescent="0.25">
      <c r="A1976">
        <v>18165</v>
      </c>
      <c r="B1976" t="s">
        <v>111</v>
      </c>
      <c r="C1976">
        <v>6</v>
      </c>
      <c r="D1976">
        <v>82.587542300516802</v>
      </c>
      <c r="E1976">
        <v>3.61842385620945</v>
      </c>
      <c r="F1976">
        <f t="shared" si="61"/>
        <v>4</v>
      </c>
      <c r="G1976">
        <v>0</v>
      </c>
      <c r="H1976">
        <v>0</v>
      </c>
      <c r="I1976">
        <v>3</v>
      </c>
      <c r="J1976">
        <v>0</v>
      </c>
      <c r="K1976">
        <v>0</v>
      </c>
      <c r="L1976">
        <v>1</v>
      </c>
      <c r="M1976">
        <f t="shared" si="60"/>
        <v>129</v>
      </c>
      <c r="N1976">
        <v>0</v>
      </c>
      <c r="O1976">
        <v>0</v>
      </c>
      <c r="P1976">
        <v>85</v>
      </c>
      <c r="Q1976">
        <v>0</v>
      </c>
      <c r="R1976">
        <v>0</v>
      </c>
      <c r="S1976">
        <v>44</v>
      </c>
    </row>
    <row r="1977" spans="1:19" x14ac:dyDescent="0.25">
      <c r="A1977">
        <v>18165</v>
      </c>
      <c r="B1977" t="s">
        <v>111</v>
      </c>
      <c r="C1977">
        <v>7</v>
      </c>
      <c r="D1977">
        <v>71.096064339587898</v>
      </c>
      <c r="E1977">
        <v>3.2605577605403799</v>
      </c>
      <c r="F1977">
        <f t="shared" si="61"/>
        <v>4</v>
      </c>
      <c r="G1977">
        <v>0</v>
      </c>
      <c r="H1977">
        <v>0</v>
      </c>
      <c r="I1977">
        <v>3</v>
      </c>
      <c r="J1977">
        <v>0</v>
      </c>
      <c r="K1977">
        <v>0</v>
      </c>
      <c r="L1977">
        <v>1</v>
      </c>
      <c r="M1977">
        <f t="shared" si="60"/>
        <v>129</v>
      </c>
      <c r="N1977">
        <v>0</v>
      </c>
      <c r="O1977">
        <v>0</v>
      </c>
      <c r="P1977">
        <v>85</v>
      </c>
      <c r="Q1977">
        <v>0</v>
      </c>
      <c r="R1977">
        <v>0</v>
      </c>
      <c r="S1977">
        <v>44</v>
      </c>
    </row>
    <row r="1978" spans="1:19" x14ac:dyDescent="0.25">
      <c r="A1978">
        <v>18165</v>
      </c>
      <c r="B1978" t="s">
        <v>111</v>
      </c>
      <c r="C1978">
        <v>8</v>
      </c>
      <c r="D1978">
        <v>56.423554417156197</v>
      </c>
      <c r="E1978">
        <v>2.34601107160832</v>
      </c>
      <c r="F1978">
        <f t="shared" si="61"/>
        <v>4</v>
      </c>
      <c r="G1978">
        <v>0</v>
      </c>
      <c r="H1978">
        <v>0</v>
      </c>
      <c r="I1978">
        <v>3</v>
      </c>
      <c r="J1978">
        <v>0</v>
      </c>
      <c r="K1978">
        <v>0</v>
      </c>
      <c r="L1978">
        <v>1</v>
      </c>
      <c r="M1978">
        <f t="shared" si="60"/>
        <v>129</v>
      </c>
      <c r="N1978">
        <v>0</v>
      </c>
      <c r="O1978">
        <v>0</v>
      </c>
      <c r="P1978">
        <v>85</v>
      </c>
      <c r="Q1978">
        <v>0</v>
      </c>
      <c r="R1978">
        <v>0</v>
      </c>
      <c r="S1978">
        <v>44</v>
      </c>
    </row>
    <row r="1979" spans="1:19" x14ac:dyDescent="0.25">
      <c r="A1979">
        <v>18165</v>
      </c>
      <c r="B1979" t="s">
        <v>111</v>
      </c>
      <c r="C1979">
        <v>9</v>
      </c>
      <c r="D1979">
        <v>43.659663671626099</v>
      </c>
      <c r="E1979">
        <v>1.5905159807514</v>
      </c>
      <c r="F1979">
        <f t="shared" si="61"/>
        <v>4</v>
      </c>
      <c r="G1979">
        <v>0</v>
      </c>
      <c r="H1979">
        <v>0</v>
      </c>
      <c r="I1979">
        <v>3</v>
      </c>
      <c r="J1979">
        <v>0</v>
      </c>
      <c r="K1979">
        <v>0</v>
      </c>
      <c r="L1979">
        <v>1</v>
      </c>
      <c r="M1979">
        <f t="shared" si="60"/>
        <v>129</v>
      </c>
      <c r="N1979">
        <v>0</v>
      </c>
      <c r="O1979">
        <v>0</v>
      </c>
      <c r="P1979">
        <v>85</v>
      </c>
      <c r="Q1979">
        <v>0</v>
      </c>
      <c r="R1979">
        <v>0</v>
      </c>
      <c r="S1979">
        <v>44</v>
      </c>
    </row>
    <row r="1980" spans="1:19" x14ac:dyDescent="0.25">
      <c r="A1980">
        <v>18165</v>
      </c>
      <c r="B1980" t="s">
        <v>111</v>
      </c>
      <c r="C1980">
        <v>10</v>
      </c>
      <c r="D1980">
        <v>36.899970753432598</v>
      </c>
      <c r="E1980">
        <v>1.3121756841199099</v>
      </c>
      <c r="F1980">
        <f t="shared" si="61"/>
        <v>4</v>
      </c>
      <c r="G1980">
        <v>0</v>
      </c>
      <c r="H1980">
        <v>0</v>
      </c>
      <c r="I1980">
        <v>3</v>
      </c>
      <c r="J1980">
        <v>0</v>
      </c>
      <c r="K1980">
        <v>0</v>
      </c>
      <c r="L1980">
        <v>1</v>
      </c>
      <c r="M1980">
        <f t="shared" si="60"/>
        <v>129</v>
      </c>
      <c r="N1980">
        <v>0</v>
      </c>
      <c r="O1980">
        <v>0</v>
      </c>
      <c r="P1980">
        <v>85</v>
      </c>
      <c r="Q1980">
        <v>0</v>
      </c>
      <c r="R1980">
        <v>0</v>
      </c>
      <c r="S1980">
        <v>44</v>
      </c>
    </row>
    <row r="1981" spans="1:19" x14ac:dyDescent="0.25">
      <c r="A1981">
        <v>18165</v>
      </c>
      <c r="B1981" t="s">
        <v>111</v>
      </c>
      <c r="C1981">
        <v>11</v>
      </c>
      <c r="D1981">
        <v>33.281546897223201</v>
      </c>
      <c r="E1981">
        <v>0.83502088989448897</v>
      </c>
      <c r="F1981">
        <f t="shared" si="61"/>
        <v>4</v>
      </c>
      <c r="G1981">
        <v>0</v>
      </c>
      <c r="H1981">
        <v>0</v>
      </c>
      <c r="I1981">
        <v>3</v>
      </c>
      <c r="J1981">
        <v>0</v>
      </c>
      <c r="K1981">
        <v>0</v>
      </c>
      <c r="L1981">
        <v>1</v>
      </c>
      <c r="M1981">
        <f t="shared" si="60"/>
        <v>129</v>
      </c>
      <c r="N1981">
        <v>0</v>
      </c>
      <c r="O1981">
        <v>0</v>
      </c>
      <c r="P1981">
        <v>85</v>
      </c>
      <c r="Q1981">
        <v>0</v>
      </c>
      <c r="R1981">
        <v>0</v>
      </c>
      <c r="S1981">
        <v>44</v>
      </c>
    </row>
    <row r="1982" spans="1:19" x14ac:dyDescent="0.25">
      <c r="A1982">
        <v>18165</v>
      </c>
      <c r="B1982" t="s">
        <v>111</v>
      </c>
      <c r="C1982">
        <v>12</v>
      </c>
      <c r="D1982">
        <v>34.792537078937002</v>
      </c>
      <c r="E1982">
        <v>0.31810319615028099</v>
      </c>
      <c r="F1982">
        <f t="shared" si="61"/>
        <v>4</v>
      </c>
      <c r="G1982">
        <v>0</v>
      </c>
      <c r="H1982">
        <v>0</v>
      </c>
      <c r="I1982">
        <v>3</v>
      </c>
      <c r="J1982">
        <v>0</v>
      </c>
      <c r="K1982">
        <v>0</v>
      </c>
      <c r="L1982">
        <v>1</v>
      </c>
      <c r="M1982">
        <f t="shared" si="60"/>
        <v>129</v>
      </c>
      <c r="N1982">
        <v>0</v>
      </c>
      <c r="O1982">
        <v>0</v>
      </c>
      <c r="P1982">
        <v>85</v>
      </c>
      <c r="Q1982">
        <v>0</v>
      </c>
      <c r="R1982">
        <v>0</v>
      </c>
      <c r="S1982">
        <v>44</v>
      </c>
    </row>
    <row r="1983" spans="1:19" x14ac:dyDescent="0.25">
      <c r="A1983">
        <v>18165</v>
      </c>
      <c r="B1983" t="s">
        <v>111</v>
      </c>
      <c r="C1983">
        <v>13</v>
      </c>
      <c r="D1983">
        <v>36.6216304568011</v>
      </c>
      <c r="E1983">
        <v>0.51691769374420704</v>
      </c>
      <c r="F1983">
        <f t="shared" si="61"/>
        <v>4</v>
      </c>
      <c r="G1983">
        <v>0</v>
      </c>
      <c r="H1983">
        <v>0</v>
      </c>
      <c r="I1983">
        <v>3</v>
      </c>
      <c r="J1983">
        <v>0</v>
      </c>
      <c r="K1983">
        <v>0</v>
      </c>
      <c r="L1983">
        <v>1</v>
      </c>
      <c r="M1983">
        <f t="shared" si="60"/>
        <v>129</v>
      </c>
      <c r="N1983">
        <v>0</v>
      </c>
      <c r="O1983">
        <v>0</v>
      </c>
      <c r="P1983">
        <v>85</v>
      </c>
      <c r="Q1983">
        <v>0</v>
      </c>
      <c r="R1983">
        <v>0</v>
      </c>
      <c r="S1983">
        <v>44</v>
      </c>
    </row>
    <row r="1984" spans="1:19" x14ac:dyDescent="0.25">
      <c r="A1984">
        <v>18165</v>
      </c>
      <c r="B1984" t="s">
        <v>111</v>
      </c>
      <c r="C1984">
        <v>14</v>
      </c>
      <c r="D1984">
        <v>35.468506370756401</v>
      </c>
      <c r="E1984">
        <v>0.238577397112711</v>
      </c>
      <c r="F1984">
        <f t="shared" si="61"/>
        <v>4</v>
      </c>
      <c r="G1984">
        <v>0</v>
      </c>
      <c r="H1984">
        <v>0</v>
      </c>
      <c r="I1984">
        <v>3</v>
      </c>
      <c r="J1984">
        <v>0</v>
      </c>
      <c r="K1984">
        <v>0</v>
      </c>
      <c r="L1984">
        <v>1</v>
      </c>
      <c r="M1984">
        <f t="shared" si="60"/>
        <v>129</v>
      </c>
      <c r="N1984">
        <v>0</v>
      </c>
      <c r="O1984">
        <v>0</v>
      </c>
      <c r="P1984">
        <v>85</v>
      </c>
      <c r="Q1984">
        <v>0</v>
      </c>
      <c r="R1984">
        <v>0</v>
      </c>
      <c r="S1984">
        <v>44</v>
      </c>
    </row>
    <row r="1985" spans="1:19" x14ac:dyDescent="0.25">
      <c r="A1985">
        <v>18165</v>
      </c>
      <c r="B1985" t="s">
        <v>111</v>
      </c>
      <c r="C1985">
        <v>15</v>
      </c>
      <c r="D1985">
        <v>37.059022351507799</v>
      </c>
      <c r="E1985">
        <v>0.198814497593926</v>
      </c>
      <c r="F1985">
        <f t="shared" si="61"/>
        <v>4</v>
      </c>
      <c r="G1985">
        <v>0</v>
      </c>
      <c r="H1985">
        <v>0</v>
      </c>
      <c r="I1985">
        <v>3</v>
      </c>
      <c r="J1985">
        <v>0</v>
      </c>
      <c r="K1985">
        <v>0</v>
      </c>
      <c r="L1985">
        <v>1</v>
      </c>
      <c r="M1985">
        <f t="shared" si="60"/>
        <v>129</v>
      </c>
      <c r="N1985">
        <v>0</v>
      </c>
      <c r="O1985">
        <v>0</v>
      </c>
      <c r="P1985">
        <v>85</v>
      </c>
      <c r="Q1985">
        <v>0</v>
      </c>
      <c r="R1985">
        <v>0</v>
      </c>
      <c r="S1985">
        <v>44</v>
      </c>
    </row>
    <row r="1986" spans="1:19" x14ac:dyDescent="0.25">
      <c r="A1986">
        <v>18165</v>
      </c>
      <c r="B1986" t="s">
        <v>111</v>
      </c>
      <c r="C1986">
        <v>16</v>
      </c>
      <c r="D1986">
        <v>41.114838102423803</v>
      </c>
      <c r="E1986">
        <v>0.119288698556355</v>
      </c>
      <c r="F1986">
        <f t="shared" si="61"/>
        <v>4</v>
      </c>
      <c r="G1986">
        <v>0</v>
      </c>
      <c r="H1986">
        <v>0</v>
      </c>
      <c r="I1986">
        <v>3</v>
      </c>
      <c r="J1986">
        <v>0</v>
      </c>
      <c r="K1986">
        <v>0</v>
      </c>
      <c r="L1986">
        <v>1</v>
      </c>
      <c r="M1986">
        <f t="shared" ref="M1986:M2049" si="62">SUM(N1986:S1986)</f>
        <v>129</v>
      </c>
      <c r="N1986">
        <v>0</v>
      </c>
      <c r="O1986">
        <v>0</v>
      </c>
      <c r="P1986">
        <v>85</v>
      </c>
      <c r="Q1986">
        <v>0</v>
      </c>
      <c r="R1986">
        <v>0</v>
      </c>
      <c r="S1986">
        <v>44</v>
      </c>
    </row>
    <row r="1987" spans="1:19" x14ac:dyDescent="0.25">
      <c r="A1987">
        <v>18165</v>
      </c>
      <c r="B1987" t="s">
        <v>111</v>
      </c>
      <c r="C1987">
        <v>17</v>
      </c>
      <c r="D1987">
        <v>45.488757049490196</v>
      </c>
      <c r="E1987">
        <v>7.9525799037570399E-2</v>
      </c>
      <c r="F1987">
        <f t="shared" ref="F1987:F2050" si="63">SUM(G1987:L1987)</f>
        <v>4</v>
      </c>
      <c r="G1987">
        <v>0</v>
      </c>
      <c r="H1987">
        <v>0</v>
      </c>
      <c r="I1987">
        <v>3</v>
      </c>
      <c r="J1987">
        <v>0</v>
      </c>
      <c r="K1987">
        <v>0</v>
      </c>
      <c r="L1987">
        <v>1</v>
      </c>
      <c r="M1987">
        <f t="shared" si="62"/>
        <v>129</v>
      </c>
      <c r="N1987">
        <v>0</v>
      </c>
      <c r="O1987">
        <v>0</v>
      </c>
      <c r="P1987">
        <v>85</v>
      </c>
      <c r="Q1987">
        <v>0</v>
      </c>
      <c r="R1987">
        <v>0</v>
      </c>
      <c r="S1987">
        <v>44</v>
      </c>
    </row>
    <row r="1988" spans="1:19" x14ac:dyDescent="0.25">
      <c r="A1988">
        <v>18165</v>
      </c>
      <c r="B1988" t="s">
        <v>111</v>
      </c>
      <c r="C1988">
        <v>18</v>
      </c>
      <c r="D1988">
        <v>51.453191977308002</v>
      </c>
      <c r="E1988">
        <v>0</v>
      </c>
      <c r="F1988">
        <f t="shared" si="63"/>
        <v>4</v>
      </c>
      <c r="G1988">
        <v>0</v>
      </c>
      <c r="H1988">
        <v>0</v>
      </c>
      <c r="I1988">
        <v>3</v>
      </c>
      <c r="J1988">
        <v>0</v>
      </c>
      <c r="K1988">
        <v>0</v>
      </c>
      <c r="L1988">
        <v>1</v>
      </c>
      <c r="M1988">
        <f t="shared" si="62"/>
        <v>129</v>
      </c>
      <c r="N1988">
        <v>0</v>
      </c>
      <c r="O1988">
        <v>0</v>
      </c>
      <c r="P1988">
        <v>85</v>
      </c>
      <c r="Q1988">
        <v>0</v>
      </c>
      <c r="R1988">
        <v>0</v>
      </c>
      <c r="S1988">
        <v>44</v>
      </c>
    </row>
    <row r="1989" spans="1:19" x14ac:dyDescent="0.25">
      <c r="A1989">
        <v>18165</v>
      </c>
      <c r="B1989" t="s">
        <v>111</v>
      </c>
      <c r="C1989">
        <v>19</v>
      </c>
      <c r="D1989">
        <v>59.326246082027502</v>
      </c>
      <c r="E1989">
        <v>0.198814497593926</v>
      </c>
      <c r="F1989">
        <f t="shared" si="63"/>
        <v>4</v>
      </c>
      <c r="G1989">
        <v>0</v>
      </c>
      <c r="H1989">
        <v>0</v>
      </c>
      <c r="I1989">
        <v>3</v>
      </c>
      <c r="J1989">
        <v>0</v>
      </c>
      <c r="K1989">
        <v>0</v>
      </c>
      <c r="L1989">
        <v>1</v>
      </c>
      <c r="M1989">
        <f t="shared" si="62"/>
        <v>129</v>
      </c>
      <c r="N1989">
        <v>0</v>
      </c>
      <c r="O1989">
        <v>0</v>
      </c>
      <c r="P1989">
        <v>85</v>
      </c>
      <c r="Q1989">
        <v>0</v>
      </c>
      <c r="R1989">
        <v>0</v>
      </c>
      <c r="S1989">
        <v>44</v>
      </c>
    </row>
    <row r="1990" spans="1:19" x14ac:dyDescent="0.25">
      <c r="A1990">
        <v>18165</v>
      </c>
      <c r="B1990" t="s">
        <v>111</v>
      </c>
      <c r="C1990">
        <v>20</v>
      </c>
      <c r="D1990">
        <v>69.2669709617238</v>
      </c>
      <c r="E1990">
        <v>0.238577397112711</v>
      </c>
      <c r="F1990">
        <f t="shared" si="63"/>
        <v>4</v>
      </c>
      <c r="G1990">
        <v>0</v>
      </c>
      <c r="H1990">
        <v>0</v>
      </c>
      <c r="I1990">
        <v>3</v>
      </c>
      <c r="J1990">
        <v>0</v>
      </c>
      <c r="K1990">
        <v>0</v>
      </c>
      <c r="L1990">
        <v>1</v>
      </c>
      <c r="M1990">
        <f t="shared" si="62"/>
        <v>129</v>
      </c>
      <c r="N1990">
        <v>0</v>
      </c>
      <c r="O1990">
        <v>0</v>
      </c>
      <c r="P1990">
        <v>85</v>
      </c>
      <c r="Q1990">
        <v>0</v>
      </c>
      <c r="R1990">
        <v>0</v>
      </c>
      <c r="S1990">
        <v>44</v>
      </c>
    </row>
    <row r="1991" spans="1:19" x14ac:dyDescent="0.25">
      <c r="A1991">
        <v>18165</v>
      </c>
      <c r="B1991" t="s">
        <v>111</v>
      </c>
      <c r="C1991">
        <v>21</v>
      </c>
      <c r="D1991">
        <v>76.623107372698996</v>
      </c>
      <c r="E1991">
        <v>0.67596929181934795</v>
      </c>
      <c r="F1991">
        <f t="shared" si="63"/>
        <v>4</v>
      </c>
      <c r="G1991">
        <v>0</v>
      </c>
      <c r="H1991">
        <v>0</v>
      </c>
      <c r="I1991">
        <v>3</v>
      </c>
      <c r="J1991">
        <v>0</v>
      </c>
      <c r="K1991">
        <v>0</v>
      </c>
      <c r="L1991">
        <v>1</v>
      </c>
      <c r="M1991">
        <f t="shared" si="62"/>
        <v>129</v>
      </c>
      <c r="N1991">
        <v>0</v>
      </c>
      <c r="O1991">
        <v>0</v>
      </c>
      <c r="P1991">
        <v>85</v>
      </c>
      <c r="Q1991">
        <v>0</v>
      </c>
      <c r="R1991">
        <v>0</v>
      </c>
      <c r="S1991">
        <v>44</v>
      </c>
    </row>
    <row r="1992" spans="1:19" x14ac:dyDescent="0.25">
      <c r="A1992">
        <v>18165</v>
      </c>
      <c r="B1992" t="s">
        <v>111</v>
      </c>
      <c r="C1992">
        <v>22</v>
      </c>
      <c r="D1992">
        <v>82.667068099554399</v>
      </c>
      <c r="E1992">
        <v>1.3519385836386899</v>
      </c>
      <c r="F1992">
        <f t="shared" si="63"/>
        <v>4</v>
      </c>
      <c r="G1992">
        <v>0</v>
      </c>
      <c r="H1992">
        <v>0</v>
      </c>
      <c r="I1992">
        <v>3</v>
      </c>
      <c r="J1992">
        <v>0</v>
      </c>
      <c r="K1992">
        <v>0</v>
      </c>
      <c r="L1992">
        <v>1</v>
      </c>
      <c r="M1992">
        <f t="shared" si="62"/>
        <v>129</v>
      </c>
      <c r="N1992">
        <v>0</v>
      </c>
      <c r="O1992">
        <v>0</v>
      </c>
      <c r="P1992">
        <v>85</v>
      </c>
      <c r="Q1992">
        <v>0</v>
      </c>
      <c r="R1992">
        <v>0</v>
      </c>
      <c r="S1992">
        <v>44</v>
      </c>
    </row>
    <row r="1993" spans="1:19" x14ac:dyDescent="0.25">
      <c r="A1993">
        <v>18165</v>
      </c>
      <c r="B1993" t="s">
        <v>111</v>
      </c>
      <c r="C1993">
        <v>23</v>
      </c>
      <c r="D1993">
        <v>87.040987046620799</v>
      </c>
      <c r="E1993">
        <v>1.8688562773829001</v>
      </c>
      <c r="F1993">
        <f t="shared" si="63"/>
        <v>4</v>
      </c>
      <c r="G1993">
        <v>0</v>
      </c>
      <c r="H1993">
        <v>0</v>
      </c>
      <c r="I1993">
        <v>3</v>
      </c>
      <c r="J1993">
        <v>0</v>
      </c>
      <c r="K1993">
        <v>0</v>
      </c>
      <c r="L1993">
        <v>1</v>
      </c>
      <c r="M1993">
        <f t="shared" si="62"/>
        <v>129</v>
      </c>
      <c r="N1993">
        <v>0</v>
      </c>
      <c r="O1993">
        <v>0</v>
      </c>
      <c r="P1993">
        <v>85</v>
      </c>
      <c r="Q1993">
        <v>0</v>
      </c>
      <c r="R1993">
        <v>0</v>
      </c>
      <c r="S1993">
        <v>44</v>
      </c>
    </row>
    <row r="1994" spans="1:19" x14ac:dyDescent="0.25">
      <c r="A1994">
        <v>18167</v>
      </c>
      <c r="B1994" t="s">
        <v>112</v>
      </c>
      <c r="C1994">
        <v>0</v>
      </c>
      <c r="D1994">
        <v>32.289456850935402</v>
      </c>
      <c r="E1994">
        <v>2.6884783815800302</v>
      </c>
      <c r="F1994">
        <f t="shared" si="63"/>
        <v>2</v>
      </c>
      <c r="G1994">
        <v>0</v>
      </c>
      <c r="H1994">
        <v>0</v>
      </c>
      <c r="I1994">
        <v>1</v>
      </c>
      <c r="J1994">
        <v>0</v>
      </c>
      <c r="K1994">
        <v>0</v>
      </c>
      <c r="L1994">
        <v>1</v>
      </c>
      <c r="M1994">
        <f t="shared" si="62"/>
        <v>50</v>
      </c>
      <c r="N1994">
        <v>0</v>
      </c>
      <c r="O1994">
        <v>0</v>
      </c>
      <c r="P1994">
        <v>30</v>
      </c>
      <c r="Q1994">
        <v>0</v>
      </c>
      <c r="R1994">
        <v>0</v>
      </c>
      <c r="S1994">
        <v>20</v>
      </c>
    </row>
    <row r="1995" spans="1:19" x14ac:dyDescent="0.25">
      <c r="A1995">
        <v>18167</v>
      </c>
      <c r="B1995" t="s">
        <v>112</v>
      </c>
      <c r="C1995">
        <v>1</v>
      </c>
      <c r="D1995">
        <v>32.982363650311697</v>
      </c>
      <c r="E1995">
        <v>3.21508754910601</v>
      </c>
      <c r="F1995">
        <f t="shared" si="63"/>
        <v>2</v>
      </c>
      <c r="G1995">
        <v>0</v>
      </c>
      <c r="H1995">
        <v>0</v>
      </c>
      <c r="I1995">
        <v>1</v>
      </c>
      <c r="J1995">
        <v>0</v>
      </c>
      <c r="K1995">
        <v>0</v>
      </c>
      <c r="L1995">
        <v>1</v>
      </c>
      <c r="M1995">
        <f t="shared" si="62"/>
        <v>50</v>
      </c>
      <c r="N1995">
        <v>0</v>
      </c>
      <c r="O1995">
        <v>0</v>
      </c>
      <c r="P1995">
        <v>30</v>
      </c>
      <c r="Q1995">
        <v>0</v>
      </c>
      <c r="R1995">
        <v>0</v>
      </c>
      <c r="S1995">
        <v>20</v>
      </c>
    </row>
    <row r="1996" spans="1:19" x14ac:dyDescent="0.25">
      <c r="A1996">
        <v>18167</v>
      </c>
      <c r="B1996" t="s">
        <v>112</v>
      </c>
      <c r="C1996">
        <v>2</v>
      </c>
      <c r="D1996">
        <v>33.619837905737803</v>
      </c>
      <c r="E1996">
        <v>3.2982363650311699</v>
      </c>
      <c r="F1996">
        <f t="shared" si="63"/>
        <v>2</v>
      </c>
      <c r="G1996">
        <v>0</v>
      </c>
      <c r="H1996">
        <v>0</v>
      </c>
      <c r="I1996">
        <v>1</v>
      </c>
      <c r="J1996">
        <v>0</v>
      </c>
      <c r="K1996">
        <v>0</v>
      </c>
      <c r="L1996">
        <v>1</v>
      </c>
      <c r="M1996">
        <f t="shared" si="62"/>
        <v>50</v>
      </c>
      <c r="N1996">
        <v>0</v>
      </c>
      <c r="O1996">
        <v>0</v>
      </c>
      <c r="P1996">
        <v>30</v>
      </c>
      <c r="Q1996">
        <v>0</v>
      </c>
      <c r="R1996">
        <v>0</v>
      </c>
      <c r="S1996">
        <v>20</v>
      </c>
    </row>
    <row r="1997" spans="1:19" x14ac:dyDescent="0.25">
      <c r="A1997">
        <v>18167</v>
      </c>
      <c r="B1997" t="s">
        <v>112</v>
      </c>
      <c r="C1997">
        <v>3</v>
      </c>
      <c r="D1997">
        <v>32.899214834386498</v>
      </c>
      <c r="E1997">
        <v>3.1042224612057998</v>
      </c>
      <c r="F1997">
        <f t="shared" si="63"/>
        <v>2</v>
      </c>
      <c r="G1997">
        <v>0</v>
      </c>
      <c r="H1997">
        <v>0</v>
      </c>
      <c r="I1997">
        <v>1</v>
      </c>
      <c r="J1997">
        <v>0</v>
      </c>
      <c r="K1997">
        <v>0</v>
      </c>
      <c r="L1997">
        <v>1</v>
      </c>
      <c r="M1997">
        <f t="shared" si="62"/>
        <v>50</v>
      </c>
      <c r="N1997">
        <v>0</v>
      </c>
      <c r="O1997">
        <v>0</v>
      </c>
      <c r="P1997">
        <v>30</v>
      </c>
      <c r="Q1997">
        <v>0</v>
      </c>
      <c r="R1997">
        <v>0</v>
      </c>
      <c r="S1997">
        <v>20</v>
      </c>
    </row>
    <row r="1998" spans="1:19" x14ac:dyDescent="0.25">
      <c r="A1998">
        <v>18167</v>
      </c>
      <c r="B1998" t="s">
        <v>112</v>
      </c>
      <c r="C1998">
        <v>4</v>
      </c>
      <c r="D1998">
        <v>33.370391457962398</v>
      </c>
      <c r="E1998">
        <v>4.8503475956340703</v>
      </c>
      <c r="F1998">
        <f t="shared" si="63"/>
        <v>2</v>
      </c>
      <c r="G1998">
        <v>0</v>
      </c>
      <c r="H1998">
        <v>0</v>
      </c>
      <c r="I1998">
        <v>1</v>
      </c>
      <c r="J1998">
        <v>0</v>
      </c>
      <c r="K1998">
        <v>0</v>
      </c>
      <c r="L1998">
        <v>1</v>
      </c>
      <c r="M1998">
        <f t="shared" si="62"/>
        <v>50</v>
      </c>
      <c r="N1998">
        <v>0</v>
      </c>
      <c r="O1998">
        <v>0</v>
      </c>
      <c r="P1998">
        <v>30</v>
      </c>
      <c r="Q1998">
        <v>0</v>
      </c>
      <c r="R1998">
        <v>0</v>
      </c>
      <c r="S1998">
        <v>20</v>
      </c>
    </row>
    <row r="1999" spans="1:19" x14ac:dyDescent="0.25">
      <c r="A1999">
        <v>18167</v>
      </c>
      <c r="B1999" t="s">
        <v>112</v>
      </c>
      <c r="C1999">
        <v>5</v>
      </c>
      <c r="D1999">
        <v>32.788349746486297</v>
      </c>
      <c r="E1999">
        <v>4.9612126835342796</v>
      </c>
      <c r="F1999">
        <f t="shared" si="63"/>
        <v>2</v>
      </c>
      <c r="G1999">
        <v>0</v>
      </c>
      <c r="H1999">
        <v>0</v>
      </c>
      <c r="I1999">
        <v>1</v>
      </c>
      <c r="J1999">
        <v>0</v>
      </c>
      <c r="K1999">
        <v>0</v>
      </c>
      <c r="L1999">
        <v>1</v>
      </c>
      <c r="M1999">
        <f t="shared" si="62"/>
        <v>50</v>
      </c>
      <c r="N1999">
        <v>0</v>
      </c>
      <c r="O1999">
        <v>0</v>
      </c>
      <c r="P1999">
        <v>30</v>
      </c>
      <c r="Q1999">
        <v>0</v>
      </c>
      <c r="R1999">
        <v>0</v>
      </c>
      <c r="S1999">
        <v>20</v>
      </c>
    </row>
    <row r="2000" spans="1:19" x14ac:dyDescent="0.25">
      <c r="A2000">
        <v>18167</v>
      </c>
      <c r="B2000" t="s">
        <v>112</v>
      </c>
      <c r="C2000">
        <v>6</v>
      </c>
      <c r="D2000">
        <v>31.3748198757587</v>
      </c>
      <c r="E2000">
        <v>7.7328398810394603</v>
      </c>
      <c r="F2000">
        <f t="shared" si="63"/>
        <v>2</v>
      </c>
      <c r="G2000">
        <v>0</v>
      </c>
      <c r="H2000">
        <v>0</v>
      </c>
      <c r="I2000">
        <v>1</v>
      </c>
      <c r="J2000">
        <v>0</v>
      </c>
      <c r="K2000">
        <v>0</v>
      </c>
      <c r="L2000">
        <v>1</v>
      </c>
      <c r="M2000">
        <f t="shared" si="62"/>
        <v>50</v>
      </c>
      <c r="N2000">
        <v>0</v>
      </c>
      <c r="O2000">
        <v>0</v>
      </c>
      <c r="P2000">
        <v>30</v>
      </c>
      <c r="Q2000">
        <v>0</v>
      </c>
      <c r="R2000">
        <v>0</v>
      </c>
      <c r="S2000">
        <v>20</v>
      </c>
    </row>
    <row r="2001" spans="1:19" x14ac:dyDescent="0.25">
      <c r="A2001">
        <v>18167</v>
      </c>
      <c r="B2001" t="s">
        <v>112</v>
      </c>
      <c r="C2001">
        <v>7</v>
      </c>
      <c r="D2001">
        <v>27.605406887151599</v>
      </c>
      <c r="E2001">
        <v>12.583187476673499</v>
      </c>
      <c r="F2001">
        <f t="shared" si="63"/>
        <v>2</v>
      </c>
      <c r="G2001">
        <v>0</v>
      </c>
      <c r="H2001">
        <v>0</v>
      </c>
      <c r="I2001">
        <v>1</v>
      </c>
      <c r="J2001">
        <v>0</v>
      </c>
      <c r="K2001">
        <v>0</v>
      </c>
      <c r="L2001">
        <v>1</v>
      </c>
      <c r="M2001">
        <f t="shared" si="62"/>
        <v>50</v>
      </c>
      <c r="N2001">
        <v>0</v>
      </c>
      <c r="O2001">
        <v>0</v>
      </c>
      <c r="P2001">
        <v>30</v>
      </c>
      <c r="Q2001">
        <v>0</v>
      </c>
      <c r="R2001">
        <v>0</v>
      </c>
      <c r="S2001">
        <v>20</v>
      </c>
    </row>
    <row r="2002" spans="1:19" x14ac:dyDescent="0.25">
      <c r="A2002">
        <v>18167</v>
      </c>
      <c r="B2002" t="s">
        <v>112</v>
      </c>
      <c r="C2002">
        <v>8</v>
      </c>
      <c r="D2002">
        <v>24.085440346319999</v>
      </c>
      <c r="E2002">
        <v>13.331526819999899</v>
      </c>
      <c r="F2002">
        <f t="shared" si="63"/>
        <v>2</v>
      </c>
      <c r="G2002">
        <v>0</v>
      </c>
      <c r="H2002">
        <v>0</v>
      </c>
      <c r="I2002">
        <v>1</v>
      </c>
      <c r="J2002">
        <v>0</v>
      </c>
      <c r="K2002">
        <v>0</v>
      </c>
      <c r="L2002">
        <v>1</v>
      </c>
      <c r="M2002">
        <f t="shared" si="62"/>
        <v>50</v>
      </c>
      <c r="N2002">
        <v>0</v>
      </c>
      <c r="O2002">
        <v>0</v>
      </c>
      <c r="P2002">
        <v>30</v>
      </c>
      <c r="Q2002">
        <v>0</v>
      </c>
      <c r="R2002">
        <v>0</v>
      </c>
      <c r="S2002">
        <v>20</v>
      </c>
    </row>
    <row r="2003" spans="1:19" x14ac:dyDescent="0.25">
      <c r="A2003">
        <v>18167</v>
      </c>
      <c r="B2003" t="s">
        <v>112</v>
      </c>
      <c r="C2003">
        <v>9</v>
      </c>
      <c r="D2003">
        <v>21.0643667010394</v>
      </c>
      <c r="E2003">
        <v>10.199588086819</v>
      </c>
      <c r="F2003">
        <f t="shared" si="63"/>
        <v>2</v>
      </c>
      <c r="G2003">
        <v>0</v>
      </c>
      <c r="H2003">
        <v>0</v>
      </c>
      <c r="I2003">
        <v>1</v>
      </c>
      <c r="J2003">
        <v>0</v>
      </c>
      <c r="K2003">
        <v>0</v>
      </c>
      <c r="L2003">
        <v>1</v>
      </c>
      <c r="M2003">
        <f t="shared" si="62"/>
        <v>50</v>
      </c>
      <c r="N2003">
        <v>0</v>
      </c>
      <c r="O2003">
        <v>0</v>
      </c>
      <c r="P2003">
        <v>30</v>
      </c>
      <c r="Q2003">
        <v>0</v>
      </c>
      <c r="R2003">
        <v>0</v>
      </c>
      <c r="S2003">
        <v>20</v>
      </c>
    </row>
    <row r="2004" spans="1:19" x14ac:dyDescent="0.25">
      <c r="A2004">
        <v>18167</v>
      </c>
      <c r="B2004" t="s">
        <v>112</v>
      </c>
      <c r="C2004">
        <v>10</v>
      </c>
      <c r="D2004">
        <v>17.433535072307599</v>
      </c>
      <c r="E2004">
        <v>10.3381694466943</v>
      </c>
      <c r="F2004">
        <f t="shared" si="63"/>
        <v>2</v>
      </c>
      <c r="G2004">
        <v>0</v>
      </c>
      <c r="H2004">
        <v>0</v>
      </c>
      <c r="I2004">
        <v>1</v>
      </c>
      <c r="J2004">
        <v>0</v>
      </c>
      <c r="K2004">
        <v>0</v>
      </c>
      <c r="L2004">
        <v>1</v>
      </c>
      <c r="M2004">
        <f t="shared" si="62"/>
        <v>50</v>
      </c>
      <c r="N2004">
        <v>0</v>
      </c>
      <c r="O2004">
        <v>0</v>
      </c>
      <c r="P2004">
        <v>30</v>
      </c>
      <c r="Q2004">
        <v>0</v>
      </c>
      <c r="R2004">
        <v>0</v>
      </c>
      <c r="S2004">
        <v>20</v>
      </c>
    </row>
    <row r="2005" spans="1:19" x14ac:dyDescent="0.25">
      <c r="A2005">
        <v>18167</v>
      </c>
      <c r="B2005" t="s">
        <v>112</v>
      </c>
      <c r="C2005">
        <v>11</v>
      </c>
      <c r="D2005">
        <v>15.6874099378793</v>
      </c>
      <c r="E2005">
        <v>8.4534629523908098</v>
      </c>
      <c r="F2005">
        <f t="shared" si="63"/>
        <v>2</v>
      </c>
      <c r="G2005">
        <v>0</v>
      </c>
      <c r="H2005">
        <v>0</v>
      </c>
      <c r="I2005">
        <v>1</v>
      </c>
      <c r="J2005">
        <v>0</v>
      </c>
      <c r="K2005">
        <v>0</v>
      </c>
      <c r="L2005">
        <v>1</v>
      </c>
      <c r="M2005">
        <f t="shared" si="62"/>
        <v>50</v>
      </c>
      <c r="N2005">
        <v>0</v>
      </c>
      <c r="O2005">
        <v>0</v>
      </c>
      <c r="P2005">
        <v>30</v>
      </c>
      <c r="Q2005">
        <v>0</v>
      </c>
      <c r="R2005">
        <v>0</v>
      </c>
      <c r="S2005">
        <v>20</v>
      </c>
    </row>
    <row r="2006" spans="1:19" x14ac:dyDescent="0.25">
      <c r="A2006">
        <v>18167</v>
      </c>
      <c r="B2006" t="s">
        <v>112</v>
      </c>
      <c r="C2006">
        <v>12</v>
      </c>
      <c r="D2006">
        <v>15.188517042328399</v>
      </c>
      <c r="E2006">
        <v>8.0377188727650299</v>
      </c>
      <c r="F2006">
        <f t="shared" si="63"/>
        <v>2</v>
      </c>
      <c r="G2006">
        <v>0</v>
      </c>
      <c r="H2006">
        <v>0</v>
      </c>
      <c r="I2006">
        <v>1</v>
      </c>
      <c r="J2006">
        <v>0</v>
      </c>
      <c r="K2006">
        <v>0</v>
      </c>
      <c r="L2006">
        <v>1</v>
      </c>
      <c r="M2006">
        <f t="shared" si="62"/>
        <v>50</v>
      </c>
      <c r="N2006">
        <v>0</v>
      </c>
      <c r="O2006">
        <v>0</v>
      </c>
      <c r="P2006">
        <v>30</v>
      </c>
      <c r="Q2006">
        <v>0</v>
      </c>
      <c r="R2006">
        <v>0</v>
      </c>
      <c r="S2006">
        <v>20</v>
      </c>
    </row>
    <row r="2007" spans="1:19" x14ac:dyDescent="0.25">
      <c r="A2007">
        <v>18167</v>
      </c>
      <c r="B2007" t="s">
        <v>112</v>
      </c>
      <c r="C2007">
        <v>13</v>
      </c>
      <c r="D2007">
        <v>15.770558753804499</v>
      </c>
      <c r="E2007">
        <v>4.6840499637837603</v>
      </c>
      <c r="F2007">
        <f t="shared" si="63"/>
        <v>2</v>
      </c>
      <c r="G2007">
        <v>0</v>
      </c>
      <c r="H2007">
        <v>0</v>
      </c>
      <c r="I2007">
        <v>1</v>
      </c>
      <c r="J2007">
        <v>0</v>
      </c>
      <c r="K2007">
        <v>0</v>
      </c>
      <c r="L2007">
        <v>1</v>
      </c>
      <c r="M2007">
        <f t="shared" si="62"/>
        <v>50</v>
      </c>
      <c r="N2007">
        <v>0</v>
      </c>
      <c r="O2007">
        <v>0</v>
      </c>
      <c r="P2007">
        <v>30</v>
      </c>
      <c r="Q2007">
        <v>0</v>
      </c>
      <c r="R2007">
        <v>0</v>
      </c>
      <c r="S2007">
        <v>20</v>
      </c>
    </row>
    <row r="2008" spans="1:19" x14ac:dyDescent="0.25">
      <c r="A2008">
        <v>18167</v>
      </c>
      <c r="B2008" t="s">
        <v>112</v>
      </c>
      <c r="C2008">
        <v>14</v>
      </c>
      <c r="D2008">
        <v>16.629763185031099</v>
      </c>
      <c r="E2008">
        <v>2.3281668459043501</v>
      </c>
      <c r="F2008">
        <f t="shared" si="63"/>
        <v>2</v>
      </c>
      <c r="G2008">
        <v>0</v>
      </c>
      <c r="H2008">
        <v>0</v>
      </c>
      <c r="I2008">
        <v>1</v>
      </c>
      <c r="J2008">
        <v>0</v>
      </c>
      <c r="K2008">
        <v>0</v>
      </c>
      <c r="L2008">
        <v>1</v>
      </c>
      <c r="M2008">
        <f t="shared" si="62"/>
        <v>50</v>
      </c>
      <c r="N2008">
        <v>0</v>
      </c>
      <c r="O2008">
        <v>0</v>
      </c>
      <c r="P2008">
        <v>30</v>
      </c>
      <c r="Q2008">
        <v>0</v>
      </c>
      <c r="R2008">
        <v>0</v>
      </c>
      <c r="S2008">
        <v>20</v>
      </c>
    </row>
    <row r="2009" spans="1:19" x14ac:dyDescent="0.25">
      <c r="A2009">
        <v>18167</v>
      </c>
      <c r="B2009" t="s">
        <v>112</v>
      </c>
      <c r="C2009">
        <v>15</v>
      </c>
      <c r="D2009">
        <v>17.294953712432299</v>
      </c>
      <c r="E2009">
        <v>1.74612513442826</v>
      </c>
      <c r="F2009">
        <f t="shared" si="63"/>
        <v>2</v>
      </c>
      <c r="G2009">
        <v>0</v>
      </c>
      <c r="H2009">
        <v>0</v>
      </c>
      <c r="I2009">
        <v>1</v>
      </c>
      <c r="J2009">
        <v>0</v>
      </c>
      <c r="K2009">
        <v>0</v>
      </c>
      <c r="L2009">
        <v>1</v>
      </c>
      <c r="M2009">
        <f t="shared" si="62"/>
        <v>50</v>
      </c>
      <c r="N2009">
        <v>0</v>
      </c>
      <c r="O2009">
        <v>0</v>
      </c>
      <c r="P2009">
        <v>30</v>
      </c>
      <c r="Q2009">
        <v>0</v>
      </c>
      <c r="R2009">
        <v>0</v>
      </c>
      <c r="S2009">
        <v>20</v>
      </c>
    </row>
    <row r="2010" spans="1:19" x14ac:dyDescent="0.25">
      <c r="A2010">
        <v>18167</v>
      </c>
      <c r="B2010" t="s">
        <v>112</v>
      </c>
      <c r="C2010">
        <v>16</v>
      </c>
      <c r="D2010">
        <v>17.128656080582001</v>
      </c>
      <c r="E2010">
        <v>1.80155767837837</v>
      </c>
      <c r="F2010">
        <f t="shared" si="63"/>
        <v>2</v>
      </c>
      <c r="G2010">
        <v>0</v>
      </c>
      <c r="H2010">
        <v>0</v>
      </c>
      <c r="I2010">
        <v>1</v>
      </c>
      <c r="J2010">
        <v>0</v>
      </c>
      <c r="K2010">
        <v>0</v>
      </c>
      <c r="L2010">
        <v>1</v>
      </c>
      <c r="M2010">
        <f t="shared" si="62"/>
        <v>50</v>
      </c>
      <c r="N2010">
        <v>0</v>
      </c>
      <c r="O2010">
        <v>0</v>
      </c>
      <c r="P2010">
        <v>30</v>
      </c>
      <c r="Q2010">
        <v>0</v>
      </c>
      <c r="R2010">
        <v>0</v>
      </c>
      <c r="S2010">
        <v>20</v>
      </c>
    </row>
    <row r="2011" spans="1:19" x14ac:dyDescent="0.25">
      <c r="A2011">
        <v>18167</v>
      </c>
      <c r="B2011" t="s">
        <v>112</v>
      </c>
      <c r="C2011">
        <v>17</v>
      </c>
      <c r="D2011">
        <v>19.068795118835599</v>
      </c>
      <c r="E2011">
        <v>2.4667482057796102</v>
      </c>
      <c r="F2011">
        <f t="shared" si="63"/>
        <v>2</v>
      </c>
      <c r="G2011">
        <v>0</v>
      </c>
      <c r="H2011">
        <v>0</v>
      </c>
      <c r="I2011">
        <v>1</v>
      </c>
      <c r="J2011">
        <v>0</v>
      </c>
      <c r="K2011">
        <v>0</v>
      </c>
      <c r="L2011">
        <v>1</v>
      </c>
      <c r="M2011">
        <f t="shared" si="62"/>
        <v>50</v>
      </c>
      <c r="N2011">
        <v>0</v>
      </c>
      <c r="O2011">
        <v>0</v>
      </c>
      <c r="P2011">
        <v>30</v>
      </c>
      <c r="Q2011">
        <v>0</v>
      </c>
      <c r="R2011">
        <v>0</v>
      </c>
      <c r="S2011">
        <v>20</v>
      </c>
    </row>
    <row r="2012" spans="1:19" x14ac:dyDescent="0.25">
      <c r="A2012">
        <v>18167</v>
      </c>
      <c r="B2012" t="s">
        <v>112</v>
      </c>
      <c r="C2012">
        <v>18</v>
      </c>
      <c r="D2012">
        <v>20.5931900774635</v>
      </c>
      <c r="E2012">
        <v>1.7738414064033099</v>
      </c>
      <c r="F2012">
        <f t="shared" si="63"/>
        <v>2</v>
      </c>
      <c r="G2012">
        <v>0</v>
      </c>
      <c r="H2012">
        <v>0</v>
      </c>
      <c r="I2012">
        <v>1</v>
      </c>
      <c r="J2012">
        <v>0</v>
      </c>
      <c r="K2012">
        <v>0</v>
      </c>
      <c r="L2012">
        <v>1</v>
      </c>
      <c r="M2012">
        <f t="shared" si="62"/>
        <v>50</v>
      </c>
      <c r="N2012">
        <v>0</v>
      </c>
      <c r="O2012">
        <v>0</v>
      </c>
      <c r="P2012">
        <v>30</v>
      </c>
      <c r="Q2012">
        <v>0</v>
      </c>
      <c r="R2012">
        <v>0</v>
      </c>
      <c r="S2012">
        <v>20</v>
      </c>
    </row>
    <row r="2013" spans="1:19" x14ac:dyDescent="0.25">
      <c r="A2013">
        <v>18167</v>
      </c>
      <c r="B2013" t="s">
        <v>112</v>
      </c>
      <c r="C2013">
        <v>19</v>
      </c>
      <c r="D2013">
        <v>22.311598939916699</v>
      </c>
      <c r="E2013">
        <v>1.80155767837837</v>
      </c>
      <c r="F2013">
        <f t="shared" si="63"/>
        <v>2</v>
      </c>
      <c r="G2013">
        <v>0</v>
      </c>
      <c r="H2013">
        <v>0</v>
      </c>
      <c r="I2013">
        <v>1</v>
      </c>
      <c r="J2013">
        <v>0</v>
      </c>
      <c r="K2013">
        <v>0</v>
      </c>
      <c r="L2013">
        <v>1</v>
      </c>
      <c r="M2013">
        <f t="shared" si="62"/>
        <v>50</v>
      </c>
      <c r="N2013">
        <v>0</v>
      </c>
      <c r="O2013">
        <v>0</v>
      </c>
      <c r="P2013">
        <v>30</v>
      </c>
      <c r="Q2013">
        <v>0</v>
      </c>
      <c r="R2013">
        <v>0</v>
      </c>
      <c r="S2013">
        <v>20</v>
      </c>
    </row>
    <row r="2014" spans="1:19" x14ac:dyDescent="0.25">
      <c r="A2014">
        <v>18167</v>
      </c>
      <c r="B2014" t="s">
        <v>112</v>
      </c>
      <c r="C2014">
        <v>20</v>
      </c>
      <c r="D2014">
        <v>25.110942409396898</v>
      </c>
      <c r="E2014">
        <v>2.0787203981288802</v>
      </c>
      <c r="F2014">
        <f t="shared" si="63"/>
        <v>2</v>
      </c>
      <c r="G2014">
        <v>0</v>
      </c>
      <c r="H2014">
        <v>0</v>
      </c>
      <c r="I2014">
        <v>1</v>
      </c>
      <c r="J2014">
        <v>0</v>
      </c>
      <c r="K2014">
        <v>0</v>
      </c>
      <c r="L2014">
        <v>1</v>
      </c>
      <c r="M2014">
        <f t="shared" si="62"/>
        <v>50</v>
      </c>
      <c r="N2014">
        <v>0</v>
      </c>
      <c r="O2014">
        <v>0</v>
      </c>
      <c r="P2014">
        <v>30</v>
      </c>
      <c r="Q2014">
        <v>0</v>
      </c>
      <c r="R2014">
        <v>0</v>
      </c>
      <c r="S2014">
        <v>20</v>
      </c>
    </row>
    <row r="2015" spans="1:19" x14ac:dyDescent="0.25">
      <c r="A2015">
        <v>18167</v>
      </c>
      <c r="B2015" t="s">
        <v>112</v>
      </c>
      <c r="C2015">
        <v>21</v>
      </c>
      <c r="D2015">
        <v>27.051081447650599</v>
      </c>
      <c r="E2015">
        <v>2.3558831178794</v>
      </c>
      <c r="F2015">
        <f t="shared" si="63"/>
        <v>2</v>
      </c>
      <c r="G2015">
        <v>0</v>
      </c>
      <c r="H2015">
        <v>0</v>
      </c>
      <c r="I2015">
        <v>1</v>
      </c>
      <c r="J2015">
        <v>0</v>
      </c>
      <c r="K2015">
        <v>0</v>
      </c>
      <c r="L2015">
        <v>1</v>
      </c>
      <c r="M2015">
        <f t="shared" si="62"/>
        <v>50</v>
      </c>
      <c r="N2015">
        <v>0</v>
      </c>
      <c r="O2015">
        <v>0</v>
      </c>
      <c r="P2015">
        <v>30</v>
      </c>
      <c r="Q2015">
        <v>0</v>
      </c>
      <c r="R2015">
        <v>0</v>
      </c>
      <c r="S2015">
        <v>20</v>
      </c>
    </row>
    <row r="2016" spans="1:19" x14ac:dyDescent="0.25">
      <c r="A2016">
        <v>18167</v>
      </c>
      <c r="B2016" t="s">
        <v>112</v>
      </c>
      <c r="C2016">
        <v>22</v>
      </c>
      <c r="D2016">
        <v>29.6841272852805</v>
      </c>
      <c r="E2016">
        <v>2.2173017580041399</v>
      </c>
      <c r="F2016">
        <f t="shared" si="63"/>
        <v>2</v>
      </c>
      <c r="G2016">
        <v>0</v>
      </c>
      <c r="H2016">
        <v>0</v>
      </c>
      <c r="I2016">
        <v>1</v>
      </c>
      <c r="J2016">
        <v>0</v>
      </c>
      <c r="K2016">
        <v>0</v>
      </c>
      <c r="L2016">
        <v>1</v>
      </c>
      <c r="M2016">
        <f t="shared" si="62"/>
        <v>50</v>
      </c>
      <c r="N2016">
        <v>0</v>
      </c>
      <c r="O2016">
        <v>0</v>
      </c>
      <c r="P2016">
        <v>30</v>
      </c>
      <c r="Q2016">
        <v>0</v>
      </c>
      <c r="R2016">
        <v>0</v>
      </c>
      <c r="S2016">
        <v>20</v>
      </c>
    </row>
    <row r="2017" spans="1:19" x14ac:dyDescent="0.25">
      <c r="A2017">
        <v>18167</v>
      </c>
      <c r="B2017" t="s">
        <v>112</v>
      </c>
      <c r="C2017">
        <v>23</v>
      </c>
      <c r="D2017">
        <v>31.735131411434299</v>
      </c>
      <c r="E2017">
        <v>2.4390319338045598</v>
      </c>
      <c r="F2017">
        <f t="shared" si="63"/>
        <v>2</v>
      </c>
      <c r="G2017">
        <v>0</v>
      </c>
      <c r="H2017">
        <v>0</v>
      </c>
      <c r="I2017">
        <v>1</v>
      </c>
      <c r="J2017">
        <v>0</v>
      </c>
      <c r="K2017">
        <v>0</v>
      </c>
      <c r="L2017">
        <v>1</v>
      </c>
      <c r="M2017">
        <f t="shared" si="62"/>
        <v>50</v>
      </c>
      <c r="N2017">
        <v>0</v>
      </c>
      <c r="O2017">
        <v>0</v>
      </c>
      <c r="P2017">
        <v>30</v>
      </c>
      <c r="Q2017">
        <v>0</v>
      </c>
      <c r="R2017">
        <v>0</v>
      </c>
      <c r="S2017">
        <v>20</v>
      </c>
    </row>
    <row r="2018" spans="1:19" x14ac:dyDescent="0.25">
      <c r="A2018">
        <v>18169</v>
      </c>
      <c r="B2018" t="s">
        <v>113</v>
      </c>
      <c r="C2018">
        <v>0</v>
      </c>
      <c r="D2018">
        <v>1.4875751232535701</v>
      </c>
      <c r="E2018">
        <v>0</v>
      </c>
      <c r="F2018">
        <f t="shared" si="63"/>
        <v>1</v>
      </c>
      <c r="G2018">
        <v>0</v>
      </c>
      <c r="H2018">
        <v>0</v>
      </c>
      <c r="I2018">
        <v>1</v>
      </c>
      <c r="J2018">
        <v>0</v>
      </c>
      <c r="K2018">
        <v>0</v>
      </c>
      <c r="L2018">
        <v>0</v>
      </c>
      <c r="M2018">
        <f t="shared" si="62"/>
        <v>15</v>
      </c>
      <c r="N2018">
        <v>0</v>
      </c>
      <c r="O2018">
        <v>0</v>
      </c>
      <c r="P2018">
        <v>15</v>
      </c>
      <c r="Q2018">
        <v>0</v>
      </c>
      <c r="R2018">
        <v>0</v>
      </c>
      <c r="S2018">
        <v>0</v>
      </c>
    </row>
    <row r="2019" spans="1:19" x14ac:dyDescent="0.25">
      <c r="A2019">
        <v>18169</v>
      </c>
      <c r="B2019" t="s">
        <v>113</v>
      </c>
      <c r="C2019">
        <v>1</v>
      </c>
      <c r="D2019">
        <v>1.4875751232535701</v>
      </c>
      <c r="E2019">
        <v>0</v>
      </c>
      <c r="F2019">
        <f t="shared" si="63"/>
        <v>1</v>
      </c>
      <c r="G2019">
        <v>0</v>
      </c>
      <c r="H2019">
        <v>0</v>
      </c>
      <c r="I2019">
        <v>1</v>
      </c>
      <c r="J2019">
        <v>0</v>
      </c>
      <c r="K2019">
        <v>0</v>
      </c>
      <c r="L2019">
        <v>0</v>
      </c>
      <c r="M2019">
        <f t="shared" si="62"/>
        <v>15</v>
      </c>
      <c r="N2019">
        <v>0</v>
      </c>
      <c r="O2019">
        <v>0</v>
      </c>
      <c r="P2019">
        <v>15</v>
      </c>
      <c r="Q2019">
        <v>0</v>
      </c>
      <c r="R2019">
        <v>0</v>
      </c>
      <c r="S2019">
        <v>0</v>
      </c>
    </row>
    <row r="2020" spans="1:19" x14ac:dyDescent="0.25">
      <c r="A2020">
        <v>18169</v>
      </c>
      <c r="B2020" t="s">
        <v>113</v>
      </c>
      <c r="C2020">
        <v>2</v>
      </c>
      <c r="D2020">
        <v>1.4875751232535701</v>
      </c>
      <c r="E2020">
        <v>0</v>
      </c>
      <c r="F2020">
        <f t="shared" si="63"/>
        <v>1</v>
      </c>
      <c r="G2020">
        <v>0</v>
      </c>
      <c r="H2020">
        <v>0</v>
      </c>
      <c r="I2020">
        <v>1</v>
      </c>
      <c r="J2020">
        <v>0</v>
      </c>
      <c r="K2020">
        <v>0</v>
      </c>
      <c r="L2020">
        <v>0</v>
      </c>
      <c r="M2020">
        <f t="shared" si="62"/>
        <v>15</v>
      </c>
      <c r="N2020">
        <v>0</v>
      </c>
      <c r="O2020">
        <v>0</v>
      </c>
      <c r="P2020">
        <v>15</v>
      </c>
      <c r="Q2020">
        <v>0</v>
      </c>
      <c r="R2020">
        <v>0</v>
      </c>
      <c r="S2020">
        <v>0</v>
      </c>
    </row>
    <row r="2021" spans="1:19" x14ac:dyDescent="0.25">
      <c r="A2021">
        <v>18169</v>
      </c>
      <c r="B2021" t="s">
        <v>113</v>
      </c>
      <c r="C2021">
        <v>3</v>
      </c>
      <c r="D2021">
        <v>1.4199580721965901</v>
      </c>
      <c r="E2021">
        <v>0</v>
      </c>
      <c r="F2021">
        <f t="shared" si="63"/>
        <v>1</v>
      </c>
      <c r="G2021">
        <v>0</v>
      </c>
      <c r="H2021">
        <v>0</v>
      </c>
      <c r="I2021">
        <v>1</v>
      </c>
      <c r="J2021">
        <v>0</v>
      </c>
      <c r="K2021">
        <v>0</v>
      </c>
      <c r="L2021">
        <v>0</v>
      </c>
      <c r="M2021">
        <f t="shared" si="62"/>
        <v>15</v>
      </c>
      <c r="N2021">
        <v>0</v>
      </c>
      <c r="O2021">
        <v>0</v>
      </c>
      <c r="P2021">
        <v>15</v>
      </c>
      <c r="Q2021">
        <v>0</v>
      </c>
      <c r="R2021">
        <v>0</v>
      </c>
      <c r="S2021">
        <v>0</v>
      </c>
    </row>
    <row r="2022" spans="1:19" x14ac:dyDescent="0.25">
      <c r="A2022">
        <v>18169</v>
      </c>
      <c r="B2022" t="s">
        <v>113</v>
      </c>
      <c r="C2022">
        <v>4</v>
      </c>
      <c r="D2022">
        <v>1.4199580721965901</v>
      </c>
      <c r="E2022">
        <v>0</v>
      </c>
      <c r="F2022">
        <f t="shared" si="63"/>
        <v>1</v>
      </c>
      <c r="G2022">
        <v>0</v>
      </c>
      <c r="H2022">
        <v>0</v>
      </c>
      <c r="I2022">
        <v>1</v>
      </c>
      <c r="J2022">
        <v>0</v>
      </c>
      <c r="K2022">
        <v>0</v>
      </c>
      <c r="L2022">
        <v>0</v>
      </c>
      <c r="M2022">
        <f t="shared" si="62"/>
        <v>15</v>
      </c>
      <c r="N2022">
        <v>0</v>
      </c>
      <c r="O2022">
        <v>0</v>
      </c>
      <c r="P2022">
        <v>15</v>
      </c>
      <c r="Q2022">
        <v>0</v>
      </c>
      <c r="R2022">
        <v>0</v>
      </c>
      <c r="S2022">
        <v>0</v>
      </c>
    </row>
    <row r="2023" spans="1:19" x14ac:dyDescent="0.25">
      <c r="A2023">
        <v>18169</v>
      </c>
      <c r="B2023" t="s">
        <v>113</v>
      </c>
      <c r="C2023">
        <v>5</v>
      </c>
      <c r="D2023">
        <v>1.3523410211396101</v>
      </c>
      <c r="E2023">
        <v>0</v>
      </c>
      <c r="F2023">
        <f t="shared" si="63"/>
        <v>1</v>
      </c>
      <c r="G2023">
        <v>0</v>
      </c>
      <c r="H2023">
        <v>0</v>
      </c>
      <c r="I2023">
        <v>1</v>
      </c>
      <c r="J2023">
        <v>0</v>
      </c>
      <c r="K2023">
        <v>0</v>
      </c>
      <c r="L2023">
        <v>0</v>
      </c>
      <c r="M2023">
        <f t="shared" si="62"/>
        <v>15</v>
      </c>
      <c r="N2023">
        <v>0</v>
      </c>
      <c r="O2023">
        <v>0</v>
      </c>
      <c r="P2023">
        <v>15</v>
      </c>
      <c r="Q2023">
        <v>0</v>
      </c>
      <c r="R2023">
        <v>0</v>
      </c>
      <c r="S2023">
        <v>0</v>
      </c>
    </row>
    <row r="2024" spans="1:19" x14ac:dyDescent="0.25">
      <c r="A2024">
        <v>18169</v>
      </c>
      <c r="B2024" t="s">
        <v>113</v>
      </c>
      <c r="C2024">
        <v>6</v>
      </c>
      <c r="D2024">
        <v>1.01425576585471</v>
      </c>
      <c r="E2024">
        <v>0.47331935739886399</v>
      </c>
      <c r="F2024">
        <f t="shared" si="63"/>
        <v>1</v>
      </c>
      <c r="G2024">
        <v>0</v>
      </c>
      <c r="H2024">
        <v>0</v>
      </c>
      <c r="I2024">
        <v>1</v>
      </c>
      <c r="J2024">
        <v>0</v>
      </c>
      <c r="K2024">
        <v>0</v>
      </c>
      <c r="L2024">
        <v>0</v>
      </c>
      <c r="M2024">
        <f t="shared" si="62"/>
        <v>15</v>
      </c>
      <c r="N2024">
        <v>0</v>
      </c>
      <c r="O2024">
        <v>0</v>
      </c>
      <c r="P2024">
        <v>15</v>
      </c>
      <c r="Q2024">
        <v>0</v>
      </c>
      <c r="R2024">
        <v>0</v>
      </c>
      <c r="S2024">
        <v>0</v>
      </c>
    </row>
    <row r="2025" spans="1:19" x14ac:dyDescent="0.25">
      <c r="A2025">
        <v>18169</v>
      </c>
      <c r="B2025" t="s">
        <v>113</v>
      </c>
      <c r="C2025">
        <v>7</v>
      </c>
      <c r="D2025">
        <v>1.2847239700826301</v>
      </c>
      <c r="E2025">
        <v>2.16374563382338</v>
      </c>
      <c r="F2025">
        <f t="shared" si="63"/>
        <v>1</v>
      </c>
      <c r="G2025">
        <v>0</v>
      </c>
      <c r="H2025">
        <v>0</v>
      </c>
      <c r="I2025">
        <v>1</v>
      </c>
      <c r="J2025">
        <v>0</v>
      </c>
      <c r="K2025">
        <v>0</v>
      </c>
      <c r="L2025">
        <v>0</v>
      </c>
      <c r="M2025">
        <f t="shared" si="62"/>
        <v>15</v>
      </c>
      <c r="N2025">
        <v>0</v>
      </c>
      <c r="O2025">
        <v>0</v>
      </c>
      <c r="P2025">
        <v>15</v>
      </c>
      <c r="Q2025">
        <v>0</v>
      </c>
      <c r="R2025">
        <v>0</v>
      </c>
      <c r="S2025">
        <v>0</v>
      </c>
    </row>
    <row r="2026" spans="1:19" x14ac:dyDescent="0.25">
      <c r="A2026">
        <v>18169</v>
      </c>
      <c r="B2026" t="s">
        <v>113</v>
      </c>
      <c r="C2026">
        <v>8</v>
      </c>
      <c r="D2026">
        <v>1.01425576585471</v>
      </c>
      <c r="E2026">
        <v>4.80081062504562</v>
      </c>
      <c r="F2026">
        <f t="shared" si="63"/>
        <v>1</v>
      </c>
      <c r="G2026">
        <v>0</v>
      </c>
      <c r="H2026">
        <v>0</v>
      </c>
      <c r="I2026">
        <v>1</v>
      </c>
      <c r="J2026">
        <v>0</v>
      </c>
      <c r="K2026">
        <v>0</v>
      </c>
      <c r="L2026">
        <v>0</v>
      </c>
      <c r="M2026">
        <f t="shared" si="62"/>
        <v>15</v>
      </c>
      <c r="N2026">
        <v>0</v>
      </c>
      <c r="O2026">
        <v>0</v>
      </c>
      <c r="P2026">
        <v>15</v>
      </c>
      <c r="Q2026">
        <v>0</v>
      </c>
      <c r="R2026">
        <v>0</v>
      </c>
      <c r="S2026">
        <v>0</v>
      </c>
    </row>
    <row r="2027" spans="1:19" x14ac:dyDescent="0.25">
      <c r="A2027">
        <v>18169</v>
      </c>
      <c r="B2027" t="s">
        <v>113</v>
      </c>
      <c r="C2027">
        <v>9</v>
      </c>
      <c r="D2027">
        <v>0.54093640845584501</v>
      </c>
      <c r="E2027">
        <v>4.8684276761026002</v>
      </c>
      <c r="F2027">
        <f t="shared" si="63"/>
        <v>1</v>
      </c>
      <c r="G2027">
        <v>0</v>
      </c>
      <c r="H2027">
        <v>0</v>
      </c>
      <c r="I2027">
        <v>1</v>
      </c>
      <c r="J2027">
        <v>0</v>
      </c>
      <c r="K2027">
        <v>0</v>
      </c>
      <c r="L2027">
        <v>0</v>
      </c>
      <c r="M2027">
        <f t="shared" si="62"/>
        <v>15</v>
      </c>
      <c r="N2027">
        <v>0</v>
      </c>
      <c r="O2027">
        <v>0</v>
      </c>
      <c r="P2027">
        <v>15</v>
      </c>
      <c r="Q2027">
        <v>0</v>
      </c>
      <c r="R2027">
        <v>0</v>
      </c>
      <c r="S2027">
        <v>0</v>
      </c>
    </row>
    <row r="2028" spans="1:19" x14ac:dyDescent="0.25">
      <c r="A2028">
        <v>18169</v>
      </c>
      <c r="B2028" t="s">
        <v>113</v>
      </c>
      <c r="C2028">
        <v>10</v>
      </c>
      <c r="D2028">
        <v>0.33808525528490302</v>
      </c>
      <c r="E2028">
        <v>4.1922571655327996</v>
      </c>
      <c r="F2028">
        <f t="shared" si="63"/>
        <v>1</v>
      </c>
      <c r="G2028">
        <v>0</v>
      </c>
      <c r="H2028">
        <v>0</v>
      </c>
      <c r="I2028">
        <v>1</v>
      </c>
      <c r="J2028">
        <v>0</v>
      </c>
      <c r="K2028">
        <v>0</v>
      </c>
      <c r="L2028">
        <v>0</v>
      </c>
      <c r="M2028">
        <f t="shared" si="62"/>
        <v>15</v>
      </c>
      <c r="N2028">
        <v>0</v>
      </c>
      <c r="O2028">
        <v>0</v>
      </c>
      <c r="P2028">
        <v>15</v>
      </c>
      <c r="Q2028">
        <v>0</v>
      </c>
      <c r="R2028">
        <v>0</v>
      </c>
      <c r="S2028">
        <v>0</v>
      </c>
    </row>
    <row r="2029" spans="1:19" x14ac:dyDescent="0.25">
      <c r="A2029">
        <v>18169</v>
      </c>
      <c r="B2029" t="s">
        <v>113</v>
      </c>
      <c r="C2029">
        <v>11</v>
      </c>
      <c r="D2029">
        <v>0.40570230634188398</v>
      </c>
      <c r="E2029">
        <v>2.02851153170942</v>
      </c>
      <c r="F2029">
        <f t="shared" si="63"/>
        <v>1</v>
      </c>
      <c r="G2029">
        <v>0</v>
      </c>
      <c r="H2029">
        <v>0</v>
      </c>
      <c r="I2029">
        <v>1</v>
      </c>
      <c r="J2029">
        <v>0</v>
      </c>
      <c r="K2029">
        <v>0</v>
      </c>
      <c r="L2029">
        <v>0</v>
      </c>
      <c r="M2029">
        <f t="shared" si="62"/>
        <v>15</v>
      </c>
      <c r="N2029">
        <v>0</v>
      </c>
      <c r="O2029">
        <v>0</v>
      </c>
      <c r="P2029">
        <v>15</v>
      </c>
      <c r="Q2029">
        <v>0</v>
      </c>
      <c r="R2029">
        <v>0</v>
      </c>
      <c r="S2029">
        <v>0</v>
      </c>
    </row>
    <row r="2030" spans="1:19" x14ac:dyDescent="0.25">
      <c r="A2030">
        <v>18169</v>
      </c>
      <c r="B2030" t="s">
        <v>113</v>
      </c>
      <c r="C2030">
        <v>12</v>
      </c>
      <c r="D2030">
        <v>0.87902166374074797</v>
      </c>
      <c r="E2030">
        <v>2.5694479401652601</v>
      </c>
      <c r="F2030">
        <f t="shared" si="63"/>
        <v>1</v>
      </c>
      <c r="G2030">
        <v>0</v>
      </c>
      <c r="H2030">
        <v>0</v>
      </c>
      <c r="I2030">
        <v>1</v>
      </c>
      <c r="J2030">
        <v>0</v>
      </c>
      <c r="K2030">
        <v>0</v>
      </c>
      <c r="L2030">
        <v>0</v>
      </c>
      <c r="M2030">
        <f t="shared" si="62"/>
        <v>15</v>
      </c>
      <c r="N2030">
        <v>0</v>
      </c>
      <c r="O2030">
        <v>0</v>
      </c>
      <c r="P2030">
        <v>15</v>
      </c>
      <c r="Q2030">
        <v>0</v>
      </c>
      <c r="R2030">
        <v>0</v>
      </c>
      <c r="S2030">
        <v>0</v>
      </c>
    </row>
    <row r="2031" spans="1:19" x14ac:dyDescent="0.25">
      <c r="A2031">
        <v>18169</v>
      </c>
      <c r="B2031" t="s">
        <v>113</v>
      </c>
      <c r="C2031">
        <v>13</v>
      </c>
      <c r="D2031">
        <v>0.40570230634188398</v>
      </c>
      <c r="E2031">
        <v>0.81140461268376796</v>
      </c>
      <c r="F2031">
        <f t="shared" si="63"/>
        <v>1</v>
      </c>
      <c r="G2031">
        <v>0</v>
      </c>
      <c r="H2031">
        <v>0</v>
      </c>
      <c r="I2031">
        <v>1</v>
      </c>
      <c r="J2031">
        <v>0</v>
      </c>
      <c r="K2031">
        <v>0</v>
      </c>
      <c r="L2031">
        <v>0</v>
      </c>
      <c r="M2031">
        <f t="shared" si="62"/>
        <v>15</v>
      </c>
      <c r="N2031">
        <v>0</v>
      </c>
      <c r="O2031">
        <v>0</v>
      </c>
      <c r="P2031">
        <v>15</v>
      </c>
      <c r="Q2031">
        <v>0</v>
      </c>
      <c r="R2031">
        <v>0</v>
      </c>
      <c r="S2031">
        <v>0</v>
      </c>
    </row>
    <row r="2032" spans="1:19" x14ac:dyDescent="0.25">
      <c r="A2032">
        <v>18169</v>
      </c>
      <c r="B2032" t="s">
        <v>113</v>
      </c>
      <c r="C2032">
        <v>14</v>
      </c>
      <c r="D2032">
        <v>0.54093640845584501</v>
      </c>
      <c r="E2032">
        <v>0.270468204227922</v>
      </c>
      <c r="F2032">
        <f t="shared" si="63"/>
        <v>1</v>
      </c>
      <c r="G2032">
        <v>0</v>
      </c>
      <c r="H2032">
        <v>0</v>
      </c>
      <c r="I2032">
        <v>1</v>
      </c>
      <c r="J2032">
        <v>0</v>
      </c>
      <c r="K2032">
        <v>0</v>
      </c>
      <c r="L2032">
        <v>0</v>
      </c>
      <c r="M2032">
        <f t="shared" si="62"/>
        <v>15</v>
      </c>
      <c r="N2032">
        <v>0</v>
      </c>
      <c r="O2032">
        <v>0</v>
      </c>
      <c r="P2032">
        <v>15</v>
      </c>
      <c r="Q2032">
        <v>0</v>
      </c>
      <c r="R2032">
        <v>0</v>
      </c>
      <c r="S2032">
        <v>0</v>
      </c>
    </row>
    <row r="2033" spans="1:19" x14ac:dyDescent="0.25">
      <c r="A2033">
        <v>18169</v>
      </c>
      <c r="B2033" t="s">
        <v>113</v>
      </c>
      <c r="C2033">
        <v>15</v>
      </c>
      <c r="D2033">
        <v>0.87902166374074797</v>
      </c>
      <c r="E2033">
        <v>0</v>
      </c>
      <c r="F2033">
        <f t="shared" si="63"/>
        <v>1</v>
      </c>
      <c r="G2033">
        <v>0</v>
      </c>
      <c r="H2033">
        <v>0</v>
      </c>
      <c r="I2033">
        <v>1</v>
      </c>
      <c r="J2033">
        <v>0</v>
      </c>
      <c r="K2033">
        <v>0</v>
      </c>
      <c r="L2033">
        <v>0</v>
      </c>
      <c r="M2033">
        <f t="shared" si="62"/>
        <v>15</v>
      </c>
      <c r="N2033">
        <v>0</v>
      </c>
      <c r="O2033">
        <v>0</v>
      </c>
      <c r="P2033">
        <v>15</v>
      </c>
      <c r="Q2033">
        <v>0</v>
      </c>
      <c r="R2033">
        <v>0</v>
      </c>
      <c r="S2033">
        <v>0</v>
      </c>
    </row>
    <row r="2034" spans="1:19" x14ac:dyDescent="0.25">
      <c r="A2034">
        <v>18169</v>
      </c>
      <c r="B2034" t="s">
        <v>113</v>
      </c>
      <c r="C2034">
        <v>16</v>
      </c>
      <c r="D2034">
        <v>0.74378756162678705</v>
      </c>
      <c r="E2034">
        <v>0.135234102113961</v>
      </c>
      <c r="F2034">
        <f t="shared" si="63"/>
        <v>1</v>
      </c>
      <c r="G2034">
        <v>0</v>
      </c>
      <c r="H2034">
        <v>0</v>
      </c>
      <c r="I2034">
        <v>1</v>
      </c>
      <c r="J2034">
        <v>0</v>
      </c>
      <c r="K2034">
        <v>0</v>
      </c>
      <c r="L2034">
        <v>0</v>
      </c>
      <c r="M2034">
        <f t="shared" si="62"/>
        <v>15</v>
      </c>
      <c r="N2034">
        <v>0</v>
      </c>
      <c r="O2034">
        <v>0</v>
      </c>
      <c r="P2034">
        <v>15</v>
      </c>
      <c r="Q2034">
        <v>0</v>
      </c>
      <c r="R2034">
        <v>0</v>
      </c>
      <c r="S2034">
        <v>0</v>
      </c>
    </row>
    <row r="2035" spans="1:19" x14ac:dyDescent="0.25">
      <c r="A2035">
        <v>18169</v>
      </c>
      <c r="B2035" t="s">
        <v>113</v>
      </c>
      <c r="C2035">
        <v>17</v>
      </c>
      <c r="D2035">
        <v>1.01425576585471</v>
      </c>
      <c r="E2035">
        <v>0.135234102113961</v>
      </c>
      <c r="F2035">
        <f t="shared" si="63"/>
        <v>1</v>
      </c>
      <c r="G2035">
        <v>0</v>
      </c>
      <c r="H2035">
        <v>0</v>
      </c>
      <c r="I2035">
        <v>1</v>
      </c>
      <c r="J2035">
        <v>0</v>
      </c>
      <c r="K2035">
        <v>0</v>
      </c>
      <c r="L2035">
        <v>0</v>
      </c>
      <c r="M2035">
        <f t="shared" si="62"/>
        <v>15</v>
      </c>
      <c r="N2035">
        <v>0</v>
      </c>
      <c r="O2035">
        <v>0</v>
      </c>
      <c r="P2035">
        <v>15</v>
      </c>
      <c r="Q2035">
        <v>0</v>
      </c>
      <c r="R2035">
        <v>0</v>
      </c>
      <c r="S2035">
        <v>0</v>
      </c>
    </row>
    <row r="2036" spans="1:19" x14ac:dyDescent="0.25">
      <c r="A2036">
        <v>18169</v>
      </c>
      <c r="B2036" t="s">
        <v>113</v>
      </c>
      <c r="C2036">
        <v>18</v>
      </c>
      <c r="D2036">
        <v>1.08187281691169</v>
      </c>
      <c r="E2036">
        <v>0</v>
      </c>
      <c r="F2036">
        <f t="shared" si="63"/>
        <v>1</v>
      </c>
      <c r="G2036">
        <v>0</v>
      </c>
      <c r="H2036">
        <v>0</v>
      </c>
      <c r="I2036">
        <v>1</v>
      </c>
      <c r="J2036">
        <v>0</v>
      </c>
      <c r="K2036">
        <v>0</v>
      </c>
      <c r="L2036">
        <v>0</v>
      </c>
      <c r="M2036">
        <f t="shared" si="62"/>
        <v>15</v>
      </c>
      <c r="N2036">
        <v>0</v>
      </c>
      <c r="O2036">
        <v>0</v>
      </c>
      <c r="P2036">
        <v>15</v>
      </c>
      <c r="Q2036">
        <v>0</v>
      </c>
      <c r="R2036">
        <v>0</v>
      </c>
      <c r="S2036">
        <v>0</v>
      </c>
    </row>
    <row r="2037" spans="1:19" x14ac:dyDescent="0.25">
      <c r="A2037">
        <v>18169</v>
      </c>
      <c r="B2037" t="s">
        <v>113</v>
      </c>
      <c r="C2037">
        <v>19</v>
      </c>
      <c r="D2037">
        <v>1.2847239700826301</v>
      </c>
      <c r="E2037">
        <v>0</v>
      </c>
      <c r="F2037">
        <f t="shared" si="63"/>
        <v>1</v>
      </c>
      <c r="G2037">
        <v>0</v>
      </c>
      <c r="H2037">
        <v>0</v>
      </c>
      <c r="I2037">
        <v>1</v>
      </c>
      <c r="J2037">
        <v>0</v>
      </c>
      <c r="K2037">
        <v>0</v>
      </c>
      <c r="L2037">
        <v>0</v>
      </c>
      <c r="M2037">
        <f t="shared" si="62"/>
        <v>15</v>
      </c>
      <c r="N2037">
        <v>0</v>
      </c>
      <c r="O2037">
        <v>0</v>
      </c>
      <c r="P2037">
        <v>15</v>
      </c>
      <c r="Q2037">
        <v>0</v>
      </c>
      <c r="R2037">
        <v>0</v>
      </c>
      <c r="S2037">
        <v>0</v>
      </c>
    </row>
    <row r="2038" spans="1:19" x14ac:dyDescent="0.25">
      <c r="A2038">
        <v>18169</v>
      </c>
      <c r="B2038" t="s">
        <v>113</v>
      </c>
      <c r="C2038">
        <v>20</v>
      </c>
      <c r="D2038">
        <v>1.3523410211396101</v>
      </c>
      <c r="E2038">
        <v>0</v>
      </c>
      <c r="F2038">
        <f t="shared" si="63"/>
        <v>1</v>
      </c>
      <c r="G2038">
        <v>0</v>
      </c>
      <c r="H2038">
        <v>0</v>
      </c>
      <c r="I2038">
        <v>1</v>
      </c>
      <c r="J2038">
        <v>0</v>
      </c>
      <c r="K2038">
        <v>0</v>
      </c>
      <c r="L2038">
        <v>0</v>
      </c>
      <c r="M2038">
        <f t="shared" si="62"/>
        <v>15</v>
      </c>
      <c r="N2038">
        <v>0</v>
      </c>
      <c r="O2038">
        <v>0</v>
      </c>
      <c r="P2038">
        <v>15</v>
      </c>
      <c r="Q2038">
        <v>0</v>
      </c>
      <c r="R2038">
        <v>0</v>
      </c>
      <c r="S2038">
        <v>0</v>
      </c>
    </row>
    <row r="2039" spans="1:19" x14ac:dyDescent="0.25">
      <c r="A2039">
        <v>18169</v>
      </c>
      <c r="B2039" t="s">
        <v>113</v>
      </c>
      <c r="C2039">
        <v>21</v>
      </c>
      <c r="D2039">
        <v>1.2847239700826301</v>
      </c>
      <c r="E2039">
        <v>0</v>
      </c>
      <c r="F2039">
        <f t="shared" si="63"/>
        <v>1</v>
      </c>
      <c r="G2039">
        <v>0</v>
      </c>
      <c r="H2039">
        <v>0</v>
      </c>
      <c r="I2039">
        <v>1</v>
      </c>
      <c r="J2039">
        <v>0</v>
      </c>
      <c r="K2039">
        <v>0</v>
      </c>
      <c r="L2039">
        <v>0</v>
      </c>
      <c r="M2039">
        <f t="shared" si="62"/>
        <v>15</v>
      </c>
      <c r="N2039">
        <v>0</v>
      </c>
      <c r="O2039">
        <v>0</v>
      </c>
      <c r="P2039">
        <v>15</v>
      </c>
      <c r="Q2039">
        <v>0</v>
      </c>
      <c r="R2039">
        <v>0</v>
      </c>
      <c r="S2039">
        <v>0</v>
      </c>
    </row>
    <row r="2040" spans="1:19" x14ac:dyDescent="0.25">
      <c r="A2040">
        <v>18169</v>
      </c>
      <c r="B2040" t="s">
        <v>113</v>
      </c>
      <c r="C2040">
        <v>22</v>
      </c>
      <c r="D2040">
        <v>1.4199580721965901</v>
      </c>
      <c r="E2040">
        <v>0</v>
      </c>
      <c r="F2040">
        <f t="shared" si="63"/>
        <v>1</v>
      </c>
      <c r="G2040">
        <v>0</v>
      </c>
      <c r="H2040">
        <v>0</v>
      </c>
      <c r="I2040">
        <v>1</v>
      </c>
      <c r="J2040">
        <v>0</v>
      </c>
      <c r="K2040">
        <v>0</v>
      </c>
      <c r="L2040">
        <v>0</v>
      </c>
      <c r="M2040">
        <f t="shared" si="62"/>
        <v>15</v>
      </c>
      <c r="N2040">
        <v>0</v>
      </c>
      <c r="O2040">
        <v>0</v>
      </c>
      <c r="P2040">
        <v>15</v>
      </c>
      <c r="Q2040">
        <v>0</v>
      </c>
      <c r="R2040">
        <v>0</v>
      </c>
      <c r="S2040">
        <v>0</v>
      </c>
    </row>
    <row r="2041" spans="1:19" x14ac:dyDescent="0.25">
      <c r="A2041">
        <v>18169</v>
      </c>
      <c r="B2041" t="s">
        <v>113</v>
      </c>
      <c r="C2041">
        <v>23</v>
      </c>
      <c r="D2041">
        <v>1.4875751232535701</v>
      </c>
      <c r="E2041">
        <v>0</v>
      </c>
      <c r="F2041">
        <f t="shared" si="63"/>
        <v>1</v>
      </c>
      <c r="G2041">
        <v>0</v>
      </c>
      <c r="H2041">
        <v>0</v>
      </c>
      <c r="I2041">
        <v>1</v>
      </c>
      <c r="J2041">
        <v>0</v>
      </c>
      <c r="K2041">
        <v>0</v>
      </c>
      <c r="L2041">
        <v>0</v>
      </c>
      <c r="M2041">
        <f t="shared" si="62"/>
        <v>15</v>
      </c>
      <c r="N2041">
        <v>0</v>
      </c>
      <c r="O2041">
        <v>0</v>
      </c>
      <c r="P2041">
        <v>15</v>
      </c>
      <c r="Q2041">
        <v>0</v>
      </c>
      <c r="R2041">
        <v>0</v>
      </c>
      <c r="S2041">
        <v>0</v>
      </c>
    </row>
    <row r="2042" spans="1:19" x14ac:dyDescent="0.25">
      <c r="A2042">
        <v>18171</v>
      </c>
      <c r="B2042" t="s">
        <v>114</v>
      </c>
      <c r="C2042">
        <v>0</v>
      </c>
      <c r="D2042">
        <v>0</v>
      </c>
      <c r="E2042">
        <v>1.57413944874192</v>
      </c>
      <c r="F2042">
        <f t="shared" si="63"/>
        <v>0</v>
      </c>
      <c r="G2042">
        <v>0</v>
      </c>
      <c r="H2042">
        <v>0</v>
      </c>
      <c r="I2042">
        <v>0</v>
      </c>
      <c r="J2042">
        <v>0</v>
      </c>
      <c r="K2042">
        <v>0</v>
      </c>
      <c r="L2042">
        <v>0</v>
      </c>
      <c r="M2042">
        <f t="shared" si="62"/>
        <v>0</v>
      </c>
      <c r="N2042">
        <v>0</v>
      </c>
      <c r="O2042">
        <v>0</v>
      </c>
      <c r="P2042">
        <v>0</v>
      </c>
      <c r="Q2042">
        <v>0</v>
      </c>
      <c r="R2042">
        <v>0</v>
      </c>
      <c r="S2042">
        <v>0</v>
      </c>
    </row>
    <row r="2043" spans="1:19" x14ac:dyDescent="0.25">
      <c r="A2043">
        <v>18171</v>
      </c>
      <c r="B2043" t="s">
        <v>114</v>
      </c>
      <c r="C2043">
        <v>1</v>
      </c>
      <c r="D2043">
        <v>0</v>
      </c>
      <c r="E2043">
        <v>1.57413944874192</v>
      </c>
      <c r="F2043">
        <f t="shared" si="63"/>
        <v>0</v>
      </c>
      <c r="G2043">
        <v>0</v>
      </c>
      <c r="H2043">
        <v>0</v>
      </c>
      <c r="I2043">
        <v>0</v>
      </c>
      <c r="J2043">
        <v>0</v>
      </c>
      <c r="K2043">
        <v>0</v>
      </c>
      <c r="L2043">
        <v>0</v>
      </c>
      <c r="M2043">
        <f t="shared" si="62"/>
        <v>0</v>
      </c>
      <c r="N2043">
        <v>0</v>
      </c>
      <c r="O2043">
        <v>0</v>
      </c>
      <c r="P2043">
        <v>0</v>
      </c>
      <c r="Q2043">
        <v>0</v>
      </c>
      <c r="R2043">
        <v>0</v>
      </c>
      <c r="S2043">
        <v>0</v>
      </c>
    </row>
    <row r="2044" spans="1:19" x14ac:dyDescent="0.25">
      <c r="A2044">
        <v>18171</v>
      </c>
      <c r="B2044" t="s">
        <v>114</v>
      </c>
      <c r="C2044">
        <v>2</v>
      </c>
      <c r="D2044">
        <v>0</v>
      </c>
      <c r="E2044">
        <v>1.57413944874192</v>
      </c>
      <c r="F2044">
        <f t="shared" si="63"/>
        <v>0</v>
      </c>
      <c r="G2044">
        <v>0</v>
      </c>
      <c r="H2044">
        <v>0</v>
      </c>
      <c r="I2044">
        <v>0</v>
      </c>
      <c r="J2044">
        <v>0</v>
      </c>
      <c r="K2044">
        <v>0</v>
      </c>
      <c r="L2044">
        <v>0</v>
      </c>
      <c r="M2044">
        <f t="shared" si="62"/>
        <v>0</v>
      </c>
      <c r="N2044">
        <v>0</v>
      </c>
      <c r="O2044">
        <v>0</v>
      </c>
      <c r="P2044">
        <v>0</v>
      </c>
      <c r="Q2044">
        <v>0</v>
      </c>
      <c r="R2044">
        <v>0</v>
      </c>
      <c r="S2044">
        <v>0</v>
      </c>
    </row>
    <row r="2045" spans="1:19" x14ac:dyDescent="0.25">
      <c r="A2045">
        <v>18171</v>
      </c>
      <c r="B2045" t="s">
        <v>114</v>
      </c>
      <c r="C2045">
        <v>3</v>
      </c>
      <c r="D2045">
        <v>0</v>
      </c>
      <c r="E2045">
        <v>1.57413944874192</v>
      </c>
      <c r="F2045">
        <f t="shared" si="63"/>
        <v>0</v>
      </c>
      <c r="G2045">
        <v>0</v>
      </c>
      <c r="H2045">
        <v>0</v>
      </c>
      <c r="I2045">
        <v>0</v>
      </c>
      <c r="J2045">
        <v>0</v>
      </c>
      <c r="K2045">
        <v>0</v>
      </c>
      <c r="L2045">
        <v>0</v>
      </c>
      <c r="M2045">
        <f t="shared" si="62"/>
        <v>0</v>
      </c>
      <c r="N2045">
        <v>0</v>
      </c>
      <c r="O2045">
        <v>0</v>
      </c>
      <c r="P2045">
        <v>0</v>
      </c>
      <c r="Q2045">
        <v>0</v>
      </c>
      <c r="R2045">
        <v>0</v>
      </c>
      <c r="S2045">
        <v>0</v>
      </c>
    </row>
    <row r="2046" spans="1:19" x14ac:dyDescent="0.25">
      <c r="A2046">
        <v>18171</v>
      </c>
      <c r="B2046" t="s">
        <v>114</v>
      </c>
      <c r="C2046">
        <v>4</v>
      </c>
      <c r="D2046">
        <v>0</v>
      </c>
      <c r="E2046">
        <v>1.2680567781532099</v>
      </c>
      <c r="F2046">
        <f t="shared" si="63"/>
        <v>0</v>
      </c>
      <c r="G2046">
        <v>0</v>
      </c>
      <c r="H2046">
        <v>0</v>
      </c>
      <c r="I2046">
        <v>0</v>
      </c>
      <c r="J2046">
        <v>0</v>
      </c>
      <c r="K2046">
        <v>0</v>
      </c>
      <c r="L2046">
        <v>0</v>
      </c>
      <c r="M2046">
        <f t="shared" si="62"/>
        <v>0</v>
      </c>
      <c r="N2046">
        <v>0</v>
      </c>
      <c r="O2046">
        <v>0</v>
      </c>
      <c r="P2046">
        <v>0</v>
      </c>
      <c r="Q2046">
        <v>0</v>
      </c>
      <c r="R2046">
        <v>0</v>
      </c>
      <c r="S2046">
        <v>0</v>
      </c>
    </row>
    <row r="2047" spans="1:19" x14ac:dyDescent="0.25">
      <c r="A2047">
        <v>18171</v>
      </c>
      <c r="B2047" t="s">
        <v>114</v>
      </c>
      <c r="C2047">
        <v>5</v>
      </c>
      <c r="D2047">
        <v>0</v>
      </c>
      <c r="E2047">
        <v>1.13687849075805</v>
      </c>
      <c r="F2047">
        <f t="shared" si="63"/>
        <v>0</v>
      </c>
      <c r="G2047">
        <v>0</v>
      </c>
      <c r="H2047">
        <v>0</v>
      </c>
      <c r="I2047">
        <v>0</v>
      </c>
      <c r="J2047">
        <v>0</v>
      </c>
      <c r="K2047">
        <v>0</v>
      </c>
      <c r="L2047">
        <v>0</v>
      </c>
      <c r="M2047">
        <f t="shared" si="62"/>
        <v>0</v>
      </c>
      <c r="N2047">
        <v>0</v>
      </c>
      <c r="O2047">
        <v>0</v>
      </c>
      <c r="P2047">
        <v>0</v>
      </c>
      <c r="Q2047">
        <v>0</v>
      </c>
      <c r="R2047">
        <v>0</v>
      </c>
      <c r="S2047">
        <v>0</v>
      </c>
    </row>
    <row r="2048" spans="1:19" x14ac:dyDescent="0.25">
      <c r="A2048">
        <v>18171</v>
      </c>
      <c r="B2048" t="s">
        <v>114</v>
      </c>
      <c r="C2048">
        <v>6</v>
      </c>
      <c r="D2048">
        <v>0</v>
      </c>
      <c r="E2048">
        <v>1.09315239495966</v>
      </c>
      <c r="F2048">
        <f t="shared" si="63"/>
        <v>0</v>
      </c>
      <c r="G2048">
        <v>0</v>
      </c>
      <c r="H2048">
        <v>0</v>
      </c>
      <c r="I2048">
        <v>0</v>
      </c>
      <c r="J2048">
        <v>0</v>
      </c>
      <c r="K2048">
        <v>0</v>
      </c>
      <c r="L2048">
        <v>0</v>
      </c>
      <c r="M2048">
        <f t="shared" si="62"/>
        <v>0</v>
      </c>
      <c r="N2048">
        <v>0</v>
      </c>
      <c r="O2048">
        <v>0</v>
      </c>
      <c r="P2048">
        <v>0</v>
      </c>
      <c r="Q2048">
        <v>0</v>
      </c>
      <c r="R2048">
        <v>0</v>
      </c>
      <c r="S2048">
        <v>0</v>
      </c>
    </row>
    <row r="2049" spans="1:19" x14ac:dyDescent="0.25">
      <c r="A2049">
        <v>18171</v>
      </c>
      <c r="B2049" t="s">
        <v>114</v>
      </c>
      <c r="C2049">
        <v>7</v>
      </c>
      <c r="D2049">
        <v>0</v>
      </c>
      <c r="E2049">
        <v>1.13687849075805</v>
      </c>
      <c r="F2049">
        <f t="shared" si="63"/>
        <v>0</v>
      </c>
      <c r="G2049">
        <v>0</v>
      </c>
      <c r="H2049">
        <v>0</v>
      </c>
      <c r="I2049">
        <v>0</v>
      </c>
      <c r="J2049">
        <v>0</v>
      </c>
      <c r="K2049">
        <v>0</v>
      </c>
      <c r="L2049">
        <v>0</v>
      </c>
      <c r="M2049">
        <f t="shared" si="62"/>
        <v>0</v>
      </c>
      <c r="N2049">
        <v>0</v>
      </c>
      <c r="O2049">
        <v>0</v>
      </c>
      <c r="P2049">
        <v>0</v>
      </c>
      <c r="Q2049">
        <v>0</v>
      </c>
      <c r="R2049">
        <v>0</v>
      </c>
      <c r="S2049">
        <v>0</v>
      </c>
    </row>
    <row r="2050" spans="1:19" x14ac:dyDescent="0.25">
      <c r="A2050">
        <v>18171</v>
      </c>
      <c r="B2050" t="s">
        <v>114</v>
      </c>
      <c r="C2050">
        <v>8</v>
      </c>
      <c r="D2050">
        <v>0</v>
      </c>
      <c r="E2050">
        <v>1.4429611613467599</v>
      </c>
      <c r="F2050">
        <f t="shared" si="63"/>
        <v>0</v>
      </c>
      <c r="G2050">
        <v>0</v>
      </c>
      <c r="H2050">
        <v>0</v>
      </c>
      <c r="I2050">
        <v>0</v>
      </c>
      <c r="J2050">
        <v>0</v>
      </c>
      <c r="K2050">
        <v>0</v>
      </c>
      <c r="L2050">
        <v>0</v>
      </c>
      <c r="M2050">
        <f t="shared" ref="M2050:M2113" si="64">SUM(N2050:S2050)</f>
        <v>0</v>
      </c>
      <c r="N2050">
        <v>0</v>
      </c>
      <c r="O2050">
        <v>0</v>
      </c>
      <c r="P2050">
        <v>0</v>
      </c>
      <c r="Q2050">
        <v>0</v>
      </c>
      <c r="R2050">
        <v>0</v>
      </c>
      <c r="S2050">
        <v>0</v>
      </c>
    </row>
    <row r="2051" spans="1:19" x14ac:dyDescent="0.25">
      <c r="A2051">
        <v>18171</v>
      </c>
      <c r="B2051" t="s">
        <v>114</v>
      </c>
      <c r="C2051">
        <v>9</v>
      </c>
      <c r="D2051">
        <v>0</v>
      </c>
      <c r="E2051">
        <v>2.0988525983225599</v>
      </c>
      <c r="F2051">
        <f t="shared" ref="F2051:F2114" si="65">SUM(G2051:L2051)</f>
        <v>0</v>
      </c>
      <c r="G2051">
        <v>0</v>
      </c>
      <c r="H2051">
        <v>0</v>
      </c>
      <c r="I2051">
        <v>0</v>
      </c>
      <c r="J2051">
        <v>0</v>
      </c>
      <c r="K2051">
        <v>0</v>
      </c>
      <c r="L2051">
        <v>0</v>
      </c>
      <c r="M2051">
        <f t="shared" si="64"/>
        <v>0</v>
      </c>
      <c r="N2051">
        <v>0</v>
      </c>
      <c r="O2051">
        <v>0</v>
      </c>
      <c r="P2051">
        <v>0</v>
      </c>
      <c r="Q2051">
        <v>0</v>
      </c>
      <c r="R2051">
        <v>0</v>
      </c>
      <c r="S2051">
        <v>0</v>
      </c>
    </row>
    <row r="2052" spans="1:19" x14ac:dyDescent="0.25">
      <c r="A2052">
        <v>18171</v>
      </c>
      <c r="B2052" t="s">
        <v>114</v>
      </c>
      <c r="C2052">
        <v>10</v>
      </c>
      <c r="D2052">
        <v>0</v>
      </c>
      <c r="E2052">
        <v>2.7984701310967401</v>
      </c>
      <c r="F2052">
        <f t="shared" si="65"/>
        <v>0</v>
      </c>
      <c r="G2052">
        <v>0</v>
      </c>
      <c r="H2052">
        <v>0</v>
      </c>
      <c r="I2052">
        <v>0</v>
      </c>
      <c r="J2052">
        <v>0</v>
      </c>
      <c r="K2052">
        <v>0</v>
      </c>
      <c r="L2052">
        <v>0</v>
      </c>
      <c r="M2052">
        <f t="shared" si="64"/>
        <v>0</v>
      </c>
      <c r="N2052">
        <v>0</v>
      </c>
      <c r="O2052">
        <v>0</v>
      </c>
      <c r="P2052">
        <v>0</v>
      </c>
      <c r="Q2052">
        <v>0</v>
      </c>
      <c r="R2052">
        <v>0</v>
      </c>
      <c r="S2052">
        <v>0</v>
      </c>
    </row>
    <row r="2053" spans="1:19" x14ac:dyDescent="0.25">
      <c r="A2053">
        <v>18171</v>
      </c>
      <c r="B2053" t="s">
        <v>114</v>
      </c>
      <c r="C2053">
        <v>11</v>
      </c>
      <c r="D2053">
        <v>0</v>
      </c>
      <c r="E2053">
        <v>3.279457184879</v>
      </c>
      <c r="F2053">
        <f t="shared" si="65"/>
        <v>0</v>
      </c>
      <c r="G2053">
        <v>0</v>
      </c>
      <c r="H2053">
        <v>0</v>
      </c>
      <c r="I2053">
        <v>0</v>
      </c>
      <c r="J2053">
        <v>0</v>
      </c>
      <c r="K2053">
        <v>0</v>
      </c>
      <c r="L2053">
        <v>0</v>
      </c>
      <c r="M2053">
        <f t="shared" si="64"/>
        <v>0</v>
      </c>
      <c r="N2053">
        <v>0</v>
      </c>
      <c r="O2053">
        <v>0</v>
      </c>
      <c r="P2053">
        <v>0</v>
      </c>
      <c r="Q2053">
        <v>0</v>
      </c>
      <c r="R2053">
        <v>0</v>
      </c>
      <c r="S2053">
        <v>0</v>
      </c>
    </row>
    <row r="2054" spans="1:19" x14ac:dyDescent="0.25">
      <c r="A2054">
        <v>18171</v>
      </c>
      <c r="B2054" t="s">
        <v>114</v>
      </c>
      <c r="C2054">
        <v>12</v>
      </c>
      <c r="D2054">
        <v>0</v>
      </c>
      <c r="E2054">
        <v>2.66729184370159</v>
      </c>
      <c r="F2054">
        <f t="shared" si="65"/>
        <v>0</v>
      </c>
      <c r="G2054">
        <v>0</v>
      </c>
      <c r="H2054">
        <v>0</v>
      </c>
      <c r="I2054">
        <v>0</v>
      </c>
      <c r="J2054">
        <v>0</v>
      </c>
      <c r="K2054">
        <v>0</v>
      </c>
      <c r="L2054">
        <v>0</v>
      </c>
      <c r="M2054">
        <f t="shared" si="64"/>
        <v>0</v>
      </c>
      <c r="N2054">
        <v>0</v>
      </c>
      <c r="O2054">
        <v>0</v>
      </c>
      <c r="P2054">
        <v>0</v>
      </c>
      <c r="Q2054">
        <v>0</v>
      </c>
      <c r="R2054">
        <v>0</v>
      </c>
      <c r="S2054">
        <v>0</v>
      </c>
    </row>
    <row r="2055" spans="1:19" x14ac:dyDescent="0.25">
      <c r="A2055">
        <v>18171</v>
      </c>
      <c r="B2055" t="s">
        <v>114</v>
      </c>
      <c r="C2055">
        <v>13</v>
      </c>
      <c r="D2055">
        <v>0</v>
      </c>
      <c r="E2055">
        <v>2.9733745142902901</v>
      </c>
      <c r="F2055">
        <f t="shared" si="65"/>
        <v>0</v>
      </c>
      <c r="G2055">
        <v>0</v>
      </c>
      <c r="H2055">
        <v>0</v>
      </c>
      <c r="I2055">
        <v>0</v>
      </c>
      <c r="J2055">
        <v>0</v>
      </c>
      <c r="K2055">
        <v>0</v>
      </c>
      <c r="L2055">
        <v>0</v>
      </c>
      <c r="M2055">
        <f t="shared" si="64"/>
        <v>0</v>
      </c>
      <c r="N2055">
        <v>0</v>
      </c>
      <c r="O2055">
        <v>0</v>
      </c>
      <c r="P2055">
        <v>0</v>
      </c>
      <c r="Q2055">
        <v>0</v>
      </c>
      <c r="R2055">
        <v>0</v>
      </c>
      <c r="S2055">
        <v>0</v>
      </c>
    </row>
    <row r="2056" spans="1:19" x14ac:dyDescent="0.25">
      <c r="A2056">
        <v>18171</v>
      </c>
      <c r="B2056" t="s">
        <v>114</v>
      </c>
      <c r="C2056">
        <v>14</v>
      </c>
      <c r="D2056">
        <v>0</v>
      </c>
      <c r="E2056">
        <v>2.8421962268951302</v>
      </c>
      <c r="F2056">
        <f t="shared" si="65"/>
        <v>0</v>
      </c>
      <c r="G2056">
        <v>0</v>
      </c>
      <c r="H2056">
        <v>0</v>
      </c>
      <c r="I2056">
        <v>0</v>
      </c>
      <c r="J2056">
        <v>0</v>
      </c>
      <c r="K2056">
        <v>0</v>
      </c>
      <c r="L2056">
        <v>0</v>
      </c>
      <c r="M2056">
        <f t="shared" si="64"/>
        <v>0</v>
      </c>
      <c r="N2056">
        <v>0</v>
      </c>
      <c r="O2056">
        <v>0</v>
      </c>
      <c r="P2056">
        <v>0</v>
      </c>
      <c r="Q2056">
        <v>0</v>
      </c>
      <c r="R2056">
        <v>0</v>
      </c>
      <c r="S2056">
        <v>0</v>
      </c>
    </row>
    <row r="2057" spans="1:19" x14ac:dyDescent="0.25">
      <c r="A2057">
        <v>18171</v>
      </c>
      <c r="B2057" t="s">
        <v>114</v>
      </c>
      <c r="C2057">
        <v>15</v>
      </c>
      <c r="D2057">
        <v>0</v>
      </c>
      <c r="E2057">
        <v>2.8421962268951302</v>
      </c>
      <c r="F2057">
        <f t="shared" si="65"/>
        <v>0</v>
      </c>
      <c r="G2057">
        <v>0</v>
      </c>
      <c r="H2057">
        <v>0</v>
      </c>
      <c r="I2057">
        <v>0</v>
      </c>
      <c r="J2057">
        <v>0</v>
      </c>
      <c r="K2057">
        <v>0</v>
      </c>
      <c r="L2057">
        <v>0</v>
      </c>
      <c r="M2057">
        <f t="shared" si="64"/>
        <v>0</v>
      </c>
      <c r="N2057">
        <v>0</v>
      </c>
      <c r="O2057">
        <v>0</v>
      </c>
      <c r="P2057">
        <v>0</v>
      </c>
      <c r="Q2057">
        <v>0</v>
      </c>
      <c r="R2057">
        <v>0</v>
      </c>
      <c r="S2057">
        <v>0</v>
      </c>
    </row>
    <row r="2058" spans="1:19" x14ac:dyDescent="0.25">
      <c r="A2058">
        <v>18171</v>
      </c>
      <c r="B2058" t="s">
        <v>114</v>
      </c>
      <c r="C2058">
        <v>16</v>
      </c>
      <c r="D2058">
        <v>0</v>
      </c>
      <c r="E2058">
        <v>2.44866136470965</v>
      </c>
      <c r="F2058">
        <f t="shared" si="65"/>
        <v>0</v>
      </c>
      <c r="G2058">
        <v>0</v>
      </c>
      <c r="H2058">
        <v>0</v>
      </c>
      <c r="I2058">
        <v>0</v>
      </c>
      <c r="J2058">
        <v>0</v>
      </c>
      <c r="K2058">
        <v>0</v>
      </c>
      <c r="L2058">
        <v>0</v>
      </c>
      <c r="M2058">
        <f t="shared" si="64"/>
        <v>0</v>
      </c>
      <c r="N2058">
        <v>0</v>
      </c>
      <c r="O2058">
        <v>0</v>
      </c>
      <c r="P2058">
        <v>0</v>
      </c>
      <c r="Q2058">
        <v>0</v>
      </c>
      <c r="R2058">
        <v>0</v>
      </c>
      <c r="S2058">
        <v>0</v>
      </c>
    </row>
    <row r="2059" spans="1:19" x14ac:dyDescent="0.25">
      <c r="A2059">
        <v>18171</v>
      </c>
      <c r="B2059" t="s">
        <v>114</v>
      </c>
      <c r="C2059">
        <v>17</v>
      </c>
      <c r="D2059">
        <v>0</v>
      </c>
      <c r="E2059">
        <v>1.6178655445403001</v>
      </c>
      <c r="F2059">
        <f t="shared" si="65"/>
        <v>0</v>
      </c>
      <c r="G2059">
        <v>0</v>
      </c>
      <c r="H2059">
        <v>0</v>
      </c>
      <c r="I2059">
        <v>0</v>
      </c>
      <c r="J2059">
        <v>0</v>
      </c>
      <c r="K2059">
        <v>0</v>
      </c>
      <c r="L2059">
        <v>0</v>
      </c>
      <c r="M2059">
        <f t="shared" si="64"/>
        <v>0</v>
      </c>
      <c r="N2059">
        <v>0</v>
      </c>
      <c r="O2059">
        <v>0</v>
      </c>
      <c r="P2059">
        <v>0</v>
      </c>
      <c r="Q2059">
        <v>0</v>
      </c>
      <c r="R2059">
        <v>0</v>
      </c>
      <c r="S2059">
        <v>0</v>
      </c>
    </row>
    <row r="2060" spans="1:19" x14ac:dyDescent="0.25">
      <c r="A2060">
        <v>18171</v>
      </c>
      <c r="B2060" t="s">
        <v>114</v>
      </c>
      <c r="C2060">
        <v>18</v>
      </c>
      <c r="D2060">
        <v>0</v>
      </c>
      <c r="E2060">
        <v>1.53041335294353</v>
      </c>
      <c r="F2060">
        <f t="shared" si="65"/>
        <v>0</v>
      </c>
      <c r="G2060">
        <v>0</v>
      </c>
      <c r="H2060">
        <v>0</v>
      </c>
      <c r="I2060">
        <v>0</v>
      </c>
      <c r="J2060">
        <v>0</v>
      </c>
      <c r="K2060">
        <v>0</v>
      </c>
      <c r="L2060">
        <v>0</v>
      </c>
      <c r="M2060">
        <f t="shared" si="64"/>
        <v>0</v>
      </c>
      <c r="N2060">
        <v>0</v>
      </c>
      <c r="O2060">
        <v>0</v>
      </c>
      <c r="P2060">
        <v>0</v>
      </c>
      <c r="Q2060">
        <v>0</v>
      </c>
      <c r="R2060">
        <v>0</v>
      </c>
      <c r="S2060">
        <v>0</v>
      </c>
    </row>
    <row r="2061" spans="1:19" x14ac:dyDescent="0.25">
      <c r="A2061">
        <v>18171</v>
      </c>
      <c r="B2061" t="s">
        <v>114</v>
      </c>
      <c r="C2061">
        <v>19</v>
      </c>
      <c r="D2061">
        <v>0</v>
      </c>
      <c r="E2061">
        <v>1.4866872571451399</v>
      </c>
      <c r="F2061">
        <f t="shared" si="65"/>
        <v>0</v>
      </c>
      <c r="G2061">
        <v>0</v>
      </c>
      <c r="H2061">
        <v>0</v>
      </c>
      <c r="I2061">
        <v>0</v>
      </c>
      <c r="J2061">
        <v>0</v>
      </c>
      <c r="K2061">
        <v>0</v>
      </c>
      <c r="L2061">
        <v>0</v>
      </c>
      <c r="M2061">
        <f t="shared" si="64"/>
        <v>0</v>
      </c>
      <c r="N2061">
        <v>0</v>
      </c>
      <c r="O2061">
        <v>0</v>
      </c>
      <c r="P2061">
        <v>0</v>
      </c>
      <c r="Q2061">
        <v>0</v>
      </c>
      <c r="R2061">
        <v>0</v>
      </c>
      <c r="S2061">
        <v>0</v>
      </c>
    </row>
    <row r="2062" spans="1:19" x14ac:dyDescent="0.25">
      <c r="A2062">
        <v>18171</v>
      </c>
      <c r="B2062" t="s">
        <v>114</v>
      </c>
      <c r="C2062">
        <v>20</v>
      </c>
      <c r="D2062">
        <v>0</v>
      </c>
      <c r="E2062">
        <v>1.57413944874192</v>
      </c>
      <c r="F2062">
        <f t="shared" si="65"/>
        <v>0</v>
      </c>
      <c r="G2062">
        <v>0</v>
      </c>
      <c r="H2062">
        <v>0</v>
      </c>
      <c r="I2062">
        <v>0</v>
      </c>
      <c r="J2062">
        <v>0</v>
      </c>
      <c r="K2062">
        <v>0</v>
      </c>
      <c r="L2062">
        <v>0</v>
      </c>
      <c r="M2062">
        <f t="shared" si="64"/>
        <v>0</v>
      </c>
      <c r="N2062">
        <v>0</v>
      </c>
      <c r="O2062">
        <v>0</v>
      </c>
      <c r="P2062">
        <v>0</v>
      </c>
      <c r="Q2062">
        <v>0</v>
      </c>
      <c r="R2062">
        <v>0</v>
      </c>
      <c r="S2062">
        <v>0</v>
      </c>
    </row>
    <row r="2063" spans="1:19" x14ac:dyDescent="0.25">
      <c r="A2063">
        <v>18171</v>
      </c>
      <c r="B2063" t="s">
        <v>114</v>
      </c>
      <c r="C2063">
        <v>21</v>
      </c>
      <c r="D2063">
        <v>0</v>
      </c>
      <c r="E2063">
        <v>1.57413944874192</v>
      </c>
      <c r="F2063">
        <f t="shared" si="65"/>
        <v>0</v>
      </c>
      <c r="G2063">
        <v>0</v>
      </c>
      <c r="H2063">
        <v>0</v>
      </c>
      <c r="I2063">
        <v>0</v>
      </c>
      <c r="J2063">
        <v>0</v>
      </c>
      <c r="K2063">
        <v>0</v>
      </c>
      <c r="L2063">
        <v>0</v>
      </c>
      <c r="M2063">
        <f t="shared" si="64"/>
        <v>0</v>
      </c>
      <c r="N2063">
        <v>0</v>
      </c>
      <c r="O2063">
        <v>0</v>
      </c>
      <c r="P2063">
        <v>0</v>
      </c>
      <c r="Q2063">
        <v>0</v>
      </c>
      <c r="R2063">
        <v>0</v>
      </c>
      <c r="S2063">
        <v>0</v>
      </c>
    </row>
    <row r="2064" spans="1:19" x14ac:dyDescent="0.25">
      <c r="A2064">
        <v>18171</v>
      </c>
      <c r="B2064" t="s">
        <v>114</v>
      </c>
      <c r="C2064">
        <v>22</v>
      </c>
      <c r="D2064">
        <v>0</v>
      </c>
      <c r="E2064">
        <v>1.53041335294353</v>
      </c>
      <c r="F2064">
        <f t="shared" si="65"/>
        <v>0</v>
      </c>
      <c r="G2064">
        <v>0</v>
      </c>
      <c r="H2064">
        <v>0</v>
      </c>
      <c r="I2064">
        <v>0</v>
      </c>
      <c r="J2064">
        <v>0</v>
      </c>
      <c r="K2064">
        <v>0</v>
      </c>
      <c r="L2064">
        <v>0</v>
      </c>
      <c r="M2064">
        <f t="shared" si="64"/>
        <v>0</v>
      </c>
      <c r="N2064">
        <v>0</v>
      </c>
      <c r="O2064">
        <v>0</v>
      </c>
      <c r="P2064">
        <v>0</v>
      </c>
      <c r="Q2064">
        <v>0</v>
      </c>
      <c r="R2064">
        <v>0</v>
      </c>
      <c r="S2064">
        <v>0</v>
      </c>
    </row>
    <row r="2065" spans="1:19" x14ac:dyDescent="0.25">
      <c r="A2065">
        <v>18171</v>
      </c>
      <c r="B2065" t="s">
        <v>114</v>
      </c>
      <c r="C2065">
        <v>23</v>
      </c>
      <c r="D2065">
        <v>0</v>
      </c>
      <c r="E2065">
        <v>1.53041335294353</v>
      </c>
      <c r="F2065">
        <f t="shared" si="65"/>
        <v>0</v>
      </c>
      <c r="G2065">
        <v>0</v>
      </c>
      <c r="H2065">
        <v>0</v>
      </c>
      <c r="I2065">
        <v>0</v>
      </c>
      <c r="J2065">
        <v>0</v>
      </c>
      <c r="K2065">
        <v>0</v>
      </c>
      <c r="L2065">
        <v>0</v>
      </c>
      <c r="M2065">
        <f t="shared" si="64"/>
        <v>0</v>
      </c>
      <c r="N2065">
        <v>0</v>
      </c>
      <c r="O2065">
        <v>0</v>
      </c>
      <c r="P2065">
        <v>0</v>
      </c>
      <c r="Q2065">
        <v>0</v>
      </c>
      <c r="R2065">
        <v>0</v>
      </c>
      <c r="S2065">
        <v>0</v>
      </c>
    </row>
    <row r="2066" spans="1:19" x14ac:dyDescent="0.25">
      <c r="A2066">
        <v>18173</v>
      </c>
      <c r="B2066" t="s">
        <v>115</v>
      </c>
      <c r="C2066">
        <v>0</v>
      </c>
      <c r="D2066">
        <v>0</v>
      </c>
      <c r="E2066">
        <v>6.7910673081777198</v>
      </c>
      <c r="F2066">
        <f t="shared" si="65"/>
        <v>0</v>
      </c>
      <c r="G2066">
        <v>0</v>
      </c>
      <c r="H2066">
        <v>0</v>
      </c>
      <c r="I2066">
        <v>0</v>
      </c>
      <c r="J2066">
        <v>0</v>
      </c>
      <c r="K2066">
        <v>0</v>
      </c>
      <c r="L2066">
        <v>0</v>
      </c>
      <c r="M2066">
        <f t="shared" si="64"/>
        <v>0</v>
      </c>
      <c r="N2066">
        <v>0</v>
      </c>
      <c r="O2066">
        <v>0</v>
      </c>
      <c r="P2066">
        <v>0</v>
      </c>
      <c r="Q2066">
        <v>0</v>
      </c>
      <c r="R2066">
        <v>0</v>
      </c>
      <c r="S2066">
        <v>0</v>
      </c>
    </row>
    <row r="2067" spans="1:19" x14ac:dyDescent="0.25">
      <c r="A2067">
        <v>18173</v>
      </c>
      <c r="B2067" t="s">
        <v>115</v>
      </c>
      <c r="C2067">
        <v>1</v>
      </c>
      <c r="D2067">
        <v>0</v>
      </c>
      <c r="E2067">
        <v>7.3261210960947603</v>
      </c>
      <c r="F2067">
        <f t="shared" si="65"/>
        <v>0</v>
      </c>
      <c r="G2067">
        <v>0</v>
      </c>
      <c r="H2067">
        <v>0</v>
      </c>
      <c r="I2067">
        <v>0</v>
      </c>
      <c r="J2067">
        <v>0</v>
      </c>
      <c r="K2067">
        <v>0</v>
      </c>
      <c r="L2067">
        <v>0</v>
      </c>
      <c r="M2067">
        <f t="shared" si="64"/>
        <v>0</v>
      </c>
      <c r="N2067">
        <v>0</v>
      </c>
      <c r="O2067">
        <v>0</v>
      </c>
      <c r="P2067">
        <v>0</v>
      </c>
      <c r="Q2067">
        <v>0</v>
      </c>
      <c r="R2067">
        <v>0</v>
      </c>
      <c r="S2067">
        <v>0</v>
      </c>
    </row>
    <row r="2068" spans="1:19" x14ac:dyDescent="0.25">
      <c r="A2068">
        <v>18173</v>
      </c>
      <c r="B2068" t="s">
        <v>115</v>
      </c>
      <c r="C2068">
        <v>2</v>
      </c>
      <c r="D2068">
        <v>0</v>
      </c>
      <c r="E2068">
        <v>7.0791731939791998</v>
      </c>
      <c r="F2068">
        <f t="shared" si="65"/>
        <v>0</v>
      </c>
      <c r="G2068">
        <v>0</v>
      </c>
      <c r="H2068">
        <v>0</v>
      </c>
      <c r="I2068">
        <v>0</v>
      </c>
      <c r="J2068">
        <v>0</v>
      </c>
      <c r="K2068">
        <v>0</v>
      </c>
      <c r="L2068">
        <v>0</v>
      </c>
      <c r="M2068">
        <f t="shared" si="64"/>
        <v>0</v>
      </c>
      <c r="N2068">
        <v>0</v>
      </c>
      <c r="O2068">
        <v>0</v>
      </c>
      <c r="P2068">
        <v>0</v>
      </c>
      <c r="Q2068">
        <v>0</v>
      </c>
      <c r="R2068">
        <v>0</v>
      </c>
      <c r="S2068">
        <v>0</v>
      </c>
    </row>
    <row r="2069" spans="1:19" x14ac:dyDescent="0.25">
      <c r="A2069">
        <v>18173</v>
      </c>
      <c r="B2069" t="s">
        <v>115</v>
      </c>
      <c r="C2069">
        <v>3</v>
      </c>
      <c r="D2069">
        <v>0</v>
      </c>
      <c r="E2069">
        <v>7.6965429492680899</v>
      </c>
      <c r="F2069">
        <f t="shared" si="65"/>
        <v>0</v>
      </c>
      <c r="G2069">
        <v>0</v>
      </c>
      <c r="H2069">
        <v>0</v>
      </c>
      <c r="I2069">
        <v>0</v>
      </c>
      <c r="J2069">
        <v>0</v>
      </c>
      <c r="K2069">
        <v>0</v>
      </c>
      <c r="L2069">
        <v>0</v>
      </c>
      <c r="M2069">
        <f t="shared" si="64"/>
        <v>0</v>
      </c>
      <c r="N2069">
        <v>0</v>
      </c>
      <c r="O2069">
        <v>0</v>
      </c>
      <c r="P2069">
        <v>0</v>
      </c>
      <c r="Q2069">
        <v>0</v>
      </c>
      <c r="R2069">
        <v>0</v>
      </c>
      <c r="S2069">
        <v>0</v>
      </c>
    </row>
    <row r="2070" spans="1:19" x14ac:dyDescent="0.25">
      <c r="A2070">
        <v>18173</v>
      </c>
      <c r="B2070" t="s">
        <v>115</v>
      </c>
      <c r="C2070">
        <v>4</v>
      </c>
      <c r="D2070">
        <v>0</v>
      </c>
      <c r="E2070">
        <v>8.4785446393006794</v>
      </c>
      <c r="F2070">
        <f t="shared" si="65"/>
        <v>0</v>
      </c>
      <c r="G2070">
        <v>0</v>
      </c>
      <c r="H2070">
        <v>0</v>
      </c>
      <c r="I2070">
        <v>0</v>
      </c>
      <c r="J2070">
        <v>0</v>
      </c>
      <c r="K2070">
        <v>0</v>
      </c>
      <c r="L2070">
        <v>0</v>
      </c>
      <c r="M2070">
        <f t="shared" si="64"/>
        <v>0</v>
      </c>
      <c r="N2070">
        <v>0</v>
      </c>
      <c r="O2070">
        <v>0</v>
      </c>
      <c r="P2070">
        <v>0</v>
      </c>
      <c r="Q2070">
        <v>0</v>
      </c>
      <c r="R2070">
        <v>0</v>
      </c>
      <c r="S2070">
        <v>0</v>
      </c>
    </row>
    <row r="2071" spans="1:19" x14ac:dyDescent="0.25">
      <c r="A2071">
        <v>18173</v>
      </c>
      <c r="B2071" t="s">
        <v>115</v>
      </c>
      <c r="C2071">
        <v>5</v>
      </c>
      <c r="D2071">
        <v>0</v>
      </c>
      <c r="E2071">
        <v>9.8779160846221501</v>
      </c>
      <c r="F2071">
        <f t="shared" si="65"/>
        <v>0</v>
      </c>
      <c r="G2071">
        <v>0</v>
      </c>
      <c r="H2071">
        <v>0</v>
      </c>
      <c r="I2071">
        <v>0</v>
      </c>
      <c r="J2071">
        <v>0</v>
      </c>
      <c r="K2071">
        <v>0</v>
      </c>
      <c r="L2071">
        <v>0</v>
      </c>
      <c r="M2071">
        <f t="shared" si="64"/>
        <v>0</v>
      </c>
      <c r="N2071">
        <v>0</v>
      </c>
      <c r="O2071">
        <v>0</v>
      </c>
      <c r="P2071">
        <v>0</v>
      </c>
      <c r="Q2071">
        <v>0</v>
      </c>
      <c r="R2071">
        <v>0</v>
      </c>
      <c r="S2071">
        <v>0</v>
      </c>
    </row>
    <row r="2072" spans="1:19" x14ac:dyDescent="0.25">
      <c r="A2072">
        <v>18173</v>
      </c>
      <c r="B2072" t="s">
        <v>115</v>
      </c>
      <c r="C2072">
        <v>6</v>
      </c>
      <c r="D2072">
        <v>0</v>
      </c>
      <c r="E2072">
        <v>11.030339627828001</v>
      </c>
      <c r="F2072">
        <f t="shared" si="65"/>
        <v>0</v>
      </c>
      <c r="G2072">
        <v>0</v>
      </c>
      <c r="H2072">
        <v>0</v>
      </c>
      <c r="I2072">
        <v>0</v>
      </c>
      <c r="J2072">
        <v>0</v>
      </c>
      <c r="K2072">
        <v>0</v>
      </c>
      <c r="L2072">
        <v>0</v>
      </c>
      <c r="M2072">
        <f t="shared" si="64"/>
        <v>0</v>
      </c>
      <c r="N2072">
        <v>0</v>
      </c>
      <c r="O2072">
        <v>0</v>
      </c>
      <c r="P2072">
        <v>0</v>
      </c>
      <c r="Q2072">
        <v>0</v>
      </c>
      <c r="R2072">
        <v>0</v>
      </c>
      <c r="S2072">
        <v>0</v>
      </c>
    </row>
    <row r="2073" spans="1:19" x14ac:dyDescent="0.25">
      <c r="A2073">
        <v>18173</v>
      </c>
      <c r="B2073" t="s">
        <v>115</v>
      </c>
      <c r="C2073">
        <v>7</v>
      </c>
      <c r="D2073">
        <v>0</v>
      </c>
      <c r="E2073">
        <v>12.141605187348</v>
      </c>
      <c r="F2073">
        <f t="shared" si="65"/>
        <v>0</v>
      </c>
      <c r="G2073">
        <v>0</v>
      </c>
      <c r="H2073">
        <v>0</v>
      </c>
      <c r="I2073">
        <v>0</v>
      </c>
      <c r="J2073">
        <v>0</v>
      </c>
      <c r="K2073">
        <v>0</v>
      </c>
      <c r="L2073">
        <v>0</v>
      </c>
      <c r="M2073">
        <f t="shared" si="64"/>
        <v>0</v>
      </c>
      <c r="N2073">
        <v>0</v>
      </c>
      <c r="O2073">
        <v>0</v>
      </c>
      <c r="P2073">
        <v>0</v>
      </c>
      <c r="Q2073">
        <v>0</v>
      </c>
      <c r="R2073">
        <v>0</v>
      </c>
      <c r="S2073">
        <v>0</v>
      </c>
    </row>
    <row r="2074" spans="1:19" x14ac:dyDescent="0.25">
      <c r="A2074">
        <v>18173</v>
      </c>
      <c r="B2074" t="s">
        <v>115</v>
      </c>
      <c r="C2074">
        <v>8</v>
      </c>
      <c r="D2074">
        <v>0</v>
      </c>
      <c r="E2074">
        <v>12.182763171033899</v>
      </c>
      <c r="F2074">
        <f t="shared" si="65"/>
        <v>0</v>
      </c>
      <c r="G2074">
        <v>0</v>
      </c>
      <c r="H2074">
        <v>0</v>
      </c>
      <c r="I2074">
        <v>0</v>
      </c>
      <c r="J2074">
        <v>0</v>
      </c>
      <c r="K2074">
        <v>0</v>
      </c>
      <c r="L2074">
        <v>0</v>
      </c>
      <c r="M2074">
        <f t="shared" si="64"/>
        <v>0</v>
      </c>
      <c r="N2074">
        <v>0</v>
      </c>
      <c r="O2074">
        <v>0</v>
      </c>
      <c r="P2074">
        <v>0</v>
      </c>
      <c r="Q2074">
        <v>0</v>
      </c>
      <c r="R2074">
        <v>0</v>
      </c>
      <c r="S2074">
        <v>0</v>
      </c>
    </row>
    <row r="2075" spans="1:19" x14ac:dyDescent="0.25">
      <c r="A2075">
        <v>18173</v>
      </c>
      <c r="B2075" t="s">
        <v>115</v>
      </c>
      <c r="C2075">
        <v>9</v>
      </c>
      <c r="D2075">
        <v>0</v>
      </c>
      <c r="E2075">
        <v>11.1949715625717</v>
      </c>
      <c r="F2075">
        <f t="shared" si="65"/>
        <v>0</v>
      </c>
      <c r="G2075">
        <v>0</v>
      </c>
      <c r="H2075">
        <v>0</v>
      </c>
      <c r="I2075">
        <v>0</v>
      </c>
      <c r="J2075">
        <v>0</v>
      </c>
      <c r="K2075">
        <v>0</v>
      </c>
      <c r="L2075">
        <v>0</v>
      </c>
      <c r="M2075">
        <f t="shared" si="64"/>
        <v>0</v>
      </c>
      <c r="N2075">
        <v>0</v>
      </c>
      <c r="O2075">
        <v>0</v>
      </c>
      <c r="P2075">
        <v>0</v>
      </c>
      <c r="Q2075">
        <v>0</v>
      </c>
      <c r="R2075">
        <v>0</v>
      </c>
      <c r="S2075">
        <v>0</v>
      </c>
    </row>
    <row r="2076" spans="1:19" x14ac:dyDescent="0.25">
      <c r="A2076">
        <v>18173</v>
      </c>
      <c r="B2076" t="s">
        <v>115</v>
      </c>
      <c r="C2076">
        <v>10</v>
      </c>
      <c r="D2076">
        <v>0</v>
      </c>
      <c r="E2076">
        <v>9.0547564109036305</v>
      </c>
      <c r="F2076">
        <f t="shared" si="65"/>
        <v>0</v>
      </c>
      <c r="G2076">
        <v>0</v>
      </c>
      <c r="H2076">
        <v>0</v>
      </c>
      <c r="I2076">
        <v>0</v>
      </c>
      <c r="J2076">
        <v>0</v>
      </c>
      <c r="K2076">
        <v>0</v>
      </c>
      <c r="L2076">
        <v>0</v>
      </c>
      <c r="M2076">
        <f t="shared" si="64"/>
        <v>0</v>
      </c>
      <c r="N2076">
        <v>0</v>
      </c>
      <c r="O2076">
        <v>0</v>
      </c>
      <c r="P2076">
        <v>0</v>
      </c>
      <c r="Q2076">
        <v>0</v>
      </c>
      <c r="R2076">
        <v>0</v>
      </c>
      <c r="S2076">
        <v>0</v>
      </c>
    </row>
    <row r="2077" spans="1:19" x14ac:dyDescent="0.25">
      <c r="A2077">
        <v>18173</v>
      </c>
      <c r="B2077" t="s">
        <v>115</v>
      </c>
      <c r="C2077">
        <v>11</v>
      </c>
      <c r="D2077">
        <v>0</v>
      </c>
      <c r="E2077">
        <v>7.4907530308384596</v>
      </c>
      <c r="F2077">
        <f t="shared" si="65"/>
        <v>0</v>
      </c>
      <c r="G2077">
        <v>0</v>
      </c>
      <c r="H2077">
        <v>0</v>
      </c>
      <c r="I2077">
        <v>0</v>
      </c>
      <c r="J2077">
        <v>0</v>
      </c>
      <c r="K2077">
        <v>0</v>
      </c>
      <c r="L2077">
        <v>0</v>
      </c>
      <c r="M2077">
        <f t="shared" si="64"/>
        <v>0</v>
      </c>
      <c r="N2077">
        <v>0</v>
      </c>
      <c r="O2077">
        <v>0</v>
      </c>
      <c r="P2077">
        <v>0</v>
      </c>
      <c r="Q2077">
        <v>0</v>
      </c>
      <c r="R2077">
        <v>0</v>
      </c>
      <c r="S2077">
        <v>0</v>
      </c>
    </row>
    <row r="2078" spans="1:19" x14ac:dyDescent="0.25">
      <c r="A2078">
        <v>18173</v>
      </c>
      <c r="B2078" t="s">
        <v>115</v>
      </c>
      <c r="C2078">
        <v>12</v>
      </c>
      <c r="D2078">
        <v>0</v>
      </c>
      <c r="E2078">
        <v>4.8566420749392201</v>
      </c>
      <c r="F2078">
        <f t="shared" si="65"/>
        <v>0</v>
      </c>
      <c r="G2078">
        <v>0</v>
      </c>
      <c r="H2078">
        <v>0</v>
      </c>
      <c r="I2078">
        <v>0</v>
      </c>
      <c r="J2078">
        <v>0</v>
      </c>
      <c r="K2078">
        <v>0</v>
      </c>
      <c r="L2078">
        <v>0</v>
      </c>
      <c r="M2078">
        <f t="shared" si="64"/>
        <v>0</v>
      </c>
      <c r="N2078">
        <v>0</v>
      </c>
      <c r="O2078">
        <v>0</v>
      </c>
      <c r="P2078">
        <v>0</v>
      </c>
      <c r="Q2078">
        <v>0</v>
      </c>
      <c r="R2078">
        <v>0</v>
      </c>
      <c r="S2078">
        <v>0</v>
      </c>
    </row>
    <row r="2079" spans="1:19" x14ac:dyDescent="0.25">
      <c r="A2079">
        <v>18173</v>
      </c>
      <c r="B2079" t="s">
        <v>115</v>
      </c>
      <c r="C2079">
        <v>13</v>
      </c>
      <c r="D2079">
        <v>0</v>
      </c>
      <c r="E2079">
        <v>4.8566420749392201</v>
      </c>
      <c r="F2079">
        <f t="shared" si="65"/>
        <v>0</v>
      </c>
      <c r="G2079">
        <v>0</v>
      </c>
      <c r="H2079">
        <v>0</v>
      </c>
      <c r="I2079">
        <v>0</v>
      </c>
      <c r="J2079">
        <v>0</v>
      </c>
      <c r="K2079">
        <v>0</v>
      </c>
      <c r="L2079">
        <v>0</v>
      </c>
      <c r="M2079">
        <f t="shared" si="64"/>
        <v>0</v>
      </c>
      <c r="N2079">
        <v>0</v>
      </c>
      <c r="O2079">
        <v>0</v>
      </c>
      <c r="P2079">
        <v>0</v>
      </c>
      <c r="Q2079">
        <v>0</v>
      </c>
      <c r="R2079">
        <v>0</v>
      </c>
      <c r="S2079">
        <v>0</v>
      </c>
    </row>
    <row r="2080" spans="1:19" x14ac:dyDescent="0.25">
      <c r="A2080">
        <v>18173</v>
      </c>
      <c r="B2080" t="s">
        <v>115</v>
      </c>
      <c r="C2080">
        <v>14</v>
      </c>
      <c r="D2080">
        <v>0</v>
      </c>
      <c r="E2080">
        <v>4.8154840912532997</v>
      </c>
      <c r="F2080">
        <f t="shared" si="65"/>
        <v>0</v>
      </c>
      <c r="G2080">
        <v>0</v>
      </c>
      <c r="H2080">
        <v>0</v>
      </c>
      <c r="I2080">
        <v>0</v>
      </c>
      <c r="J2080">
        <v>0</v>
      </c>
      <c r="K2080">
        <v>0</v>
      </c>
      <c r="L2080">
        <v>0</v>
      </c>
      <c r="M2080">
        <f t="shared" si="64"/>
        <v>0</v>
      </c>
      <c r="N2080">
        <v>0</v>
      </c>
      <c r="O2080">
        <v>0</v>
      </c>
      <c r="P2080">
        <v>0</v>
      </c>
      <c r="Q2080">
        <v>0</v>
      </c>
      <c r="R2080">
        <v>0</v>
      </c>
      <c r="S2080">
        <v>0</v>
      </c>
    </row>
    <row r="2081" spans="1:19" x14ac:dyDescent="0.25">
      <c r="A2081">
        <v>18173</v>
      </c>
      <c r="B2081" t="s">
        <v>115</v>
      </c>
      <c r="C2081">
        <v>15</v>
      </c>
      <c r="D2081">
        <v>0</v>
      </c>
      <c r="E2081">
        <v>3.4572706296177498</v>
      </c>
      <c r="F2081">
        <f t="shared" si="65"/>
        <v>0</v>
      </c>
      <c r="G2081">
        <v>0</v>
      </c>
      <c r="H2081">
        <v>0</v>
      </c>
      <c r="I2081">
        <v>0</v>
      </c>
      <c r="J2081">
        <v>0</v>
      </c>
      <c r="K2081">
        <v>0</v>
      </c>
      <c r="L2081">
        <v>0</v>
      </c>
      <c r="M2081">
        <f t="shared" si="64"/>
        <v>0</v>
      </c>
      <c r="N2081">
        <v>0</v>
      </c>
      <c r="O2081">
        <v>0</v>
      </c>
      <c r="P2081">
        <v>0</v>
      </c>
      <c r="Q2081">
        <v>0</v>
      </c>
      <c r="R2081">
        <v>0</v>
      </c>
      <c r="S2081">
        <v>0</v>
      </c>
    </row>
    <row r="2082" spans="1:19" x14ac:dyDescent="0.25">
      <c r="A2082">
        <v>18173</v>
      </c>
      <c r="B2082" t="s">
        <v>115</v>
      </c>
      <c r="C2082">
        <v>16</v>
      </c>
      <c r="D2082">
        <v>0</v>
      </c>
      <c r="E2082">
        <v>3.7453765154192298</v>
      </c>
      <c r="F2082">
        <f t="shared" si="65"/>
        <v>0</v>
      </c>
      <c r="G2082">
        <v>0</v>
      </c>
      <c r="H2082">
        <v>0</v>
      </c>
      <c r="I2082">
        <v>0</v>
      </c>
      <c r="J2082">
        <v>0</v>
      </c>
      <c r="K2082">
        <v>0</v>
      </c>
      <c r="L2082">
        <v>0</v>
      </c>
      <c r="M2082">
        <f t="shared" si="64"/>
        <v>0</v>
      </c>
      <c r="N2082">
        <v>0</v>
      </c>
      <c r="O2082">
        <v>0</v>
      </c>
      <c r="P2082">
        <v>0</v>
      </c>
      <c r="Q2082">
        <v>0</v>
      </c>
      <c r="R2082">
        <v>0</v>
      </c>
      <c r="S2082">
        <v>0</v>
      </c>
    </row>
    <row r="2083" spans="1:19" x14ac:dyDescent="0.25">
      <c r="A2083">
        <v>18173</v>
      </c>
      <c r="B2083" t="s">
        <v>115</v>
      </c>
      <c r="C2083">
        <v>17</v>
      </c>
      <c r="D2083">
        <v>0</v>
      </c>
      <c r="E2083">
        <v>4.0334824012207102</v>
      </c>
      <c r="F2083">
        <f t="shared" si="65"/>
        <v>0</v>
      </c>
      <c r="G2083">
        <v>0</v>
      </c>
      <c r="H2083">
        <v>0</v>
      </c>
      <c r="I2083">
        <v>0</v>
      </c>
      <c r="J2083">
        <v>0</v>
      </c>
      <c r="K2083">
        <v>0</v>
      </c>
      <c r="L2083">
        <v>0</v>
      </c>
      <c r="M2083">
        <f t="shared" si="64"/>
        <v>0</v>
      </c>
      <c r="N2083">
        <v>0</v>
      </c>
      <c r="O2083">
        <v>0</v>
      </c>
      <c r="P2083">
        <v>0</v>
      </c>
      <c r="Q2083">
        <v>0</v>
      </c>
      <c r="R2083">
        <v>0</v>
      </c>
      <c r="S2083">
        <v>0</v>
      </c>
    </row>
    <row r="2084" spans="1:19" x14ac:dyDescent="0.25">
      <c r="A2084">
        <v>18173</v>
      </c>
      <c r="B2084" t="s">
        <v>115</v>
      </c>
      <c r="C2084">
        <v>18</v>
      </c>
      <c r="D2084">
        <v>0</v>
      </c>
      <c r="E2084">
        <v>3.8688504664769998</v>
      </c>
      <c r="F2084">
        <f t="shared" si="65"/>
        <v>0</v>
      </c>
      <c r="G2084">
        <v>0</v>
      </c>
      <c r="H2084">
        <v>0</v>
      </c>
      <c r="I2084">
        <v>0</v>
      </c>
      <c r="J2084">
        <v>0</v>
      </c>
      <c r="K2084">
        <v>0</v>
      </c>
      <c r="L2084">
        <v>0</v>
      </c>
      <c r="M2084">
        <f t="shared" si="64"/>
        <v>0</v>
      </c>
      <c r="N2084">
        <v>0</v>
      </c>
      <c r="O2084">
        <v>0</v>
      </c>
      <c r="P2084">
        <v>0</v>
      </c>
      <c r="Q2084">
        <v>0</v>
      </c>
      <c r="R2084">
        <v>0</v>
      </c>
      <c r="S2084">
        <v>0</v>
      </c>
    </row>
    <row r="2085" spans="1:19" x14ac:dyDescent="0.25">
      <c r="A2085">
        <v>18173</v>
      </c>
      <c r="B2085" t="s">
        <v>115</v>
      </c>
      <c r="C2085">
        <v>19</v>
      </c>
      <c r="D2085">
        <v>0</v>
      </c>
      <c r="E2085">
        <v>4.3627462707081097</v>
      </c>
      <c r="F2085">
        <f t="shared" si="65"/>
        <v>0</v>
      </c>
      <c r="G2085">
        <v>0</v>
      </c>
      <c r="H2085">
        <v>0</v>
      </c>
      <c r="I2085">
        <v>0</v>
      </c>
      <c r="J2085">
        <v>0</v>
      </c>
      <c r="K2085">
        <v>0</v>
      </c>
      <c r="L2085">
        <v>0</v>
      </c>
      <c r="M2085">
        <f t="shared" si="64"/>
        <v>0</v>
      </c>
      <c r="N2085">
        <v>0</v>
      </c>
      <c r="O2085">
        <v>0</v>
      </c>
      <c r="P2085">
        <v>0</v>
      </c>
      <c r="Q2085">
        <v>0</v>
      </c>
      <c r="R2085">
        <v>0</v>
      </c>
      <c r="S2085">
        <v>0</v>
      </c>
    </row>
    <row r="2086" spans="1:19" x14ac:dyDescent="0.25">
      <c r="A2086">
        <v>18173</v>
      </c>
      <c r="B2086" t="s">
        <v>115</v>
      </c>
      <c r="C2086">
        <v>20</v>
      </c>
      <c r="D2086">
        <v>0</v>
      </c>
      <c r="E2086">
        <v>4.7743261075673704</v>
      </c>
      <c r="F2086">
        <f t="shared" si="65"/>
        <v>0</v>
      </c>
      <c r="G2086">
        <v>0</v>
      </c>
      <c r="H2086">
        <v>0</v>
      </c>
      <c r="I2086">
        <v>0</v>
      </c>
      <c r="J2086">
        <v>0</v>
      </c>
      <c r="K2086">
        <v>0</v>
      </c>
      <c r="L2086">
        <v>0</v>
      </c>
      <c r="M2086">
        <f t="shared" si="64"/>
        <v>0</v>
      </c>
      <c r="N2086">
        <v>0</v>
      </c>
      <c r="O2086">
        <v>0</v>
      </c>
      <c r="P2086">
        <v>0</v>
      </c>
      <c r="Q2086">
        <v>0</v>
      </c>
      <c r="R2086">
        <v>0</v>
      </c>
      <c r="S2086">
        <v>0</v>
      </c>
    </row>
    <row r="2087" spans="1:19" x14ac:dyDescent="0.25">
      <c r="A2087">
        <v>18173</v>
      </c>
      <c r="B2087" t="s">
        <v>115</v>
      </c>
      <c r="C2087">
        <v>21</v>
      </c>
      <c r="D2087">
        <v>0</v>
      </c>
      <c r="E2087">
        <v>5.2682219117984799</v>
      </c>
      <c r="F2087">
        <f t="shared" si="65"/>
        <v>0</v>
      </c>
      <c r="G2087">
        <v>0</v>
      </c>
      <c r="H2087">
        <v>0</v>
      </c>
      <c r="I2087">
        <v>0</v>
      </c>
      <c r="J2087">
        <v>0</v>
      </c>
      <c r="K2087">
        <v>0</v>
      </c>
      <c r="L2087">
        <v>0</v>
      </c>
      <c r="M2087">
        <f t="shared" si="64"/>
        <v>0</v>
      </c>
      <c r="N2087">
        <v>0</v>
      </c>
      <c r="O2087">
        <v>0</v>
      </c>
      <c r="P2087">
        <v>0</v>
      </c>
      <c r="Q2087">
        <v>0</v>
      </c>
      <c r="R2087">
        <v>0</v>
      </c>
      <c r="S2087">
        <v>0</v>
      </c>
    </row>
    <row r="2088" spans="1:19" x14ac:dyDescent="0.25">
      <c r="A2088">
        <v>18173</v>
      </c>
      <c r="B2088" t="s">
        <v>115</v>
      </c>
      <c r="C2088">
        <v>22</v>
      </c>
      <c r="D2088">
        <v>0</v>
      </c>
      <c r="E2088">
        <v>5.5151698139140297</v>
      </c>
      <c r="F2088">
        <f t="shared" si="65"/>
        <v>0</v>
      </c>
      <c r="G2088">
        <v>0</v>
      </c>
      <c r="H2088">
        <v>0</v>
      </c>
      <c r="I2088">
        <v>0</v>
      </c>
      <c r="J2088">
        <v>0</v>
      </c>
      <c r="K2088">
        <v>0</v>
      </c>
      <c r="L2088">
        <v>0</v>
      </c>
      <c r="M2088">
        <f t="shared" si="64"/>
        <v>0</v>
      </c>
      <c r="N2088">
        <v>0</v>
      </c>
      <c r="O2088">
        <v>0</v>
      </c>
      <c r="P2088">
        <v>0</v>
      </c>
      <c r="Q2088">
        <v>0</v>
      </c>
      <c r="R2088">
        <v>0</v>
      </c>
      <c r="S2088">
        <v>0</v>
      </c>
    </row>
    <row r="2089" spans="1:19" x14ac:dyDescent="0.25">
      <c r="A2089">
        <v>18173</v>
      </c>
      <c r="B2089" t="s">
        <v>115</v>
      </c>
      <c r="C2089">
        <v>23</v>
      </c>
      <c r="D2089">
        <v>0</v>
      </c>
      <c r="E2089">
        <v>6.4206454550043901</v>
      </c>
      <c r="F2089">
        <f t="shared" si="65"/>
        <v>0</v>
      </c>
      <c r="G2089">
        <v>0</v>
      </c>
      <c r="H2089">
        <v>0</v>
      </c>
      <c r="I2089">
        <v>0</v>
      </c>
      <c r="J2089">
        <v>0</v>
      </c>
      <c r="K2089">
        <v>0</v>
      </c>
      <c r="L2089">
        <v>0</v>
      </c>
      <c r="M2089">
        <f t="shared" si="64"/>
        <v>0</v>
      </c>
      <c r="N2089">
        <v>0</v>
      </c>
      <c r="O2089">
        <v>0</v>
      </c>
      <c r="P2089">
        <v>0</v>
      </c>
      <c r="Q2089">
        <v>0</v>
      </c>
      <c r="R2089">
        <v>0</v>
      </c>
      <c r="S2089">
        <v>0</v>
      </c>
    </row>
    <row r="2090" spans="1:19" x14ac:dyDescent="0.25">
      <c r="A2090">
        <v>18175</v>
      </c>
      <c r="B2090" t="s">
        <v>116</v>
      </c>
      <c r="C2090">
        <v>0</v>
      </c>
      <c r="D2090">
        <v>0</v>
      </c>
      <c r="E2090">
        <v>0</v>
      </c>
      <c r="F2090">
        <f t="shared" si="65"/>
        <v>0</v>
      </c>
      <c r="G2090">
        <v>0</v>
      </c>
      <c r="H2090">
        <v>0</v>
      </c>
      <c r="I2090">
        <v>0</v>
      </c>
      <c r="J2090">
        <v>0</v>
      </c>
      <c r="K2090">
        <v>0</v>
      </c>
      <c r="L2090">
        <v>0</v>
      </c>
      <c r="M2090">
        <f t="shared" si="64"/>
        <v>0</v>
      </c>
      <c r="N2090">
        <v>0</v>
      </c>
      <c r="O2090">
        <v>0</v>
      </c>
      <c r="P2090">
        <v>0</v>
      </c>
      <c r="Q2090">
        <v>0</v>
      </c>
      <c r="R2090">
        <v>0</v>
      </c>
      <c r="S2090">
        <v>0</v>
      </c>
    </row>
    <row r="2091" spans="1:19" x14ac:dyDescent="0.25">
      <c r="A2091">
        <v>18175</v>
      </c>
      <c r="B2091" t="s">
        <v>116</v>
      </c>
      <c r="C2091">
        <v>1</v>
      </c>
      <c r="D2091">
        <v>0</v>
      </c>
      <c r="E2091">
        <v>0</v>
      </c>
      <c r="F2091">
        <f t="shared" si="65"/>
        <v>0</v>
      </c>
      <c r="G2091">
        <v>0</v>
      </c>
      <c r="H2091">
        <v>0</v>
      </c>
      <c r="I2091">
        <v>0</v>
      </c>
      <c r="J2091">
        <v>0</v>
      </c>
      <c r="K2091">
        <v>0</v>
      </c>
      <c r="L2091">
        <v>0</v>
      </c>
      <c r="M2091">
        <f t="shared" si="64"/>
        <v>0</v>
      </c>
      <c r="N2091">
        <v>0</v>
      </c>
      <c r="O2091">
        <v>0</v>
      </c>
      <c r="P2091">
        <v>0</v>
      </c>
      <c r="Q2091">
        <v>0</v>
      </c>
      <c r="R2091">
        <v>0</v>
      </c>
      <c r="S2091">
        <v>0</v>
      </c>
    </row>
    <row r="2092" spans="1:19" x14ac:dyDescent="0.25">
      <c r="A2092">
        <v>18175</v>
      </c>
      <c r="B2092" t="s">
        <v>116</v>
      </c>
      <c r="C2092">
        <v>2</v>
      </c>
      <c r="D2092">
        <v>0</v>
      </c>
      <c r="E2092">
        <v>0</v>
      </c>
      <c r="F2092">
        <f t="shared" si="65"/>
        <v>0</v>
      </c>
      <c r="G2092">
        <v>0</v>
      </c>
      <c r="H2092">
        <v>0</v>
      </c>
      <c r="I2092">
        <v>0</v>
      </c>
      <c r="J2092">
        <v>0</v>
      </c>
      <c r="K2092">
        <v>0</v>
      </c>
      <c r="L2092">
        <v>0</v>
      </c>
      <c r="M2092">
        <f t="shared" si="64"/>
        <v>0</v>
      </c>
      <c r="N2092">
        <v>0</v>
      </c>
      <c r="O2092">
        <v>0</v>
      </c>
      <c r="P2092">
        <v>0</v>
      </c>
      <c r="Q2092">
        <v>0</v>
      </c>
      <c r="R2092">
        <v>0</v>
      </c>
      <c r="S2092">
        <v>0</v>
      </c>
    </row>
    <row r="2093" spans="1:19" x14ac:dyDescent="0.25">
      <c r="A2093">
        <v>18175</v>
      </c>
      <c r="B2093" t="s">
        <v>116</v>
      </c>
      <c r="C2093">
        <v>3</v>
      </c>
      <c r="D2093">
        <v>0</v>
      </c>
      <c r="E2093">
        <v>0</v>
      </c>
      <c r="F2093">
        <f t="shared" si="65"/>
        <v>0</v>
      </c>
      <c r="G2093">
        <v>0</v>
      </c>
      <c r="H2093">
        <v>0</v>
      </c>
      <c r="I2093">
        <v>0</v>
      </c>
      <c r="J2093">
        <v>0</v>
      </c>
      <c r="K2093">
        <v>0</v>
      </c>
      <c r="L2093">
        <v>0</v>
      </c>
      <c r="M2093">
        <f t="shared" si="64"/>
        <v>0</v>
      </c>
      <c r="N2093">
        <v>0</v>
      </c>
      <c r="O2093">
        <v>0</v>
      </c>
      <c r="P2093">
        <v>0</v>
      </c>
      <c r="Q2093">
        <v>0</v>
      </c>
      <c r="R2093">
        <v>0</v>
      </c>
      <c r="S2093">
        <v>0</v>
      </c>
    </row>
    <row r="2094" spans="1:19" x14ac:dyDescent="0.25">
      <c r="A2094">
        <v>18175</v>
      </c>
      <c r="B2094" t="s">
        <v>116</v>
      </c>
      <c r="C2094">
        <v>4</v>
      </c>
      <c r="D2094">
        <v>0</v>
      </c>
      <c r="E2094">
        <v>0</v>
      </c>
      <c r="F2094">
        <f t="shared" si="65"/>
        <v>0</v>
      </c>
      <c r="G2094">
        <v>0</v>
      </c>
      <c r="H2094">
        <v>0</v>
      </c>
      <c r="I2094">
        <v>0</v>
      </c>
      <c r="J2094">
        <v>0</v>
      </c>
      <c r="K2094">
        <v>0</v>
      </c>
      <c r="L2094">
        <v>0</v>
      </c>
      <c r="M2094">
        <f t="shared" si="64"/>
        <v>0</v>
      </c>
      <c r="N2094">
        <v>0</v>
      </c>
      <c r="O2094">
        <v>0</v>
      </c>
      <c r="P2094">
        <v>0</v>
      </c>
      <c r="Q2094">
        <v>0</v>
      </c>
      <c r="R2094">
        <v>0</v>
      </c>
      <c r="S2094">
        <v>0</v>
      </c>
    </row>
    <row r="2095" spans="1:19" x14ac:dyDescent="0.25">
      <c r="A2095">
        <v>18175</v>
      </c>
      <c r="B2095" t="s">
        <v>116</v>
      </c>
      <c r="C2095">
        <v>5</v>
      </c>
      <c r="D2095">
        <v>0</v>
      </c>
      <c r="E2095">
        <v>0</v>
      </c>
      <c r="F2095">
        <f t="shared" si="65"/>
        <v>0</v>
      </c>
      <c r="G2095">
        <v>0</v>
      </c>
      <c r="H2095">
        <v>0</v>
      </c>
      <c r="I2095">
        <v>0</v>
      </c>
      <c r="J2095">
        <v>0</v>
      </c>
      <c r="K2095">
        <v>0</v>
      </c>
      <c r="L2095">
        <v>0</v>
      </c>
      <c r="M2095">
        <f t="shared" si="64"/>
        <v>0</v>
      </c>
      <c r="N2095">
        <v>0</v>
      </c>
      <c r="O2095">
        <v>0</v>
      </c>
      <c r="P2095">
        <v>0</v>
      </c>
      <c r="Q2095">
        <v>0</v>
      </c>
      <c r="R2095">
        <v>0</v>
      </c>
      <c r="S2095">
        <v>0</v>
      </c>
    </row>
    <row r="2096" spans="1:19" x14ac:dyDescent="0.25">
      <c r="A2096">
        <v>18175</v>
      </c>
      <c r="B2096" t="s">
        <v>116</v>
      </c>
      <c r="C2096">
        <v>6</v>
      </c>
      <c r="D2096">
        <v>0</v>
      </c>
      <c r="E2096">
        <v>0</v>
      </c>
      <c r="F2096">
        <f t="shared" si="65"/>
        <v>0</v>
      </c>
      <c r="G2096">
        <v>0</v>
      </c>
      <c r="H2096">
        <v>0</v>
      </c>
      <c r="I2096">
        <v>0</v>
      </c>
      <c r="J2096">
        <v>0</v>
      </c>
      <c r="K2096">
        <v>0</v>
      </c>
      <c r="L2096">
        <v>0</v>
      </c>
      <c r="M2096">
        <f t="shared" si="64"/>
        <v>0</v>
      </c>
      <c r="N2096">
        <v>0</v>
      </c>
      <c r="O2096">
        <v>0</v>
      </c>
      <c r="P2096">
        <v>0</v>
      </c>
      <c r="Q2096">
        <v>0</v>
      </c>
      <c r="R2096">
        <v>0</v>
      </c>
      <c r="S2096">
        <v>0</v>
      </c>
    </row>
    <row r="2097" spans="1:19" x14ac:dyDescent="0.25">
      <c r="A2097">
        <v>18175</v>
      </c>
      <c r="B2097" t="s">
        <v>116</v>
      </c>
      <c r="C2097">
        <v>7</v>
      </c>
      <c r="D2097">
        <v>0</v>
      </c>
      <c r="E2097">
        <v>0.78410309827248403</v>
      </c>
      <c r="F2097">
        <f t="shared" si="65"/>
        <v>0</v>
      </c>
      <c r="G2097">
        <v>0</v>
      </c>
      <c r="H2097">
        <v>0</v>
      </c>
      <c r="I2097">
        <v>0</v>
      </c>
      <c r="J2097">
        <v>0</v>
      </c>
      <c r="K2097">
        <v>0</v>
      </c>
      <c r="L2097">
        <v>0</v>
      </c>
      <c r="M2097">
        <f t="shared" si="64"/>
        <v>0</v>
      </c>
      <c r="N2097">
        <v>0</v>
      </c>
      <c r="O2097">
        <v>0</v>
      </c>
      <c r="P2097">
        <v>0</v>
      </c>
      <c r="Q2097">
        <v>0</v>
      </c>
      <c r="R2097">
        <v>0</v>
      </c>
      <c r="S2097">
        <v>0</v>
      </c>
    </row>
    <row r="2098" spans="1:19" x14ac:dyDescent="0.25">
      <c r="A2098">
        <v>18175</v>
      </c>
      <c r="B2098" t="s">
        <v>116</v>
      </c>
      <c r="C2098">
        <v>8</v>
      </c>
      <c r="D2098">
        <v>0</v>
      </c>
      <c r="E2098">
        <v>2.5305145444248298</v>
      </c>
      <c r="F2098">
        <f t="shared" si="65"/>
        <v>0</v>
      </c>
      <c r="G2098">
        <v>0</v>
      </c>
      <c r="H2098">
        <v>0</v>
      </c>
      <c r="I2098">
        <v>0</v>
      </c>
      <c r="J2098">
        <v>0</v>
      </c>
      <c r="K2098">
        <v>0</v>
      </c>
      <c r="L2098">
        <v>0</v>
      </c>
      <c r="M2098">
        <f t="shared" si="64"/>
        <v>0</v>
      </c>
      <c r="N2098">
        <v>0</v>
      </c>
      <c r="O2098">
        <v>0</v>
      </c>
      <c r="P2098">
        <v>0</v>
      </c>
      <c r="Q2098">
        <v>0</v>
      </c>
      <c r="R2098">
        <v>0</v>
      </c>
      <c r="S2098">
        <v>0</v>
      </c>
    </row>
    <row r="2099" spans="1:19" x14ac:dyDescent="0.25">
      <c r="A2099">
        <v>18175</v>
      </c>
      <c r="B2099" t="s">
        <v>116</v>
      </c>
      <c r="C2099">
        <v>9</v>
      </c>
      <c r="D2099">
        <v>0</v>
      </c>
      <c r="E2099">
        <v>2.35230929481745</v>
      </c>
      <c r="F2099">
        <f t="shared" si="65"/>
        <v>0</v>
      </c>
      <c r="G2099">
        <v>0</v>
      </c>
      <c r="H2099">
        <v>0</v>
      </c>
      <c r="I2099">
        <v>0</v>
      </c>
      <c r="J2099">
        <v>0</v>
      </c>
      <c r="K2099">
        <v>0</v>
      </c>
      <c r="L2099">
        <v>0</v>
      </c>
      <c r="M2099">
        <f t="shared" si="64"/>
        <v>0</v>
      </c>
      <c r="N2099">
        <v>0</v>
      </c>
      <c r="O2099">
        <v>0</v>
      </c>
      <c r="P2099">
        <v>0</v>
      </c>
      <c r="Q2099">
        <v>0</v>
      </c>
      <c r="R2099">
        <v>0</v>
      </c>
      <c r="S2099">
        <v>0</v>
      </c>
    </row>
    <row r="2100" spans="1:19" x14ac:dyDescent="0.25">
      <c r="A2100">
        <v>18175</v>
      </c>
      <c r="B2100" t="s">
        <v>116</v>
      </c>
      <c r="C2100">
        <v>10</v>
      </c>
      <c r="D2100">
        <v>0</v>
      </c>
      <c r="E2100">
        <v>1.6751293463093899</v>
      </c>
      <c r="F2100">
        <f t="shared" si="65"/>
        <v>0</v>
      </c>
      <c r="G2100">
        <v>0</v>
      </c>
      <c r="H2100">
        <v>0</v>
      </c>
      <c r="I2100">
        <v>0</v>
      </c>
      <c r="J2100">
        <v>0</v>
      </c>
      <c r="K2100">
        <v>0</v>
      </c>
      <c r="L2100">
        <v>0</v>
      </c>
      <c r="M2100">
        <f t="shared" si="64"/>
        <v>0</v>
      </c>
      <c r="N2100">
        <v>0</v>
      </c>
      <c r="O2100">
        <v>0</v>
      </c>
      <c r="P2100">
        <v>0</v>
      </c>
      <c r="Q2100">
        <v>0</v>
      </c>
      <c r="R2100">
        <v>0</v>
      </c>
      <c r="S2100">
        <v>0</v>
      </c>
    </row>
    <row r="2101" spans="1:19" x14ac:dyDescent="0.25">
      <c r="A2101">
        <v>18175</v>
      </c>
      <c r="B2101" t="s">
        <v>116</v>
      </c>
      <c r="C2101">
        <v>11</v>
      </c>
      <c r="D2101">
        <v>0</v>
      </c>
      <c r="E2101">
        <v>1.39000094693758</v>
      </c>
      <c r="F2101">
        <f t="shared" si="65"/>
        <v>0</v>
      </c>
      <c r="G2101">
        <v>0</v>
      </c>
      <c r="H2101">
        <v>0</v>
      </c>
      <c r="I2101">
        <v>0</v>
      </c>
      <c r="J2101">
        <v>0</v>
      </c>
      <c r="K2101">
        <v>0</v>
      </c>
      <c r="L2101">
        <v>0</v>
      </c>
      <c r="M2101">
        <f t="shared" si="64"/>
        <v>0</v>
      </c>
      <c r="N2101">
        <v>0</v>
      </c>
      <c r="O2101">
        <v>0</v>
      </c>
      <c r="P2101">
        <v>0</v>
      </c>
      <c r="Q2101">
        <v>0</v>
      </c>
      <c r="R2101">
        <v>0</v>
      </c>
      <c r="S2101">
        <v>0</v>
      </c>
    </row>
    <row r="2102" spans="1:19" x14ac:dyDescent="0.25">
      <c r="A2102">
        <v>18175</v>
      </c>
      <c r="B2102" t="s">
        <v>116</v>
      </c>
      <c r="C2102">
        <v>12</v>
      </c>
      <c r="D2102">
        <v>0</v>
      </c>
      <c r="E2102">
        <v>1.71077039623087</v>
      </c>
      <c r="F2102">
        <f t="shared" si="65"/>
        <v>0</v>
      </c>
      <c r="G2102">
        <v>0</v>
      </c>
      <c r="H2102">
        <v>0</v>
      </c>
      <c r="I2102">
        <v>0</v>
      </c>
      <c r="J2102">
        <v>0</v>
      </c>
      <c r="K2102">
        <v>0</v>
      </c>
      <c r="L2102">
        <v>0</v>
      </c>
      <c r="M2102">
        <f t="shared" si="64"/>
        <v>0</v>
      </c>
      <c r="N2102">
        <v>0</v>
      </c>
      <c r="O2102">
        <v>0</v>
      </c>
      <c r="P2102">
        <v>0</v>
      </c>
      <c r="Q2102">
        <v>0</v>
      </c>
      <c r="R2102">
        <v>0</v>
      </c>
      <c r="S2102">
        <v>0</v>
      </c>
    </row>
    <row r="2103" spans="1:19" x14ac:dyDescent="0.25">
      <c r="A2103">
        <v>18175</v>
      </c>
      <c r="B2103" t="s">
        <v>116</v>
      </c>
      <c r="C2103">
        <v>13</v>
      </c>
      <c r="D2103">
        <v>0</v>
      </c>
      <c r="E2103">
        <v>2.2453861450530201</v>
      </c>
      <c r="F2103">
        <f t="shared" si="65"/>
        <v>0</v>
      </c>
      <c r="G2103">
        <v>0</v>
      </c>
      <c r="H2103">
        <v>0</v>
      </c>
      <c r="I2103">
        <v>0</v>
      </c>
      <c r="J2103">
        <v>0</v>
      </c>
      <c r="K2103">
        <v>0</v>
      </c>
      <c r="L2103">
        <v>0</v>
      </c>
      <c r="M2103">
        <f t="shared" si="64"/>
        <v>0</v>
      </c>
      <c r="N2103">
        <v>0</v>
      </c>
      <c r="O2103">
        <v>0</v>
      </c>
      <c r="P2103">
        <v>0</v>
      </c>
      <c r="Q2103">
        <v>0</v>
      </c>
      <c r="R2103">
        <v>0</v>
      </c>
      <c r="S2103">
        <v>0</v>
      </c>
    </row>
    <row r="2104" spans="1:19" x14ac:dyDescent="0.25">
      <c r="A2104">
        <v>18175</v>
      </c>
      <c r="B2104" t="s">
        <v>116</v>
      </c>
      <c r="C2104">
        <v>14</v>
      </c>
      <c r="D2104">
        <v>0</v>
      </c>
      <c r="E2104">
        <v>2.4235913946604</v>
      </c>
      <c r="F2104">
        <f t="shared" si="65"/>
        <v>0</v>
      </c>
      <c r="G2104">
        <v>0</v>
      </c>
      <c r="H2104">
        <v>0</v>
      </c>
      <c r="I2104">
        <v>0</v>
      </c>
      <c r="J2104">
        <v>0</v>
      </c>
      <c r="K2104">
        <v>0</v>
      </c>
      <c r="L2104">
        <v>0</v>
      </c>
      <c r="M2104">
        <f t="shared" si="64"/>
        <v>0</v>
      </c>
      <c r="N2104">
        <v>0</v>
      </c>
      <c r="O2104">
        <v>0</v>
      </c>
      <c r="P2104">
        <v>0</v>
      </c>
      <c r="Q2104">
        <v>0</v>
      </c>
      <c r="R2104">
        <v>0</v>
      </c>
      <c r="S2104">
        <v>0</v>
      </c>
    </row>
    <row r="2105" spans="1:19" x14ac:dyDescent="0.25">
      <c r="A2105">
        <v>18175</v>
      </c>
      <c r="B2105" t="s">
        <v>116</v>
      </c>
      <c r="C2105">
        <v>15</v>
      </c>
      <c r="D2105">
        <v>0</v>
      </c>
      <c r="E2105">
        <v>1.06923149764429</v>
      </c>
      <c r="F2105">
        <f t="shared" si="65"/>
        <v>0</v>
      </c>
      <c r="G2105">
        <v>0</v>
      </c>
      <c r="H2105">
        <v>0</v>
      </c>
      <c r="I2105">
        <v>0</v>
      </c>
      <c r="J2105">
        <v>0</v>
      </c>
      <c r="K2105">
        <v>0</v>
      </c>
      <c r="L2105">
        <v>0</v>
      </c>
      <c r="M2105">
        <f t="shared" si="64"/>
        <v>0</v>
      </c>
      <c r="N2105">
        <v>0</v>
      </c>
      <c r="O2105">
        <v>0</v>
      </c>
      <c r="P2105">
        <v>0</v>
      </c>
      <c r="Q2105">
        <v>0</v>
      </c>
      <c r="R2105">
        <v>0</v>
      </c>
      <c r="S2105">
        <v>0</v>
      </c>
    </row>
    <row r="2106" spans="1:19" x14ac:dyDescent="0.25">
      <c r="A2106">
        <v>18175</v>
      </c>
      <c r="B2106" t="s">
        <v>116</v>
      </c>
      <c r="C2106">
        <v>16</v>
      </c>
      <c r="D2106">
        <v>0</v>
      </c>
      <c r="E2106">
        <v>0.106923149764429</v>
      </c>
      <c r="F2106">
        <f t="shared" si="65"/>
        <v>0</v>
      </c>
      <c r="G2106">
        <v>0</v>
      </c>
      <c r="H2106">
        <v>0</v>
      </c>
      <c r="I2106">
        <v>0</v>
      </c>
      <c r="J2106">
        <v>0</v>
      </c>
      <c r="K2106">
        <v>0</v>
      </c>
      <c r="L2106">
        <v>0</v>
      </c>
      <c r="M2106">
        <f t="shared" si="64"/>
        <v>0</v>
      </c>
      <c r="N2106">
        <v>0</v>
      </c>
      <c r="O2106">
        <v>0</v>
      </c>
      <c r="P2106">
        <v>0</v>
      </c>
      <c r="Q2106">
        <v>0</v>
      </c>
      <c r="R2106">
        <v>0</v>
      </c>
      <c r="S2106">
        <v>0</v>
      </c>
    </row>
    <row r="2107" spans="1:19" x14ac:dyDescent="0.25">
      <c r="A2107">
        <v>18175</v>
      </c>
      <c r="B2107" t="s">
        <v>116</v>
      </c>
      <c r="C2107">
        <v>17</v>
      </c>
      <c r="D2107">
        <v>0</v>
      </c>
      <c r="E2107">
        <v>0.142564199685906</v>
      </c>
      <c r="F2107">
        <f t="shared" si="65"/>
        <v>0</v>
      </c>
      <c r="G2107">
        <v>0</v>
      </c>
      <c r="H2107">
        <v>0</v>
      </c>
      <c r="I2107">
        <v>0</v>
      </c>
      <c r="J2107">
        <v>0</v>
      </c>
      <c r="K2107">
        <v>0</v>
      </c>
      <c r="L2107">
        <v>0</v>
      </c>
      <c r="M2107">
        <f t="shared" si="64"/>
        <v>0</v>
      </c>
      <c r="N2107">
        <v>0</v>
      </c>
      <c r="O2107">
        <v>0</v>
      </c>
      <c r="P2107">
        <v>0</v>
      </c>
      <c r="Q2107">
        <v>0</v>
      </c>
      <c r="R2107">
        <v>0</v>
      </c>
      <c r="S2107">
        <v>0</v>
      </c>
    </row>
    <row r="2108" spans="1:19" x14ac:dyDescent="0.25">
      <c r="A2108">
        <v>18175</v>
      </c>
      <c r="B2108" t="s">
        <v>116</v>
      </c>
      <c r="C2108">
        <v>18</v>
      </c>
      <c r="D2108">
        <v>0</v>
      </c>
      <c r="E2108">
        <v>0</v>
      </c>
      <c r="F2108">
        <f t="shared" si="65"/>
        <v>0</v>
      </c>
      <c r="G2108">
        <v>0</v>
      </c>
      <c r="H2108">
        <v>0</v>
      </c>
      <c r="I2108">
        <v>0</v>
      </c>
      <c r="J2108">
        <v>0</v>
      </c>
      <c r="K2108">
        <v>0</v>
      </c>
      <c r="L2108">
        <v>0</v>
      </c>
      <c r="M2108">
        <f t="shared" si="64"/>
        <v>0</v>
      </c>
      <c r="N2108">
        <v>0</v>
      </c>
      <c r="O2108">
        <v>0</v>
      </c>
      <c r="P2108">
        <v>0</v>
      </c>
      <c r="Q2108">
        <v>0</v>
      </c>
      <c r="R2108">
        <v>0</v>
      </c>
      <c r="S2108">
        <v>0</v>
      </c>
    </row>
    <row r="2109" spans="1:19" x14ac:dyDescent="0.25">
      <c r="A2109">
        <v>18175</v>
      </c>
      <c r="B2109" t="s">
        <v>116</v>
      </c>
      <c r="C2109">
        <v>19</v>
      </c>
      <c r="D2109">
        <v>0</v>
      </c>
      <c r="E2109">
        <v>0</v>
      </c>
      <c r="F2109">
        <f t="shared" si="65"/>
        <v>0</v>
      </c>
      <c r="G2109">
        <v>0</v>
      </c>
      <c r="H2109">
        <v>0</v>
      </c>
      <c r="I2109">
        <v>0</v>
      </c>
      <c r="J2109">
        <v>0</v>
      </c>
      <c r="K2109">
        <v>0</v>
      </c>
      <c r="L2109">
        <v>0</v>
      </c>
      <c r="M2109">
        <f t="shared" si="64"/>
        <v>0</v>
      </c>
      <c r="N2109">
        <v>0</v>
      </c>
      <c r="O2109">
        <v>0</v>
      </c>
      <c r="P2109">
        <v>0</v>
      </c>
      <c r="Q2109">
        <v>0</v>
      </c>
      <c r="R2109">
        <v>0</v>
      </c>
      <c r="S2109">
        <v>0</v>
      </c>
    </row>
    <row r="2110" spans="1:19" x14ac:dyDescent="0.25">
      <c r="A2110">
        <v>18175</v>
      </c>
      <c r="B2110" t="s">
        <v>116</v>
      </c>
      <c r="C2110">
        <v>20</v>
      </c>
      <c r="D2110">
        <v>0</v>
      </c>
      <c r="E2110">
        <v>0</v>
      </c>
      <c r="F2110">
        <f t="shared" si="65"/>
        <v>0</v>
      </c>
      <c r="G2110">
        <v>0</v>
      </c>
      <c r="H2110">
        <v>0</v>
      </c>
      <c r="I2110">
        <v>0</v>
      </c>
      <c r="J2110">
        <v>0</v>
      </c>
      <c r="K2110">
        <v>0</v>
      </c>
      <c r="L2110">
        <v>0</v>
      </c>
      <c r="M2110">
        <f t="shared" si="64"/>
        <v>0</v>
      </c>
      <c r="N2110">
        <v>0</v>
      </c>
      <c r="O2110">
        <v>0</v>
      </c>
      <c r="P2110">
        <v>0</v>
      </c>
      <c r="Q2110">
        <v>0</v>
      </c>
      <c r="R2110">
        <v>0</v>
      </c>
      <c r="S2110">
        <v>0</v>
      </c>
    </row>
    <row r="2111" spans="1:19" x14ac:dyDescent="0.25">
      <c r="A2111">
        <v>18175</v>
      </c>
      <c r="B2111" t="s">
        <v>116</v>
      </c>
      <c r="C2111">
        <v>21</v>
      </c>
      <c r="D2111">
        <v>0</v>
      </c>
      <c r="E2111">
        <v>0</v>
      </c>
      <c r="F2111">
        <f t="shared" si="65"/>
        <v>0</v>
      </c>
      <c r="G2111">
        <v>0</v>
      </c>
      <c r="H2111">
        <v>0</v>
      </c>
      <c r="I2111">
        <v>0</v>
      </c>
      <c r="J2111">
        <v>0</v>
      </c>
      <c r="K2111">
        <v>0</v>
      </c>
      <c r="L2111">
        <v>0</v>
      </c>
      <c r="M2111">
        <f t="shared" si="64"/>
        <v>0</v>
      </c>
      <c r="N2111">
        <v>0</v>
      </c>
      <c r="O2111">
        <v>0</v>
      </c>
      <c r="P2111">
        <v>0</v>
      </c>
      <c r="Q2111">
        <v>0</v>
      </c>
      <c r="R2111">
        <v>0</v>
      </c>
      <c r="S2111">
        <v>0</v>
      </c>
    </row>
    <row r="2112" spans="1:19" x14ac:dyDescent="0.25">
      <c r="A2112">
        <v>18175</v>
      </c>
      <c r="B2112" t="s">
        <v>116</v>
      </c>
      <c r="C2112">
        <v>22</v>
      </c>
      <c r="D2112">
        <v>0</v>
      </c>
      <c r="E2112">
        <v>0</v>
      </c>
      <c r="F2112">
        <f t="shared" si="65"/>
        <v>0</v>
      </c>
      <c r="G2112">
        <v>0</v>
      </c>
      <c r="H2112">
        <v>0</v>
      </c>
      <c r="I2112">
        <v>0</v>
      </c>
      <c r="J2112">
        <v>0</v>
      </c>
      <c r="K2112">
        <v>0</v>
      </c>
      <c r="L2112">
        <v>0</v>
      </c>
      <c r="M2112">
        <f t="shared" si="64"/>
        <v>0</v>
      </c>
      <c r="N2112">
        <v>0</v>
      </c>
      <c r="O2112">
        <v>0</v>
      </c>
      <c r="P2112">
        <v>0</v>
      </c>
      <c r="Q2112">
        <v>0</v>
      </c>
      <c r="R2112">
        <v>0</v>
      </c>
      <c r="S2112">
        <v>0</v>
      </c>
    </row>
    <row r="2113" spans="1:19" x14ac:dyDescent="0.25">
      <c r="A2113">
        <v>18175</v>
      </c>
      <c r="B2113" t="s">
        <v>116</v>
      </c>
      <c r="C2113">
        <v>23</v>
      </c>
      <c r="D2113">
        <v>0</v>
      </c>
      <c r="E2113">
        <v>0</v>
      </c>
      <c r="F2113">
        <f t="shared" si="65"/>
        <v>0</v>
      </c>
      <c r="G2113">
        <v>0</v>
      </c>
      <c r="H2113">
        <v>0</v>
      </c>
      <c r="I2113">
        <v>0</v>
      </c>
      <c r="J2113">
        <v>0</v>
      </c>
      <c r="K2113">
        <v>0</v>
      </c>
      <c r="L2113">
        <v>0</v>
      </c>
      <c r="M2113">
        <f t="shared" si="64"/>
        <v>0</v>
      </c>
      <c r="N2113">
        <v>0</v>
      </c>
      <c r="O2113">
        <v>0</v>
      </c>
      <c r="P2113">
        <v>0</v>
      </c>
      <c r="Q2113">
        <v>0</v>
      </c>
      <c r="R2113">
        <v>0</v>
      </c>
      <c r="S2113">
        <v>0</v>
      </c>
    </row>
    <row r="2114" spans="1:19" x14ac:dyDescent="0.25">
      <c r="A2114">
        <v>18177</v>
      </c>
      <c r="B2114" t="s">
        <v>117</v>
      </c>
      <c r="C2114">
        <v>0</v>
      </c>
      <c r="D2114">
        <v>408.09418910831801</v>
      </c>
      <c r="E2114">
        <v>7.7514542190305198</v>
      </c>
      <c r="F2114">
        <f t="shared" si="65"/>
        <v>3</v>
      </c>
      <c r="G2114">
        <v>1</v>
      </c>
      <c r="H2114">
        <v>1</v>
      </c>
      <c r="I2114">
        <v>0</v>
      </c>
      <c r="J2114">
        <v>1</v>
      </c>
      <c r="K2114">
        <v>0</v>
      </c>
      <c r="L2114">
        <v>0</v>
      </c>
      <c r="M2114">
        <f t="shared" ref="M2114:M2177" si="66">SUM(N2114:S2114)</f>
        <v>361</v>
      </c>
      <c r="N2114">
        <v>130</v>
      </c>
      <c r="O2114">
        <v>75</v>
      </c>
      <c r="P2114">
        <v>0</v>
      </c>
      <c r="Q2114">
        <v>156</v>
      </c>
      <c r="R2114">
        <v>0</v>
      </c>
      <c r="S2114">
        <v>0</v>
      </c>
    </row>
    <row r="2115" spans="1:19" x14ac:dyDescent="0.25">
      <c r="A2115">
        <v>18177</v>
      </c>
      <c r="B2115" t="s">
        <v>117</v>
      </c>
      <c r="C2115">
        <v>1</v>
      </c>
      <c r="D2115">
        <v>414.50404548174703</v>
      </c>
      <c r="E2115">
        <v>8.9936744464392504</v>
      </c>
      <c r="F2115">
        <f t="shared" ref="F2115:F2178" si="67">SUM(G2115:L2115)</f>
        <v>3</v>
      </c>
      <c r="G2115">
        <v>1</v>
      </c>
      <c r="H2115">
        <v>1</v>
      </c>
      <c r="I2115">
        <v>0</v>
      </c>
      <c r="J2115">
        <v>1</v>
      </c>
      <c r="K2115">
        <v>0</v>
      </c>
      <c r="L2115">
        <v>0</v>
      </c>
      <c r="M2115">
        <f t="shared" si="66"/>
        <v>361</v>
      </c>
      <c r="N2115">
        <v>130</v>
      </c>
      <c r="O2115">
        <v>75</v>
      </c>
      <c r="P2115">
        <v>0</v>
      </c>
      <c r="Q2115">
        <v>156</v>
      </c>
      <c r="R2115">
        <v>0</v>
      </c>
      <c r="S2115">
        <v>0</v>
      </c>
    </row>
    <row r="2116" spans="1:19" x14ac:dyDescent="0.25">
      <c r="A2116">
        <v>18177</v>
      </c>
      <c r="B2116" t="s">
        <v>117</v>
      </c>
      <c r="C2116">
        <v>2</v>
      </c>
      <c r="D2116">
        <v>415.15</v>
      </c>
      <c r="E2116">
        <v>9.4905625374027505</v>
      </c>
      <c r="F2116">
        <f t="shared" si="67"/>
        <v>3</v>
      </c>
      <c r="G2116">
        <v>1</v>
      </c>
      <c r="H2116">
        <v>1</v>
      </c>
      <c r="I2116">
        <v>0</v>
      </c>
      <c r="J2116">
        <v>1</v>
      </c>
      <c r="K2116">
        <v>0</v>
      </c>
      <c r="L2116">
        <v>0</v>
      </c>
      <c r="M2116">
        <f t="shared" si="66"/>
        <v>361</v>
      </c>
      <c r="N2116">
        <v>130</v>
      </c>
      <c r="O2116">
        <v>75</v>
      </c>
      <c r="P2116">
        <v>0</v>
      </c>
      <c r="Q2116">
        <v>156</v>
      </c>
      <c r="R2116">
        <v>0</v>
      </c>
      <c r="S2116">
        <v>0</v>
      </c>
    </row>
    <row r="2117" spans="1:19" x14ac:dyDescent="0.25">
      <c r="A2117">
        <v>18177</v>
      </c>
      <c r="B2117" t="s">
        <v>117</v>
      </c>
      <c r="C2117">
        <v>3</v>
      </c>
      <c r="D2117">
        <v>412.61587073608598</v>
      </c>
      <c r="E2117">
        <v>9.9874506283662399</v>
      </c>
      <c r="F2117">
        <f t="shared" si="67"/>
        <v>3</v>
      </c>
      <c r="G2117">
        <v>1</v>
      </c>
      <c r="H2117">
        <v>1</v>
      </c>
      <c r="I2117">
        <v>0</v>
      </c>
      <c r="J2117">
        <v>1</v>
      </c>
      <c r="K2117">
        <v>0</v>
      </c>
      <c r="L2117">
        <v>0</v>
      </c>
      <c r="M2117">
        <f t="shared" si="66"/>
        <v>361</v>
      </c>
      <c r="N2117">
        <v>130</v>
      </c>
      <c r="O2117">
        <v>75</v>
      </c>
      <c r="P2117">
        <v>0</v>
      </c>
      <c r="Q2117">
        <v>156</v>
      </c>
      <c r="R2117">
        <v>0</v>
      </c>
      <c r="S2117">
        <v>0</v>
      </c>
    </row>
    <row r="2118" spans="1:19" x14ac:dyDescent="0.25">
      <c r="A2118">
        <v>18177</v>
      </c>
      <c r="B2118" t="s">
        <v>117</v>
      </c>
      <c r="C2118">
        <v>4</v>
      </c>
      <c r="D2118">
        <v>399.34895870736</v>
      </c>
      <c r="E2118">
        <v>10.2855834829443</v>
      </c>
      <c r="F2118">
        <f t="shared" si="67"/>
        <v>3</v>
      </c>
      <c r="G2118">
        <v>1</v>
      </c>
      <c r="H2118">
        <v>1</v>
      </c>
      <c r="I2118">
        <v>0</v>
      </c>
      <c r="J2118">
        <v>1</v>
      </c>
      <c r="K2118">
        <v>0</v>
      </c>
      <c r="L2118">
        <v>0</v>
      </c>
      <c r="M2118">
        <f t="shared" si="66"/>
        <v>361</v>
      </c>
      <c r="N2118">
        <v>130</v>
      </c>
      <c r="O2118">
        <v>75</v>
      </c>
      <c r="P2118">
        <v>0</v>
      </c>
      <c r="Q2118">
        <v>156</v>
      </c>
      <c r="R2118">
        <v>0</v>
      </c>
      <c r="S2118">
        <v>0</v>
      </c>
    </row>
    <row r="2119" spans="1:19" x14ac:dyDescent="0.25">
      <c r="A2119">
        <v>18177</v>
      </c>
      <c r="B2119" t="s">
        <v>117</v>
      </c>
      <c r="C2119">
        <v>5</v>
      </c>
      <c r="D2119">
        <v>379.57281268701303</v>
      </c>
      <c r="E2119">
        <v>11.478114901256699</v>
      </c>
      <c r="F2119">
        <f t="shared" si="67"/>
        <v>3</v>
      </c>
      <c r="G2119">
        <v>1</v>
      </c>
      <c r="H2119">
        <v>1</v>
      </c>
      <c r="I2119">
        <v>0</v>
      </c>
      <c r="J2119">
        <v>1</v>
      </c>
      <c r="K2119">
        <v>0</v>
      </c>
      <c r="L2119">
        <v>0</v>
      </c>
      <c r="M2119">
        <f t="shared" si="66"/>
        <v>361</v>
      </c>
      <c r="N2119">
        <v>130</v>
      </c>
      <c r="O2119">
        <v>75</v>
      </c>
      <c r="P2119">
        <v>0</v>
      </c>
      <c r="Q2119">
        <v>156</v>
      </c>
      <c r="R2119">
        <v>0</v>
      </c>
      <c r="S2119">
        <v>0</v>
      </c>
    </row>
    <row r="2120" spans="1:19" x14ac:dyDescent="0.25">
      <c r="A2120">
        <v>18177</v>
      </c>
      <c r="B2120" t="s">
        <v>117</v>
      </c>
      <c r="C2120">
        <v>6</v>
      </c>
      <c r="D2120">
        <v>342.15713943746198</v>
      </c>
      <c r="E2120">
        <v>13.8134889287851</v>
      </c>
      <c r="F2120">
        <f t="shared" si="67"/>
        <v>3</v>
      </c>
      <c r="G2120">
        <v>1</v>
      </c>
      <c r="H2120">
        <v>1</v>
      </c>
      <c r="I2120">
        <v>0</v>
      </c>
      <c r="J2120">
        <v>1</v>
      </c>
      <c r="K2120">
        <v>0</v>
      </c>
      <c r="L2120">
        <v>0</v>
      </c>
      <c r="M2120">
        <f t="shared" si="66"/>
        <v>361</v>
      </c>
      <c r="N2120">
        <v>130</v>
      </c>
      <c r="O2120">
        <v>75</v>
      </c>
      <c r="P2120">
        <v>0</v>
      </c>
      <c r="Q2120">
        <v>156</v>
      </c>
      <c r="R2120">
        <v>0</v>
      </c>
      <c r="S2120">
        <v>0</v>
      </c>
    </row>
    <row r="2121" spans="1:19" x14ac:dyDescent="0.25">
      <c r="A2121">
        <v>18177</v>
      </c>
      <c r="B2121" t="s">
        <v>117</v>
      </c>
      <c r="C2121">
        <v>7</v>
      </c>
      <c r="D2121">
        <v>294.70432675044799</v>
      </c>
      <c r="E2121">
        <v>16.0494853381208</v>
      </c>
      <c r="F2121">
        <f t="shared" si="67"/>
        <v>3</v>
      </c>
      <c r="G2121">
        <v>1</v>
      </c>
      <c r="H2121">
        <v>1</v>
      </c>
      <c r="I2121">
        <v>0</v>
      </c>
      <c r="J2121">
        <v>1</v>
      </c>
      <c r="K2121">
        <v>0</v>
      </c>
      <c r="L2121">
        <v>0</v>
      </c>
      <c r="M2121">
        <f t="shared" si="66"/>
        <v>361</v>
      </c>
      <c r="N2121">
        <v>130</v>
      </c>
      <c r="O2121">
        <v>75</v>
      </c>
      <c r="P2121">
        <v>0</v>
      </c>
      <c r="Q2121">
        <v>156</v>
      </c>
      <c r="R2121">
        <v>0</v>
      </c>
      <c r="S2121">
        <v>0</v>
      </c>
    </row>
    <row r="2122" spans="1:19" x14ac:dyDescent="0.25">
      <c r="A2122">
        <v>18177</v>
      </c>
      <c r="B2122" t="s">
        <v>117</v>
      </c>
      <c r="C2122">
        <v>8</v>
      </c>
      <c r="D2122">
        <v>248.09622381807199</v>
      </c>
      <c r="E2122">
        <v>20.869299820466701</v>
      </c>
      <c r="F2122">
        <f t="shared" si="67"/>
        <v>3</v>
      </c>
      <c r="G2122">
        <v>1</v>
      </c>
      <c r="H2122">
        <v>1</v>
      </c>
      <c r="I2122">
        <v>0</v>
      </c>
      <c r="J2122">
        <v>1</v>
      </c>
      <c r="K2122">
        <v>0</v>
      </c>
      <c r="L2122">
        <v>0</v>
      </c>
      <c r="M2122">
        <f t="shared" si="66"/>
        <v>361</v>
      </c>
      <c r="N2122">
        <v>130</v>
      </c>
      <c r="O2122">
        <v>75</v>
      </c>
      <c r="P2122">
        <v>0</v>
      </c>
      <c r="Q2122">
        <v>156</v>
      </c>
      <c r="R2122">
        <v>0</v>
      </c>
      <c r="S2122">
        <v>0</v>
      </c>
    </row>
    <row r="2123" spans="1:19" x14ac:dyDescent="0.25">
      <c r="A2123">
        <v>18177</v>
      </c>
      <c r="B2123" t="s">
        <v>117</v>
      </c>
      <c r="C2123">
        <v>9</v>
      </c>
      <c r="D2123">
        <v>197.11550568521801</v>
      </c>
      <c r="E2123">
        <v>23.502806702573299</v>
      </c>
      <c r="F2123">
        <f t="shared" si="67"/>
        <v>3</v>
      </c>
      <c r="G2123">
        <v>1</v>
      </c>
      <c r="H2123">
        <v>1</v>
      </c>
      <c r="I2123">
        <v>0</v>
      </c>
      <c r="J2123">
        <v>1</v>
      </c>
      <c r="K2123">
        <v>0</v>
      </c>
      <c r="L2123">
        <v>0</v>
      </c>
      <c r="M2123">
        <f t="shared" si="66"/>
        <v>361</v>
      </c>
      <c r="N2123">
        <v>130</v>
      </c>
      <c r="O2123">
        <v>75</v>
      </c>
      <c r="P2123">
        <v>0</v>
      </c>
      <c r="Q2123">
        <v>156</v>
      </c>
      <c r="R2123">
        <v>0</v>
      </c>
      <c r="S2123">
        <v>0</v>
      </c>
    </row>
    <row r="2124" spans="1:19" x14ac:dyDescent="0.25">
      <c r="A2124">
        <v>18177</v>
      </c>
      <c r="B2124" t="s">
        <v>117</v>
      </c>
      <c r="C2124">
        <v>10</v>
      </c>
      <c r="D2124">
        <v>172.37047875523601</v>
      </c>
      <c r="E2124">
        <v>22.359964093357199</v>
      </c>
      <c r="F2124">
        <f t="shared" si="67"/>
        <v>3</v>
      </c>
      <c r="G2124">
        <v>1</v>
      </c>
      <c r="H2124">
        <v>1</v>
      </c>
      <c r="I2124">
        <v>0</v>
      </c>
      <c r="J2124">
        <v>1</v>
      </c>
      <c r="K2124">
        <v>0</v>
      </c>
      <c r="L2124">
        <v>0</v>
      </c>
      <c r="M2124">
        <f t="shared" si="66"/>
        <v>361</v>
      </c>
      <c r="N2124">
        <v>130</v>
      </c>
      <c r="O2124">
        <v>75</v>
      </c>
      <c r="P2124">
        <v>0</v>
      </c>
      <c r="Q2124">
        <v>156</v>
      </c>
      <c r="R2124">
        <v>0</v>
      </c>
      <c r="S2124">
        <v>0</v>
      </c>
    </row>
    <row r="2125" spans="1:19" x14ac:dyDescent="0.25">
      <c r="A2125">
        <v>18177</v>
      </c>
      <c r="B2125" t="s">
        <v>117</v>
      </c>
      <c r="C2125">
        <v>11</v>
      </c>
      <c r="D2125">
        <v>166.656265709156</v>
      </c>
      <c r="E2125">
        <v>18.931436265709099</v>
      </c>
      <c r="F2125">
        <f t="shared" si="67"/>
        <v>3</v>
      </c>
      <c r="G2125">
        <v>1</v>
      </c>
      <c r="H2125">
        <v>1</v>
      </c>
      <c r="I2125">
        <v>0</v>
      </c>
      <c r="J2125">
        <v>1</v>
      </c>
      <c r="K2125">
        <v>0</v>
      </c>
      <c r="L2125">
        <v>0</v>
      </c>
      <c r="M2125">
        <f t="shared" si="66"/>
        <v>361</v>
      </c>
      <c r="N2125">
        <v>130</v>
      </c>
      <c r="O2125">
        <v>75</v>
      </c>
      <c r="P2125">
        <v>0</v>
      </c>
      <c r="Q2125">
        <v>156</v>
      </c>
      <c r="R2125">
        <v>0</v>
      </c>
      <c r="S2125">
        <v>0</v>
      </c>
    </row>
    <row r="2126" spans="1:19" x14ac:dyDescent="0.25">
      <c r="A2126">
        <v>18177</v>
      </c>
      <c r="B2126" t="s">
        <v>117</v>
      </c>
      <c r="C2126">
        <v>12</v>
      </c>
      <c r="D2126">
        <v>163.82400359066401</v>
      </c>
      <c r="E2126">
        <v>15.055709156193799</v>
      </c>
      <c r="F2126">
        <f t="shared" si="67"/>
        <v>3</v>
      </c>
      <c r="G2126">
        <v>1</v>
      </c>
      <c r="H2126">
        <v>1</v>
      </c>
      <c r="I2126">
        <v>0</v>
      </c>
      <c r="J2126">
        <v>1</v>
      </c>
      <c r="K2126">
        <v>0</v>
      </c>
      <c r="L2126">
        <v>0</v>
      </c>
      <c r="M2126">
        <f t="shared" si="66"/>
        <v>361</v>
      </c>
      <c r="N2126">
        <v>130</v>
      </c>
      <c r="O2126">
        <v>75</v>
      </c>
      <c r="P2126">
        <v>0</v>
      </c>
      <c r="Q2126">
        <v>156</v>
      </c>
      <c r="R2126">
        <v>0</v>
      </c>
      <c r="S2126">
        <v>0</v>
      </c>
    </row>
    <row r="2127" spans="1:19" x14ac:dyDescent="0.25">
      <c r="A2127">
        <v>18177</v>
      </c>
      <c r="B2127" t="s">
        <v>117</v>
      </c>
      <c r="C2127">
        <v>13</v>
      </c>
      <c r="D2127">
        <v>165.76186714542101</v>
      </c>
      <c r="E2127">
        <v>7.6023877917414699</v>
      </c>
      <c r="F2127">
        <f t="shared" si="67"/>
        <v>3</v>
      </c>
      <c r="G2127">
        <v>1</v>
      </c>
      <c r="H2127">
        <v>1</v>
      </c>
      <c r="I2127">
        <v>0</v>
      </c>
      <c r="J2127">
        <v>1</v>
      </c>
      <c r="K2127">
        <v>0</v>
      </c>
      <c r="L2127">
        <v>0</v>
      </c>
      <c r="M2127">
        <f t="shared" si="66"/>
        <v>361</v>
      </c>
      <c r="N2127">
        <v>130</v>
      </c>
      <c r="O2127">
        <v>75</v>
      </c>
      <c r="P2127">
        <v>0</v>
      </c>
      <c r="Q2127">
        <v>156</v>
      </c>
      <c r="R2127">
        <v>0</v>
      </c>
      <c r="S2127">
        <v>0</v>
      </c>
    </row>
    <row r="2128" spans="1:19" x14ac:dyDescent="0.25">
      <c r="A2128">
        <v>18177</v>
      </c>
      <c r="B2128" t="s">
        <v>117</v>
      </c>
      <c r="C2128">
        <v>14</v>
      </c>
      <c r="D2128">
        <v>176.79278276481099</v>
      </c>
      <c r="E2128">
        <v>4.0744823459006501</v>
      </c>
      <c r="F2128">
        <f t="shared" si="67"/>
        <v>3</v>
      </c>
      <c r="G2128">
        <v>1</v>
      </c>
      <c r="H2128">
        <v>1</v>
      </c>
      <c r="I2128">
        <v>0</v>
      </c>
      <c r="J2128">
        <v>1</v>
      </c>
      <c r="K2128">
        <v>0</v>
      </c>
      <c r="L2128">
        <v>0</v>
      </c>
      <c r="M2128">
        <f t="shared" si="66"/>
        <v>361</v>
      </c>
      <c r="N2128">
        <v>130</v>
      </c>
      <c r="O2128">
        <v>75</v>
      </c>
      <c r="P2128">
        <v>0</v>
      </c>
      <c r="Q2128">
        <v>156</v>
      </c>
      <c r="R2128">
        <v>0</v>
      </c>
      <c r="S2128">
        <v>0</v>
      </c>
    </row>
    <row r="2129" spans="1:19" x14ac:dyDescent="0.25">
      <c r="A2129">
        <v>18177</v>
      </c>
      <c r="B2129" t="s">
        <v>117</v>
      </c>
      <c r="C2129">
        <v>15</v>
      </c>
      <c r="D2129">
        <v>190.20876122082501</v>
      </c>
      <c r="E2129">
        <v>2.98132854578096</v>
      </c>
      <c r="F2129">
        <f t="shared" si="67"/>
        <v>3</v>
      </c>
      <c r="G2129">
        <v>1</v>
      </c>
      <c r="H2129">
        <v>1</v>
      </c>
      <c r="I2129">
        <v>0</v>
      </c>
      <c r="J2129">
        <v>1</v>
      </c>
      <c r="K2129">
        <v>0</v>
      </c>
      <c r="L2129">
        <v>0</v>
      </c>
      <c r="M2129">
        <f t="shared" si="66"/>
        <v>361</v>
      </c>
      <c r="N2129">
        <v>130</v>
      </c>
      <c r="O2129">
        <v>75</v>
      </c>
      <c r="P2129">
        <v>0</v>
      </c>
      <c r="Q2129">
        <v>156</v>
      </c>
      <c r="R2129">
        <v>0</v>
      </c>
      <c r="S2129">
        <v>0</v>
      </c>
    </row>
    <row r="2130" spans="1:19" x14ac:dyDescent="0.25">
      <c r="A2130">
        <v>18177</v>
      </c>
      <c r="B2130" t="s">
        <v>117</v>
      </c>
      <c r="C2130">
        <v>16</v>
      </c>
      <c r="D2130">
        <v>210.03459605026899</v>
      </c>
      <c r="E2130">
        <v>2.68319569120287</v>
      </c>
      <c r="F2130">
        <f t="shared" si="67"/>
        <v>3</v>
      </c>
      <c r="G2130">
        <v>1</v>
      </c>
      <c r="H2130">
        <v>1</v>
      </c>
      <c r="I2130">
        <v>0</v>
      </c>
      <c r="J2130">
        <v>1</v>
      </c>
      <c r="K2130">
        <v>0</v>
      </c>
      <c r="L2130">
        <v>0</v>
      </c>
      <c r="M2130">
        <f t="shared" si="66"/>
        <v>361</v>
      </c>
      <c r="N2130">
        <v>130</v>
      </c>
      <c r="O2130">
        <v>75</v>
      </c>
      <c r="P2130">
        <v>0</v>
      </c>
      <c r="Q2130">
        <v>156</v>
      </c>
      <c r="R2130">
        <v>0</v>
      </c>
      <c r="S2130">
        <v>0</v>
      </c>
    </row>
    <row r="2131" spans="1:19" x14ac:dyDescent="0.25">
      <c r="A2131">
        <v>18177</v>
      </c>
      <c r="B2131" t="s">
        <v>117</v>
      </c>
      <c r="C2131">
        <v>17</v>
      </c>
      <c r="D2131">
        <v>231.94736086175899</v>
      </c>
      <c r="E2131">
        <v>2.5341292639138202</v>
      </c>
      <c r="F2131">
        <f t="shared" si="67"/>
        <v>3</v>
      </c>
      <c r="G2131">
        <v>1</v>
      </c>
      <c r="H2131">
        <v>1</v>
      </c>
      <c r="I2131">
        <v>0</v>
      </c>
      <c r="J2131">
        <v>1</v>
      </c>
      <c r="K2131">
        <v>0</v>
      </c>
      <c r="L2131">
        <v>0</v>
      </c>
      <c r="M2131">
        <f t="shared" si="66"/>
        <v>361</v>
      </c>
      <c r="N2131">
        <v>130</v>
      </c>
      <c r="O2131">
        <v>75</v>
      </c>
      <c r="P2131">
        <v>0</v>
      </c>
      <c r="Q2131">
        <v>156</v>
      </c>
      <c r="R2131">
        <v>0</v>
      </c>
      <c r="S2131">
        <v>0</v>
      </c>
    </row>
    <row r="2132" spans="1:19" x14ac:dyDescent="0.25">
      <c r="A2132">
        <v>18177</v>
      </c>
      <c r="B2132" t="s">
        <v>117</v>
      </c>
      <c r="C2132">
        <v>18</v>
      </c>
      <c r="D2132">
        <v>255.10234590065801</v>
      </c>
      <c r="E2132">
        <v>3.6272830640335099</v>
      </c>
      <c r="F2132">
        <f t="shared" si="67"/>
        <v>3</v>
      </c>
      <c r="G2132">
        <v>1</v>
      </c>
      <c r="H2132">
        <v>1</v>
      </c>
      <c r="I2132">
        <v>0</v>
      </c>
      <c r="J2132">
        <v>1</v>
      </c>
      <c r="K2132">
        <v>0</v>
      </c>
      <c r="L2132">
        <v>0</v>
      </c>
      <c r="M2132">
        <f t="shared" si="66"/>
        <v>361</v>
      </c>
      <c r="N2132">
        <v>130</v>
      </c>
      <c r="O2132">
        <v>75</v>
      </c>
      <c r="P2132">
        <v>0</v>
      </c>
      <c r="Q2132">
        <v>156</v>
      </c>
      <c r="R2132">
        <v>0</v>
      </c>
      <c r="S2132">
        <v>0</v>
      </c>
    </row>
    <row r="2133" spans="1:19" x14ac:dyDescent="0.25">
      <c r="A2133">
        <v>18177</v>
      </c>
      <c r="B2133" t="s">
        <v>117</v>
      </c>
      <c r="C2133">
        <v>19</v>
      </c>
      <c r="D2133">
        <v>293.61117295032898</v>
      </c>
      <c r="E2133">
        <v>5.2173249551166903</v>
      </c>
      <c r="F2133">
        <f t="shared" si="67"/>
        <v>3</v>
      </c>
      <c r="G2133">
        <v>1</v>
      </c>
      <c r="H2133">
        <v>1</v>
      </c>
      <c r="I2133">
        <v>0</v>
      </c>
      <c r="J2133">
        <v>1</v>
      </c>
      <c r="K2133">
        <v>0</v>
      </c>
      <c r="L2133">
        <v>0</v>
      </c>
      <c r="M2133">
        <f t="shared" si="66"/>
        <v>361</v>
      </c>
      <c r="N2133">
        <v>130</v>
      </c>
      <c r="O2133">
        <v>75</v>
      </c>
      <c r="P2133">
        <v>0</v>
      </c>
      <c r="Q2133">
        <v>156</v>
      </c>
      <c r="R2133">
        <v>0</v>
      </c>
      <c r="S2133">
        <v>0</v>
      </c>
    </row>
    <row r="2134" spans="1:19" x14ac:dyDescent="0.25">
      <c r="A2134">
        <v>18177</v>
      </c>
      <c r="B2134" t="s">
        <v>117</v>
      </c>
      <c r="C2134">
        <v>20</v>
      </c>
      <c r="D2134">
        <v>328.24427289048401</v>
      </c>
      <c r="E2134">
        <v>5.4657690005984403</v>
      </c>
      <c r="F2134">
        <f t="shared" si="67"/>
        <v>3</v>
      </c>
      <c r="G2134">
        <v>1</v>
      </c>
      <c r="H2134">
        <v>1</v>
      </c>
      <c r="I2134">
        <v>0</v>
      </c>
      <c r="J2134">
        <v>1</v>
      </c>
      <c r="K2134">
        <v>0</v>
      </c>
      <c r="L2134">
        <v>0</v>
      </c>
      <c r="M2134">
        <f t="shared" si="66"/>
        <v>361</v>
      </c>
      <c r="N2134">
        <v>130</v>
      </c>
      <c r="O2134">
        <v>75</v>
      </c>
      <c r="P2134">
        <v>0</v>
      </c>
      <c r="Q2134">
        <v>156</v>
      </c>
      <c r="R2134">
        <v>0</v>
      </c>
      <c r="S2134">
        <v>0</v>
      </c>
    </row>
    <row r="2135" spans="1:19" x14ac:dyDescent="0.25">
      <c r="A2135">
        <v>18177</v>
      </c>
      <c r="B2135" t="s">
        <v>117</v>
      </c>
      <c r="C2135">
        <v>21</v>
      </c>
      <c r="D2135">
        <v>360.094799521244</v>
      </c>
      <c r="E2135">
        <v>4.6210592459604998</v>
      </c>
      <c r="F2135">
        <f t="shared" si="67"/>
        <v>3</v>
      </c>
      <c r="G2135">
        <v>1</v>
      </c>
      <c r="H2135">
        <v>1</v>
      </c>
      <c r="I2135">
        <v>0</v>
      </c>
      <c r="J2135">
        <v>1</v>
      </c>
      <c r="K2135">
        <v>0</v>
      </c>
      <c r="L2135">
        <v>0</v>
      </c>
      <c r="M2135">
        <f t="shared" si="66"/>
        <v>361</v>
      </c>
      <c r="N2135">
        <v>130</v>
      </c>
      <c r="O2135">
        <v>75</v>
      </c>
      <c r="P2135">
        <v>0</v>
      </c>
      <c r="Q2135">
        <v>156</v>
      </c>
      <c r="R2135">
        <v>0</v>
      </c>
      <c r="S2135">
        <v>0</v>
      </c>
    </row>
    <row r="2136" spans="1:19" x14ac:dyDescent="0.25">
      <c r="A2136">
        <v>18177</v>
      </c>
      <c r="B2136" t="s">
        <v>117</v>
      </c>
      <c r="C2136">
        <v>22</v>
      </c>
      <c r="D2136">
        <v>380.91441053261502</v>
      </c>
      <c r="E2136">
        <v>3.7266606822262101</v>
      </c>
      <c r="F2136">
        <f t="shared" si="67"/>
        <v>3</v>
      </c>
      <c r="G2136">
        <v>1</v>
      </c>
      <c r="H2136">
        <v>1</v>
      </c>
      <c r="I2136">
        <v>0</v>
      </c>
      <c r="J2136">
        <v>1</v>
      </c>
      <c r="K2136">
        <v>0</v>
      </c>
      <c r="L2136">
        <v>0</v>
      </c>
      <c r="M2136">
        <f t="shared" si="66"/>
        <v>361</v>
      </c>
      <c r="N2136">
        <v>130</v>
      </c>
      <c r="O2136">
        <v>75</v>
      </c>
      <c r="P2136">
        <v>0</v>
      </c>
      <c r="Q2136">
        <v>156</v>
      </c>
      <c r="R2136">
        <v>0</v>
      </c>
      <c r="S2136">
        <v>0</v>
      </c>
    </row>
    <row r="2137" spans="1:19" x14ac:dyDescent="0.25">
      <c r="A2137">
        <v>18177</v>
      </c>
      <c r="B2137" t="s">
        <v>117</v>
      </c>
      <c r="C2137">
        <v>23</v>
      </c>
      <c r="D2137">
        <v>395.87074207061602</v>
      </c>
      <c r="E2137">
        <v>6.0620347097546299</v>
      </c>
      <c r="F2137">
        <f t="shared" si="67"/>
        <v>3</v>
      </c>
      <c r="G2137">
        <v>1</v>
      </c>
      <c r="H2137">
        <v>1</v>
      </c>
      <c r="I2137">
        <v>0</v>
      </c>
      <c r="J2137">
        <v>1</v>
      </c>
      <c r="K2137">
        <v>0</v>
      </c>
      <c r="L2137">
        <v>0</v>
      </c>
      <c r="M2137">
        <f t="shared" si="66"/>
        <v>361</v>
      </c>
      <c r="N2137">
        <v>130</v>
      </c>
      <c r="O2137">
        <v>75</v>
      </c>
      <c r="P2137">
        <v>0</v>
      </c>
      <c r="Q2137">
        <v>156</v>
      </c>
      <c r="R2137">
        <v>0</v>
      </c>
      <c r="S2137">
        <v>0</v>
      </c>
    </row>
    <row r="2138" spans="1:19" x14ac:dyDescent="0.25">
      <c r="A2138">
        <v>18179</v>
      </c>
      <c r="B2138" t="s">
        <v>118</v>
      </c>
      <c r="C2138">
        <v>0</v>
      </c>
      <c r="D2138">
        <v>0</v>
      </c>
      <c r="E2138">
        <v>0.25150140559311202</v>
      </c>
      <c r="F2138">
        <f t="shared" si="67"/>
        <v>0</v>
      </c>
      <c r="G2138">
        <v>0</v>
      </c>
      <c r="H2138">
        <v>0</v>
      </c>
      <c r="I2138">
        <v>0</v>
      </c>
      <c r="J2138">
        <v>0</v>
      </c>
      <c r="K2138">
        <v>0</v>
      </c>
      <c r="L2138">
        <v>0</v>
      </c>
      <c r="M2138">
        <f t="shared" si="66"/>
        <v>0</v>
      </c>
      <c r="N2138">
        <v>0</v>
      </c>
      <c r="O2138">
        <v>0</v>
      </c>
      <c r="P2138">
        <v>0</v>
      </c>
      <c r="Q2138">
        <v>0</v>
      </c>
      <c r="R2138">
        <v>0</v>
      </c>
      <c r="S2138">
        <v>0</v>
      </c>
    </row>
    <row r="2139" spans="1:19" x14ac:dyDescent="0.25">
      <c r="A2139">
        <v>18179</v>
      </c>
      <c r="B2139" t="s">
        <v>118</v>
      </c>
      <c r="C2139">
        <v>1</v>
      </c>
      <c r="D2139">
        <v>0</v>
      </c>
      <c r="E2139">
        <v>0.25150140559311202</v>
      </c>
      <c r="F2139">
        <f t="shared" si="67"/>
        <v>0</v>
      </c>
      <c r="G2139">
        <v>0</v>
      </c>
      <c r="H2139">
        <v>0</v>
      </c>
      <c r="I2139">
        <v>0</v>
      </c>
      <c r="J2139">
        <v>0</v>
      </c>
      <c r="K2139">
        <v>0</v>
      </c>
      <c r="L2139">
        <v>0</v>
      </c>
      <c r="M2139">
        <f t="shared" si="66"/>
        <v>0</v>
      </c>
      <c r="N2139">
        <v>0</v>
      </c>
      <c r="O2139">
        <v>0</v>
      </c>
      <c r="P2139">
        <v>0</v>
      </c>
      <c r="Q2139">
        <v>0</v>
      </c>
      <c r="R2139">
        <v>0</v>
      </c>
      <c r="S2139">
        <v>0</v>
      </c>
    </row>
    <row r="2140" spans="1:19" x14ac:dyDescent="0.25">
      <c r="A2140">
        <v>18179</v>
      </c>
      <c r="B2140" t="s">
        <v>118</v>
      </c>
      <c r="C2140">
        <v>2</v>
      </c>
      <c r="D2140">
        <v>0</v>
      </c>
      <c r="E2140">
        <v>0.25150140559311202</v>
      </c>
      <c r="F2140">
        <f t="shared" si="67"/>
        <v>0</v>
      </c>
      <c r="G2140">
        <v>0</v>
      </c>
      <c r="H2140">
        <v>0</v>
      </c>
      <c r="I2140">
        <v>0</v>
      </c>
      <c r="J2140">
        <v>0</v>
      </c>
      <c r="K2140">
        <v>0</v>
      </c>
      <c r="L2140">
        <v>0</v>
      </c>
      <c r="M2140">
        <f t="shared" si="66"/>
        <v>0</v>
      </c>
      <c r="N2140">
        <v>0</v>
      </c>
      <c r="O2140">
        <v>0</v>
      </c>
      <c r="P2140">
        <v>0</v>
      </c>
      <c r="Q2140">
        <v>0</v>
      </c>
      <c r="R2140">
        <v>0</v>
      </c>
      <c r="S2140">
        <v>0</v>
      </c>
    </row>
    <row r="2141" spans="1:19" x14ac:dyDescent="0.25">
      <c r="A2141">
        <v>18179</v>
      </c>
      <c r="B2141" t="s">
        <v>118</v>
      </c>
      <c r="C2141">
        <v>3</v>
      </c>
      <c r="D2141">
        <v>0</v>
      </c>
      <c r="E2141">
        <v>0.25150140559311202</v>
      </c>
      <c r="F2141">
        <f t="shared" si="67"/>
        <v>0</v>
      </c>
      <c r="G2141">
        <v>0</v>
      </c>
      <c r="H2141">
        <v>0</v>
      </c>
      <c r="I2141">
        <v>0</v>
      </c>
      <c r="J2141">
        <v>0</v>
      </c>
      <c r="K2141">
        <v>0</v>
      </c>
      <c r="L2141">
        <v>0</v>
      </c>
      <c r="M2141">
        <f t="shared" si="66"/>
        <v>0</v>
      </c>
      <c r="N2141">
        <v>0</v>
      </c>
      <c r="O2141">
        <v>0</v>
      </c>
      <c r="P2141">
        <v>0</v>
      </c>
      <c r="Q2141">
        <v>0</v>
      </c>
      <c r="R2141">
        <v>0</v>
      </c>
      <c r="S2141">
        <v>0</v>
      </c>
    </row>
    <row r="2142" spans="1:19" x14ac:dyDescent="0.25">
      <c r="A2142">
        <v>18179</v>
      </c>
      <c r="B2142" t="s">
        <v>118</v>
      </c>
      <c r="C2142">
        <v>4</v>
      </c>
      <c r="D2142">
        <v>0</v>
      </c>
      <c r="E2142">
        <v>0.31437675699139001</v>
      </c>
      <c r="F2142">
        <f t="shared" si="67"/>
        <v>0</v>
      </c>
      <c r="G2142">
        <v>0</v>
      </c>
      <c r="H2142">
        <v>0</v>
      </c>
      <c r="I2142">
        <v>0</v>
      </c>
      <c r="J2142">
        <v>0</v>
      </c>
      <c r="K2142">
        <v>0</v>
      </c>
      <c r="L2142">
        <v>0</v>
      </c>
      <c r="M2142">
        <f t="shared" si="66"/>
        <v>0</v>
      </c>
      <c r="N2142">
        <v>0</v>
      </c>
      <c r="O2142">
        <v>0</v>
      </c>
      <c r="P2142">
        <v>0</v>
      </c>
      <c r="Q2142">
        <v>0</v>
      </c>
      <c r="R2142">
        <v>0</v>
      </c>
      <c r="S2142">
        <v>0</v>
      </c>
    </row>
    <row r="2143" spans="1:19" x14ac:dyDescent="0.25">
      <c r="A2143">
        <v>18179</v>
      </c>
      <c r="B2143" t="s">
        <v>118</v>
      </c>
      <c r="C2143">
        <v>5</v>
      </c>
      <c r="D2143">
        <v>0</v>
      </c>
      <c r="E2143">
        <v>0.31437675699139001</v>
      </c>
      <c r="F2143">
        <f t="shared" si="67"/>
        <v>0</v>
      </c>
      <c r="G2143">
        <v>0</v>
      </c>
      <c r="H2143">
        <v>0</v>
      </c>
      <c r="I2143">
        <v>0</v>
      </c>
      <c r="J2143">
        <v>0</v>
      </c>
      <c r="K2143">
        <v>0</v>
      </c>
      <c r="L2143">
        <v>0</v>
      </c>
      <c r="M2143">
        <f t="shared" si="66"/>
        <v>0</v>
      </c>
      <c r="N2143">
        <v>0</v>
      </c>
      <c r="O2143">
        <v>0</v>
      </c>
      <c r="P2143">
        <v>0</v>
      </c>
      <c r="Q2143">
        <v>0</v>
      </c>
      <c r="R2143">
        <v>0</v>
      </c>
      <c r="S2143">
        <v>0</v>
      </c>
    </row>
    <row r="2144" spans="1:19" x14ac:dyDescent="0.25">
      <c r="A2144">
        <v>18179</v>
      </c>
      <c r="B2144" t="s">
        <v>118</v>
      </c>
      <c r="C2144">
        <v>6</v>
      </c>
      <c r="D2144">
        <v>0</v>
      </c>
      <c r="E2144">
        <v>1.0688809737707201</v>
      </c>
      <c r="F2144">
        <f t="shared" si="67"/>
        <v>0</v>
      </c>
      <c r="G2144">
        <v>0</v>
      </c>
      <c r="H2144">
        <v>0</v>
      </c>
      <c r="I2144">
        <v>0</v>
      </c>
      <c r="J2144">
        <v>0</v>
      </c>
      <c r="K2144">
        <v>0</v>
      </c>
      <c r="L2144">
        <v>0</v>
      </c>
      <c r="M2144">
        <f t="shared" si="66"/>
        <v>0</v>
      </c>
      <c r="N2144">
        <v>0</v>
      </c>
      <c r="O2144">
        <v>0</v>
      </c>
      <c r="P2144">
        <v>0</v>
      </c>
      <c r="Q2144">
        <v>0</v>
      </c>
      <c r="R2144">
        <v>0</v>
      </c>
      <c r="S2144">
        <v>0</v>
      </c>
    </row>
    <row r="2145" spans="1:19" x14ac:dyDescent="0.25">
      <c r="A2145">
        <v>18179</v>
      </c>
      <c r="B2145" t="s">
        <v>118</v>
      </c>
      <c r="C2145">
        <v>7</v>
      </c>
      <c r="D2145">
        <v>0</v>
      </c>
      <c r="E2145">
        <v>1.25750702796556</v>
      </c>
      <c r="F2145">
        <f t="shared" si="67"/>
        <v>0</v>
      </c>
      <c r="G2145">
        <v>0</v>
      </c>
      <c r="H2145">
        <v>0</v>
      </c>
      <c r="I2145">
        <v>0</v>
      </c>
      <c r="J2145">
        <v>0</v>
      </c>
      <c r="K2145">
        <v>0</v>
      </c>
      <c r="L2145">
        <v>0</v>
      </c>
      <c r="M2145">
        <f t="shared" si="66"/>
        <v>0</v>
      </c>
      <c r="N2145">
        <v>0</v>
      </c>
      <c r="O2145">
        <v>0</v>
      </c>
      <c r="P2145">
        <v>0</v>
      </c>
      <c r="Q2145">
        <v>0</v>
      </c>
      <c r="R2145">
        <v>0</v>
      </c>
      <c r="S2145">
        <v>0</v>
      </c>
    </row>
    <row r="2146" spans="1:19" x14ac:dyDescent="0.25">
      <c r="A2146">
        <v>18179</v>
      </c>
      <c r="B2146" t="s">
        <v>118</v>
      </c>
      <c r="C2146">
        <v>8</v>
      </c>
      <c r="D2146">
        <v>0</v>
      </c>
      <c r="E2146">
        <v>3.0808922185156198</v>
      </c>
      <c r="F2146">
        <f t="shared" si="67"/>
        <v>0</v>
      </c>
      <c r="G2146">
        <v>0</v>
      </c>
      <c r="H2146">
        <v>0</v>
      </c>
      <c r="I2146">
        <v>0</v>
      </c>
      <c r="J2146">
        <v>0</v>
      </c>
      <c r="K2146">
        <v>0</v>
      </c>
      <c r="L2146">
        <v>0</v>
      </c>
      <c r="M2146">
        <f t="shared" si="66"/>
        <v>0</v>
      </c>
      <c r="N2146">
        <v>0</v>
      </c>
      <c r="O2146">
        <v>0</v>
      </c>
      <c r="P2146">
        <v>0</v>
      </c>
      <c r="Q2146">
        <v>0</v>
      </c>
      <c r="R2146">
        <v>0</v>
      </c>
      <c r="S2146">
        <v>0</v>
      </c>
    </row>
    <row r="2147" spans="1:19" x14ac:dyDescent="0.25">
      <c r="A2147">
        <v>18179</v>
      </c>
      <c r="B2147" t="s">
        <v>118</v>
      </c>
      <c r="C2147">
        <v>9</v>
      </c>
      <c r="D2147">
        <v>0</v>
      </c>
      <c r="E2147">
        <v>8.4252970873692608</v>
      </c>
      <c r="F2147">
        <f t="shared" si="67"/>
        <v>0</v>
      </c>
      <c r="G2147">
        <v>0</v>
      </c>
      <c r="H2147">
        <v>0</v>
      </c>
      <c r="I2147">
        <v>0</v>
      </c>
      <c r="J2147">
        <v>0</v>
      </c>
      <c r="K2147">
        <v>0</v>
      </c>
      <c r="L2147">
        <v>0</v>
      </c>
      <c r="M2147">
        <f t="shared" si="66"/>
        <v>0</v>
      </c>
      <c r="N2147">
        <v>0</v>
      </c>
      <c r="O2147">
        <v>0</v>
      </c>
      <c r="P2147">
        <v>0</v>
      </c>
      <c r="Q2147">
        <v>0</v>
      </c>
      <c r="R2147">
        <v>0</v>
      </c>
      <c r="S2147">
        <v>0</v>
      </c>
    </row>
    <row r="2148" spans="1:19" x14ac:dyDescent="0.25">
      <c r="A2148">
        <v>18179</v>
      </c>
      <c r="B2148" t="s">
        <v>118</v>
      </c>
      <c r="C2148">
        <v>10</v>
      </c>
      <c r="D2148">
        <v>0</v>
      </c>
      <c r="E2148">
        <v>8.3624217359709796</v>
      </c>
      <c r="F2148">
        <f t="shared" si="67"/>
        <v>0</v>
      </c>
      <c r="G2148">
        <v>0</v>
      </c>
      <c r="H2148">
        <v>0</v>
      </c>
      <c r="I2148">
        <v>0</v>
      </c>
      <c r="J2148">
        <v>0</v>
      </c>
      <c r="K2148">
        <v>0</v>
      </c>
      <c r="L2148">
        <v>0</v>
      </c>
      <c r="M2148">
        <f t="shared" si="66"/>
        <v>0</v>
      </c>
      <c r="N2148">
        <v>0</v>
      </c>
      <c r="O2148">
        <v>0</v>
      </c>
      <c r="P2148">
        <v>0</v>
      </c>
      <c r="Q2148">
        <v>0</v>
      </c>
      <c r="R2148">
        <v>0</v>
      </c>
      <c r="S2148">
        <v>0</v>
      </c>
    </row>
    <row r="2149" spans="1:19" x14ac:dyDescent="0.25">
      <c r="A2149">
        <v>18179</v>
      </c>
      <c r="B2149" t="s">
        <v>118</v>
      </c>
      <c r="C2149">
        <v>11</v>
      </c>
      <c r="D2149">
        <v>0</v>
      </c>
      <c r="E2149">
        <v>5.7845323286415802</v>
      </c>
      <c r="F2149">
        <f t="shared" si="67"/>
        <v>0</v>
      </c>
      <c r="G2149">
        <v>0</v>
      </c>
      <c r="H2149">
        <v>0</v>
      </c>
      <c r="I2149">
        <v>0</v>
      </c>
      <c r="J2149">
        <v>0</v>
      </c>
      <c r="K2149">
        <v>0</v>
      </c>
      <c r="L2149">
        <v>0</v>
      </c>
      <c r="M2149">
        <f t="shared" si="66"/>
        <v>0</v>
      </c>
      <c r="N2149">
        <v>0</v>
      </c>
      <c r="O2149">
        <v>0</v>
      </c>
      <c r="P2149">
        <v>0</v>
      </c>
      <c r="Q2149">
        <v>0</v>
      </c>
      <c r="R2149">
        <v>0</v>
      </c>
      <c r="S2149">
        <v>0</v>
      </c>
    </row>
    <row r="2150" spans="1:19" x14ac:dyDescent="0.25">
      <c r="A2150">
        <v>18179</v>
      </c>
      <c r="B2150" t="s">
        <v>118</v>
      </c>
      <c r="C2150">
        <v>12</v>
      </c>
      <c r="D2150">
        <v>0</v>
      </c>
      <c r="E2150">
        <v>5.21865416605708</v>
      </c>
      <c r="F2150">
        <f t="shared" si="67"/>
        <v>0</v>
      </c>
      <c r="G2150">
        <v>0</v>
      </c>
      <c r="H2150">
        <v>0</v>
      </c>
      <c r="I2150">
        <v>0</v>
      </c>
      <c r="J2150">
        <v>0</v>
      </c>
      <c r="K2150">
        <v>0</v>
      </c>
      <c r="L2150">
        <v>0</v>
      </c>
      <c r="M2150">
        <f t="shared" si="66"/>
        <v>0</v>
      </c>
      <c r="N2150">
        <v>0</v>
      </c>
      <c r="O2150">
        <v>0</v>
      </c>
      <c r="P2150">
        <v>0</v>
      </c>
      <c r="Q2150">
        <v>0</v>
      </c>
      <c r="R2150">
        <v>0</v>
      </c>
      <c r="S2150">
        <v>0</v>
      </c>
    </row>
    <row r="2151" spans="1:19" x14ac:dyDescent="0.25">
      <c r="A2151">
        <v>18179</v>
      </c>
      <c r="B2151" t="s">
        <v>118</v>
      </c>
      <c r="C2151">
        <v>13</v>
      </c>
      <c r="D2151">
        <v>0</v>
      </c>
      <c r="E2151">
        <v>3.39526897550701</v>
      </c>
      <c r="F2151">
        <f t="shared" si="67"/>
        <v>0</v>
      </c>
      <c r="G2151">
        <v>0</v>
      </c>
      <c r="H2151">
        <v>0</v>
      </c>
      <c r="I2151">
        <v>0</v>
      </c>
      <c r="J2151">
        <v>0</v>
      </c>
      <c r="K2151">
        <v>0</v>
      </c>
      <c r="L2151">
        <v>0</v>
      </c>
      <c r="M2151">
        <f t="shared" si="66"/>
        <v>0</v>
      </c>
      <c r="N2151">
        <v>0</v>
      </c>
      <c r="O2151">
        <v>0</v>
      </c>
      <c r="P2151">
        <v>0</v>
      </c>
      <c r="Q2151">
        <v>0</v>
      </c>
      <c r="R2151">
        <v>0</v>
      </c>
      <c r="S2151">
        <v>0</v>
      </c>
    </row>
    <row r="2152" spans="1:19" x14ac:dyDescent="0.25">
      <c r="A2152">
        <v>18179</v>
      </c>
      <c r="B2152" t="s">
        <v>118</v>
      </c>
      <c r="C2152">
        <v>14</v>
      </c>
      <c r="D2152">
        <v>0</v>
      </c>
      <c r="E2152">
        <v>2.2635126503380101</v>
      </c>
      <c r="F2152">
        <f t="shared" si="67"/>
        <v>0</v>
      </c>
      <c r="G2152">
        <v>0</v>
      </c>
      <c r="H2152">
        <v>0</v>
      </c>
      <c r="I2152">
        <v>0</v>
      </c>
      <c r="J2152">
        <v>0</v>
      </c>
      <c r="K2152">
        <v>0</v>
      </c>
      <c r="L2152">
        <v>0</v>
      </c>
      <c r="M2152">
        <f t="shared" si="66"/>
        <v>0</v>
      </c>
      <c r="N2152">
        <v>0</v>
      </c>
      <c r="O2152">
        <v>0</v>
      </c>
      <c r="P2152">
        <v>0</v>
      </c>
      <c r="Q2152">
        <v>0</v>
      </c>
      <c r="R2152">
        <v>0</v>
      </c>
      <c r="S2152">
        <v>0</v>
      </c>
    </row>
    <row r="2153" spans="1:19" x14ac:dyDescent="0.25">
      <c r="A2153">
        <v>18179</v>
      </c>
      <c r="B2153" t="s">
        <v>118</v>
      </c>
      <c r="C2153">
        <v>15</v>
      </c>
      <c r="D2153">
        <v>0</v>
      </c>
      <c r="E2153">
        <v>0.62875351398278101</v>
      </c>
      <c r="F2153">
        <f t="shared" si="67"/>
        <v>0</v>
      </c>
      <c r="G2153">
        <v>0</v>
      </c>
      <c r="H2153">
        <v>0</v>
      </c>
      <c r="I2153">
        <v>0</v>
      </c>
      <c r="J2153">
        <v>0</v>
      </c>
      <c r="K2153">
        <v>0</v>
      </c>
      <c r="L2153">
        <v>0</v>
      </c>
      <c r="M2153">
        <f t="shared" si="66"/>
        <v>0</v>
      </c>
      <c r="N2153">
        <v>0</v>
      </c>
      <c r="O2153">
        <v>0</v>
      </c>
      <c r="P2153">
        <v>0</v>
      </c>
      <c r="Q2153">
        <v>0</v>
      </c>
      <c r="R2153">
        <v>0</v>
      </c>
      <c r="S2153">
        <v>0</v>
      </c>
    </row>
    <row r="2154" spans="1:19" x14ac:dyDescent="0.25">
      <c r="A2154">
        <v>18179</v>
      </c>
      <c r="B2154" t="s">
        <v>118</v>
      </c>
      <c r="C2154">
        <v>16</v>
      </c>
      <c r="D2154">
        <v>0</v>
      </c>
      <c r="E2154">
        <v>0.50300281118622403</v>
      </c>
      <c r="F2154">
        <f t="shared" si="67"/>
        <v>0</v>
      </c>
      <c r="G2154">
        <v>0</v>
      </c>
      <c r="H2154">
        <v>0</v>
      </c>
      <c r="I2154">
        <v>0</v>
      </c>
      <c r="J2154">
        <v>0</v>
      </c>
      <c r="K2154">
        <v>0</v>
      </c>
      <c r="L2154">
        <v>0</v>
      </c>
      <c r="M2154">
        <f t="shared" si="66"/>
        <v>0</v>
      </c>
      <c r="N2154">
        <v>0</v>
      </c>
      <c r="O2154">
        <v>0</v>
      </c>
      <c r="P2154">
        <v>0</v>
      </c>
      <c r="Q2154">
        <v>0</v>
      </c>
      <c r="R2154">
        <v>0</v>
      </c>
      <c r="S2154">
        <v>0</v>
      </c>
    </row>
    <row r="2155" spans="1:19" x14ac:dyDescent="0.25">
      <c r="A2155">
        <v>18179</v>
      </c>
      <c r="B2155" t="s">
        <v>118</v>
      </c>
      <c r="C2155">
        <v>17</v>
      </c>
      <c r="D2155">
        <v>0</v>
      </c>
      <c r="E2155">
        <v>0.44012745978794598</v>
      </c>
      <c r="F2155">
        <f t="shared" si="67"/>
        <v>0</v>
      </c>
      <c r="G2155">
        <v>0</v>
      </c>
      <c r="H2155">
        <v>0</v>
      </c>
      <c r="I2155">
        <v>0</v>
      </c>
      <c r="J2155">
        <v>0</v>
      </c>
      <c r="K2155">
        <v>0</v>
      </c>
      <c r="L2155">
        <v>0</v>
      </c>
      <c r="M2155">
        <f t="shared" si="66"/>
        <v>0</v>
      </c>
      <c r="N2155">
        <v>0</v>
      </c>
      <c r="O2155">
        <v>0</v>
      </c>
      <c r="P2155">
        <v>0</v>
      </c>
      <c r="Q2155">
        <v>0</v>
      </c>
      <c r="R2155">
        <v>0</v>
      </c>
      <c r="S2155">
        <v>0</v>
      </c>
    </row>
    <row r="2156" spans="1:19" x14ac:dyDescent="0.25">
      <c r="A2156">
        <v>18179</v>
      </c>
      <c r="B2156" t="s">
        <v>118</v>
      </c>
      <c r="C2156">
        <v>18</v>
      </c>
      <c r="D2156">
        <v>0</v>
      </c>
      <c r="E2156">
        <v>0.37725210838966799</v>
      </c>
      <c r="F2156">
        <f t="shared" si="67"/>
        <v>0</v>
      </c>
      <c r="G2156">
        <v>0</v>
      </c>
      <c r="H2156">
        <v>0</v>
      </c>
      <c r="I2156">
        <v>0</v>
      </c>
      <c r="J2156">
        <v>0</v>
      </c>
      <c r="K2156">
        <v>0</v>
      </c>
      <c r="L2156">
        <v>0</v>
      </c>
      <c r="M2156">
        <f t="shared" si="66"/>
        <v>0</v>
      </c>
      <c r="N2156">
        <v>0</v>
      </c>
      <c r="O2156">
        <v>0</v>
      </c>
      <c r="P2156">
        <v>0</v>
      </c>
      <c r="Q2156">
        <v>0</v>
      </c>
      <c r="R2156">
        <v>0</v>
      </c>
      <c r="S2156">
        <v>0</v>
      </c>
    </row>
    <row r="2157" spans="1:19" x14ac:dyDescent="0.25">
      <c r="A2157">
        <v>18179</v>
      </c>
      <c r="B2157" t="s">
        <v>118</v>
      </c>
      <c r="C2157">
        <v>19</v>
      </c>
      <c r="D2157">
        <v>0</v>
      </c>
      <c r="E2157">
        <v>0.25150140559311202</v>
      </c>
      <c r="F2157">
        <f t="shared" si="67"/>
        <v>0</v>
      </c>
      <c r="G2157">
        <v>0</v>
      </c>
      <c r="H2157">
        <v>0</v>
      </c>
      <c r="I2157">
        <v>0</v>
      </c>
      <c r="J2157">
        <v>0</v>
      </c>
      <c r="K2157">
        <v>0</v>
      </c>
      <c r="L2157">
        <v>0</v>
      </c>
      <c r="M2157">
        <f t="shared" si="66"/>
        <v>0</v>
      </c>
      <c r="N2157">
        <v>0</v>
      </c>
      <c r="O2157">
        <v>0</v>
      </c>
      <c r="P2157">
        <v>0</v>
      </c>
      <c r="Q2157">
        <v>0</v>
      </c>
      <c r="R2157">
        <v>0</v>
      </c>
      <c r="S2157">
        <v>0</v>
      </c>
    </row>
    <row r="2158" spans="1:19" x14ac:dyDescent="0.25">
      <c r="A2158">
        <v>18179</v>
      </c>
      <c r="B2158" t="s">
        <v>118</v>
      </c>
      <c r="C2158">
        <v>20</v>
      </c>
      <c r="D2158">
        <v>0</v>
      </c>
      <c r="E2158">
        <v>0.25150140559311202</v>
      </c>
      <c r="F2158">
        <f t="shared" si="67"/>
        <v>0</v>
      </c>
      <c r="G2158">
        <v>0</v>
      </c>
      <c r="H2158">
        <v>0</v>
      </c>
      <c r="I2158">
        <v>0</v>
      </c>
      <c r="J2158">
        <v>0</v>
      </c>
      <c r="K2158">
        <v>0</v>
      </c>
      <c r="L2158">
        <v>0</v>
      </c>
      <c r="M2158">
        <f t="shared" si="66"/>
        <v>0</v>
      </c>
      <c r="N2158">
        <v>0</v>
      </c>
      <c r="O2158">
        <v>0</v>
      </c>
      <c r="P2158">
        <v>0</v>
      </c>
      <c r="Q2158">
        <v>0</v>
      </c>
      <c r="R2158">
        <v>0</v>
      </c>
      <c r="S2158">
        <v>0</v>
      </c>
    </row>
    <row r="2159" spans="1:19" x14ac:dyDescent="0.25">
      <c r="A2159">
        <v>18179</v>
      </c>
      <c r="B2159" t="s">
        <v>118</v>
      </c>
      <c r="C2159">
        <v>21</v>
      </c>
      <c r="D2159">
        <v>0</v>
      </c>
      <c r="E2159">
        <v>0.25150140559311202</v>
      </c>
      <c r="F2159">
        <f t="shared" si="67"/>
        <v>0</v>
      </c>
      <c r="G2159">
        <v>0</v>
      </c>
      <c r="H2159">
        <v>0</v>
      </c>
      <c r="I2159">
        <v>0</v>
      </c>
      <c r="J2159">
        <v>0</v>
      </c>
      <c r="K2159">
        <v>0</v>
      </c>
      <c r="L2159">
        <v>0</v>
      </c>
      <c r="M2159">
        <f t="shared" si="66"/>
        <v>0</v>
      </c>
      <c r="N2159">
        <v>0</v>
      </c>
      <c r="O2159">
        <v>0</v>
      </c>
      <c r="P2159">
        <v>0</v>
      </c>
      <c r="Q2159">
        <v>0</v>
      </c>
      <c r="R2159">
        <v>0</v>
      </c>
      <c r="S2159">
        <v>0</v>
      </c>
    </row>
    <row r="2160" spans="1:19" x14ac:dyDescent="0.25">
      <c r="A2160">
        <v>18179</v>
      </c>
      <c r="B2160" t="s">
        <v>118</v>
      </c>
      <c r="C2160">
        <v>22</v>
      </c>
      <c r="D2160">
        <v>0</v>
      </c>
      <c r="E2160">
        <v>0.25150140559311202</v>
      </c>
      <c r="F2160">
        <f t="shared" si="67"/>
        <v>0</v>
      </c>
      <c r="G2160">
        <v>0</v>
      </c>
      <c r="H2160">
        <v>0</v>
      </c>
      <c r="I2160">
        <v>0</v>
      </c>
      <c r="J2160">
        <v>0</v>
      </c>
      <c r="K2160">
        <v>0</v>
      </c>
      <c r="L2160">
        <v>0</v>
      </c>
      <c r="M2160">
        <f t="shared" si="66"/>
        <v>0</v>
      </c>
      <c r="N2160">
        <v>0</v>
      </c>
      <c r="O2160">
        <v>0</v>
      </c>
      <c r="P2160">
        <v>0</v>
      </c>
      <c r="Q2160">
        <v>0</v>
      </c>
      <c r="R2160">
        <v>0</v>
      </c>
      <c r="S2160">
        <v>0</v>
      </c>
    </row>
    <row r="2161" spans="1:19" x14ac:dyDescent="0.25">
      <c r="A2161">
        <v>18179</v>
      </c>
      <c r="B2161" t="s">
        <v>118</v>
      </c>
      <c r="C2161">
        <v>23</v>
      </c>
      <c r="D2161">
        <v>0</v>
      </c>
      <c r="E2161">
        <v>0.25150140559311202</v>
      </c>
      <c r="F2161">
        <f t="shared" si="67"/>
        <v>0</v>
      </c>
      <c r="G2161">
        <v>0</v>
      </c>
      <c r="H2161">
        <v>0</v>
      </c>
      <c r="I2161">
        <v>0</v>
      </c>
      <c r="J2161">
        <v>0</v>
      </c>
      <c r="K2161">
        <v>0</v>
      </c>
      <c r="L2161">
        <v>0</v>
      </c>
      <c r="M2161">
        <f t="shared" si="66"/>
        <v>0</v>
      </c>
      <c r="N2161">
        <v>0</v>
      </c>
      <c r="O2161">
        <v>0</v>
      </c>
      <c r="P2161">
        <v>0</v>
      </c>
      <c r="Q2161">
        <v>0</v>
      </c>
      <c r="R2161">
        <v>0</v>
      </c>
      <c r="S2161">
        <v>0</v>
      </c>
    </row>
    <row r="2162" spans="1:19" x14ac:dyDescent="0.25">
      <c r="A2162">
        <v>18181</v>
      </c>
      <c r="B2162" t="s">
        <v>119</v>
      </c>
      <c r="C2162">
        <v>0</v>
      </c>
      <c r="D2162">
        <v>0</v>
      </c>
      <c r="E2162">
        <v>16.751227984543799</v>
      </c>
      <c r="F2162">
        <f t="shared" si="67"/>
        <v>0</v>
      </c>
      <c r="G2162">
        <v>0</v>
      </c>
      <c r="H2162">
        <v>0</v>
      </c>
      <c r="I2162">
        <v>0</v>
      </c>
      <c r="J2162">
        <v>0</v>
      </c>
      <c r="K2162">
        <v>0</v>
      </c>
      <c r="L2162">
        <v>0</v>
      </c>
      <c r="M2162">
        <f t="shared" si="66"/>
        <v>0</v>
      </c>
      <c r="N2162">
        <v>0</v>
      </c>
      <c r="O2162">
        <v>0</v>
      </c>
      <c r="P2162">
        <v>0</v>
      </c>
      <c r="Q2162">
        <v>0</v>
      </c>
      <c r="R2162">
        <v>0</v>
      </c>
      <c r="S2162">
        <v>0</v>
      </c>
    </row>
    <row r="2163" spans="1:19" x14ac:dyDescent="0.25">
      <c r="A2163">
        <v>18181</v>
      </c>
      <c r="B2163" t="s">
        <v>119</v>
      </c>
      <c r="C2163">
        <v>1</v>
      </c>
      <c r="D2163">
        <v>0</v>
      </c>
      <c r="E2163">
        <v>18.112780998065901</v>
      </c>
      <c r="F2163">
        <f t="shared" si="67"/>
        <v>0</v>
      </c>
      <c r="G2163">
        <v>0</v>
      </c>
      <c r="H2163">
        <v>0</v>
      </c>
      <c r="I2163">
        <v>0</v>
      </c>
      <c r="J2163">
        <v>0</v>
      </c>
      <c r="K2163">
        <v>0</v>
      </c>
      <c r="L2163">
        <v>0</v>
      </c>
      <c r="M2163">
        <f t="shared" si="66"/>
        <v>0</v>
      </c>
      <c r="N2163">
        <v>0</v>
      </c>
      <c r="O2163">
        <v>0</v>
      </c>
      <c r="P2163">
        <v>0</v>
      </c>
      <c r="Q2163">
        <v>0</v>
      </c>
      <c r="R2163">
        <v>0</v>
      </c>
      <c r="S2163">
        <v>0</v>
      </c>
    </row>
    <row r="2164" spans="1:19" x14ac:dyDescent="0.25">
      <c r="A2164">
        <v>18181</v>
      </c>
      <c r="B2164" t="s">
        <v>119</v>
      </c>
      <c r="C2164">
        <v>2</v>
      </c>
      <c r="D2164">
        <v>0</v>
      </c>
      <c r="E2164">
        <v>19.5155931938158</v>
      </c>
      <c r="F2164">
        <f t="shared" si="67"/>
        <v>0</v>
      </c>
      <c r="G2164">
        <v>0</v>
      </c>
      <c r="H2164">
        <v>0</v>
      </c>
      <c r="I2164">
        <v>0</v>
      </c>
      <c r="J2164">
        <v>0</v>
      </c>
      <c r="K2164">
        <v>0</v>
      </c>
      <c r="L2164">
        <v>0</v>
      </c>
      <c r="M2164">
        <f t="shared" si="66"/>
        <v>0</v>
      </c>
      <c r="N2164">
        <v>0</v>
      </c>
      <c r="O2164">
        <v>0</v>
      </c>
      <c r="P2164">
        <v>0</v>
      </c>
      <c r="Q2164">
        <v>0</v>
      </c>
      <c r="R2164">
        <v>0</v>
      </c>
      <c r="S2164">
        <v>0</v>
      </c>
    </row>
    <row r="2165" spans="1:19" x14ac:dyDescent="0.25">
      <c r="A2165">
        <v>18181</v>
      </c>
      <c r="B2165" t="s">
        <v>119</v>
      </c>
      <c r="C2165">
        <v>3</v>
      </c>
      <c r="D2165">
        <v>0</v>
      </c>
      <c r="E2165">
        <v>21.042182936249599</v>
      </c>
      <c r="F2165">
        <f t="shared" si="67"/>
        <v>0</v>
      </c>
      <c r="G2165">
        <v>0</v>
      </c>
      <c r="H2165">
        <v>0</v>
      </c>
      <c r="I2165">
        <v>0</v>
      </c>
      <c r="J2165">
        <v>0</v>
      </c>
      <c r="K2165">
        <v>0</v>
      </c>
      <c r="L2165">
        <v>0</v>
      </c>
      <c r="M2165">
        <f t="shared" si="66"/>
        <v>0</v>
      </c>
      <c r="N2165">
        <v>0</v>
      </c>
      <c r="O2165">
        <v>0</v>
      </c>
      <c r="P2165">
        <v>0</v>
      </c>
      <c r="Q2165">
        <v>0</v>
      </c>
      <c r="R2165">
        <v>0</v>
      </c>
      <c r="S2165">
        <v>0</v>
      </c>
    </row>
    <row r="2166" spans="1:19" x14ac:dyDescent="0.25">
      <c r="A2166">
        <v>18181</v>
      </c>
      <c r="B2166" t="s">
        <v>119</v>
      </c>
      <c r="C2166">
        <v>4</v>
      </c>
      <c r="D2166">
        <v>0</v>
      </c>
      <c r="E2166">
        <v>23.8890665099775</v>
      </c>
      <c r="F2166">
        <f t="shared" si="67"/>
        <v>0</v>
      </c>
      <c r="G2166">
        <v>0</v>
      </c>
      <c r="H2166">
        <v>0</v>
      </c>
      <c r="I2166">
        <v>0</v>
      </c>
      <c r="J2166">
        <v>0</v>
      </c>
      <c r="K2166">
        <v>0</v>
      </c>
      <c r="L2166">
        <v>0</v>
      </c>
      <c r="M2166">
        <f t="shared" si="66"/>
        <v>0</v>
      </c>
      <c r="N2166">
        <v>0</v>
      </c>
      <c r="O2166">
        <v>0</v>
      </c>
      <c r="P2166">
        <v>0</v>
      </c>
      <c r="Q2166">
        <v>0</v>
      </c>
      <c r="R2166">
        <v>0</v>
      </c>
      <c r="S2166">
        <v>0</v>
      </c>
    </row>
    <row r="2167" spans="1:19" x14ac:dyDescent="0.25">
      <c r="A2167">
        <v>18181</v>
      </c>
      <c r="B2167" t="s">
        <v>119</v>
      </c>
      <c r="C2167">
        <v>5</v>
      </c>
      <c r="D2167">
        <v>0</v>
      </c>
      <c r="E2167">
        <v>25.910766439146599</v>
      </c>
      <c r="F2167">
        <f t="shared" si="67"/>
        <v>0</v>
      </c>
      <c r="G2167">
        <v>0</v>
      </c>
      <c r="H2167">
        <v>0</v>
      </c>
      <c r="I2167">
        <v>0</v>
      </c>
      <c r="J2167">
        <v>0</v>
      </c>
      <c r="K2167">
        <v>0</v>
      </c>
      <c r="L2167">
        <v>0</v>
      </c>
      <c r="M2167">
        <f t="shared" si="66"/>
        <v>0</v>
      </c>
      <c r="N2167">
        <v>0</v>
      </c>
      <c r="O2167">
        <v>0</v>
      </c>
      <c r="P2167">
        <v>0</v>
      </c>
      <c r="Q2167">
        <v>0</v>
      </c>
      <c r="R2167">
        <v>0</v>
      </c>
      <c r="S2167">
        <v>0</v>
      </c>
    </row>
    <row r="2168" spans="1:19" x14ac:dyDescent="0.25">
      <c r="A2168">
        <v>18181</v>
      </c>
      <c r="B2168" t="s">
        <v>119</v>
      </c>
      <c r="C2168">
        <v>6</v>
      </c>
      <c r="D2168">
        <v>0</v>
      </c>
      <c r="E2168">
        <v>26.240839896970101</v>
      </c>
      <c r="F2168">
        <f t="shared" si="67"/>
        <v>0</v>
      </c>
      <c r="G2168">
        <v>0</v>
      </c>
      <c r="H2168">
        <v>0</v>
      </c>
      <c r="I2168">
        <v>0</v>
      </c>
      <c r="J2168">
        <v>0</v>
      </c>
      <c r="K2168">
        <v>0</v>
      </c>
      <c r="L2168">
        <v>0</v>
      </c>
      <c r="M2168">
        <f t="shared" si="66"/>
        <v>0</v>
      </c>
      <c r="N2168">
        <v>0</v>
      </c>
      <c r="O2168">
        <v>0</v>
      </c>
      <c r="P2168">
        <v>0</v>
      </c>
      <c r="Q2168">
        <v>0</v>
      </c>
      <c r="R2168">
        <v>0</v>
      </c>
      <c r="S2168">
        <v>0</v>
      </c>
    </row>
    <row r="2169" spans="1:19" x14ac:dyDescent="0.25">
      <c r="A2169">
        <v>18181</v>
      </c>
      <c r="B2169" t="s">
        <v>119</v>
      </c>
      <c r="C2169">
        <v>7</v>
      </c>
      <c r="D2169">
        <v>0</v>
      </c>
      <c r="E2169">
        <v>23.806548145521699</v>
      </c>
      <c r="F2169">
        <f t="shared" si="67"/>
        <v>0</v>
      </c>
      <c r="G2169">
        <v>0</v>
      </c>
      <c r="H2169">
        <v>0</v>
      </c>
      <c r="I2169">
        <v>0</v>
      </c>
      <c r="J2169">
        <v>0</v>
      </c>
      <c r="K2169">
        <v>0</v>
      </c>
      <c r="L2169">
        <v>0</v>
      </c>
      <c r="M2169">
        <f t="shared" si="66"/>
        <v>0</v>
      </c>
      <c r="N2169">
        <v>0</v>
      </c>
      <c r="O2169">
        <v>0</v>
      </c>
      <c r="P2169">
        <v>0</v>
      </c>
      <c r="Q2169">
        <v>0</v>
      </c>
      <c r="R2169">
        <v>0</v>
      </c>
      <c r="S2169">
        <v>0</v>
      </c>
    </row>
    <row r="2170" spans="1:19" x14ac:dyDescent="0.25">
      <c r="A2170">
        <v>18181</v>
      </c>
      <c r="B2170" t="s">
        <v>119</v>
      </c>
      <c r="C2170">
        <v>8</v>
      </c>
      <c r="D2170">
        <v>0</v>
      </c>
      <c r="E2170">
        <v>19.391815647131999</v>
      </c>
      <c r="F2170">
        <f t="shared" si="67"/>
        <v>0</v>
      </c>
      <c r="G2170">
        <v>0</v>
      </c>
      <c r="H2170">
        <v>0</v>
      </c>
      <c r="I2170">
        <v>0</v>
      </c>
      <c r="J2170">
        <v>0</v>
      </c>
      <c r="K2170">
        <v>0</v>
      </c>
      <c r="L2170">
        <v>0</v>
      </c>
      <c r="M2170">
        <f t="shared" si="66"/>
        <v>0</v>
      </c>
      <c r="N2170">
        <v>0</v>
      </c>
      <c r="O2170">
        <v>0</v>
      </c>
      <c r="P2170">
        <v>0</v>
      </c>
      <c r="Q2170">
        <v>0</v>
      </c>
      <c r="R2170">
        <v>0</v>
      </c>
      <c r="S2170">
        <v>0</v>
      </c>
    </row>
    <row r="2171" spans="1:19" x14ac:dyDescent="0.25">
      <c r="A2171">
        <v>18181</v>
      </c>
      <c r="B2171" t="s">
        <v>119</v>
      </c>
      <c r="C2171">
        <v>9</v>
      </c>
      <c r="D2171">
        <v>0</v>
      </c>
      <c r="E2171">
        <v>13.82182604636</v>
      </c>
      <c r="F2171">
        <f t="shared" si="67"/>
        <v>0</v>
      </c>
      <c r="G2171">
        <v>0</v>
      </c>
      <c r="H2171">
        <v>0</v>
      </c>
      <c r="I2171">
        <v>0</v>
      </c>
      <c r="J2171">
        <v>0</v>
      </c>
      <c r="K2171">
        <v>0</v>
      </c>
      <c r="L2171">
        <v>0</v>
      </c>
      <c r="M2171">
        <f t="shared" si="66"/>
        <v>0</v>
      </c>
      <c r="N2171">
        <v>0</v>
      </c>
      <c r="O2171">
        <v>0</v>
      </c>
      <c r="P2171">
        <v>0</v>
      </c>
      <c r="Q2171">
        <v>0</v>
      </c>
      <c r="R2171">
        <v>0</v>
      </c>
      <c r="S2171">
        <v>0</v>
      </c>
    </row>
    <row r="2172" spans="1:19" x14ac:dyDescent="0.25">
      <c r="A2172">
        <v>18181</v>
      </c>
      <c r="B2172" t="s">
        <v>119</v>
      </c>
      <c r="C2172">
        <v>10</v>
      </c>
      <c r="D2172">
        <v>0</v>
      </c>
      <c r="E2172">
        <v>12.0064220283307</v>
      </c>
      <c r="F2172">
        <f t="shared" si="67"/>
        <v>0</v>
      </c>
      <c r="G2172">
        <v>0</v>
      </c>
      <c r="H2172">
        <v>0</v>
      </c>
      <c r="I2172">
        <v>0</v>
      </c>
      <c r="J2172">
        <v>0</v>
      </c>
      <c r="K2172">
        <v>0</v>
      </c>
      <c r="L2172">
        <v>0</v>
      </c>
      <c r="M2172">
        <f t="shared" si="66"/>
        <v>0</v>
      </c>
      <c r="N2172">
        <v>0</v>
      </c>
      <c r="O2172">
        <v>0</v>
      </c>
      <c r="P2172">
        <v>0</v>
      </c>
      <c r="Q2172">
        <v>0</v>
      </c>
      <c r="R2172">
        <v>0</v>
      </c>
      <c r="S2172">
        <v>0</v>
      </c>
    </row>
    <row r="2173" spans="1:19" x14ac:dyDescent="0.25">
      <c r="A2173">
        <v>18181</v>
      </c>
      <c r="B2173" t="s">
        <v>119</v>
      </c>
      <c r="C2173">
        <v>11</v>
      </c>
      <c r="D2173">
        <v>0</v>
      </c>
      <c r="E2173">
        <v>11.800126117191001</v>
      </c>
      <c r="F2173">
        <f t="shared" si="67"/>
        <v>0</v>
      </c>
      <c r="G2173">
        <v>0</v>
      </c>
      <c r="H2173">
        <v>0</v>
      </c>
      <c r="I2173">
        <v>0</v>
      </c>
      <c r="J2173">
        <v>0</v>
      </c>
      <c r="K2173">
        <v>0</v>
      </c>
      <c r="L2173">
        <v>0</v>
      </c>
      <c r="M2173">
        <f t="shared" si="66"/>
        <v>0</v>
      </c>
      <c r="N2173">
        <v>0</v>
      </c>
      <c r="O2173">
        <v>0</v>
      </c>
      <c r="P2173">
        <v>0</v>
      </c>
      <c r="Q2173">
        <v>0</v>
      </c>
      <c r="R2173">
        <v>0</v>
      </c>
      <c r="S2173">
        <v>0</v>
      </c>
    </row>
    <row r="2174" spans="1:19" x14ac:dyDescent="0.25">
      <c r="A2174">
        <v>18181</v>
      </c>
      <c r="B2174" t="s">
        <v>119</v>
      </c>
      <c r="C2174">
        <v>12</v>
      </c>
      <c r="D2174">
        <v>0</v>
      </c>
      <c r="E2174">
        <v>12.2539771216983</v>
      </c>
      <c r="F2174">
        <f t="shared" si="67"/>
        <v>0</v>
      </c>
      <c r="G2174">
        <v>0</v>
      </c>
      <c r="H2174">
        <v>0</v>
      </c>
      <c r="I2174">
        <v>0</v>
      </c>
      <c r="J2174">
        <v>0</v>
      </c>
      <c r="K2174">
        <v>0</v>
      </c>
      <c r="L2174">
        <v>0</v>
      </c>
      <c r="M2174">
        <f t="shared" si="66"/>
        <v>0</v>
      </c>
      <c r="N2174">
        <v>0</v>
      </c>
      <c r="O2174">
        <v>0</v>
      </c>
      <c r="P2174">
        <v>0</v>
      </c>
      <c r="Q2174">
        <v>0</v>
      </c>
      <c r="R2174">
        <v>0</v>
      </c>
      <c r="S2174">
        <v>0</v>
      </c>
    </row>
    <row r="2175" spans="1:19" x14ac:dyDescent="0.25">
      <c r="A2175">
        <v>18181</v>
      </c>
      <c r="B2175" t="s">
        <v>119</v>
      </c>
      <c r="C2175">
        <v>13</v>
      </c>
      <c r="D2175">
        <v>0</v>
      </c>
      <c r="E2175">
        <v>11.6763485705071</v>
      </c>
      <c r="F2175">
        <f t="shared" si="67"/>
        <v>0</v>
      </c>
      <c r="G2175">
        <v>0</v>
      </c>
      <c r="H2175">
        <v>0</v>
      </c>
      <c r="I2175">
        <v>0</v>
      </c>
      <c r="J2175">
        <v>0</v>
      </c>
      <c r="K2175">
        <v>0</v>
      </c>
      <c r="L2175">
        <v>0</v>
      </c>
      <c r="M2175">
        <f t="shared" si="66"/>
        <v>0</v>
      </c>
      <c r="N2175">
        <v>0</v>
      </c>
      <c r="O2175">
        <v>0</v>
      </c>
      <c r="P2175">
        <v>0</v>
      </c>
      <c r="Q2175">
        <v>0</v>
      </c>
      <c r="R2175">
        <v>0</v>
      </c>
      <c r="S2175">
        <v>0</v>
      </c>
    </row>
    <row r="2176" spans="1:19" x14ac:dyDescent="0.25">
      <c r="A2176">
        <v>18181</v>
      </c>
      <c r="B2176" t="s">
        <v>119</v>
      </c>
      <c r="C2176">
        <v>14</v>
      </c>
      <c r="D2176">
        <v>0</v>
      </c>
      <c r="E2176">
        <v>11.057460837088</v>
      </c>
      <c r="F2176">
        <f t="shared" si="67"/>
        <v>0</v>
      </c>
      <c r="G2176">
        <v>0</v>
      </c>
      <c r="H2176">
        <v>0</v>
      </c>
      <c r="I2176">
        <v>0</v>
      </c>
      <c r="J2176">
        <v>0</v>
      </c>
      <c r="K2176">
        <v>0</v>
      </c>
      <c r="L2176">
        <v>0</v>
      </c>
      <c r="M2176">
        <f t="shared" si="66"/>
        <v>0</v>
      </c>
      <c r="N2176">
        <v>0</v>
      </c>
      <c r="O2176">
        <v>0</v>
      </c>
      <c r="P2176">
        <v>0</v>
      </c>
      <c r="Q2176">
        <v>0</v>
      </c>
      <c r="R2176">
        <v>0</v>
      </c>
      <c r="S2176">
        <v>0</v>
      </c>
    </row>
    <row r="2177" spans="1:19" x14ac:dyDescent="0.25">
      <c r="A2177">
        <v>18181</v>
      </c>
      <c r="B2177" t="s">
        <v>119</v>
      </c>
      <c r="C2177">
        <v>15</v>
      </c>
      <c r="D2177">
        <v>0</v>
      </c>
      <c r="E2177">
        <v>9.7371670057939692</v>
      </c>
      <c r="F2177">
        <f t="shared" si="67"/>
        <v>0</v>
      </c>
      <c r="G2177">
        <v>0</v>
      </c>
      <c r="H2177">
        <v>0</v>
      </c>
      <c r="I2177">
        <v>0</v>
      </c>
      <c r="J2177">
        <v>0</v>
      </c>
      <c r="K2177">
        <v>0</v>
      </c>
      <c r="L2177">
        <v>0</v>
      </c>
      <c r="M2177">
        <f t="shared" si="66"/>
        <v>0</v>
      </c>
      <c r="N2177">
        <v>0</v>
      </c>
      <c r="O2177">
        <v>0</v>
      </c>
      <c r="P2177">
        <v>0</v>
      </c>
      <c r="Q2177">
        <v>0</v>
      </c>
      <c r="R2177">
        <v>0</v>
      </c>
      <c r="S2177">
        <v>0</v>
      </c>
    </row>
    <row r="2178" spans="1:19" x14ac:dyDescent="0.25">
      <c r="A2178">
        <v>18181</v>
      </c>
      <c r="B2178" t="s">
        <v>119</v>
      </c>
      <c r="C2178">
        <v>16</v>
      </c>
      <c r="D2178">
        <v>0</v>
      </c>
      <c r="E2178">
        <v>10.149758828073301</v>
      </c>
      <c r="F2178">
        <f t="shared" si="67"/>
        <v>0</v>
      </c>
      <c r="G2178">
        <v>0</v>
      </c>
      <c r="H2178">
        <v>0</v>
      </c>
      <c r="I2178">
        <v>0</v>
      </c>
      <c r="J2178">
        <v>0</v>
      </c>
      <c r="K2178">
        <v>0</v>
      </c>
      <c r="L2178">
        <v>0</v>
      </c>
      <c r="M2178">
        <f t="shared" ref="M2178:M2209" si="68">SUM(N2178:S2178)</f>
        <v>0</v>
      </c>
      <c r="N2178">
        <v>0</v>
      </c>
      <c r="O2178">
        <v>0</v>
      </c>
      <c r="P2178">
        <v>0</v>
      </c>
      <c r="Q2178">
        <v>0</v>
      </c>
      <c r="R2178">
        <v>0</v>
      </c>
      <c r="S2178">
        <v>0</v>
      </c>
    </row>
    <row r="2179" spans="1:19" x14ac:dyDescent="0.25">
      <c r="A2179">
        <v>18181</v>
      </c>
      <c r="B2179" t="s">
        <v>119</v>
      </c>
      <c r="C2179">
        <v>17</v>
      </c>
      <c r="D2179">
        <v>0</v>
      </c>
      <c r="E2179">
        <v>9.6546486413380901</v>
      </c>
      <c r="F2179">
        <f t="shared" ref="F2179:F2209" si="69">SUM(G2179:L2179)</f>
        <v>0</v>
      </c>
      <c r="G2179">
        <v>0</v>
      </c>
      <c r="H2179">
        <v>0</v>
      </c>
      <c r="I2179">
        <v>0</v>
      </c>
      <c r="J2179">
        <v>0</v>
      </c>
      <c r="K2179">
        <v>0</v>
      </c>
      <c r="L2179">
        <v>0</v>
      </c>
      <c r="M2179">
        <f t="shared" si="68"/>
        <v>0</v>
      </c>
      <c r="N2179">
        <v>0</v>
      </c>
      <c r="O2179">
        <v>0</v>
      </c>
      <c r="P2179">
        <v>0</v>
      </c>
      <c r="Q2179">
        <v>0</v>
      </c>
      <c r="R2179">
        <v>0</v>
      </c>
      <c r="S2179">
        <v>0</v>
      </c>
    </row>
    <row r="2180" spans="1:19" x14ac:dyDescent="0.25">
      <c r="A2180">
        <v>18181</v>
      </c>
      <c r="B2180" t="s">
        <v>119</v>
      </c>
      <c r="C2180">
        <v>18</v>
      </c>
      <c r="D2180">
        <v>0</v>
      </c>
      <c r="E2180">
        <v>8.0042813522204703</v>
      </c>
      <c r="F2180">
        <f t="shared" si="69"/>
        <v>0</v>
      </c>
      <c r="G2180">
        <v>0</v>
      </c>
      <c r="H2180">
        <v>0</v>
      </c>
      <c r="I2180">
        <v>0</v>
      </c>
      <c r="J2180">
        <v>0</v>
      </c>
      <c r="K2180">
        <v>0</v>
      </c>
      <c r="L2180">
        <v>0</v>
      </c>
      <c r="M2180">
        <f t="shared" si="68"/>
        <v>0</v>
      </c>
      <c r="N2180">
        <v>0</v>
      </c>
      <c r="O2180">
        <v>0</v>
      </c>
      <c r="P2180">
        <v>0</v>
      </c>
      <c r="Q2180">
        <v>0</v>
      </c>
      <c r="R2180">
        <v>0</v>
      </c>
      <c r="S2180">
        <v>0</v>
      </c>
    </row>
    <row r="2181" spans="1:19" x14ac:dyDescent="0.25">
      <c r="A2181">
        <v>18181</v>
      </c>
      <c r="B2181" t="s">
        <v>119</v>
      </c>
      <c r="C2181">
        <v>19</v>
      </c>
      <c r="D2181">
        <v>0</v>
      </c>
      <c r="E2181">
        <v>7.7567262588528196</v>
      </c>
      <c r="F2181">
        <f t="shared" si="69"/>
        <v>0</v>
      </c>
      <c r="G2181">
        <v>0</v>
      </c>
      <c r="H2181">
        <v>0</v>
      </c>
      <c r="I2181">
        <v>0</v>
      </c>
      <c r="J2181">
        <v>0</v>
      </c>
      <c r="K2181">
        <v>0</v>
      </c>
      <c r="L2181">
        <v>0</v>
      </c>
      <c r="M2181">
        <f t="shared" si="68"/>
        <v>0</v>
      </c>
      <c r="N2181">
        <v>0</v>
      </c>
      <c r="O2181">
        <v>0</v>
      </c>
      <c r="P2181">
        <v>0</v>
      </c>
      <c r="Q2181">
        <v>0</v>
      </c>
      <c r="R2181">
        <v>0</v>
      </c>
      <c r="S2181">
        <v>0</v>
      </c>
    </row>
    <row r="2182" spans="1:19" x14ac:dyDescent="0.25">
      <c r="A2182">
        <v>18181</v>
      </c>
      <c r="B2182" t="s">
        <v>119</v>
      </c>
      <c r="C2182">
        <v>20</v>
      </c>
      <c r="D2182">
        <v>0</v>
      </c>
      <c r="E2182">
        <v>8.4168731744998695</v>
      </c>
      <c r="F2182">
        <f t="shared" si="69"/>
        <v>0</v>
      </c>
      <c r="G2182">
        <v>0</v>
      </c>
      <c r="H2182">
        <v>0</v>
      </c>
      <c r="I2182">
        <v>0</v>
      </c>
      <c r="J2182">
        <v>0</v>
      </c>
      <c r="K2182">
        <v>0</v>
      </c>
      <c r="L2182">
        <v>0</v>
      </c>
      <c r="M2182">
        <f t="shared" si="68"/>
        <v>0</v>
      </c>
      <c r="N2182">
        <v>0</v>
      </c>
      <c r="O2182">
        <v>0</v>
      </c>
      <c r="P2182">
        <v>0</v>
      </c>
      <c r="Q2182">
        <v>0</v>
      </c>
      <c r="R2182">
        <v>0</v>
      </c>
      <c r="S2182">
        <v>0</v>
      </c>
    </row>
    <row r="2183" spans="1:19" x14ac:dyDescent="0.25">
      <c r="A2183">
        <v>18181</v>
      </c>
      <c r="B2183" t="s">
        <v>119</v>
      </c>
      <c r="C2183">
        <v>21</v>
      </c>
      <c r="D2183">
        <v>0</v>
      </c>
      <c r="E2183">
        <v>8.9119833612351602</v>
      </c>
      <c r="F2183">
        <f t="shared" si="69"/>
        <v>0</v>
      </c>
      <c r="G2183">
        <v>0</v>
      </c>
      <c r="H2183">
        <v>0</v>
      </c>
      <c r="I2183">
        <v>0</v>
      </c>
      <c r="J2183">
        <v>0</v>
      </c>
      <c r="K2183">
        <v>0</v>
      </c>
      <c r="L2183">
        <v>0</v>
      </c>
      <c r="M2183">
        <f t="shared" si="68"/>
        <v>0</v>
      </c>
      <c r="N2183">
        <v>0</v>
      </c>
      <c r="O2183">
        <v>0</v>
      </c>
      <c r="P2183">
        <v>0</v>
      </c>
      <c r="Q2183">
        <v>0</v>
      </c>
      <c r="R2183">
        <v>0</v>
      </c>
      <c r="S2183">
        <v>0</v>
      </c>
    </row>
    <row r="2184" spans="1:19" x14ac:dyDescent="0.25">
      <c r="A2184">
        <v>18181</v>
      </c>
      <c r="B2184" t="s">
        <v>119</v>
      </c>
      <c r="C2184">
        <v>22</v>
      </c>
      <c r="D2184">
        <v>0</v>
      </c>
      <c r="E2184">
        <v>10.933683290404201</v>
      </c>
      <c r="F2184">
        <f t="shared" si="69"/>
        <v>0</v>
      </c>
      <c r="G2184">
        <v>0</v>
      </c>
      <c r="H2184">
        <v>0</v>
      </c>
      <c r="I2184">
        <v>0</v>
      </c>
      <c r="J2184">
        <v>0</v>
      </c>
      <c r="K2184">
        <v>0</v>
      </c>
      <c r="L2184">
        <v>0</v>
      </c>
      <c r="M2184">
        <f t="shared" si="68"/>
        <v>0</v>
      </c>
      <c r="N2184">
        <v>0</v>
      </c>
      <c r="O2184">
        <v>0</v>
      </c>
      <c r="P2184">
        <v>0</v>
      </c>
      <c r="Q2184">
        <v>0</v>
      </c>
      <c r="R2184">
        <v>0</v>
      </c>
      <c r="S2184">
        <v>0</v>
      </c>
    </row>
    <row r="2185" spans="1:19" x14ac:dyDescent="0.25">
      <c r="A2185">
        <v>18181</v>
      </c>
      <c r="B2185" t="s">
        <v>119</v>
      </c>
      <c r="C2185">
        <v>23</v>
      </c>
      <c r="D2185">
        <v>0</v>
      </c>
      <c r="E2185">
        <v>14.0281219574997</v>
      </c>
      <c r="F2185">
        <f t="shared" si="69"/>
        <v>0</v>
      </c>
      <c r="G2185">
        <v>0</v>
      </c>
      <c r="H2185">
        <v>0</v>
      </c>
      <c r="I2185">
        <v>0</v>
      </c>
      <c r="J2185">
        <v>0</v>
      </c>
      <c r="K2185">
        <v>0</v>
      </c>
      <c r="L2185">
        <v>0</v>
      </c>
      <c r="M2185">
        <f t="shared" si="68"/>
        <v>0</v>
      </c>
      <c r="N2185">
        <v>0</v>
      </c>
      <c r="O2185">
        <v>0</v>
      </c>
      <c r="P2185">
        <v>0</v>
      </c>
      <c r="Q2185">
        <v>0</v>
      </c>
      <c r="R2185">
        <v>0</v>
      </c>
      <c r="S2185">
        <v>0</v>
      </c>
    </row>
    <row r="2186" spans="1:19" x14ac:dyDescent="0.25">
      <c r="A2186">
        <v>18183</v>
      </c>
      <c r="B2186" t="s">
        <v>120</v>
      </c>
      <c r="C2186">
        <v>0</v>
      </c>
      <c r="D2186">
        <v>0</v>
      </c>
      <c r="E2186">
        <v>5.5472046580772497E-2</v>
      </c>
      <c r="F2186">
        <f t="shared" si="69"/>
        <v>0</v>
      </c>
      <c r="G2186">
        <v>0</v>
      </c>
      <c r="H2186">
        <v>0</v>
      </c>
      <c r="I2186">
        <v>0</v>
      </c>
      <c r="J2186">
        <v>0</v>
      </c>
      <c r="K2186">
        <v>0</v>
      </c>
      <c r="L2186">
        <v>0</v>
      </c>
      <c r="M2186">
        <f t="shared" si="68"/>
        <v>0</v>
      </c>
      <c r="N2186">
        <v>0</v>
      </c>
      <c r="O2186">
        <v>0</v>
      </c>
      <c r="P2186">
        <v>0</v>
      </c>
      <c r="Q2186">
        <v>0</v>
      </c>
      <c r="R2186">
        <v>0</v>
      </c>
      <c r="S2186">
        <v>0</v>
      </c>
    </row>
    <row r="2187" spans="1:19" x14ac:dyDescent="0.25">
      <c r="A2187">
        <v>18183</v>
      </c>
      <c r="B2187" t="s">
        <v>120</v>
      </c>
      <c r="C2187">
        <v>1</v>
      </c>
      <c r="D2187">
        <v>0</v>
      </c>
      <c r="E2187">
        <v>5.5472046580772497E-2</v>
      </c>
      <c r="F2187">
        <f t="shared" si="69"/>
        <v>0</v>
      </c>
      <c r="G2187">
        <v>0</v>
      </c>
      <c r="H2187">
        <v>0</v>
      </c>
      <c r="I2187">
        <v>0</v>
      </c>
      <c r="J2187">
        <v>0</v>
      </c>
      <c r="K2187">
        <v>0</v>
      </c>
      <c r="L2187">
        <v>0</v>
      </c>
      <c r="M2187">
        <f t="shared" si="68"/>
        <v>0</v>
      </c>
      <c r="N2187">
        <v>0</v>
      </c>
      <c r="O2187">
        <v>0</v>
      </c>
      <c r="P2187">
        <v>0</v>
      </c>
      <c r="Q2187">
        <v>0</v>
      </c>
      <c r="R2187">
        <v>0</v>
      </c>
      <c r="S2187">
        <v>0</v>
      </c>
    </row>
    <row r="2188" spans="1:19" x14ac:dyDescent="0.25">
      <c r="A2188">
        <v>18183</v>
      </c>
      <c r="B2188" t="s">
        <v>120</v>
      </c>
      <c r="C2188">
        <v>2</v>
      </c>
      <c r="D2188">
        <v>0</v>
      </c>
      <c r="E2188">
        <v>0</v>
      </c>
      <c r="F2188">
        <f t="shared" si="69"/>
        <v>0</v>
      </c>
      <c r="G2188">
        <v>0</v>
      </c>
      <c r="H2188">
        <v>0</v>
      </c>
      <c r="I2188">
        <v>0</v>
      </c>
      <c r="J2188">
        <v>0</v>
      </c>
      <c r="K2188">
        <v>0</v>
      </c>
      <c r="L2188">
        <v>0</v>
      </c>
      <c r="M2188">
        <f t="shared" si="68"/>
        <v>0</v>
      </c>
      <c r="N2188">
        <v>0</v>
      </c>
      <c r="O2188">
        <v>0</v>
      </c>
      <c r="P2188">
        <v>0</v>
      </c>
      <c r="Q2188">
        <v>0</v>
      </c>
      <c r="R2188">
        <v>0</v>
      </c>
      <c r="S2188">
        <v>0</v>
      </c>
    </row>
    <row r="2189" spans="1:19" x14ac:dyDescent="0.25">
      <c r="A2189">
        <v>18183</v>
      </c>
      <c r="B2189" t="s">
        <v>120</v>
      </c>
      <c r="C2189">
        <v>3</v>
      </c>
      <c r="D2189">
        <v>0</v>
      </c>
      <c r="E2189">
        <v>0</v>
      </c>
      <c r="F2189">
        <f t="shared" si="69"/>
        <v>0</v>
      </c>
      <c r="G2189">
        <v>0</v>
      </c>
      <c r="H2189">
        <v>0</v>
      </c>
      <c r="I2189">
        <v>0</v>
      </c>
      <c r="J2189">
        <v>0</v>
      </c>
      <c r="K2189">
        <v>0</v>
      </c>
      <c r="L2189">
        <v>0</v>
      </c>
      <c r="M2189">
        <f t="shared" si="68"/>
        <v>0</v>
      </c>
      <c r="N2189">
        <v>0</v>
      </c>
      <c r="O2189">
        <v>0</v>
      </c>
      <c r="P2189">
        <v>0</v>
      </c>
      <c r="Q2189">
        <v>0</v>
      </c>
      <c r="R2189">
        <v>0</v>
      </c>
      <c r="S2189">
        <v>0</v>
      </c>
    </row>
    <row r="2190" spans="1:19" x14ac:dyDescent="0.25">
      <c r="A2190">
        <v>18183</v>
      </c>
      <c r="B2190" t="s">
        <v>120</v>
      </c>
      <c r="C2190">
        <v>4</v>
      </c>
      <c r="D2190">
        <v>0</v>
      </c>
      <c r="E2190">
        <v>5.5472046580772497E-2</v>
      </c>
      <c r="F2190">
        <f t="shared" si="69"/>
        <v>0</v>
      </c>
      <c r="G2190">
        <v>0</v>
      </c>
      <c r="H2190">
        <v>0</v>
      </c>
      <c r="I2190">
        <v>0</v>
      </c>
      <c r="J2190">
        <v>0</v>
      </c>
      <c r="K2190">
        <v>0</v>
      </c>
      <c r="L2190">
        <v>0</v>
      </c>
      <c r="M2190">
        <f t="shared" si="68"/>
        <v>0</v>
      </c>
      <c r="N2190">
        <v>0</v>
      </c>
      <c r="O2190">
        <v>0</v>
      </c>
      <c r="P2190">
        <v>0</v>
      </c>
      <c r="Q2190">
        <v>0</v>
      </c>
      <c r="R2190">
        <v>0</v>
      </c>
      <c r="S2190">
        <v>0</v>
      </c>
    </row>
    <row r="2191" spans="1:19" x14ac:dyDescent="0.25">
      <c r="A2191">
        <v>18183</v>
      </c>
      <c r="B2191" t="s">
        <v>120</v>
      </c>
      <c r="C2191">
        <v>5</v>
      </c>
      <c r="D2191">
        <v>0</v>
      </c>
      <c r="E2191">
        <v>0.13868011645193101</v>
      </c>
      <c r="F2191">
        <f t="shared" si="69"/>
        <v>0</v>
      </c>
      <c r="G2191">
        <v>0</v>
      </c>
      <c r="H2191">
        <v>0</v>
      </c>
      <c r="I2191">
        <v>0</v>
      </c>
      <c r="J2191">
        <v>0</v>
      </c>
      <c r="K2191">
        <v>0</v>
      </c>
      <c r="L2191">
        <v>0</v>
      </c>
      <c r="M2191">
        <f t="shared" si="68"/>
        <v>0</v>
      </c>
      <c r="N2191">
        <v>0</v>
      </c>
      <c r="O2191">
        <v>0</v>
      </c>
      <c r="P2191">
        <v>0</v>
      </c>
      <c r="Q2191">
        <v>0</v>
      </c>
      <c r="R2191">
        <v>0</v>
      </c>
      <c r="S2191">
        <v>0</v>
      </c>
    </row>
    <row r="2192" spans="1:19" x14ac:dyDescent="0.25">
      <c r="A2192">
        <v>18183</v>
      </c>
      <c r="B2192" t="s">
        <v>120</v>
      </c>
      <c r="C2192">
        <v>6</v>
      </c>
      <c r="D2192">
        <v>0</v>
      </c>
      <c r="E2192">
        <v>0.61019251238849803</v>
      </c>
      <c r="F2192">
        <f t="shared" si="69"/>
        <v>0</v>
      </c>
      <c r="G2192">
        <v>0</v>
      </c>
      <c r="H2192">
        <v>0</v>
      </c>
      <c r="I2192">
        <v>0</v>
      </c>
      <c r="J2192">
        <v>0</v>
      </c>
      <c r="K2192">
        <v>0</v>
      </c>
      <c r="L2192">
        <v>0</v>
      </c>
      <c r="M2192">
        <f t="shared" si="68"/>
        <v>0</v>
      </c>
      <c r="N2192">
        <v>0</v>
      </c>
      <c r="O2192">
        <v>0</v>
      </c>
      <c r="P2192">
        <v>0</v>
      </c>
      <c r="Q2192">
        <v>0</v>
      </c>
      <c r="R2192">
        <v>0</v>
      </c>
      <c r="S2192">
        <v>0</v>
      </c>
    </row>
    <row r="2193" spans="1:19" x14ac:dyDescent="0.25">
      <c r="A2193">
        <v>18183</v>
      </c>
      <c r="B2193" t="s">
        <v>120</v>
      </c>
      <c r="C2193">
        <v>7</v>
      </c>
      <c r="D2193">
        <v>0</v>
      </c>
      <c r="E2193">
        <v>1.47000923439047</v>
      </c>
      <c r="F2193">
        <f t="shared" si="69"/>
        <v>0</v>
      </c>
      <c r="G2193">
        <v>0</v>
      </c>
      <c r="H2193">
        <v>0</v>
      </c>
      <c r="I2193">
        <v>0</v>
      </c>
      <c r="J2193">
        <v>0</v>
      </c>
      <c r="K2193">
        <v>0</v>
      </c>
      <c r="L2193">
        <v>0</v>
      </c>
      <c r="M2193">
        <f t="shared" si="68"/>
        <v>0</v>
      </c>
      <c r="N2193">
        <v>0</v>
      </c>
      <c r="O2193">
        <v>0</v>
      </c>
      <c r="P2193">
        <v>0</v>
      </c>
      <c r="Q2193">
        <v>0</v>
      </c>
      <c r="R2193">
        <v>0</v>
      </c>
      <c r="S2193">
        <v>0</v>
      </c>
    </row>
    <row r="2194" spans="1:19" x14ac:dyDescent="0.25">
      <c r="A2194">
        <v>18183</v>
      </c>
      <c r="B2194" t="s">
        <v>120</v>
      </c>
      <c r="C2194">
        <v>8</v>
      </c>
      <c r="D2194">
        <v>0</v>
      </c>
      <c r="E2194">
        <v>2.8290743756193999</v>
      </c>
      <c r="F2194">
        <f t="shared" si="69"/>
        <v>0</v>
      </c>
      <c r="G2194">
        <v>0</v>
      </c>
      <c r="H2194">
        <v>0</v>
      </c>
      <c r="I2194">
        <v>0</v>
      </c>
      <c r="J2194">
        <v>0</v>
      </c>
      <c r="K2194">
        <v>0</v>
      </c>
      <c r="L2194">
        <v>0</v>
      </c>
      <c r="M2194">
        <f t="shared" si="68"/>
        <v>0</v>
      </c>
      <c r="N2194">
        <v>0</v>
      </c>
      <c r="O2194">
        <v>0</v>
      </c>
      <c r="P2194">
        <v>0</v>
      </c>
      <c r="Q2194">
        <v>0</v>
      </c>
      <c r="R2194">
        <v>0</v>
      </c>
      <c r="S2194">
        <v>0</v>
      </c>
    </row>
    <row r="2195" spans="1:19" x14ac:dyDescent="0.25">
      <c r="A2195">
        <v>18183</v>
      </c>
      <c r="B2195" t="s">
        <v>120</v>
      </c>
      <c r="C2195">
        <v>9</v>
      </c>
      <c r="D2195">
        <v>0</v>
      </c>
      <c r="E2195">
        <v>2.8845464222001702</v>
      </c>
      <c r="F2195">
        <f t="shared" si="69"/>
        <v>0</v>
      </c>
      <c r="G2195">
        <v>0</v>
      </c>
      <c r="H2195">
        <v>0</v>
      </c>
      <c r="I2195">
        <v>0</v>
      </c>
      <c r="J2195">
        <v>0</v>
      </c>
      <c r="K2195">
        <v>0</v>
      </c>
      <c r="L2195">
        <v>0</v>
      </c>
      <c r="M2195">
        <f t="shared" si="68"/>
        <v>0</v>
      </c>
      <c r="N2195">
        <v>0</v>
      </c>
      <c r="O2195">
        <v>0</v>
      </c>
      <c r="P2195">
        <v>0</v>
      </c>
      <c r="Q2195">
        <v>0</v>
      </c>
      <c r="R2195">
        <v>0</v>
      </c>
      <c r="S2195">
        <v>0</v>
      </c>
    </row>
    <row r="2196" spans="1:19" x14ac:dyDescent="0.25">
      <c r="A2196">
        <v>18183</v>
      </c>
      <c r="B2196" t="s">
        <v>120</v>
      </c>
      <c r="C2196">
        <v>10</v>
      </c>
      <c r="D2196">
        <v>0</v>
      </c>
      <c r="E2196">
        <v>2.74586630574824</v>
      </c>
      <c r="F2196">
        <f t="shared" si="69"/>
        <v>0</v>
      </c>
      <c r="G2196">
        <v>0</v>
      </c>
      <c r="H2196">
        <v>0</v>
      </c>
      <c r="I2196">
        <v>0</v>
      </c>
      <c r="J2196">
        <v>0</v>
      </c>
      <c r="K2196">
        <v>0</v>
      </c>
      <c r="L2196">
        <v>0</v>
      </c>
      <c r="M2196">
        <f t="shared" si="68"/>
        <v>0</v>
      </c>
      <c r="N2196">
        <v>0</v>
      </c>
      <c r="O2196">
        <v>0</v>
      </c>
      <c r="P2196">
        <v>0</v>
      </c>
      <c r="Q2196">
        <v>0</v>
      </c>
      <c r="R2196">
        <v>0</v>
      </c>
      <c r="S2196">
        <v>0</v>
      </c>
    </row>
    <row r="2197" spans="1:19" x14ac:dyDescent="0.25">
      <c r="A2197">
        <v>18183</v>
      </c>
      <c r="B2197" t="s">
        <v>120</v>
      </c>
      <c r="C2197">
        <v>11</v>
      </c>
      <c r="D2197">
        <v>0</v>
      </c>
      <c r="E2197">
        <v>2.3298259563924399</v>
      </c>
      <c r="F2197">
        <f t="shared" si="69"/>
        <v>0</v>
      </c>
      <c r="G2197">
        <v>0</v>
      </c>
      <c r="H2197">
        <v>0</v>
      </c>
      <c r="I2197">
        <v>0</v>
      </c>
      <c r="J2197">
        <v>0</v>
      </c>
      <c r="K2197">
        <v>0</v>
      </c>
      <c r="L2197">
        <v>0</v>
      </c>
      <c r="M2197">
        <f t="shared" si="68"/>
        <v>0</v>
      </c>
      <c r="N2197">
        <v>0</v>
      </c>
      <c r="O2197">
        <v>0</v>
      </c>
      <c r="P2197">
        <v>0</v>
      </c>
      <c r="Q2197">
        <v>0</v>
      </c>
      <c r="R2197">
        <v>0</v>
      </c>
      <c r="S2197">
        <v>0</v>
      </c>
    </row>
    <row r="2198" spans="1:19" x14ac:dyDescent="0.25">
      <c r="A2198">
        <v>18183</v>
      </c>
      <c r="B2198" t="s">
        <v>120</v>
      </c>
      <c r="C2198">
        <v>12</v>
      </c>
      <c r="D2198">
        <v>0</v>
      </c>
      <c r="E2198">
        <v>2.1911458399405102</v>
      </c>
      <c r="F2198">
        <f t="shared" si="69"/>
        <v>0</v>
      </c>
      <c r="G2198">
        <v>0</v>
      </c>
      <c r="H2198">
        <v>0</v>
      </c>
      <c r="I2198">
        <v>0</v>
      </c>
      <c r="J2198">
        <v>0</v>
      </c>
      <c r="K2198">
        <v>0</v>
      </c>
      <c r="L2198">
        <v>0</v>
      </c>
      <c r="M2198">
        <f t="shared" si="68"/>
        <v>0</v>
      </c>
      <c r="N2198">
        <v>0</v>
      </c>
      <c r="O2198">
        <v>0</v>
      </c>
      <c r="P2198">
        <v>0</v>
      </c>
      <c r="Q2198">
        <v>0</v>
      </c>
      <c r="R2198">
        <v>0</v>
      </c>
      <c r="S2198">
        <v>0</v>
      </c>
    </row>
    <row r="2199" spans="1:19" x14ac:dyDescent="0.25">
      <c r="A2199">
        <v>18183</v>
      </c>
      <c r="B2199" t="s">
        <v>120</v>
      </c>
      <c r="C2199">
        <v>13</v>
      </c>
      <c r="D2199">
        <v>0</v>
      </c>
      <c r="E2199">
        <v>2.2188818632309002</v>
      </c>
      <c r="F2199">
        <f t="shared" si="69"/>
        <v>0</v>
      </c>
      <c r="G2199">
        <v>0</v>
      </c>
      <c r="H2199">
        <v>0</v>
      </c>
      <c r="I2199">
        <v>0</v>
      </c>
      <c r="J2199">
        <v>0</v>
      </c>
      <c r="K2199">
        <v>0</v>
      </c>
      <c r="L2199">
        <v>0</v>
      </c>
      <c r="M2199">
        <f t="shared" si="68"/>
        <v>0</v>
      </c>
      <c r="N2199">
        <v>0</v>
      </c>
      <c r="O2199">
        <v>0</v>
      </c>
      <c r="P2199">
        <v>0</v>
      </c>
      <c r="Q2199">
        <v>0</v>
      </c>
      <c r="R2199">
        <v>0</v>
      </c>
      <c r="S2199">
        <v>0</v>
      </c>
    </row>
    <row r="2200" spans="1:19" x14ac:dyDescent="0.25">
      <c r="A2200">
        <v>18183</v>
      </c>
      <c r="B2200" t="s">
        <v>120</v>
      </c>
      <c r="C2200">
        <v>14</v>
      </c>
      <c r="D2200">
        <v>0</v>
      </c>
      <c r="E2200">
        <v>1.1371769549058299</v>
      </c>
      <c r="F2200">
        <f t="shared" si="69"/>
        <v>0</v>
      </c>
      <c r="G2200">
        <v>0</v>
      </c>
      <c r="H2200">
        <v>0</v>
      </c>
      <c r="I2200">
        <v>0</v>
      </c>
      <c r="J2200">
        <v>0</v>
      </c>
      <c r="K2200">
        <v>0</v>
      </c>
      <c r="L2200">
        <v>0</v>
      </c>
      <c r="M2200">
        <f t="shared" si="68"/>
        <v>0</v>
      </c>
      <c r="N2200">
        <v>0</v>
      </c>
      <c r="O2200">
        <v>0</v>
      </c>
      <c r="P2200">
        <v>0</v>
      </c>
      <c r="Q2200">
        <v>0</v>
      </c>
      <c r="R2200">
        <v>0</v>
      </c>
      <c r="S2200">
        <v>0</v>
      </c>
    </row>
    <row r="2201" spans="1:19" x14ac:dyDescent="0.25">
      <c r="A2201">
        <v>18183</v>
      </c>
      <c r="B2201" t="s">
        <v>120</v>
      </c>
      <c r="C2201">
        <v>15</v>
      </c>
      <c r="D2201">
        <v>0</v>
      </c>
      <c r="E2201">
        <v>0.33283227948463501</v>
      </c>
      <c r="F2201">
        <f t="shared" si="69"/>
        <v>0</v>
      </c>
      <c r="G2201">
        <v>0</v>
      </c>
      <c r="H2201">
        <v>0</v>
      </c>
      <c r="I2201">
        <v>0</v>
      </c>
      <c r="J2201">
        <v>0</v>
      </c>
      <c r="K2201">
        <v>0</v>
      </c>
      <c r="L2201">
        <v>0</v>
      </c>
      <c r="M2201">
        <f t="shared" si="68"/>
        <v>0</v>
      </c>
      <c r="N2201">
        <v>0</v>
      </c>
      <c r="O2201">
        <v>0</v>
      </c>
      <c r="P2201">
        <v>0</v>
      </c>
      <c r="Q2201">
        <v>0</v>
      </c>
      <c r="R2201">
        <v>0</v>
      </c>
      <c r="S2201">
        <v>0</v>
      </c>
    </row>
    <row r="2202" spans="1:19" x14ac:dyDescent="0.25">
      <c r="A2202">
        <v>18183</v>
      </c>
      <c r="B2202" t="s">
        <v>120</v>
      </c>
      <c r="C2202">
        <v>16</v>
      </c>
      <c r="D2202">
        <v>0</v>
      </c>
      <c r="E2202">
        <v>0.166416139742317</v>
      </c>
      <c r="F2202">
        <f t="shared" si="69"/>
        <v>0</v>
      </c>
      <c r="G2202">
        <v>0</v>
      </c>
      <c r="H2202">
        <v>0</v>
      </c>
      <c r="I2202">
        <v>0</v>
      </c>
      <c r="J2202">
        <v>0</v>
      </c>
      <c r="K2202">
        <v>0</v>
      </c>
      <c r="L2202">
        <v>0</v>
      </c>
      <c r="M2202">
        <f t="shared" si="68"/>
        <v>0</v>
      </c>
      <c r="N2202">
        <v>0</v>
      </c>
      <c r="O2202">
        <v>0</v>
      </c>
      <c r="P2202">
        <v>0</v>
      </c>
      <c r="Q2202">
        <v>0</v>
      </c>
      <c r="R2202">
        <v>0</v>
      </c>
      <c r="S2202">
        <v>0</v>
      </c>
    </row>
    <row r="2203" spans="1:19" x14ac:dyDescent="0.25">
      <c r="A2203">
        <v>18183</v>
      </c>
      <c r="B2203" t="s">
        <v>120</v>
      </c>
      <c r="C2203">
        <v>17</v>
      </c>
      <c r="D2203">
        <v>0</v>
      </c>
      <c r="E2203">
        <v>0.11094409316154499</v>
      </c>
      <c r="F2203">
        <f t="shared" si="69"/>
        <v>0</v>
      </c>
      <c r="G2203">
        <v>0</v>
      </c>
      <c r="H2203">
        <v>0</v>
      </c>
      <c r="I2203">
        <v>0</v>
      </c>
      <c r="J2203">
        <v>0</v>
      </c>
      <c r="K2203">
        <v>0</v>
      </c>
      <c r="L2203">
        <v>0</v>
      </c>
      <c r="M2203">
        <f t="shared" si="68"/>
        <v>0</v>
      </c>
      <c r="N2203">
        <v>0</v>
      </c>
      <c r="O2203">
        <v>0</v>
      </c>
      <c r="P2203">
        <v>0</v>
      </c>
      <c r="Q2203">
        <v>0</v>
      </c>
      <c r="R2203">
        <v>0</v>
      </c>
      <c r="S2203">
        <v>0</v>
      </c>
    </row>
    <row r="2204" spans="1:19" x14ac:dyDescent="0.25">
      <c r="A2204">
        <v>18183</v>
      </c>
      <c r="B2204" t="s">
        <v>120</v>
      </c>
      <c r="C2204">
        <v>18</v>
      </c>
      <c r="D2204">
        <v>0</v>
      </c>
      <c r="E2204">
        <v>5.5472046580772497E-2</v>
      </c>
      <c r="F2204">
        <f t="shared" si="69"/>
        <v>0</v>
      </c>
      <c r="G2204">
        <v>0</v>
      </c>
      <c r="H2204">
        <v>0</v>
      </c>
      <c r="I2204">
        <v>0</v>
      </c>
      <c r="J2204">
        <v>0</v>
      </c>
      <c r="K2204">
        <v>0</v>
      </c>
      <c r="L2204">
        <v>0</v>
      </c>
      <c r="M2204">
        <f t="shared" si="68"/>
        <v>0</v>
      </c>
      <c r="N2204">
        <v>0</v>
      </c>
      <c r="O2204">
        <v>0</v>
      </c>
      <c r="P2204">
        <v>0</v>
      </c>
      <c r="Q2204">
        <v>0</v>
      </c>
      <c r="R2204">
        <v>0</v>
      </c>
      <c r="S2204">
        <v>0</v>
      </c>
    </row>
    <row r="2205" spans="1:19" x14ac:dyDescent="0.25">
      <c r="A2205">
        <v>18183</v>
      </c>
      <c r="B2205" t="s">
        <v>120</v>
      </c>
      <c r="C2205">
        <v>19</v>
      </c>
      <c r="D2205">
        <v>0</v>
      </c>
      <c r="E2205">
        <v>5.5472046580772497E-2</v>
      </c>
      <c r="F2205">
        <f t="shared" si="69"/>
        <v>0</v>
      </c>
      <c r="G2205">
        <v>0</v>
      </c>
      <c r="H2205">
        <v>0</v>
      </c>
      <c r="I2205">
        <v>0</v>
      </c>
      <c r="J2205">
        <v>0</v>
      </c>
      <c r="K2205">
        <v>0</v>
      </c>
      <c r="L2205">
        <v>0</v>
      </c>
      <c r="M2205">
        <f t="shared" si="68"/>
        <v>0</v>
      </c>
      <c r="N2205">
        <v>0</v>
      </c>
      <c r="O2205">
        <v>0</v>
      </c>
      <c r="P2205">
        <v>0</v>
      </c>
      <c r="Q2205">
        <v>0</v>
      </c>
      <c r="R2205">
        <v>0</v>
      </c>
      <c r="S2205">
        <v>0</v>
      </c>
    </row>
    <row r="2206" spans="1:19" x14ac:dyDescent="0.25">
      <c r="A2206">
        <v>18183</v>
      </c>
      <c r="B2206" t="s">
        <v>120</v>
      </c>
      <c r="C2206">
        <v>20</v>
      </c>
      <c r="D2206">
        <v>0</v>
      </c>
      <c r="E2206">
        <v>5.5472046580772497E-2</v>
      </c>
      <c r="F2206">
        <f t="shared" si="69"/>
        <v>0</v>
      </c>
      <c r="G2206">
        <v>0</v>
      </c>
      <c r="H2206">
        <v>0</v>
      </c>
      <c r="I2206">
        <v>0</v>
      </c>
      <c r="J2206">
        <v>0</v>
      </c>
      <c r="K2206">
        <v>0</v>
      </c>
      <c r="L2206">
        <v>0</v>
      </c>
      <c r="M2206">
        <f t="shared" si="68"/>
        <v>0</v>
      </c>
      <c r="N2206">
        <v>0</v>
      </c>
      <c r="O2206">
        <v>0</v>
      </c>
      <c r="P2206">
        <v>0</v>
      </c>
      <c r="Q2206">
        <v>0</v>
      </c>
      <c r="R2206">
        <v>0</v>
      </c>
      <c r="S2206">
        <v>0</v>
      </c>
    </row>
    <row r="2207" spans="1:19" x14ac:dyDescent="0.25">
      <c r="A2207">
        <v>18183</v>
      </c>
      <c r="B2207" t="s">
        <v>120</v>
      </c>
      <c r="C2207">
        <v>21</v>
      </c>
      <c r="D2207">
        <v>0</v>
      </c>
      <c r="E2207">
        <v>5.5472046580772497E-2</v>
      </c>
      <c r="F2207">
        <f t="shared" si="69"/>
        <v>0</v>
      </c>
      <c r="G2207">
        <v>0</v>
      </c>
      <c r="H2207">
        <v>0</v>
      </c>
      <c r="I2207">
        <v>0</v>
      </c>
      <c r="J2207">
        <v>0</v>
      </c>
      <c r="K2207">
        <v>0</v>
      </c>
      <c r="L2207">
        <v>0</v>
      </c>
      <c r="M2207">
        <f t="shared" si="68"/>
        <v>0</v>
      </c>
      <c r="N2207">
        <v>0</v>
      </c>
      <c r="O2207">
        <v>0</v>
      </c>
      <c r="P2207">
        <v>0</v>
      </c>
      <c r="Q2207">
        <v>0</v>
      </c>
      <c r="R2207">
        <v>0</v>
      </c>
      <c r="S2207">
        <v>0</v>
      </c>
    </row>
    <row r="2208" spans="1:19" x14ac:dyDescent="0.25">
      <c r="A2208">
        <v>18183</v>
      </c>
      <c r="B2208" t="s">
        <v>120</v>
      </c>
      <c r="C2208">
        <v>22</v>
      </c>
      <c r="D2208">
        <v>0</v>
      </c>
      <c r="E2208">
        <v>5.5472046580772497E-2</v>
      </c>
      <c r="F2208">
        <f t="shared" si="69"/>
        <v>0</v>
      </c>
      <c r="G2208">
        <v>0</v>
      </c>
      <c r="H2208">
        <v>0</v>
      </c>
      <c r="I2208">
        <v>0</v>
      </c>
      <c r="J2208">
        <v>0</v>
      </c>
      <c r="K2208">
        <v>0</v>
      </c>
      <c r="L2208">
        <v>0</v>
      </c>
      <c r="M2208">
        <f t="shared" si="68"/>
        <v>0</v>
      </c>
      <c r="N2208">
        <v>0</v>
      </c>
      <c r="O2208">
        <v>0</v>
      </c>
      <c r="P2208">
        <v>0</v>
      </c>
      <c r="Q2208">
        <v>0</v>
      </c>
      <c r="R2208">
        <v>0</v>
      </c>
      <c r="S2208">
        <v>0</v>
      </c>
    </row>
    <row r="2209" spans="1:19" x14ac:dyDescent="0.25">
      <c r="A2209">
        <v>18183</v>
      </c>
      <c r="B2209" t="s">
        <v>120</v>
      </c>
      <c r="C2209">
        <v>23</v>
      </c>
      <c r="D2209">
        <v>0</v>
      </c>
      <c r="E2209">
        <v>5.5472046580772497E-2</v>
      </c>
      <c r="F2209">
        <f t="shared" si="69"/>
        <v>0</v>
      </c>
      <c r="G2209">
        <v>0</v>
      </c>
      <c r="H2209">
        <v>0</v>
      </c>
      <c r="I2209">
        <v>0</v>
      </c>
      <c r="J2209">
        <v>0</v>
      </c>
      <c r="K2209">
        <v>0</v>
      </c>
      <c r="L2209">
        <v>0</v>
      </c>
      <c r="M2209">
        <f t="shared" si="68"/>
        <v>0</v>
      </c>
      <c r="N2209">
        <v>0</v>
      </c>
      <c r="O2209">
        <v>0</v>
      </c>
      <c r="P2209">
        <v>0</v>
      </c>
      <c r="Q2209">
        <v>0</v>
      </c>
      <c r="R2209">
        <v>0</v>
      </c>
      <c r="S2209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512802-FC60-4225-94E9-CCC96B9B88D8}">
  <dimension ref="A2:T31"/>
  <sheetViews>
    <sheetView zoomScale="90" zoomScaleNormal="90" workbookViewId="0">
      <selection activeCell="M30" sqref="M30"/>
    </sheetView>
  </sheetViews>
  <sheetFormatPr defaultRowHeight="15" x14ac:dyDescent="0.25"/>
  <cols>
    <col min="6" max="6" width="35" bestFit="1" customWidth="1"/>
    <col min="8" max="8" width="11.28515625" bestFit="1" customWidth="1"/>
    <col min="9" max="9" width="16.7109375" bestFit="1" customWidth="1"/>
    <col min="12" max="12" width="8.85546875" bestFit="1" customWidth="1"/>
    <col min="15" max="15" width="12.42578125" bestFit="1" customWidth="1"/>
    <col min="18" max="18" width="13" bestFit="1" customWidth="1"/>
  </cols>
  <sheetData>
    <row r="2" spans="1:20" x14ac:dyDescent="0.25">
      <c r="C2" t="s">
        <v>121</v>
      </c>
      <c r="F2" t="s">
        <v>122</v>
      </c>
      <c r="I2" t="s">
        <v>123</v>
      </c>
      <c r="L2" t="s">
        <v>124</v>
      </c>
      <c r="O2" t="s">
        <v>125</v>
      </c>
      <c r="R2" t="s">
        <v>126</v>
      </c>
    </row>
    <row r="3" spans="1:20" x14ac:dyDescent="0.25">
      <c r="C3" t="s">
        <v>127</v>
      </c>
      <c r="D3" t="s">
        <v>128</v>
      </c>
      <c r="E3" t="s">
        <v>129</v>
      </c>
      <c r="F3" t="s">
        <v>127</v>
      </c>
      <c r="G3" t="s">
        <v>128</v>
      </c>
      <c r="H3" t="s">
        <v>129</v>
      </c>
      <c r="I3" t="s">
        <v>127</v>
      </c>
      <c r="J3" t="s">
        <v>128</v>
      </c>
      <c r="K3" t="s">
        <v>129</v>
      </c>
      <c r="L3" t="s">
        <v>127</v>
      </c>
      <c r="M3" t="s">
        <v>128</v>
      </c>
      <c r="N3" t="s">
        <v>129</v>
      </c>
      <c r="O3" t="s">
        <v>127</v>
      </c>
      <c r="P3" t="s">
        <v>128</v>
      </c>
      <c r="Q3" t="s">
        <v>129</v>
      </c>
      <c r="R3" t="s">
        <v>127</v>
      </c>
      <c r="S3" t="s">
        <v>128</v>
      </c>
      <c r="T3" t="s">
        <v>129</v>
      </c>
    </row>
    <row r="4" spans="1:20" x14ac:dyDescent="0.25">
      <c r="A4" t="s">
        <v>130</v>
      </c>
      <c r="C4">
        <v>408</v>
      </c>
      <c r="D4">
        <v>927</v>
      </c>
      <c r="E4">
        <v>92</v>
      </c>
      <c r="F4">
        <f>parking_demand_data_2024_ver0!M122</f>
        <v>408</v>
      </c>
      <c r="G4">
        <f>parking_demand_data_2024_ver0!M866</f>
        <v>927</v>
      </c>
      <c r="H4">
        <f>parking_demand_data_2024_ver0!M1874</f>
        <v>92</v>
      </c>
    </row>
    <row r="5" spans="1:20" x14ac:dyDescent="0.25">
      <c r="A5" t="s">
        <v>12</v>
      </c>
      <c r="B5">
        <v>0</v>
      </c>
      <c r="C5" s="1">
        <v>466.29350978459797</v>
      </c>
      <c r="D5" s="1">
        <v>913.27892843077905</v>
      </c>
      <c r="E5" s="1">
        <v>103.22995951417001</v>
      </c>
      <c r="F5" s="1">
        <f>parking_demand_data_2024_ver0!D122</f>
        <v>466.29350978459797</v>
      </c>
      <c r="G5" s="1">
        <f>parking_demand_data_2024_ver0!D866</f>
        <v>776.28708916616199</v>
      </c>
      <c r="H5" s="1">
        <f>parking_demand_data_2024_ver0!D1874</f>
        <v>103.22995951417001</v>
      </c>
      <c r="I5">
        <v>1</v>
      </c>
      <c r="J5">
        <v>0.7</v>
      </c>
      <c r="K5">
        <v>1</v>
      </c>
      <c r="L5" s="2">
        <f>F5/F$4</f>
        <v>1.1428762494720539</v>
      </c>
      <c r="M5" s="2">
        <f>G5/G$4</f>
        <v>0.83741865066468391</v>
      </c>
      <c r="N5" s="2">
        <f>H5/H$4</f>
        <v>1.1220647773279349</v>
      </c>
      <c r="O5" s="1">
        <f>F5*$I$31</f>
        <v>466.29350978459797</v>
      </c>
      <c r="P5" s="1">
        <f>G5*$I$31</f>
        <v>776.28708916616199</v>
      </c>
      <c r="Q5" s="1">
        <f>H5*$I$31</f>
        <v>103.22995951417001</v>
      </c>
      <c r="R5" s="2">
        <f>O5/F$4</f>
        <v>1.1428762494720539</v>
      </c>
      <c r="S5" s="2">
        <f t="shared" ref="S5:T5" si="0">P5/G$4</f>
        <v>0.83741865066468391</v>
      </c>
      <c r="T5" s="2">
        <f t="shared" si="0"/>
        <v>1.1220647773279349</v>
      </c>
    </row>
    <row r="6" spans="1:20" x14ac:dyDescent="0.25">
      <c r="B6">
        <v>1</v>
      </c>
      <c r="C6" s="1">
        <v>469.19999999999902</v>
      </c>
      <c r="D6" s="1">
        <v>921.89773178583903</v>
      </c>
      <c r="E6" s="1">
        <v>103.908164642375</v>
      </c>
      <c r="F6" s="1">
        <f>parking_demand_data_2024_ver0!D123</f>
        <v>469.2</v>
      </c>
      <c r="G6" s="1">
        <f>parking_demand_data_2024_ver0!D867</f>
        <v>783.61307201796296</v>
      </c>
      <c r="H6" s="1">
        <f>parking_demand_data_2024_ver0!D1875</f>
        <v>103.908164642375</v>
      </c>
      <c r="I6">
        <v>1</v>
      </c>
      <c r="J6">
        <v>0.7</v>
      </c>
      <c r="K6">
        <v>1</v>
      </c>
      <c r="L6" s="2">
        <f>F6/F$4</f>
        <v>1.1499999999999999</v>
      </c>
      <c r="M6" s="2">
        <f t="shared" ref="M6:M28" si="1">G6/G$4</f>
        <v>0.84532154478744659</v>
      </c>
      <c r="N6" s="2">
        <f t="shared" ref="N6:N28" si="2">H6/H$4</f>
        <v>1.1294365721997282</v>
      </c>
      <c r="O6" s="1">
        <f t="shared" ref="O6:O28" si="3">F6*$I$31</f>
        <v>469.2</v>
      </c>
      <c r="P6" s="1">
        <f t="shared" ref="P6:P28" si="4">G6*$I$31</f>
        <v>783.61307201796296</v>
      </c>
      <c r="Q6" s="1">
        <f t="shared" ref="Q6:Q28" si="5">H6*$I$31</f>
        <v>103.908164642375</v>
      </c>
      <c r="R6" s="2">
        <f t="shared" ref="R6:R28" si="6">O6/F$4</f>
        <v>1.1499999999999999</v>
      </c>
      <c r="S6" s="2">
        <f t="shared" ref="S6:S28" si="7">P6/G$4</f>
        <v>0.84532154478744659</v>
      </c>
      <c r="T6" s="2">
        <f t="shared" ref="T6:T28" si="8">Q6/H$4</f>
        <v>1.1294365721997282</v>
      </c>
    </row>
    <row r="7" spans="1:20" x14ac:dyDescent="0.25">
      <c r="B7">
        <v>2</v>
      </c>
      <c r="C7" s="1">
        <v>467.05316063635001</v>
      </c>
      <c r="D7" s="1">
        <v>918.44123252365398</v>
      </c>
      <c r="E7" s="1">
        <v>105.799999999999</v>
      </c>
      <c r="F7" s="1">
        <f>parking_demand_data_2024_ver0!D124</f>
        <v>467.05316063635001</v>
      </c>
      <c r="G7" s="1">
        <f>parking_demand_data_2024_ver0!D868</f>
        <v>780.675047645105</v>
      </c>
      <c r="H7" s="1">
        <f>parking_demand_data_2024_ver0!D1876</f>
        <v>105.799999999999</v>
      </c>
      <c r="L7" s="2">
        <f t="shared" ref="L7:L28" si="9">F7/F$4</f>
        <v>1.1447381388145834</v>
      </c>
      <c r="M7" s="2">
        <f t="shared" si="1"/>
        <v>0.84215215495696327</v>
      </c>
      <c r="N7" s="2">
        <f t="shared" si="2"/>
        <v>1.1499999999999893</v>
      </c>
      <c r="O7" s="1">
        <f t="shared" si="3"/>
        <v>467.05316063635001</v>
      </c>
      <c r="P7" s="1">
        <f t="shared" si="4"/>
        <v>780.675047645105</v>
      </c>
      <c r="Q7" s="1">
        <f t="shared" si="5"/>
        <v>105.799999999999</v>
      </c>
      <c r="R7" s="2">
        <f t="shared" si="6"/>
        <v>1.1447381388145834</v>
      </c>
      <c r="S7" s="2">
        <f t="shared" si="7"/>
        <v>0.84215215495696327</v>
      </c>
      <c r="T7" s="2">
        <f t="shared" si="8"/>
        <v>1.1499999999999893</v>
      </c>
    </row>
    <row r="8" spans="1:20" x14ac:dyDescent="0.25">
      <c r="B8">
        <v>3</v>
      </c>
      <c r="C8" s="1">
        <v>458.82911445867899</v>
      </c>
      <c r="D8" s="1">
        <v>892.09103684958802</v>
      </c>
      <c r="E8" s="1">
        <v>103.22995951417001</v>
      </c>
      <c r="F8" s="1">
        <f>parking_demand_data_2024_ver0!D125</f>
        <v>458.82911445867899</v>
      </c>
      <c r="G8" s="1">
        <f>parking_demand_data_2024_ver0!D869</f>
        <v>758.27738132214995</v>
      </c>
      <c r="H8" s="1">
        <f>parking_demand_data_2024_ver0!D1877</f>
        <v>103.22995951417001</v>
      </c>
      <c r="L8" s="2">
        <f t="shared" si="9"/>
        <v>1.1245811628889191</v>
      </c>
      <c r="M8" s="2">
        <f t="shared" si="1"/>
        <v>0.81799070261289097</v>
      </c>
      <c r="N8" s="2">
        <f t="shared" si="2"/>
        <v>1.1220647773279349</v>
      </c>
      <c r="O8" s="1">
        <f t="shared" si="3"/>
        <v>458.82911445867899</v>
      </c>
      <c r="P8" s="1">
        <f t="shared" si="4"/>
        <v>758.27738132214995</v>
      </c>
      <c r="Q8" s="1">
        <f t="shared" si="5"/>
        <v>103.22995951417001</v>
      </c>
      <c r="R8" s="2">
        <f t="shared" si="6"/>
        <v>1.1245811628889191</v>
      </c>
      <c r="S8" s="2">
        <f t="shared" si="7"/>
        <v>0.81799070261289097</v>
      </c>
      <c r="T8" s="2">
        <f t="shared" si="8"/>
        <v>1.1220647773279349</v>
      </c>
    </row>
    <row r="9" spans="1:20" x14ac:dyDescent="0.25">
      <c r="B9">
        <v>4</v>
      </c>
      <c r="C9" s="1">
        <v>439.30939039842298</v>
      </c>
      <c r="D9" s="1">
        <v>862.374121114952</v>
      </c>
      <c r="E9" s="1">
        <v>98.625303643724607</v>
      </c>
      <c r="F9" s="1">
        <f>parking_demand_data_2024_ver0!D126</f>
        <v>439.30939039842298</v>
      </c>
      <c r="G9" s="1">
        <f>parking_demand_data_2024_ver0!D870</f>
        <v>733.01800294770896</v>
      </c>
      <c r="H9" s="1">
        <f>parking_demand_data_2024_ver0!D1878</f>
        <v>98.625303643724607</v>
      </c>
      <c r="L9" s="2">
        <f t="shared" si="9"/>
        <v>1.076738701956919</v>
      </c>
      <c r="M9" s="2">
        <f t="shared" si="1"/>
        <v>0.79074218225211323</v>
      </c>
      <c r="N9" s="2">
        <f t="shared" si="2"/>
        <v>1.0720141700404848</v>
      </c>
      <c r="O9" s="1">
        <f t="shared" si="3"/>
        <v>439.30939039842298</v>
      </c>
      <c r="P9" s="1">
        <f t="shared" si="4"/>
        <v>733.01800294770896</v>
      </c>
      <c r="Q9" s="1">
        <f t="shared" si="5"/>
        <v>98.625303643724607</v>
      </c>
      <c r="R9" s="2">
        <f t="shared" si="6"/>
        <v>1.076738701956919</v>
      </c>
      <c r="S9" s="2">
        <f t="shared" si="7"/>
        <v>0.79074218225211323</v>
      </c>
      <c r="T9" s="2">
        <f t="shared" si="8"/>
        <v>1.0720141700404848</v>
      </c>
    </row>
    <row r="10" spans="1:20" x14ac:dyDescent="0.25">
      <c r="B10">
        <v>5</v>
      </c>
      <c r="C10" s="1">
        <v>419.16212867802301</v>
      </c>
      <c r="D10" s="1">
        <v>793.648142278504</v>
      </c>
      <c r="E10" s="1">
        <v>92.450067476383197</v>
      </c>
      <c r="F10" s="1">
        <f>parking_demand_data_2024_ver0!D127</f>
        <v>419.16212867802301</v>
      </c>
      <c r="G10" s="1">
        <f>parking_demand_data_2024_ver0!D871</f>
        <v>674.60092093672802</v>
      </c>
      <c r="H10" s="1">
        <f>parking_demand_data_2024_ver0!D1879</f>
        <v>92.450067476383197</v>
      </c>
      <c r="L10" s="2">
        <f t="shared" si="9"/>
        <v>1.0273581585245661</v>
      </c>
      <c r="M10" s="2">
        <f t="shared" si="1"/>
        <v>0.72772483380445308</v>
      </c>
      <c r="N10" s="2">
        <f t="shared" si="2"/>
        <v>1.0048920377867738</v>
      </c>
      <c r="O10" s="1">
        <f t="shared" si="3"/>
        <v>419.16212867802301</v>
      </c>
      <c r="P10" s="1">
        <f t="shared" si="4"/>
        <v>674.60092093672802</v>
      </c>
      <c r="Q10" s="1">
        <f t="shared" si="5"/>
        <v>92.450067476383197</v>
      </c>
      <c r="R10" s="2">
        <f t="shared" si="6"/>
        <v>1.0273581585245661</v>
      </c>
      <c r="S10" s="2">
        <f t="shared" si="7"/>
        <v>0.72772483380445308</v>
      </c>
      <c r="T10" s="2">
        <f t="shared" si="8"/>
        <v>1.0048920377867738</v>
      </c>
    </row>
    <row r="11" spans="1:20" x14ac:dyDescent="0.25">
      <c r="B11">
        <v>6</v>
      </c>
      <c r="C11" s="1">
        <v>379.99056736590097</v>
      </c>
      <c r="D11" s="1">
        <v>677.51874498922302</v>
      </c>
      <c r="E11" s="1">
        <v>85.489541160593703</v>
      </c>
      <c r="F11" s="1">
        <f>parking_demand_data_2024_ver0!D128</f>
        <v>379.99056736590097</v>
      </c>
      <c r="G11" s="1">
        <f>parking_demand_data_2024_ver0!D872</f>
        <v>575.89093324083899</v>
      </c>
      <c r="H11" s="1">
        <f>parking_demand_data_2024_ver0!D1880</f>
        <v>85.489541160593703</v>
      </c>
      <c r="L11" s="2">
        <f t="shared" si="9"/>
        <v>0.93134942981838476</v>
      </c>
      <c r="M11" s="2">
        <f t="shared" si="1"/>
        <v>0.62124156768159544</v>
      </c>
      <c r="N11" s="2">
        <f t="shared" si="2"/>
        <v>0.92923414304993157</v>
      </c>
      <c r="O11" s="1">
        <f t="shared" si="3"/>
        <v>379.99056736590097</v>
      </c>
      <c r="P11" s="1">
        <f t="shared" si="4"/>
        <v>575.89093324083899</v>
      </c>
      <c r="Q11" s="1">
        <f t="shared" si="5"/>
        <v>85.489541160593703</v>
      </c>
      <c r="R11" s="2">
        <f t="shared" si="6"/>
        <v>0.93134942981838476</v>
      </c>
      <c r="S11" s="2">
        <f t="shared" si="7"/>
        <v>0.62124156768159544</v>
      </c>
      <c r="T11" s="2">
        <f t="shared" si="8"/>
        <v>0.92923414304993157</v>
      </c>
    </row>
    <row r="12" spans="1:20" x14ac:dyDescent="0.25">
      <c r="B12">
        <v>7</v>
      </c>
      <c r="C12" s="1">
        <v>336.55835562438398</v>
      </c>
      <c r="D12" s="1">
        <v>553.03988194972703</v>
      </c>
      <c r="E12" s="1">
        <v>81.991430499325205</v>
      </c>
      <c r="F12" s="1">
        <f>parking_demand_data_2024_ver0!D129</f>
        <v>336.55835562438398</v>
      </c>
      <c r="G12" s="1">
        <f>parking_demand_data_2024_ver0!D873</f>
        <v>470.08389965726798</v>
      </c>
      <c r="H12" s="1">
        <f>parking_demand_data_2024_ver0!D1881</f>
        <v>81.991430499325205</v>
      </c>
      <c r="L12" s="2">
        <f t="shared" si="9"/>
        <v>0.8248979304519215</v>
      </c>
      <c r="M12" s="2">
        <f t="shared" si="1"/>
        <v>0.50710237287731175</v>
      </c>
      <c r="N12" s="2">
        <f t="shared" si="2"/>
        <v>0.89121120107962182</v>
      </c>
      <c r="O12" s="1">
        <f t="shared" si="3"/>
        <v>336.55835562438398</v>
      </c>
      <c r="P12" s="1">
        <f t="shared" si="4"/>
        <v>470.08389965726798</v>
      </c>
      <c r="Q12" s="1">
        <f t="shared" si="5"/>
        <v>81.991430499325205</v>
      </c>
      <c r="R12" s="2">
        <f t="shared" si="6"/>
        <v>0.8248979304519215</v>
      </c>
      <c r="S12" s="2">
        <f t="shared" si="7"/>
        <v>0.50710237287731175</v>
      </c>
      <c r="T12" s="2">
        <f t="shared" si="8"/>
        <v>0.89121120107962182</v>
      </c>
    </row>
    <row r="13" spans="1:20" x14ac:dyDescent="0.25">
      <c r="B13">
        <v>8</v>
      </c>
      <c r="C13" s="1">
        <v>291.21050260453302</v>
      </c>
      <c r="D13" s="1">
        <v>442.431905559781</v>
      </c>
      <c r="E13" s="1">
        <v>75.709109311740804</v>
      </c>
      <c r="F13" s="1">
        <f>parking_demand_data_2024_ver0!D130</f>
        <v>291.21050260453302</v>
      </c>
      <c r="G13" s="1">
        <f>parking_demand_data_2024_ver0!D874</f>
        <v>376.067119725814</v>
      </c>
      <c r="H13" s="1">
        <f>parking_demand_data_2024_ver0!D1882</f>
        <v>75.709109311740804</v>
      </c>
      <c r="L13" s="2">
        <f t="shared" si="9"/>
        <v>0.71375123187385547</v>
      </c>
      <c r="M13" s="2">
        <f t="shared" si="1"/>
        <v>0.40568189830184898</v>
      </c>
      <c r="N13" s="2">
        <f t="shared" si="2"/>
        <v>0.82292510121457396</v>
      </c>
      <c r="O13" s="1">
        <f t="shared" si="3"/>
        <v>291.21050260453302</v>
      </c>
      <c r="P13" s="1">
        <f t="shared" si="4"/>
        <v>376.067119725814</v>
      </c>
      <c r="Q13" s="1">
        <f t="shared" si="5"/>
        <v>75.709109311740804</v>
      </c>
      <c r="R13" s="2">
        <f t="shared" si="6"/>
        <v>0.71375123187385547</v>
      </c>
      <c r="S13" s="2">
        <f t="shared" si="7"/>
        <v>0.40568189830184898</v>
      </c>
      <c r="T13" s="2">
        <f t="shared" si="8"/>
        <v>0.82292510121457396</v>
      </c>
    </row>
    <row r="14" spans="1:20" x14ac:dyDescent="0.25">
      <c r="B14">
        <v>9</v>
      </c>
      <c r="C14" s="1">
        <v>255.672054061664</v>
      </c>
      <c r="D14" s="1">
        <v>374.06504352979499</v>
      </c>
      <c r="E14" s="1">
        <v>65.179082321187494</v>
      </c>
      <c r="F14" s="1">
        <f>parking_demand_data_2024_ver0!D131</f>
        <v>255.672054061664</v>
      </c>
      <c r="G14" s="1">
        <f>parking_demand_data_2024_ver0!D875</f>
        <v>317.95528700032497</v>
      </c>
      <c r="H14" s="1">
        <f>parking_demand_data_2024_ver0!D1883</f>
        <v>65.179082321187494</v>
      </c>
      <c r="L14" s="2">
        <f t="shared" si="9"/>
        <v>0.62664719132760782</v>
      </c>
      <c r="M14" s="2">
        <f t="shared" si="1"/>
        <v>0.3429938371093042</v>
      </c>
      <c r="N14" s="2">
        <f t="shared" si="2"/>
        <v>0.70846828609986401</v>
      </c>
      <c r="O14" s="1">
        <f t="shared" si="3"/>
        <v>255.672054061664</v>
      </c>
      <c r="P14" s="1">
        <f t="shared" si="4"/>
        <v>317.95528700032497</v>
      </c>
      <c r="Q14" s="1">
        <f t="shared" si="5"/>
        <v>65.179082321187494</v>
      </c>
      <c r="R14" s="2">
        <f t="shared" si="6"/>
        <v>0.62664719132760782</v>
      </c>
      <c r="S14" s="2">
        <f t="shared" si="7"/>
        <v>0.3429938371093042</v>
      </c>
      <c r="T14" s="2">
        <f t="shared" si="8"/>
        <v>0.70846828609986401</v>
      </c>
    </row>
    <row r="15" spans="1:20" x14ac:dyDescent="0.25">
      <c r="B15">
        <v>10</v>
      </c>
      <c r="C15" s="1">
        <v>236.28444319301701</v>
      </c>
      <c r="D15" s="1">
        <v>345.96415342423199</v>
      </c>
      <c r="E15" s="1">
        <v>62.501956815114603</v>
      </c>
      <c r="F15" s="1">
        <f>parking_demand_data_2024_ver0!D132</f>
        <v>236.28444319301701</v>
      </c>
      <c r="G15" s="1">
        <f>parking_demand_data_2024_ver0!D876</f>
        <v>294.069530410597</v>
      </c>
      <c r="H15" s="1">
        <f>parking_demand_data_2024_ver0!D1884</f>
        <v>62.501956815114603</v>
      </c>
      <c r="L15" s="2">
        <f t="shared" si="9"/>
        <v>0.57912853723778679</v>
      </c>
      <c r="M15" s="2">
        <f t="shared" si="1"/>
        <v>0.31722710939654475</v>
      </c>
      <c r="N15" s="2">
        <f t="shared" si="2"/>
        <v>0.6793690958164631</v>
      </c>
      <c r="O15" s="1">
        <f t="shared" si="3"/>
        <v>236.28444319301701</v>
      </c>
      <c r="P15" s="1">
        <f t="shared" si="4"/>
        <v>294.069530410597</v>
      </c>
      <c r="Q15" s="1">
        <f t="shared" si="5"/>
        <v>62.501956815114603</v>
      </c>
      <c r="R15" s="2">
        <f t="shared" si="6"/>
        <v>0.57912853723778679</v>
      </c>
      <c r="S15" s="2">
        <f t="shared" si="7"/>
        <v>0.31722710939654475</v>
      </c>
      <c r="T15" s="2">
        <f t="shared" si="8"/>
        <v>0.6793690958164631</v>
      </c>
    </row>
    <row r="16" spans="1:20" x14ac:dyDescent="0.25">
      <c r="B16">
        <v>11</v>
      </c>
      <c r="C16" s="1">
        <v>230.53751935801699</v>
      </c>
      <c r="D16" s="1">
        <v>343.54011498062101</v>
      </c>
      <c r="E16" s="1">
        <v>64.358097165991794</v>
      </c>
      <c r="F16" s="1">
        <f>parking_demand_data_2024_ver0!D133</f>
        <v>230.53751935801699</v>
      </c>
      <c r="G16" s="1">
        <f>parking_demand_data_2024_ver0!D877</f>
        <v>292.00909773352799</v>
      </c>
      <c r="H16" s="1">
        <f>parking_demand_data_2024_ver0!D1885</f>
        <v>64.358097165991794</v>
      </c>
      <c r="L16" s="2">
        <f t="shared" si="9"/>
        <v>0.5650429396029828</v>
      </c>
      <c r="M16" s="2">
        <f t="shared" si="1"/>
        <v>0.31500442042451782</v>
      </c>
      <c r="N16" s="2">
        <f t="shared" si="2"/>
        <v>0.69954453441295428</v>
      </c>
      <c r="O16" s="1">
        <f t="shared" si="3"/>
        <v>230.53751935801699</v>
      </c>
      <c r="P16" s="1">
        <f t="shared" si="4"/>
        <v>292.00909773352799</v>
      </c>
      <c r="Q16" s="1">
        <f t="shared" si="5"/>
        <v>64.358097165991794</v>
      </c>
      <c r="R16" s="2">
        <f t="shared" si="6"/>
        <v>0.5650429396029828</v>
      </c>
      <c r="S16" s="2">
        <f t="shared" si="7"/>
        <v>0.31500442042451782</v>
      </c>
      <c r="T16" s="2">
        <f t="shared" si="8"/>
        <v>0.69954453441295428</v>
      </c>
    </row>
    <row r="17" spans="2:20" x14ac:dyDescent="0.25">
      <c r="B17">
        <v>12</v>
      </c>
      <c r="C17" s="1">
        <v>232.717387019569</v>
      </c>
      <c r="D17" s="1">
        <v>352.92204154941197</v>
      </c>
      <c r="E17" s="1">
        <v>63.751282051281997</v>
      </c>
      <c r="F17" s="1">
        <f>parking_demand_data_2024_ver0!D134</f>
        <v>232.717387019569</v>
      </c>
      <c r="G17" s="1">
        <f>parking_demand_data_2024_ver0!D878</f>
        <v>299.98373531700003</v>
      </c>
      <c r="H17" s="1">
        <f>parking_demand_data_2024_ver0!D1886</f>
        <v>63.751282051281997</v>
      </c>
      <c r="L17" s="2">
        <f t="shared" si="9"/>
        <v>0.57038575249894363</v>
      </c>
      <c r="M17" s="2">
        <f t="shared" si="1"/>
        <v>0.32360704996440132</v>
      </c>
      <c r="N17" s="2">
        <f t="shared" si="2"/>
        <v>0.69294871794871737</v>
      </c>
      <c r="O17" s="1">
        <f t="shared" si="3"/>
        <v>232.717387019569</v>
      </c>
      <c r="P17" s="1">
        <f t="shared" si="4"/>
        <v>299.98373531700003</v>
      </c>
      <c r="Q17" s="1">
        <f t="shared" si="5"/>
        <v>63.751282051281997</v>
      </c>
      <c r="R17" s="2">
        <f t="shared" si="6"/>
        <v>0.57038575249894363</v>
      </c>
      <c r="S17" s="2">
        <f t="shared" si="7"/>
        <v>0.32360704996440132</v>
      </c>
      <c r="T17" s="2">
        <f t="shared" si="8"/>
        <v>0.69294871794871737</v>
      </c>
    </row>
    <row r="18" spans="2:20" x14ac:dyDescent="0.25">
      <c r="B18">
        <v>13</v>
      </c>
      <c r="C18" s="1">
        <v>238.332197662959</v>
      </c>
      <c r="D18" s="1">
        <v>368.857849836112</v>
      </c>
      <c r="E18" s="1">
        <v>69.248313090418307</v>
      </c>
      <c r="F18" s="1">
        <f>parking_demand_data_2024_ver0!D135</f>
        <v>238.332197662959</v>
      </c>
      <c r="G18" s="1">
        <f>parking_demand_data_2024_ver0!D879</f>
        <v>313.52917236069499</v>
      </c>
      <c r="H18" s="1">
        <f>parking_demand_data_2024_ver0!D1887</f>
        <v>69.248313090418307</v>
      </c>
      <c r="L18" s="2">
        <f t="shared" si="9"/>
        <v>0.58414754329156615</v>
      </c>
      <c r="M18" s="2">
        <f t="shared" si="1"/>
        <v>0.33821917191013484</v>
      </c>
      <c r="N18" s="2">
        <f t="shared" si="2"/>
        <v>0.75269905533063375</v>
      </c>
      <c r="O18" s="1">
        <f t="shared" si="3"/>
        <v>238.332197662959</v>
      </c>
      <c r="P18" s="1">
        <f t="shared" si="4"/>
        <v>313.52917236069499</v>
      </c>
      <c r="Q18" s="1">
        <f t="shared" si="5"/>
        <v>69.248313090418307</v>
      </c>
      <c r="R18" s="2">
        <f t="shared" si="6"/>
        <v>0.58414754329156615</v>
      </c>
      <c r="S18" s="2">
        <f t="shared" si="7"/>
        <v>0.33821917191013484</v>
      </c>
      <c r="T18" s="2">
        <f t="shared" si="8"/>
        <v>0.75269905533063375</v>
      </c>
    </row>
    <row r="19" spans="2:20" x14ac:dyDescent="0.25">
      <c r="B19">
        <v>14</v>
      </c>
      <c r="C19" s="1">
        <v>241.50291426157901</v>
      </c>
      <c r="D19" s="1">
        <v>395.70183111906198</v>
      </c>
      <c r="E19" s="1">
        <v>70.997368421052599</v>
      </c>
      <c r="F19" s="1">
        <f>parking_demand_data_2024_ver0!D136</f>
        <v>241.50291426157901</v>
      </c>
      <c r="G19" s="1">
        <f>parking_demand_data_2024_ver0!D880</f>
        <v>336.34655645120199</v>
      </c>
      <c r="H19" s="1">
        <f>parking_demand_data_2024_ver0!D1888</f>
        <v>70.997368421052599</v>
      </c>
      <c r="L19" s="2">
        <f t="shared" si="9"/>
        <v>0.59191890750387011</v>
      </c>
      <c r="M19" s="2">
        <f t="shared" si="1"/>
        <v>0.36283339422999134</v>
      </c>
      <c r="N19" s="2">
        <f t="shared" si="2"/>
        <v>0.77171052631578907</v>
      </c>
      <c r="O19" s="1">
        <f t="shared" si="3"/>
        <v>241.50291426157901</v>
      </c>
      <c r="P19" s="1">
        <f t="shared" si="4"/>
        <v>336.34655645120199</v>
      </c>
      <c r="Q19" s="1">
        <f t="shared" si="5"/>
        <v>70.997368421052599</v>
      </c>
      <c r="R19" s="2">
        <f t="shared" si="6"/>
        <v>0.59191890750387011</v>
      </c>
      <c r="S19" s="2">
        <f t="shared" si="7"/>
        <v>0.36283339422999134</v>
      </c>
      <c r="T19" s="2">
        <f t="shared" si="8"/>
        <v>0.77171052631578907</v>
      </c>
    </row>
    <row r="20" spans="2:20" x14ac:dyDescent="0.25">
      <c r="B20">
        <v>15</v>
      </c>
      <c r="C20" s="1">
        <v>249.79301703505499</v>
      </c>
      <c r="D20" s="1">
        <v>434.57622541845001</v>
      </c>
      <c r="E20" s="1">
        <v>77.422469635627493</v>
      </c>
      <c r="F20" s="1">
        <f>parking_demand_data_2024_ver0!D137</f>
        <v>249.79301703505499</v>
      </c>
      <c r="G20" s="1">
        <f>parking_demand_data_2024_ver0!D881</f>
        <v>369.38979160568198</v>
      </c>
      <c r="H20" s="1">
        <f>parking_demand_data_2024_ver0!D1889</f>
        <v>77.422469635627493</v>
      </c>
      <c r="L20" s="2">
        <f t="shared" si="9"/>
        <v>0.61223778685062502</v>
      </c>
      <c r="M20" s="2">
        <f t="shared" si="1"/>
        <v>0.39847873959620494</v>
      </c>
      <c r="N20" s="2">
        <f t="shared" si="2"/>
        <v>0.84154858299595103</v>
      </c>
      <c r="O20" s="1">
        <f t="shared" si="3"/>
        <v>249.79301703505499</v>
      </c>
      <c r="P20" s="1">
        <f t="shared" si="4"/>
        <v>369.38979160568198</v>
      </c>
      <c r="Q20" s="1">
        <f t="shared" si="5"/>
        <v>77.422469635627493</v>
      </c>
      <c r="R20" s="2">
        <f t="shared" si="6"/>
        <v>0.61223778685062502</v>
      </c>
      <c r="S20" s="2">
        <f t="shared" si="7"/>
        <v>0.39847873959620494</v>
      </c>
      <c r="T20" s="2">
        <f t="shared" si="8"/>
        <v>0.84154858299595103</v>
      </c>
    </row>
    <row r="21" spans="2:20" x14ac:dyDescent="0.25">
      <c r="B21">
        <v>16</v>
      </c>
      <c r="C21" s="1">
        <v>282.62314514993602</v>
      </c>
      <c r="D21" s="1">
        <v>486.37882475042898</v>
      </c>
      <c r="E21" s="1">
        <v>78.957354925775903</v>
      </c>
      <c r="F21" s="1">
        <f>parking_demand_data_2024_ver0!D138</f>
        <v>282.62314514993602</v>
      </c>
      <c r="G21" s="1">
        <f>parking_demand_data_2024_ver0!D882</f>
        <v>413.42200103786502</v>
      </c>
      <c r="H21" s="1">
        <f>parking_demand_data_2024_ver0!D1890</f>
        <v>78.957354925775903</v>
      </c>
      <c r="L21" s="2">
        <f t="shared" si="9"/>
        <v>0.69270378713219616</v>
      </c>
      <c r="M21" s="2">
        <f t="shared" si="1"/>
        <v>0.44597842614656419</v>
      </c>
      <c r="N21" s="2">
        <f t="shared" si="2"/>
        <v>0.85823211875843375</v>
      </c>
      <c r="O21" s="1">
        <f t="shared" si="3"/>
        <v>282.62314514993602</v>
      </c>
      <c r="P21" s="1">
        <f t="shared" si="4"/>
        <v>413.42200103786502</v>
      </c>
      <c r="Q21" s="1">
        <f t="shared" si="5"/>
        <v>78.957354925775903</v>
      </c>
      <c r="R21" s="2">
        <f t="shared" si="6"/>
        <v>0.69270378713219616</v>
      </c>
      <c r="S21" s="2">
        <f t="shared" si="7"/>
        <v>0.44597842614656419</v>
      </c>
      <c r="T21" s="2">
        <f t="shared" si="8"/>
        <v>0.85823211875843375</v>
      </c>
    </row>
    <row r="22" spans="2:20" x14ac:dyDescent="0.25">
      <c r="B22">
        <v>17</v>
      </c>
      <c r="C22" s="1">
        <v>319.68089539631097</v>
      </c>
      <c r="D22" s="1">
        <v>553.98256356668696</v>
      </c>
      <c r="E22" s="1">
        <v>84.739946018893306</v>
      </c>
      <c r="F22" s="1">
        <f>parking_demand_data_2024_ver0!D139</f>
        <v>319.68089539631097</v>
      </c>
      <c r="G22" s="1">
        <f>parking_demand_data_2024_ver0!D883</f>
        <v>470.88517903168298</v>
      </c>
      <c r="H22" s="1">
        <f>parking_demand_data_2024_ver0!D1891</f>
        <v>84.739946018893306</v>
      </c>
      <c r="L22" s="2">
        <f t="shared" si="9"/>
        <v>0.78353160636350727</v>
      </c>
      <c r="M22" s="2">
        <f t="shared" si="1"/>
        <v>0.50796675192198815</v>
      </c>
      <c r="N22" s="2">
        <f t="shared" si="2"/>
        <v>0.92108636977057945</v>
      </c>
      <c r="O22" s="1">
        <f t="shared" si="3"/>
        <v>319.68089539631097</v>
      </c>
      <c r="P22" s="1">
        <f t="shared" si="4"/>
        <v>470.88517903168298</v>
      </c>
      <c r="Q22" s="1">
        <f t="shared" si="5"/>
        <v>84.739946018893306</v>
      </c>
      <c r="R22" s="2">
        <f t="shared" si="6"/>
        <v>0.78353160636350727</v>
      </c>
      <c r="S22" s="2">
        <f t="shared" si="7"/>
        <v>0.50796675192198815</v>
      </c>
      <c r="T22" s="2">
        <f t="shared" si="8"/>
        <v>0.92108636977057945</v>
      </c>
    </row>
    <row r="23" spans="2:20" x14ac:dyDescent="0.25">
      <c r="B23">
        <v>18</v>
      </c>
      <c r="C23" s="1">
        <v>357.92766436716801</v>
      </c>
      <c r="D23" s="1">
        <v>627.24239208470203</v>
      </c>
      <c r="E23" s="1">
        <v>91.629082321187497</v>
      </c>
      <c r="F23" s="1">
        <f>parking_demand_data_2024_ver0!D140</f>
        <v>357.92766436716801</v>
      </c>
      <c r="G23" s="1">
        <f>parking_demand_data_2024_ver0!D884</f>
        <v>533.15603327199699</v>
      </c>
      <c r="H23" s="1">
        <f>parking_demand_data_2024_ver0!D1892</f>
        <v>91.629082321187497</v>
      </c>
      <c r="L23" s="2">
        <f t="shared" si="9"/>
        <v>0.87727368717443144</v>
      </c>
      <c r="M23" s="2">
        <f t="shared" si="1"/>
        <v>0.57514135196547678</v>
      </c>
      <c r="N23" s="2">
        <f t="shared" si="2"/>
        <v>0.9959682860998641</v>
      </c>
      <c r="O23" s="1">
        <f t="shared" si="3"/>
        <v>357.92766436716801</v>
      </c>
      <c r="P23" s="1">
        <f t="shared" si="4"/>
        <v>533.15603327199699</v>
      </c>
      <c r="Q23" s="1">
        <f t="shared" si="5"/>
        <v>91.629082321187497</v>
      </c>
      <c r="R23" s="2">
        <f t="shared" si="6"/>
        <v>0.87727368717443144</v>
      </c>
      <c r="S23" s="2">
        <f t="shared" si="7"/>
        <v>0.57514135196547678</v>
      </c>
      <c r="T23" s="2">
        <f t="shared" si="8"/>
        <v>0.9959682860998641</v>
      </c>
    </row>
    <row r="24" spans="2:20" x14ac:dyDescent="0.25">
      <c r="B24">
        <v>19</v>
      </c>
      <c r="C24" s="1">
        <v>393.73033929325601</v>
      </c>
      <c r="D24" s="1">
        <v>705.08095988509399</v>
      </c>
      <c r="E24" s="1">
        <v>96.554993252361598</v>
      </c>
      <c r="F24" s="1">
        <f>parking_demand_data_2024_ver0!D141</f>
        <v>393.73033929325601</v>
      </c>
      <c r="G24" s="1">
        <f>parking_demand_data_2024_ver0!D885</f>
        <v>599.31881590233002</v>
      </c>
      <c r="H24" s="1">
        <f>parking_demand_data_2024_ver0!D1893</f>
        <v>96.554993252361598</v>
      </c>
      <c r="L24" s="2">
        <f>F24/F$4</f>
        <v>0.96502534140503926</v>
      </c>
      <c r="M24" s="2">
        <f t="shared" si="1"/>
        <v>0.64651436451168287</v>
      </c>
      <c r="N24" s="2">
        <f t="shared" si="2"/>
        <v>1.0495107962213217</v>
      </c>
      <c r="O24" s="1">
        <f t="shared" si="3"/>
        <v>393.73033929325601</v>
      </c>
      <c r="P24" s="1">
        <f t="shared" si="4"/>
        <v>599.31881590233002</v>
      </c>
      <c r="Q24" s="1">
        <f t="shared" si="5"/>
        <v>96.554993252361598</v>
      </c>
      <c r="R24" s="2">
        <f t="shared" si="6"/>
        <v>0.96502534140503926</v>
      </c>
      <c r="S24" s="2">
        <f t="shared" si="7"/>
        <v>0.64651436451168287</v>
      </c>
      <c r="T24" s="2">
        <f t="shared" si="8"/>
        <v>1.0495107962213217</v>
      </c>
    </row>
    <row r="25" spans="2:20" x14ac:dyDescent="0.25">
      <c r="B25">
        <v>20</v>
      </c>
      <c r="C25" s="1">
        <v>419.16212867802301</v>
      </c>
      <c r="D25" s="1">
        <v>771.96646508843003</v>
      </c>
      <c r="E25" s="1">
        <v>97.982793522267102</v>
      </c>
      <c r="F25" s="1">
        <f>parking_demand_data_2024_ver0!D142</f>
        <v>419.16212867802301</v>
      </c>
      <c r="G25" s="1">
        <f>parking_demand_data_2024_ver0!D886</f>
        <v>656.17149532516498</v>
      </c>
      <c r="H25" s="1">
        <f>parking_demand_data_2024_ver0!D1894</f>
        <v>97.982793522267201</v>
      </c>
      <c r="I25">
        <v>1</v>
      </c>
      <c r="L25" s="2">
        <f t="shared" si="9"/>
        <v>1.0273581585245661</v>
      </c>
      <c r="M25" s="2">
        <f t="shared" si="1"/>
        <v>0.707844115776877</v>
      </c>
      <c r="N25" s="2">
        <f t="shared" si="2"/>
        <v>1.0650303643724697</v>
      </c>
      <c r="O25" s="1">
        <f t="shared" si="3"/>
        <v>419.16212867802301</v>
      </c>
      <c r="P25" s="1">
        <f t="shared" si="4"/>
        <v>656.17149532516498</v>
      </c>
      <c r="Q25" s="1">
        <f t="shared" si="5"/>
        <v>97.982793522267201</v>
      </c>
      <c r="R25" s="2">
        <f t="shared" si="6"/>
        <v>1.0273581585245661</v>
      </c>
      <c r="S25" s="2">
        <f t="shared" si="7"/>
        <v>0.707844115776877</v>
      </c>
      <c r="T25" s="2">
        <f t="shared" si="8"/>
        <v>1.0650303643724697</v>
      </c>
    </row>
    <row r="26" spans="2:20" x14ac:dyDescent="0.25">
      <c r="B26">
        <v>21</v>
      </c>
      <c r="C26" s="1">
        <v>439.40847529212999</v>
      </c>
      <c r="D26" s="1">
        <v>820.67168196468401</v>
      </c>
      <c r="E26" s="1">
        <v>100.909784075573</v>
      </c>
      <c r="F26" s="1">
        <f>parking_demand_data_2024_ver0!D143</f>
        <v>439.40847529212999</v>
      </c>
      <c r="G26" s="1">
        <f>parking_demand_data_2024_ver0!D887</f>
        <v>697.57092966998096</v>
      </c>
      <c r="H26" s="1">
        <f>parking_demand_data_2024_ver0!D1895</f>
        <v>100.909784075573</v>
      </c>
      <c r="I26">
        <v>1</v>
      </c>
      <c r="J26">
        <v>0.7</v>
      </c>
      <c r="K26">
        <v>1</v>
      </c>
      <c r="L26" s="2">
        <f t="shared" si="9"/>
        <v>1.0769815570885539</v>
      </c>
      <c r="M26" s="2">
        <f>G26/G$4</f>
        <v>0.75250369975186726</v>
      </c>
      <c r="N26" s="2">
        <f t="shared" si="2"/>
        <v>1.0968454790823152</v>
      </c>
      <c r="O26" s="1">
        <f t="shared" si="3"/>
        <v>439.40847529212999</v>
      </c>
      <c r="P26" s="1">
        <f t="shared" si="4"/>
        <v>697.57092966998096</v>
      </c>
      <c r="Q26" s="1">
        <f t="shared" si="5"/>
        <v>100.909784075573</v>
      </c>
      <c r="R26" s="2">
        <f t="shared" si="6"/>
        <v>1.0769815570885539</v>
      </c>
      <c r="S26" s="2">
        <f t="shared" si="7"/>
        <v>0.75250369975186726</v>
      </c>
      <c r="T26" s="2">
        <f t="shared" si="8"/>
        <v>1.0968454790823152</v>
      </c>
    </row>
    <row r="27" spans="2:20" x14ac:dyDescent="0.25">
      <c r="B27">
        <v>22</v>
      </c>
      <c r="C27" s="1">
        <v>449.48210615232898</v>
      </c>
      <c r="D27" s="1">
        <v>859.90519307053296</v>
      </c>
      <c r="E27" s="1">
        <v>102.873009446693</v>
      </c>
      <c r="F27" s="1">
        <f>parking_demand_data_2024_ver0!D144</f>
        <v>449.48210615233</v>
      </c>
      <c r="G27" s="1">
        <f>parking_demand_data_2024_ver0!D888</f>
        <v>730.91941410995298</v>
      </c>
      <c r="H27" s="1">
        <f>parking_demand_data_2024_ver0!D1896</f>
        <v>102.873009446693</v>
      </c>
      <c r="I27">
        <v>1</v>
      </c>
      <c r="J27">
        <v>0.7</v>
      </c>
      <c r="K27">
        <v>1</v>
      </c>
      <c r="L27" s="2">
        <f t="shared" si="9"/>
        <v>1.1016718288047305</v>
      </c>
      <c r="M27" s="2">
        <f t="shared" si="1"/>
        <v>0.78847833237319631</v>
      </c>
      <c r="N27" s="2">
        <f t="shared" si="2"/>
        <v>1.1181848852901413</v>
      </c>
      <c r="O27" s="1">
        <f t="shared" si="3"/>
        <v>449.48210615233</v>
      </c>
      <c r="P27" s="1">
        <f t="shared" si="4"/>
        <v>730.91941410995298</v>
      </c>
      <c r="Q27" s="1">
        <f t="shared" si="5"/>
        <v>102.873009446693</v>
      </c>
      <c r="R27" s="2">
        <f t="shared" si="6"/>
        <v>1.1016718288047305</v>
      </c>
      <c r="S27" s="2">
        <f t="shared" si="7"/>
        <v>0.78847833237319631</v>
      </c>
      <c r="T27" s="2">
        <f t="shared" si="8"/>
        <v>1.1181848852901413</v>
      </c>
    </row>
    <row r="28" spans="2:20" x14ac:dyDescent="0.25">
      <c r="B28">
        <v>23</v>
      </c>
      <c r="C28" s="1">
        <v>458.036435309024</v>
      </c>
      <c r="D28" s="1">
        <v>893.43772487381602</v>
      </c>
      <c r="E28" s="1">
        <v>103.693994601889</v>
      </c>
      <c r="F28" s="1">
        <f>parking_demand_data_2024_ver0!D145</f>
        <v>458.036435309024</v>
      </c>
      <c r="G28" s="1">
        <f>parking_demand_data_2024_ver0!D889</f>
        <v>759.42206614274403</v>
      </c>
      <c r="H28" s="1">
        <f>parking_demand_data_2024_ver0!D1897</f>
        <v>103.693994601889</v>
      </c>
      <c r="I28">
        <v>1</v>
      </c>
      <c r="J28">
        <v>0.7</v>
      </c>
      <c r="K28">
        <v>1</v>
      </c>
      <c r="L28" s="2">
        <f t="shared" si="9"/>
        <v>1.1226383218358431</v>
      </c>
      <c r="M28" s="2">
        <f t="shared" si="1"/>
        <v>0.81922552981957286</v>
      </c>
      <c r="N28" s="2">
        <f t="shared" si="2"/>
        <v>1.1271086369770544</v>
      </c>
      <c r="O28" s="1">
        <f t="shared" si="3"/>
        <v>458.036435309024</v>
      </c>
      <c r="P28" s="1">
        <f t="shared" si="4"/>
        <v>759.42206614274403</v>
      </c>
      <c r="Q28" s="1">
        <f t="shared" si="5"/>
        <v>103.693994601889</v>
      </c>
      <c r="R28" s="2">
        <f t="shared" si="6"/>
        <v>1.1226383218358431</v>
      </c>
      <c r="S28" s="2">
        <f t="shared" si="7"/>
        <v>0.81922552981957286</v>
      </c>
      <c r="T28" s="2">
        <f t="shared" si="8"/>
        <v>1.1271086369770544</v>
      </c>
    </row>
    <row r="30" spans="2:20" x14ac:dyDescent="0.25">
      <c r="I30" s="4" t="s">
        <v>131</v>
      </c>
      <c r="J30" s="4"/>
    </row>
    <row r="31" spans="2:20" x14ac:dyDescent="0.25">
      <c r="I31" s="4">
        <v>1</v>
      </c>
      <c r="J31" s="4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3959EC-1DE5-4E9A-A2E2-E94F135C9616}">
  <dimension ref="A1:T2209"/>
  <sheetViews>
    <sheetView tabSelected="1" workbookViewId="0">
      <selection activeCell="O1" sqref="O1"/>
    </sheetView>
  </sheetViews>
  <sheetFormatPr defaultRowHeight="15" x14ac:dyDescent="0.25"/>
  <cols>
    <col min="1" max="1" width="11" bestFit="1" customWidth="1"/>
    <col min="2" max="2" width="19.42578125" bestFit="1" customWidth="1"/>
    <col min="3" max="3" width="5.140625" bestFit="1" customWidth="1"/>
    <col min="4" max="4" width="42.140625" bestFit="1" customWidth="1"/>
    <col min="5" max="5" width="44.42578125" bestFit="1" customWidth="1"/>
    <col min="6" max="6" width="36.140625" bestFit="1" customWidth="1"/>
    <col min="7" max="7" width="22.5703125" hidden="1" customWidth="1"/>
    <col min="8" max="8" width="31.28515625" hidden="1" customWidth="1"/>
    <col min="9" max="9" width="34.28515625" hidden="1" customWidth="1"/>
    <col min="10" max="10" width="31.85546875" style="6" hidden="1" customWidth="1"/>
    <col min="11" max="11" width="30.85546875" hidden="1" customWidth="1"/>
    <col min="12" max="12" width="33.85546875" hidden="1" customWidth="1"/>
    <col min="13" max="13" width="31.42578125" hidden="1" customWidth="1"/>
    <col min="14" max="14" width="28" bestFit="1" customWidth="1"/>
    <col min="15" max="15" width="34.42578125" bestFit="1" customWidth="1"/>
    <col min="16" max="16" width="37.28515625" bestFit="1" customWidth="1"/>
    <col min="17" max="17" width="35" bestFit="1" customWidth="1"/>
    <col min="18" max="18" width="34" bestFit="1" customWidth="1"/>
    <col min="19" max="19" width="36.85546875" bestFit="1" customWidth="1"/>
    <col min="20" max="20" width="34.5703125" bestFit="1" customWidth="1"/>
  </cols>
  <sheetData>
    <row r="1" spans="1:20" x14ac:dyDescent="0.25">
      <c r="A1" t="s">
        <v>10</v>
      </c>
      <c r="B1" t="s">
        <v>11</v>
      </c>
      <c r="C1" t="s">
        <v>12</v>
      </c>
      <c r="D1" t="s">
        <v>13</v>
      </c>
      <c r="E1" t="s">
        <v>14</v>
      </c>
      <c r="F1" t="s">
        <v>132</v>
      </c>
      <c r="G1" t="s">
        <v>15</v>
      </c>
      <c r="H1" t="s">
        <v>16</v>
      </c>
      <c r="I1" t="s">
        <v>17</v>
      </c>
      <c r="J1" t="s">
        <v>18</v>
      </c>
      <c r="K1" t="s">
        <v>19</v>
      </c>
      <c r="L1" t="s">
        <v>20</v>
      </c>
      <c r="M1" t="s">
        <v>21</v>
      </c>
      <c r="N1" t="s">
        <v>22</v>
      </c>
      <c r="O1" t="s">
        <v>23</v>
      </c>
      <c r="P1" t="s">
        <v>24</v>
      </c>
      <c r="Q1" t="s">
        <v>25</v>
      </c>
      <c r="R1" t="s">
        <v>26</v>
      </c>
      <c r="S1" t="s">
        <v>27</v>
      </c>
      <c r="T1" t="s">
        <v>28</v>
      </c>
    </row>
    <row r="2" spans="1:20" x14ac:dyDescent="0.25">
      <c r="A2">
        <v>18001</v>
      </c>
      <c r="B2" t="s">
        <v>29</v>
      </c>
      <c r="C2">
        <v>0</v>
      </c>
      <c r="D2" s="3">
        <f>parking_demand_data_2024_ver0!D2*calibration!$I$31</f>
        <v>17.063529144951499</v>
      </c>
      <c r="E2" s="3">
        <f>parking_demand_data_2024_ver0!E2*calibration!$I$31</f>
        <v>0</v>
      </c>
      <c r="F2" s="3">
        <f>SUM(D2:E2)</f>
        <v>17.063529144951499</v>
      </c>
      <c r="G2" s="3">
        <f>parking_demand_data_2024_ver0!F2</f>
        <v>1</v>
      </c>
      <c r="H2" s="3">
        <f>parking_demand_data_2024_ver0!G2</f>
        <v>0</v>
      </c>
      <c r="I2" s="3">
        <f>parking_demand_data_2024_ver0!H2</f>
        <v>0</v>
      </c>
      <c r="J2" s="3">
        <f>parking_demand_data_2024_ver0!I2</f>
        <v>1</v>
      </c>
      <c r="K2" s="3">
        <f>parking_demand_data_2024_ver0!J2</f>
        <v>0</v>
      </c>
      <c r="L2" s="3">
        <f>parking_demand_data_2024_ver0!K2</f>
        <v>0</v>
      </c>
      <c r="M2" s="3">
        <f>parking_demand_data_2024_ver0!L2</f>
        <v>0</v>
      </c>
      <c r="N2" s="3">
        <f>parking_demand_data_2024_ver0!M2</f>
        <v>30</v>
      </c>
      <c r="O2" s="3">
        <f>parking_demand_data_2024_ver0!N2</f>
        <v>0</v>
      </c>
      <c r="P2" s="3">
        <f>parking_demand_data_2024_ver0!O2</f>
        <v>0</v>
      </c>
      <c r="Q2" s="3">
        <f>parking_demand_data_2024_ver0!P2</f>
        <v>30</v>
      </c>
      <c r="R2" s="3">
        <f>parking_demand_data_2024_ver0!Q2</f>
        <v>0</v>
      </c>
      <c r="S2" s="3">
        <f>parking_demand_data_2024_ver0!R2</f>
        <v>0</v>
      </c>
      <c r="T2" s="3">
        <f>parking_demand_data_2024_ver0!S2</f>
        <v>0</v>
      </c>
    </row>
    <row r="3" spans="1:20" x14ac:dyDescent="0.25">
      <c r="A3">
        <v>18001</v>
      </c>
      <c r="B3" t="s">
        <v>29</v>
      </c>
      <c r="C3">
        <v>1</v>
      </c>
      <c r="D3" s="3">
        <f>parking_demand_data_2024_ver0!D3*calibration!$I$31</f>
        <v>17.732687150635901</v>
      </c>
      <c r="E3" s="3">
        <f>parking_demand_data_2024_ver0!E3*calibration!$I$31</f>
        <v>0</v>
      </c>
      <c r="F3" s="3">
        <f t="shared" ref="F3:F66" si="0">SUM(D3:E3)</f>
        <v>17.732687150635901</v>
      </c>
      <c r="G3" s="3">
        <f>parking_demand_data_2024_ver0!F3</f>
        <v>1</v>
      </c>
      <c r="H3" s="3">
        <f>parking_demand_data_2024_ver0!G3</f>
        <v>0</v>
      </c>
      <c r="I3" s="3">
        <f>parking_demand_data_2024_ver0!H3</f>
        <v>0</v>
      </c>
      <c r="J3" s="3">
        <f>parking_demand_data_2024_ver0!I3</f>
        <v>1</v>
      </c>
      <c r="K3" s="3">
        <f>parking_demand_data_2024_ver0!J3</f>
        <v>0</v>
      </c>
      <c r="L3" s="3">
        <f>parking_demand_data_2024_ver0!K3</f>
        <v>0</v>
      </c>
      <c r="M3" s="3">
        <f>parking_demand_data_2024_ver0!L3</f>
        <v>0</v>
      </c>
      <c r="N3" s="3">
        <f>parking_demand_data_2024_ver0!M3</f>
        <v>30</v>
      </c>
      <c r="O3" s="3">
        <f>parking_demand_data_2024_ver0!N3</f>
        <v>0</v>
      </c>
      <c r="P3" s="3">
        <f>parking_demand_data_2024_ver0!O3</f>
        <v>0</v>
      </c>
      <c r="Q3" s="3">
        <f>parking_demand_data_2024_ver0!P3</f>
        <v>30</v>
      </c>
      <c r="R3" s="3">
        <f>parking_demand_data_2024_ver0!Q3</f>
        <v>0</v>
      </c>
      <c r="S3" s="3">
        <f>parking_demand_data_2024_ver0!R3</f>
        <v>0</v>
      </c>
      <c r="T3" s="3">
        <f>parking_demand_data_2024_ver0!S3</f>
        <v>0</v>
      </c>
    </row>
    <row r="4" spans="1:20" x14ac:dyDescent="0.25">
      <c r="A4">
        <v>18001</v>
      </c>
      <c r="B4" t="s">
        <v>29</v>
      </c>
      <c r="C4">
        <v>2</v>
      </c>
      <c r="D4" s="3">
        <f>parking_demand_data_2024_ver0!D4*calibration!$I$31</f>
        <v>17.9334345523412</v>
      </c>
      <c r="E4" s="3">
        <f>parking_demand_data_2024_ver0!E4*calibration!$I$31</f>
        <v>0</v>
      </c>
      <c r="F4" s="3">
        <f t="shared" si="0"/>
        <v>17.9334345523412</v>
      </c>
      <c r="G4" s="3">
        <f>parking_demand_data_2024_ver0!F4</f>
        <v>1</v>
      </c>
      <c r="H4" s="3">
        <f>parking_demand_data_2024_ver0!G4</f>
        <v>0</v>
      </c>
      <c r="I4" s="3">
        <f>parking_demand_data_2024_ver0!H4</f>
        <v>0</v>
      </c>
      <c r="J4" s="3">
        <f>parking_demand_data_2024_ver0!I4</f>
        <v>1</v>
      </c>
      <c r="K4" s="3">
        <f>parking_demand_data_2024_ver0!J4</f>
        <v>0</v>
      </c>
      <c r="L4" s="3">
        <f>parking_demand_data_2024_ver0!K4</f>
        <v>0</v>
      </c>
      <c r="M4" s="3">
        <f>parking_demand_data_2024_ver0!L4</f>
        <v>0</v>
      </c>
      <c r="N4" s="3">
        <f>parking_demand_data_2024_ver0!M4</f>
        <v>30</v>
      </c>
      <c r="O4" s="3">
        <f>parking_demand_data_2024_ver0!N4</f>
        <v>0</v>
      </c>
      <c r="P4" s="3">
        <f>parking_demand_data_2024_ver0!O4</f>
        <v>0</v>
      </c>
      <c r="Q4" s="3">
        <f>parking_demand_data_2024_ver0!P4</f>
        <v>30</v>
      </c>
      <c r="R4" s="3">
        <f>parking_demand_data_2024_ver0!Q4</f>
        <v>0</v>
      </c>
      <c r="S4" s="3">
        <f>parking_demand_data_2024_ver0!R4</f>
        <v>0</v>
      </c>
      <c r="T4" s="3">
        <f>parking_demand_data_2024_ver0!S4</f>
        <v>0</v>
      </c>
    </row>
    <row r="5" spans="1:20" x14ac:dyDescent="0.25">
      <c r="A5">
        <v>18001</v>
      </c>
      <c r="B5" t="s">
        <v>29</v>
      </c>
      <c r="C5">
        <v>3</v>
      </c>
      <c r="D5" s="3">
        <f>parking_demand_data_2024_ver0!D5*calibration!$I$31</f>
        <v>18.201097754614999</v>
      </c>
      <c r="E5" s="3">
        <f>parking_demand_data_2024_ver0!E5*calibration!$I$31</f>
        <v>0</v>
      </c>
      <c r="F5" s="3">
        <f t="shared" si="0"/>
        <v>18.201097754614999</v>
      </c>
      <c r="G5" s="3">
        <f>parking_demand_data_2024_ver0!F5</f>
        <v>1</v>
      </c>
      <c r="H5" s="3">
        <f>parking_demand_data_2024_ver0!G5</f>
        <v>0</v>
      </c>
      <c r="I5" s="3">
        <f>parking_demand_data_2024_ver0!H5</f>
        <v>0</v>
      </c>
      <c r="J5" s="3">
        <f>parking_demand_data_2024_ver0!I5</f>
        <v>1</v>
      </c>
      <c r="K5" s="3">
        <f>parking_demand_data_2024_ver0!J5</f>
        <v>0</v>
      </c>
      <c r="L5" s="3">
        <f>parking_demand_data_2024_ver0!K5</f>
        <v>0</v>
      </c>
      <c r="M5" s="3">
        <f>parking_demand_data_2024_ver0!L5</f>
        <v>0</v>
      </c>
      <c r="N5" s="3">
        <f>parking_demand_data_2024_ver0!M5</f>
        <v>30</v>
      </c>
      <c r="O5" s="3">
        <f>parking_demand_data_2024_ver0!N5</f>
        <v>0</v>
      </c>
      <c r="P5" s="3">
        <f>parking_demand_data_2024_ver0!O5</f>
        <v>0</v>
      </c>
      <c r="Q5" s="3">
        <f>parking_demand_data_2024_ver0!P5</f>
        <v>30</v>
      </c>
      <c r="R5" s="3">
        <f>parking_demand_data_2024_ver0!Q5</f>
        <v>0</v>
      </c>
      <c r="S5" s="3">
        <f>parking_demand_data_2024_ver0!R5</f>
        <v>0</v>
      </c>
      <c r="T5" s="3">
        <f>parking_demand_data_2024_ver0!S5</f>
        <v>0</v>
      </c>
    </row>
    <row r="6" spans="1:20" x14ac:dyDescent="0.25">
      <c r="A6">
        <v>18001</v>
      </c>
      <c r="B6" t="s">
        <v>29</v>
      </c>
      <c r="C6">
        <v>4</v>
      </c>
      <c r="D6" s="3">
        <f>parking_demand_data_2024_ver0!D6*calibration!$I$31</f>
        <v>18.067266153478101</v>
      </c>
      <c r="E6" s="3">
        <f>parking_demand_data_2024_ver0!E6*calibration!$I$31</f>
        <v>0</v>
      </c>
      <c r="F6" s="3">
        <f t="shared" si="0"/>
        <v>18.067266153478101</v>
      </c>
      <c r="G6" s="3">
        <f>parking_demand_data_2024_ver0!F6</f>
        <v>1</v>
      </c>
      <c r="H6" s="3">
        <f>parking_demand_data_2024_ver0!G6</f>
        <v>0</v>
      </c>
      <c r="I6" s="3">
        <f>parking_demand_data_2024_ver0!H6</f>
        <v>0</v>
      </c>
      <c r="J6" s="3">
        <f>parking_demand_data_2024_ver0!I6</f>
        <v>1</v>
      </c>
      <c r="K6" s="3">
        <f>parking_demand_data_2024_ver0!J6</f>
        <v>0</v>
      </c>
      <c r="L6" s="3">
        <f>parking_demand_data_2024_ver0!K6</f>
        <v>0</v>
      </c>
      <c r="M6" s="3">
        <f>parking_demand_data_2024_ver0!L6</f>
        <v>0</v>
      </c>
      <c r="N6" s="3">
        <f>parking_demand_data_2024_ver0!M6</f>
        <v>30</v>
      </c>
      <c r="O6" s="3">
        <f>parking_demand_data_2024_ver0!N6</f>
        <v>0</v>
      </c>
      <c r="P6" s="3">
        <f>parking_demand_data_2024_ver0!O6</f>
        <v>0</v>
      </c>
      <c r="Q6" s="3">
        <f>parking_demand_data_2024_ver0!P6</f>
        <v>30</v>
      </c>
      <c r="R6" s="3">
        <f>parking_demand_data_2024_ver0!Q6</f>
        <v>0</v>
      </c>
      <c r="S6" s="3">
        <f>parking_demand_data_2024_ver0!R6</f>
        <v>0</v>
      </c>
      <c r="T6" s="3">
        <f>parking_demand_data_2024_ver0!S6</f>
        <v>0</v>
      </c>
    </row>
    <row r="7" spans="1:20" x14ac:dyDescent="0.25">
      <c r="A7">
        <v>18001</v>
      </c>
      <c r="B7" t="s">
        <v>29</v>
      </c>
      <c r="C7">
        <v>5</v>
      </c>
      <c r="D7" s="3">
        <f>parking_demand_data_2024_ver0!D7*calibration!$I$31</f>
        <v>17.531939748930601</v>
      </c>
      <c r="E7" s="3">
        <f>parking_demand_data_2024_ver0!E7*calibration!$I$31</f>
        <v>0.13383160113687501</v>
      </c>
      <c r="F7" s="3">
        <f t="shared" si="0"/>
        <v>17.665771350067477</v>
      </c>
      <c r="G7" s="3">
        <f>parking_demand_data_2024_ver0!F7</f>
        <v>1</v>
      </c>
      <c r="H7" s="3">
        <f>parking_demand_data_2024_ver0!G7</f>
        <v>0</v>
      </c>
      <c r="I7" s="3">
        <f>parking_demand_data_2024_ver0!H7</f>
        <v>0</v>
      </c>
      <c r="J7" s="3">
        <f>parking_demand_data_2024_ver0!I7</f>
        <v>1</v>
      </c>
      <c r="K7" s="3">
        <f>parking_demand_data_2024_ver0!J7</f>
        <v>0</v>
      </c>
      <c r="L7" s="3">
        <f>parking_demand_data_2024_ver0!K7</f>
        <v>0</v>
      </c>
      <c r="M7" s="3">
        <f>parking_demand_data_2024_ver0!L7</f>
        <v>0</v>
      </c>
      <c r="N7" s="3">
        <f>parking_demand_data_2024_ver0!M7</f>
        <v>30</v>
      </c>
      <c r="O7" s="3">
        <f>parking_demand_data_2024_ver0!N7</f>
        <v>0</v>
      </c>
      <c r="P7" s="3">
        <f>parking_demand_data_2024_ver0!O7</f>
        <v>0</v>
      </c>
      <c r="Q7" s="3">
        <f>parking_demand_data_2024_ver0!P7</f>
        <v>30</v>
      </c>
      <c r="R7" s="3">
        <f>parking_demand_data_2024_ver0!Q7</f>
        <v>0</v>
      </c>
      <c r="S7" s="3">
        <f>parking_demand_data_2024_ver0!R7</f>
        <v>0</v>
      </c>
      <c r="T7" s="3">
        <f>parking_demand_data_2024_ver0!S7</f>
        <v>0</v>
      </c>
    </row>
    <row r="8" spans="1:20" x14ac:dyDescent="0.25">
      <c r="A8">
        <v>18001</v>
      </c>
      <c r="B8" t="s">
        <v>29</v>
      </c>
      <c r="C8">
        <v>6</v>
      </c>
      <c r="D8" s="3">
        <f>parking_demand_data_2024_ver0!D8*calibration!$I$31</f>
        <v>17.9334345523412</v>
      </c>
      <c r="E8" s="3">
        <f>parking_demand_data_2024_ver0!E8*calibration!$I$31</f>
        <v>0.40149480341062499</v>
      </c>
      <c r="F8" s="3">
        <f t="shared" si="0"/>
        <v>18.334929355751825</v>
      </c>
      <c r="G8" s="3">
        <f>parking_demand_data_2024_ver0!F8</f>
        <v>1</v>
      </c>
      <c r="H8" s="3">
        <f>parking_demand_data_2024_ver0!G8</f>
        <v>0</v>
      </c>
      <c r="I8" s="3">
        <f>parking_demand_data_2024_ver0!H8</f>
        <v>0</v>
      </c>
      <c r="J8" s="3">
        <f>parking_demand_data_2024_ver0!I8</f>
        <v>1</v>
      </c>
      <c r="K8" s="3">
        <f>parking_demand_data_2024_ver0!J8</f>
        <v>0</v>
      </c>
      <c r="L8" s="3">
        <f>parking_demand_data_2024_ver0!K8</f>
        <v>0</v>
      </c>
      <c r="M8" s="3">
        <f>parking_demand_data_2024_ver0!L8</f>
        <v>0</v>
      </c>
      <c r="N8" s="3">
        <f>parking_demand_data_2024_ver0!M8</f>
        <v>30</v>
      </c>
      <c r="O8" s="3">
        <f>parking_demand_data_2024_ver0!N8</f>
        <v>0</v>
      </c>
      <c r="P8" s="3">
        <f>parking_demand_data_2024_ver0!O8</f>
        <v>0</v>
      </c>
      <c r="Q8" s="3">
        <f>parking_demand_data_2024_ver0!P8</f>
        <v>30</v>
      </c>
      <c r="R8" s="3">
        <f>parking_demand_data_2024_ver0!Q8</f>
        <v>0</v>
      </c>
      <c r="S8" s="3">
        <f>parking_demand_data_2024_ver0!R8</f>
        <v>0</v>
      </c>
      <c r="T8" s="3">
        <f>parking_demand_data_2024_ver0!S8</f>
        <v>0</v>
      </c>
    </row>
    <row r="9" spans="1:20" x14ac:dyDescent="0.25">
      <c r="A9">
        <v>18001</v>
      </c>
      <c r="B9" t="s">
        <v>29</v>
      </c>
      <c r="C9">
        <v>7</v>
      </c>
      <c r="D9" s="3">
        <f>parking_demand_data_2024_ver0!D9*calibration!$I$31</f>
        <v>15.9259605352881</v>
      </c>
      <c r="E9" s="3">
        <f>parking_demand_data_2024_ver0!E9*calibration!$I$31</f>
        <v>1.1375686096634301</v>
      </c>
      <c r="F9" s="3">
        <f t="shared" si="0"/>
        <v>17.063529144951531</v>
      </c>
      <c r="G9" s="3">
        <f>parking_demand_data_2024_ver0!F9</f>
        <v>1</v>
      </c>
      <c r="H9" s="3">
        <f>parking_demand_data_2024_ver0!G9</f>
        <v>0</v>
      </c>
      <c r="I9" s="3">
        <f>parking_demand_data_2024_ver0!H9</f>
        <v>0</v>
      </c>
      <c r="J9" s="3">
        <f>parking_demand_data_2024_ver0!I9</f>
        <v>1</v>
      </c>
      <c r="K9" s="3">
        <f>parking_demand_data_2024_ver0!J9</f>
        <v>0</v>
      </c>
      <c r="L9" s="3">
        <f>parking_demand_data_2024_ver0!K9</f>
        <v>0</v>
      </c>
      <c r="M9" s="3">
        <f>parking_demand_data_2024_ver0!L9</f>
        <v>0</v>
      </c>
      <c r="N9" s="3">
        <f>parking_demand_data_2024_ver0!M9</f>
        <v>30</v>
      </c>
      <c r="O9" s="3">
        <f>parking_demand_data_2024_ver0!N9</f>
        <v>0</v>
      </c>
      <c r="P9" s="3">
        <f>parking_demand_data_2024_ver0!O9</f>
        <v>0</v>
      </c>
      <c r="Q9" s="3">
        <f>parking_demand_data_2024_ver0!P9</f>
        <v>30</v>
      </c>
      <c r="R9" s="3">
        <f>parking_demand_data_2024_ver0!Q9</f>
        <v>0</v>
      </c>
      <c r="S9" s="3">
        <f>parking_demand_data_2024_ver0!R9</f>
        <v>0</v>
      </c>
      <c r="T9" s="3">
        <f>parking_demand_data_2024_ver0!S9</f>
        <v>0</v>
      </c>
    </row>
    <row r="10" spans="1:20" x14ac:dyDescent="0.25">
      <c r="A10">
        <v>18001</v>
      </c>
      <c r="B10" t="s">
        <v>29</v>
      </c>
      <c r="C10">
        <v>8</v>
      </c>
      <c r="D10" s="3">
        <f>parking_demand_data_2024_ver0!D10*calibration!$I$31</f>
        <v>11.5764334983396</v>
      </c>
      <c r="E10" s="3">
        <f>parking_demand_data_2024_ver0!E10*calibration!$I$31</f>
        <v>1.8736424159162499</v>
      </c>
      <c r="F10" s="3">
        <f t="shared" si="0"/>
        <v>13.45007591425585</v>
      </c>
      <c r="G10" s="3">
        <f>parking_demand_data_2024_ver0!F10</f>
        <v>1</v>
      </c>
      <c r="H10" s="3">
        <f>parking_demand_data_2024_ver0!G10</f>
        <v>0</v>
      </c>
      <c r="I10" s="3">
        <f>parking_demand_data_2024_ver0!H10</f>
        <v>0</v>
      </c>
      <c r="J10" s="3">
        <f>parking_demand_data_2024_ver0!I10</f>
        <v>1</v>
      </c>
      <c r="K10" s="3">
        <f>parking_demand_data_2024_ver0!J10</f>
        <v>0</v>
      </c>
      <c r="L10" s="3">
        <f>parking_demand_data_2024_ver0!K10</f>
        <v>0</v>
      </c>
      <c r="M10" s="3">
        <f>parking_demand_data_2024_ver0!L10</f>
        <v>0</v>
      </c>
      <c r="N10" s="3">
        <f>parking_demand_data_2024_ver0!M10</f>
        <v>30</v>
      </c>
      <c r="O10" s="3">
        <f>parking_demand_data_2024_ver0!N10</f>
        <v>0</v>
      </c>
      <c r="P10" s="3">
        <f>parking_demand_data_2024_ver0!O10</f>
        <v>0</v>
      </c>
      <c r="Q10" s="3">
        <f>parking_demand_data_2024_ver0!P10</f>
        <v>30</v>
      </c>
      <c r="R10" s="3">
        <f>parking_demand_data_2024_ver0!Q10</f>
        <v>0</v>
      </c>
      <c r="S10" s="3">
        <f>parking_demand_data_2024_ver0!R10</f>
        <v>0</v>
      </c>
      <c r="T10" s="3">
        <f>parking_demand_data_2024_ver0!S10</f>
        <v>0</v>
      </c>
    </row>
    <row r="11" spans="1:20" x14ac:dyDescent="0.25">
      <c r="A11">
        <v>18001</v>
      </c>
      <c r="B11" t="s">
        <v>29</v>
      </c>
      <c r="C11">
        <v>9</v>
      </c>
      <c r="D11" s="3">
        <f>parking_demand_data_2024_ver0!D11*calibration!$I$31</f>
        <v>8.1637276693493792</v>
      </c>
      <c r="E11" s="3">
        <f>parking_demand_data_2024_ver0!E11*calibration!$I$31</f>
        <v>2.94429522501125</v>
      </c>
      <c r="F11" s="3">
        <f t="shared" si="0"/>
        <v>11.10802289436063</v>
      </c>
      <c r="G11" s="3">
        <f>parking_demand_data_2024_ver0!F11</f>
        <v>1</v>
      </c>
      <c r="H11" s="3">
        <f>parking_demand_data_2024_ver0!G11</f>
        <v>0</v>
      </c>
      <c r="I11" s="3">
        <f>parking_demand_data_2024_ver0!H11</f>
        <v>0</v>
      </c>
      <c r="J11" s="3">
        <f>parking_demand_data_2024_ver0!I11</f>
        <v>1</v>
      </c>
      <c r="K11" s="3">
        <f>parking_demand_data_2024_ver0!J11</f>
        <v>0</v>
      </c>
      <c r="L11" s="3">
        <f>parking_demand_data_2024_ver0!K11</f>
        <v>0</v>
      </c>
      <c r="M11" s="3">
        <f>parking_demand_data_2024_ver0!L11</f>
        <v>0</v>
      </c>
      <c r="N11" s="3">
        <f>parking_demand_data_2024_ver0!M11</f>
        <v>30</v>
      </c>
      <c r="O11" s="3">
        <f>parking_demand_data_2024_ver0!N11</f>
        <v>0</v>
      </c>
      <c r="P11" s="3">
        <f>parking_demand_data_2024_ver0!O11</f>
        <v>0</v>
      </c>
      <c r="Q11" s="3">
        <f>parking_demand_data_2024_ver0!P11</f>
        <v>30</v>
      </c>
      <c r="R11" s="3">
        <f>parking_demand_data_2024_ver0!Q11</f>
        <v>0</v>
      </c>
      <c r="S11" s="3">
        <f>parking_demand_data_2024_ver0!R11</f>
        <v>0</v>
      </c>
      <c r="T11" s="3">
        <f>parking_demand_data_2024_ver0!S11</f>
        <v>0</v>
      </c>
    </row>
    <row r="12" spans="1:20" x14ac:dyDescent="0.25">
      <c r="A12">
        <v>18001</v>
      </c>
      <c r="B12" t="s">
        <v>29</v>
      </c>
      <c r="C12">
        <v>10</v>
      </c>
      <c r="D12" s="3">
        <f>parking_demand_data_2024_ver0!D12*calibration!$I$31</f>
        <v>8.6321382733284402</v>
      </c>
      <c r="E12" s="3">
        <f>parking_demand_data_2024_ver0!E12*calibration!$I$31</f>
        <v>6.5577484557068697</v>
      </c>
      <c r="F12" s="3">
        <f t="shared" si="0"/>
        <v>15.18988672903531</v>
      </c>
      <c r="G12" s="3">
        <f>parking_demand_data_2024_ver0!F12</f>
        <v>1</v>
      </c>
      <c r="H12" s="3">
        <f>parking_demand_data_2024_ver0!G12</f>
        <v>0</v>
      </c>
      <c r="I12" s="3">
        <f>parking_demand_data_2024_ver0!H12</f>
        <v>0</v>
      </c>
      <c r="J12" s="3">
        <f>parking_demand_data_2024_ver0!I12</f>
        <v>1</v>
      </c>
      <c r="K12" s="3">
        <f>parking_demand_data_2024_ver0!J12</f>
        <v>0</v>
      </c>
      <c r="L12" s="3">
        <f>parking_demand_data_2024_ver0!K12</f>
        <v>0</v>
      </c>
      <c r="M12" s="3">
        <f>parking_demand_data_2024_ver0!L12</f>
        <v>0</v>
      </c>
      <c r="N12" s="3">
        <f>parking_demand_data_2024_ver0!M12</f>
        <v>30</v>
      </c>
      <c r="O12" s="3">
        <f>parking_demand_data_2024_ver0!N12</f>
        <v>0</v>
      </c>
      <c r="P12" s="3">
        <f>parking_demand_data_2024_ver0!O12</f>
        <v>0</v>
      </c>
      <c r="Q12" s="3">
        <f>parking_demand_data_2024_ver0!P12</f>
        <v>30</v>
      </c>
      <c r="R12" s="3">
        <f>parking_demand_data_2024_ver0!Q12</f>
        <v>0</v>
      </c>
      <c r="S12" s="3">
        <f>parking_demand_data_2024_ver0!R12</f>
        <v>0</v>
      </c>
      <c r="T12" s="3">
        <f>parking_demand_data_2024_ver0!S12</f>
        <v>0</v>
      </c>
    </row>
    <row r="13" spans="1:20" x14ac:dyDescent="0.25">
      <c r="A13">
        <v>18001</v>
      </c>
      <c r="B13" t="s">
        <v>29</v>
      </c>
      <c r="C13">
        <v>11</v>
      </c>
      <c r="D13" s="3">
        <f>parking_demand_data_2024_ver0!D13*calibration!$I$31</f>
        <v>10.371949088107799</v>
      </c>
      <c r="E13" s="3">
        <f>parking_demand_data_2024_ver0!E13*calibration!$I$31</f>
        <v>6.1562536522962503</v>
      </c>
      <c r="F13" s="3">
        <f t="shared" si="0"/>
        <v>16.528202740404048</v>
      </c>
      <c r="G13" s="3">
        <f>parking_demand_data_2024_ver0!F13</f>
        <v>1</v>
      </c>
      <c r="H13" s="3">
        <f>parking_demand_data_2024_ver0!G13</f>
        <v>0</v>
      </c>
      <c r="I13" s="3">
        <f>parking_demand_data_2024_ver0!H13</f>
        <v>0</v>
      </c>
      <c r="J13" s="3">
        <f>parking_demand_data_2024_ver0!I13</f>
        <v>1</v>
      </c>
      <c r="K13" s="3">
        <f>parking_demand_data_2024_ver0!J13</f>
        <v>0</v>
      </c>
      <c r="L13" s="3">
        <f>parking_demand_data_2024_ver0!K13</f>
        <v>0</v>
      </c>
      <c r="M13" s="3">
        <f>parking_demand_data_2024_ver0!L13</f>
        <v>0</v>
      </c>
      <c r="N13" s="3">
        <f>parking_demand_data_2024_ver0!M13</f>
        <v>30</v>
      </c>
      <c r="O13" s="3">
        <f>parking_demand_data_2024_ver0!N13</f>
        <v>0</v>
      </c>
      <c r="P13" s="3">
        <f>parking_demand_data_2024_ver0!O13</f>
        <v>0</v>
      </c>
      <c r="Q13" s="3">
        <f>parking_demand_data_2024_ver0!P13</f>
        <v>30</v>
      </c>
      <c r="R13" s="3">
        <f>parking_demand_data_2024_ver0!Q13</f>
        <v>0</v>
      </c>
      <c r="S13" s="3">
        <f>parking_demand_data_2024_ver0!R13</f>
        <v>0</v>
      </c>
      <c r="T13" s="3">
        <f>parking_demand_data_2024_ver0!S13</f>
        <v>0</v>
      </c>
    </row>
    <row r="14" spans="1:20" x14ac:dyDescent="0.25">
      <c r="A14">
        <v>18001</v>
      </c>
      <c r="B14" t="s">
        <v>29</v>
      </c>
      <c r="C14">
        <v>12</v>
      </c>
      <c r="D14" s="3">
        <f>parking_demand_data_2024_ver0!D14*calibration!$I$31</f>
        <v>9.7697068829918798</v>
      </c>
      <c r="E14" s="3">
        <f>parking_demand_data_2024_ver0!E14*calibration!$I$31</f>
        <v>6.6915800568437502</v>
      </c>
      <c r="F14" s="3">
        <f t="shared" si="0"/>
        <v>16.461286939835631</v>
      </c>
      <c r="G14" s="3">
        <f>parking_demand_data_2024_ver0!F14</f>
        <v>1</v>
      </c>
      <c r="H14" s="3">
        <f>parking_demand_data_2024_ver0!G14</f>
        <v>0</v>
      </c>
      <c r="I14" s="3">
        <f>parking_demand_data_2024_ver0!H14</f>
        <v>0</v>
      </c>
      <c r="J14" s="3">
        <f>parking_demand_data_2024_ver0!I14</f>
        <v>1</v>
      </c>
      <c r="K14" s="3">
        <f>parking_demand_data_2024_ver0!J14</f>
        <v>0</v>
      </c>
      <c r="L14" s="3">
        <f>parking_demand_data_2024_ver0!K14</f>
        <v>0</v>
      </c>
      <c r="M14" s="3">
        <f>parking_demand_data_2024_ver0!L14</f>
        <v>0</v>
      </c>
      <c r="N14" s="3">
        <f>parking_demand_data_2024_ver0!M14</f>
        <v>30</v>
      </c>
      <c r="O14" s="3">
        <f>parking_demand_data_2024_ver0!N14</f>
        <v>0</v>
      </c>
      <c r="P14" s="3">
        <f>parking_demand_data_2024_ver0!O14</f>
        <v>0</v>
      </c>
      <c r="Q14" s="3">
        <f>parking_demand_data_2024_ver0!P14</f>
        <v>30</v>
      </c>
      <c r="R14" s="3">
        <f>parking_demand_data_2024_ver0!Q14</f>
        <v>0</v>
      </c>
      <c r="S14" s="3">
        <f>parking_demand_data_2024_ver0!R14</f>
        <v>0</v>
      </c>
      <c r="T14" s="3">
        <f>parking_demand_data_2024_ver0!S14</f>
        <v>0</v>
      </c>
    </row>
    <row r="15" spans="1:20" x14ac:dyDescent="0.25">
      <c r="A15">
        <v>18001</v>
      </c>
      <c r="B15" t="s">
        <v>29</v>
      </c>
      <c r="C15">
        <v>13</v>
      </c>
      <c r="D15" s="3">
        <f>parking_demand_data_2024_ver0!D15*calibration!$I$31</f>
        <v>8.29755927048625</v>
      </c>
      <c r="E15" s="3">
        <f>parking_demand_data_2024_ver0!E15*calibration!$I$31</f>
        <v>5.2863482449065602</v>
      </c>
      <c r="F15" s="3">
        <f t="shared" si="0"/>
        <v>13.583907515392809</v>
      </c>
      <c r="G15" s="3">
        <f>parking_demand_data_2024_ver0!F15</f>
        <v>1</v>
      </c>
      <c r="H15" s="3">
        <f>parking_demand_data_2024_ver0!G15</f>
        <v>0</v>
      </c>
      <c r="I15" s="3">
        <f>parking_demand_data_2024_ver0!H15</f>
        <v>0</v>
      </c>
      <c r="J15" s="3">
        <f>parking_demand_data_2024_ver0!I15</f>
        <v>1</v>
      </c>
      <c r="K15" s="3">
        <f>parking_demand_data_2024_ver0!J15</f>
        <v>0</v>
      </c>
      <c r="L15" s="3">
        <f>parking_demand_data_2024_ver0!K15</f>
        <v>0</v>
      </c>
      <c r="M15" s="3">
        <f>parking_demand_data_2024_ver0!L15</f>
        <v>0</v>
      </c>
      <c r="N15" s="3">
        <f>parking_demand_data_2024_ver0!M15</f>
        <v>30</v>
      </c>
      <c r="O15" s="3">
        <f>parking_demand_data_2024_ver0!N15</f>
        <v>0</v>
      </c>
      <c r="P15" s="3">
        <f>parking_demand_data_2024_ver0!O15</f>
        <v>0</v>
      </c>
      <c r="Q15" s="3">
        <f>parking_demand_data_2024_ver0!P15</f>
        <v>30</v>
      </c>
      <c r="R15" s="3">
        <f>parking_demand_data_2024_ver0!Q15</f>
        <v>0</v>
      </c>
      <c r="S15" s="3">
        <f>parking_demand_data_2024_ver0!R15</f>
        <v>0</v>
      </c>
      <c r="T15" s="3">
        <f>parking_demand_data_2024_ver0!S15</f>
        <v>0</v>
      </c>
    </row>
    <row r="16" spans="1:20" x14ac:dyDescent="0.25">
      <c r="A16">
        <v>18001</v>
      </c>
      <c r="B16" t="s">
        <v>29</v>
      </c>
      <c r="C16">
        <v>14</v>
      </c>
      <c r="D16" s="3">
        <f>parking_demand_data_2024_ver0!D16*calibration!$I$31</f>
        <v>6.8923274585490599</v>
      </c>
      <c r="E16" s="3">
        <f>parking_demand_data_2024_ver0!E16*calibration!$I$31</f>
        <v>3.4796216295587499</v>
      </c>
      <c r="F16" s="3">
        <f t="shared" si="0"/>
        <v>10.37194908810781</v>
      </c>
      <c r="G16" s="3">
        <f>parking_demand_data_2024_ver0!F16</f>
        <v>1</v>
      </c>
      <c r="H16" s="3">
        <f>parking_demand_data_2024_ver0!G16</f>
        <v>0</v>
      </c>
      <c r="I16" s="3">
        <f>parking_demand_data_2024_ver0!H16</f>
        <v>0</v>
      </c>
      <c r="J16" s="3">
        <f>parking_demand_data_2024_ver0!I16</f>
        <v>1</v>
      </c>
      <c r="K16" s="3">
        <f>parking_demand_data_2024_ver0!J16</f>
        <v>0</v>
      </c>
      <c r="L16" s="3">
        <f>parking_demand_data_2024_ver0!K16</f>
        <v>0</v>
      </c>
      <c r="M16" s="3">
        <f>parking_demand_data_2024_ver0!L16</f>
        <v>0</v>
      </c>
      <c r="N16" s="3">
        <f>parking_demand_data_2024_ver0!M16</f>
        <v>30</v>
      </c>
      <c r="O16" s="3">
        <f>parking_demand_data_2024_ver0!N16</f>
        <v>0</v>
      </c>
      <c r="P16" s="3">
        <f>parking_demand_data_2024_ver0!O16</f>
        <v>0</v>
      </c>
      <c r="Q16" s="3">
        <f>parking_demand_data_2024_ver0!P16</f>
        <v>30</v>
      </c>
      <c r="R16" s="3">
        <f>parking_demand_data_2024_ver0!Q16</f>
        <v>0</v>
      </c>
      <c r="S16" s="3">
        <f>parking_demand_data_2024_ver0!R16</f>
        <v>0</v>
      </c>
      <c r="T16" s="3">
        <f>parking_demand_data_2024_ver0!S16</f>
        <v>0</v>
      </c>
    </row>
    <row r="17" spans="1:20" x14ac:dyDescent="0.25">
      <c r="A17">
        <v>18001</v>
      </c>
      <c r="B17" t="s">
        <v>29</v>
      </c>
      <c r="C17">
        <v>15</v>
      </c>
      <c r="D17" s="3">
        <f>parking_demand_data_2024_ver0!D17*calibration!$I$31</f>
        <v>6.0224220511593698</v>
      </c>
      <c r="E17" s="3">
        <f>parking_demand_data_2024_ver0!E17*calibration!$I$31</f>
        <v>1.6059792136425</v>
      </c>
      <c r="F17" s="3">
        <f t="shared" si="0"/>
        <v>7.6284012648018695</v>
      </c>
      <c r="G17" s="3">
        <f>parking_demand_data_2024_ver0!F17</f>
        <v>1</v>
      </c>
      <c r="H17" s="3">
        <f>parking_demand_data_2024_ver0!G17</f>
        <v>0</v>
      </c>
      <c r="I17" s="3">
        <f>parking_demand_data_2024_ver0!H17</f>
        <v>0</v>
      </c>
      <c r="J17" s="3">
        <f>parking_demand_data_2024_ver0!I17</f>
        <v>1</v>
      </c>
      <c r="K17" s="3">
        <f>parking_demand_data_2024_ver0!J17</f>
        <v>0</v>
      </c>
      <c r="L17" s="3">
        <f>parking_demand_data_2024_ver0!K17</f>
        <v>0</v>
      </c>
      <c r="M17" s="3">
        <f>parking_demand_data_2024_ver0!L17</f>
        <v>0</v>
      </c>
      <c r="N17" s="3">
        <f>parking_demand_data_2024_ver0!M17</f>
        <v>30</v>
      </c>
      <c r="O17" s="3">
        <f>parking_demand_data_2024_ver0!N17</f>
        <v>0</v>
      </c>
      <c r="P17" s="3">
        <f>parking_demand_data_2024_ver0!O17</f>
        <v>0</v>
      </c>
      <c r="Q17" s="3">
        <f>parking_demand_data_2024_ver0!P17</f>
        <v>30</v>
      </c>
      <c r="R17" s="3">
        <f>parking_demand_data_2024_ver0!Q17</f>
        <v>0</v>
      </c>
      <c r="S17" s="3">
        <f>parking_demand_data_2024_ver0!R17</f>
        <v>0</v>
      </c>
      <c r="T17" s="3">
        <f>parking_demand_data_2024_ver0!S17</f>
        <v>0</v>
      </c>
    </row>
    <row r="18" spans="1:20" x14ac:dyDescent="0.25">
      <c r="A18">
        <v>18001</v>
      </c>
      <c r="B18" t="s">
        <v>29</v>
      </c>
      <c r="C18">
        <v>16</v>
      </c>
      <c r="D18" s="3">
        <f>parking_demand_data_2024_ver0!D18*calibration!$I$31</f>
        <v>7.1599906608228103</v>
      </c>
      <c r="E18" s="3">
        <f>parking_demand_data_2024_ver0!E18*calibration!$I$31</f>
        <v>2.6097162221690602</v>
      </c>
      <c r="F18" s="3">
        <f t="shared" si="0"/>
        <v>9.769706882991871</v>
      </c>
      <c r="G18" s="3">
        <f>parking_demand_data_2024_ver0!F18</f>
        <v>1</v>
      </c>
      <c r="H18" s="3">
        <f>parking_demand_data_2024_ver0!G18</f>
        <v>0</v>
      </c>
      <c r="I18" s="3">
        <f>parking_demand_data_2024_ver0!H18</f>
        <v>0</v>
      </c>
      <c r="J18" s="3">
        <f>parking_demand_data_2024_ver0!I18</f>
        <v>1</v>
      </c>
      <c r="K18" s="3">
        <f>parking_demand_data_2024_ver0!J18</f>
        <v>0</v>
      </c>
      <c r="L18" s="3">
        <f>parking_demand_data_2024_ver0!K18</f>
        <v>0</v>
      </c>
      <c r="M18" s="3">
        <f>parking_demand_data_2024_ver0!L18</f>
        <v>0</v>
      </c>
      <c r="N18" s="3">
        <f>parking_demand_data_2024_ver0!M18</f>
        <v>30</v>
      </c>
      <c r="O18" s="3">
        <f>parking_demand_data_2024_ver0!N18</f>
        <v>0</v>
      </c>
      <c r="P18" s="3">
        <f>parking_demand_data_2024_ver0!O18</f>
        <v>0</v>
      </c>
      <c r="Q18" s="3">
        <f>parking_demand_data_2024_ver0!P18</f>
        <v>30</v>
      </c>
      <c r="R18" s="3">
        <f>parking_demand_data_2024_ver0!Q18</f>
        <v>0</v>
      </c>
      <c r="S18" s="3">
        <f>parking_demand_data_2024_ver0!R18</f>
        <v>0</v>
      </c>
      <c r="T18" s="3">
        <f>parking_demand_data_2024_ver0!S18</f>
        <v>0</v>
      </c>
    </row>
    <row r="19" spans="1:20" x14ac:dyDescent="0.25">
      <c r="A19">
        <v>18001</v>
      </c>
      <c r="B19" t="s">
        <v>29</v>
      </c>
      <c r="C19">
        <v>17</v>
      </c>
      <c r="D19" s="3">
        <f>parking_demand_data_2024_ver0!D19*calibration!$I$31</f>
        <v>8.7659698744653198</v>
      </c>
      <c r="E19" s="3">
        <f>parking_demand_data_2024_ver0!E19*calibration!$I$31</f>
        <v>1.94055821648468</v>
      </c>
      <c r="F19" s="3">
        <f t="shared" si="0"/>
        <v>10.70652809095</v>
      </c>
      <c r="G19" s="3">
        <f>parking_demand_data_2024_ver0!F19</f>
        <v>1</v>
      </c>
      <c r="H19" s="3">
        <f>parking_demand_data_2024_ver0!G19</f>
        <v>0</v>
      </c>
      <c r="I19" s="3">
        <f>parking_demand_data_2024_ver0!H19</f>
        <v>0</v>
      </c>
      <c r="J19" s="3">
        <f>parking_demand_data_2024_ver0!I19</f>
        <v>1</v>
      </c>
      <c r="K19" s="3">
        <f>parking_demand_data_2024_ver0!J19</f>
        <v>0</v>
      </c>
      <c r="L19" s="3">
        <f>parking_demand_data_2024_ver0!K19</f>
        <v>0</v>
      </c>
      <c r="M19" s="3">
        <f>parking_demand_data_2024_ver0!L19</f>
        <v>0</v>
      </c>
      <c r="N19" s="3">
        <f>parking_demand_data_2024_ver0!M19</f>
        <v>30</v>
      </c>
      <c r="O19" s="3">
        <f>parking_demand_data_2024_ver0!N19</f>
        <v>0</v>
      </c>
      <c r="P19" s="3">
        <f>parking_demand_data_2024_ver0!O19</f>
        <v>0</v>
      </c>
      <c r="Q19" s="3">
        <f>parking_demand_data_2024_ver0!P19</f>
        <v>30</v>
      </c>
      <c r="R19" s="3">
        <f>parking_demand_data_2024_ver0!Q19</f>
        <v>0</v>
      </c>
      <c r="S19" s="3">
        <f>parking_demand_data_2024_ver0!R19</f>
        <v>0</v>
      </c>
      <c r="T19" s="3">
        <f>parking_demand_data_2024_ver0!S19</f>
        <v>0</v>
      </c>
    </row>
    <row r="20" spans="1:20" x14ac:dyDescent="0.25">
      <c r="A20">
        <v>18001</v>
      </c>
      <c r="B20" t="s">
        <v>29</v>
      </c>
      <c r="C20">
        <v>18</v>
      </c>
      <c r="D20" s="3">
        <f>parking_demand_data_2024_ver0!D20*calibration!$I$31</f>
        <v>10.305033287539301</v>
      </c>
      <c r="E20" s="3">
        <f>parking_demand_data_2024_ver0!E20*calibration!$I$31</f>
        <v>0</v>
      </c>
      <c r="F20" s="3">
        <f t="shared" si="0"/>
        <v>10.305033287539301</v>
      </c>
      <c r="G20" s="3">
        <f>parking_demand_data_2024_ver0!F20</f>
        <v>1</v>
      </c>
      <c r="H20" s="3">
        <f>parking_demand_data_2024_ver0!G20</f>
        <v>0</v>
      </c>
      <c r="I20" s="3">
        <f>parking_demand_data_2024_ver0!H20</f>
        <v>0</v>
      </c>
      <c r="J20" s="3">
        <f>parking_demand_data_2024_ver0!I20</f>
        <v>1</v>
      </c>
      <c r="K20" s="3">
        <f>parking_demand_data_2024_ver0!J20</f>
        <v>0</v>
      </c>
      <c r="L20" s="3">
        <f>parking_demand_data_2024_ver0!K20</f>
        <v>0</v>
      </c>
      <c r="M20" s="3">
        <f>parking_demand_data_2024_ver0!L20</f>
        <v>0</v>
      </c>
      <c r="N20" s="3">
        <f>parking_demand_data_2024_ver0!M20</f>
        <v>30</v>
      </c>
      <c r="O20" s="3">
        <f>parking_demand_data_2024_ver0!N20</f>
        <v>0</v>
      </c>
      <c r="P20" s="3">
        <f>parking_demand_data_2024_ver0!O20</f>
        <v>0</v>
      </c>
      <c r="Q20" s="3">
        <f>parking_demand_data_2024_ver0!P20</f>
        <v>30</v>
      </c>
      <c r="R20" s="3">
        <f>parking_demand_data_2024_ver0!Q20</f>
        <v>0</v>
      </c>
      <c r="S20" s="3">
        <f>parking_demand_data_2024_ver0!R20</f>
        <v>0</v>
      </c>
      <c r="T20" s="3">
        <f>parking_demand_data_2024_ver0!S20</f>
        <v>0</v>
      </c>
    </row>
    <row r="21" spans="1:20" x14ac:dyDescent="0.25">
      <c r="A21">
        <v>18001</v>
      </c>
      <c r="B21" t="s">
        <v>29</v>
      </c>
      <c r="C21">
        <v>19</v>
      </c>
      <c r="D21" s="3">
        <f>parking_demand_data_2024_ver0!D21*calibration!$I$31</f>
        <v>11.7102650994765</v>
      </c>
      <c r="E21" s="3">
        <f>parking_demand_data_2024_ver0!E21*calibration!$I$31</f>
        <v>0</v>
      </c>
      <c r="F21" s="3">
        <f t="shared" si="0"/>
        <v>11.7102650994765</v>
      </c>
      <c r="G21" s="3">
        <f>parking_demand_data_2024_ver0!F21</f>
        <v>1</v>
      </c>
      <c r="H21" s="3">
        <f>parking_demand_data_2024_ver0!G21</f>
        <v>0</v>
      </c>
      <c r="I21" s="3">
        <f>parking_demand_data_2024_ver0!H21</f>
        <v>0</v>
      </c>
      <c r="J21" s="3">
        <f>parking_demand_data_2024_ver0!I21</f>
        <v>1</v>
      </c>
      <c r="K21" s="3">
        <f>parking_demand_data_2024_ver0!J21</f>
        <v>0</v>
      </c>
      <c r="L21" s="3">
        <f>parking_demand_data_2024_ver0!K21</f>
        <v>0</v>
      </c>
      <c r="M21" s="3">
        <f>parking_demand_data_2024_ver0!L21</f>
        <v>0</v>
      </c>
      <c r="N21" s="3">
        <f>parking_demand_data_2024_ver0!M21</f>
        <v>30</v>
      </c>
      <c r="O21" s="3">
        <f>parking_demand_data_2024_ver0!N21</f>
        <v>0</v>
      </c>
      <c r="P21" s="3">
        <f>parking_demand_data_2024_ver0!O21</f>
        <v>0</v>
      </c>
      <c r="Q21" s="3">
        <f>parking_demand_data_2024_ver0!P21</f>
        <v>30</v>
      </c>
      <c r="R21" s="3">
        <f>parking_demand_data_2024_ver0!Q21</f>
        <v>0</v>
      </c>
      <c r="S21" s="3">
        <f>parking_demand_data_2024_ver0!R21</f>
        <v>0</v>
      </c>
      <c r="T21" s="3">
        <f>parking_demand_data_2024_ver0!S21</f>
        <v>0</v>
      </c>
    </row>
    <row r="22" spans="1:20" x14ac:dyDescent="0.25">
      <c r="A22">
        <v>18001</v>
      </c>
      <c r="B22" t="s">
        <v>29</v>
      </c>
      <c r="C22">
        <v>20</v>
      </c>
      <c r="D22" s="3">
        <f>parking_demand_data_2024_ver0!D22*calibration!$I$31</f>
        <v>13.3831601136875</v>
      </c>
      <c r="E22" s="3">
        <f>parking_demand_data_2024_ver0!E22*calibration!$I$31</f>
        <v>0</v>
      </c>
      <c r="F22" s="3">
        <f t="shared" si="0"/>
        <v>13.3831601136875</v>
      </c>
      <c r="G22" s="3">
        <f>parking_demand_data_2024_ver0!F22</f>
        <v>1</v>
      </c>
      <c r="H22" s="3">
        <f>parking_demand_data_2024_ver0!G22</f>
        <v>0</v>
      </c>
      <c r="I22" s="3">
        <f>parking_demand_data_2024_ver0!H22</f>
        <v>0</v>
      </c>
      <c r="J22" s="3">
        <f>parking_demand_data_2024_ver0!I22</f>
        <v>1</v>
      </c>
      <c r="K22" s="3">
        <f>parking_demand_data_2024_ver0!J22</f>
        <v>0</v>
      </c>
      <c r="L22" s="3">
        <f>parking_demand_data_2024_ver0!K22</f>
        <v>0</v>
      </c>
      <c r="M22" s="3">
        <f>parking_demand_data_2024_ver0!L22</f>
        <v>0</v>
      </c>
      <c r="N22" s="3">
        <f>parking_demand_data_2024_ver0!M22</f>
        <v>30</v>
      </c>
      <c r="O22" s="3">
        <f>parking_demand_data_2024_ver0!N22</f>
        <v>0</v>
      </c>
      <c r="P22" s="3">
        <f>parking_demand_data_2024_ver0!O22</f>
        <v>0</v>
      </c>
      <c r="Q22" s="3">
        <f>parking_demand_data_2024_ver0!P22</f>
        <v>30</v>
      </c>
      <c r="R22" s="3">
        <f>parking_demand_data_2024_ver0!Q22</f>
        <v>0</v>
      </c>
      <c r="S22" s="3">
        <f>parking_demand_data_2024_ver0!R22</f>
        <v>0</v>
      </c>
      <c r="T22" s="3">
        <f>parking_demand_data_2024_ver0!S22</f>
        <v>0</v>
      </c>
    </row>
    <row r="23" spans="1:20" x14ac:dyDescent="0.25">
      <c r="A23">
        <v>18001</v>
      </c>
      <c r="B23" t="s">
        <v>29</v>
      </c>
      <c r="C23">
        <v>21</v>
      </c>
      <c r="D23" s="3">
        <f>parking_demand_data_2024_ver0!D23*calibration!$I$31</f>
        <v>15.323718330172101</v>
      </c>
      <c r="E23" s="3">
        <f>parking_demand_data_2024_ver0!E23*calibration!$I$31</f>
        <v>0</v>
      </c>
      <c r="F23" s="3">
        <f t="shared" si="0"/>
        <v>15.323718330172101</v>
      </c>
      <c r="G23" s="3">
        <f>parking_demand_data_2024_ver0!F23</f>
        <v>1</v>
      </c>
      <c r="H23" s="3">
        <f>parking_demand_data_2024_ver0!G23</f>
        <v>0</v>
      </c>
      <c r="I23" s="3">
        <f>parking_demand_data_2024_ver0!H23</f>
        <v>0</v>
      </c>
      <c r="J23" s="3">
        <f>parking_demand_data_2024_ver0!I23</f>
        <v>1</v>
      </c>
      <c r="K23" s="3">
        <f>parking_demand_data_2024_ver0!J23</f>
        <v>0</v>
      </c>
      <c r="L23" s="3">
        <f>parking_demand_data_2024_ver0!K23</f>
        <v>0</v>
      </c>
      <c r="M23" s="3">
        <f>parking_demand_data_2024_ver0!L23</f>
        <v>0</v>
      </c>
      <c r="N23" s="3">
        <f>parking_demand_data_2024_ver0!M23</f>
        <v>30</v>
      </c>
      <c r="O23" s="3">
        <f>parking_demand_data_2024_ver0!N23</f>
        <v>0</v>
      </c>
      <c r="P23" s="3">
        <f>parking_demand_data_2024_ver0!O23</f>
        <v>0</v>
      </c>
      <c r="Q23" s="3">
        <f>parking_demand_data_2024_ver0!P23</f>
        <v>30</v>
      </c>
      <c r="R23" s="3">
        <f>parking_demand_data_2024_ver0!Q23</f>
        <v>0</v>
      </c>
      <c r="S23" s="3">
        <f>parking_demand_data_2024_ver0!R23</f>
        <v>0</v>
      </c>
      <c r="T23" s="3">
        <f>parking_demand_data_2024_ver0!S23</f>
        <v>0</v>
      </c>
    </row>
    <row r="24" spans="1:20" x14ac:dyDescent="0.25">
      <c r="A24">
        <v>18001</v>
      </c>
      <c r="B24" t="s">
        <v>29</v>
      </c>
      <c r="C24">
        <v>22</v>
      </c>
      <c r="D24" s="3">
        <f>parking_demand_data_2024_ver0!D24*calibration!$I$31</f>
        <v>16.126707936993402</v>
      </c>
      <c r="E24" s="3">
        <f>parking_demand_data_2024_ver0!E24*calibration!$I$31</f>
        <v>0</v>
      </c>
      <c r="F24" s="3">
        <f t="shared" si="0"/>
        <v>16.126707936993402</v>
      </c>
      <c r="G24" s="3">
        <f>parking_demand_data_2024_ver0!F24</f>
        <v>1</v>
      </c>
      <c r="H24" s="3">
        <f>parking_demand_data_2024_ver0!G24</f>
        <v>0</v>
      </c>
      <c r="I24" s="3">
        <f>parking_demand_data_2024_ver0!H24</f>
        <v>0</v>
      </c>
      <c r="J24" s="3">
        <f>parking_demand_data_2024_ver0!I24</f>
        <v>1</v>
      </c>
      <c r="K24" s="3">
        <f>parking_demand_data_2024_ver0!J24</f>
        <v>0</v>
      </c>
      <c r="L24" s="3">
        <f>parking_demand_data_2024_ver0!K24</f>
        <v>0</v>
      </c>
      <c r="M24" s="3">
        <f>parking_demand_data_2024_ver0!L24</f>
        <v>0</v>
      </c>
      <c r="N24" s="3">
        <f>parking_demand_data_2024_ver0!M24</f>
        <v>30</v>
      </c>
      <c r="O24" s="3">
        <f>parking_demand_data_2024_ver0!N24</f>
        <v>0</v>
      </c>
      <c r="P24" s="3">
        <f>parking_demand_data_2024_ver0!O24</f>
        <v>0</v>
      </c>
      <c r="Q24" s="3">
        <f>parking_demand_data_2024_ver0!P24</f>
        <v>30</v>
      </c>
      <c r="R24" s="3">
        <f>parking_demand_data_2024_ver0!Q24</f>
        <v>0</v>
      </c>
      <c r="S24" s="3">
        <f>parking_demand_data_2024_ver0!R24</f>
        <v>0</v>
      </c>
      <c r="T24" s="3">
        <f>parking_demand_data_2024_ver0!S24</f>
        <v>0</v>
      </c>
    </row>
    <row r="25" spans="1:20" x14ac:dyDescent="0.25">
      <c r="A25">
        <v>18001</v>
      </c>
      <c r="B25" t="s">
        <v>29</v>
      </c>
      <c r="C25">
        <v>23</v>
      </c>
      <c r="D25" s="3">
        <f>parking_demand_data_2024_ver0!D25*calibration!$I$31</f>
        <v>16.929697543814701</v>
      </c>
      <c r="E25" s="3">
        <f>parking_demand_data_2024_ver0!E25*calibration!$I$31</f>
        <v>0</v>
      </c>
      <c r="F25" s="3">
        <f t="shared" si="0"/>
        <v>16.929697543814701</v>
      </c>
      <c r="G25" s="3">
        <f>parking_demand_data_2024_ver0!F25</f>
        <v>1</v>
      </c>
      <c r="H25" s="3">
        <f>parking_demand_data_2024_ver0!G25</f>
        <v>0</v>
      </c>
      <c r="I25" s="3">
        <f>parking_demand_data_2024_ver0!H25</f>
        <v>0</v>
      </c>
      <c r="J25" s="3">
        <f>parking_demand_data_2024_ver0!I25</f>
        <v>1</v>
      </c>
      <c r="K25" s="3">
        <f>parking_demand_data_2024_ver0!J25</f>
        <v>0</v>
      </c>
      <c r="L25" s="3">
        <f>parking_demand_data_2024_ver0!K25</f>
        <v>0</v>
      </c>
      <c r="M25" s="3">
        <f>parking_demand_data_2024_ver0!L25</f>
        <v>0</v>
      </c>
      <c r="N25" s="3">
        <f>parking_demand_data_2024_ver0!M25</f>
        <v>30</v>
      </c>
      <c r="O25" s="3">
        <f>parking_demand_data_2024_ver0!N25</f>
        <v>0</v>
      </c>
      <c r="P25" s="3">
        <f>parking_demand_data_2024_ver0!O25</f>
        <v>0</v>
      </c>
      <c r="Q25" s="3">
        <f>parking_demand_data_2024_ver0!P25</f>
        <v>30</v>
      </c>
      <c r="R25" s="3">
        <f>parking_demand_data_2024_ver0!Q25</f>
        <v>0</v>
      </c>
      <c r="S25" s="3">
        <f>parking_demand_data_2024_ver0!R25</f>
        <v>0</v>
      </c>
      <c r="T25" s="3">
        <f>parking_demand_data_2024_ver0!S25</f>
        <v>0</v>
      </c>
    </row>
    <row r="26" spans="1:20" x14ac:dyDescent="0.25">
      <c r="A26">
        <v>18003</v>
      </c>
      <c r="B26" t="s">
        <v>30</v>
      </c>
      <c r="C26">
        <v>0</v>
      </c>
      <c r="D26" s="3">
        <f>parking_demand_data_2024_ver0!D26*calibration!$I$31</f>
        <v>393.18128957684098</v>
      </c>
      <c r="E26" s="3">
        <f>parking_demand_data_2024_ver0!E26*calibration!$I$31</f>
        <v>19.783953161121701</v>
      </c>
      <c r="F26" s="3">
        <f t="shared" si="0"/>
        <v>412.96524273796268</v>
      </c>
      <c r="G26" s="3">
        <f>parking_demand_data_2024_ver0!F26</f>
        <v>6</v>
      </c>
      <c r="H26" s="3">
        <f>parking_demand_data_2024_ver0!G26</f>
        <v>1</v>
      </c>
      <c r="I26" s="3">
        <f>parking_demand_data_2024_ver0!H26</f>
        <v>2</v>
      </c>
      <c r="J26" s="3">
        <f>parking_demand_data_2024_ver0!I26</f>
        <v>3</v>
      </c>
      <c r="K26" s="3">
        <f>parking_demand_data_2024_ver0!J26</f>
        <v>0</v>
      </c>
      <c r="L26" s="3">
        <f>parking_demand_data_2024_ver0!K26</f>
        <v>0</v>
      </c>
      <c r="M26" s="3">
        <f>parking_demand_data_2024_ver0!L26</f>
        <v>0</v>
      </c>
      <c r="N26" s="3">
        <f>parking_demand_data_2024_ver0!M26</f>
        <v>343</v>
      </c>
      <c r="O26" s="3">
        <f>parking_demand_data_2024_ver0!N26</f>
        <v>150</v>
      </c>
      <c r="P26" s="3">
        <f>parking_demand_data_2024_ver0!O26</f>
        <v>140</v>
      </c>
      <c r="Q26" s="3">
        <f>parking_demand_data_2024_ver0!P26</f>
        <v>53</v>
      </c>
      <c r="R26" s="3">
        <f>parking_demand_data_2024_ver0!Q26</f>
        <v>0</v>
      </c>
      <c r="S26" s="3">
        <f>parking_demand_data_2024_ver0!R26</f>
        <v>0</v>
      </c>
      <c r="T26" s="3">
        <f>parking_demand_data_2024_ver0!S26</f>
        <v>0</v>
      </c>
    </row>
    <row r="27" spans="1:20" x14ac:dyDescent="0.25">
      <c r="A27">
        <v>18003</v>
      </c>
      <c r="B27" t="s">
        <v>30</v>
      </c>
      <c r="C27">
        <v>1</v>
      </c>
      <c r="D27" s="3">
        <f>parking_demand_data_2024_ver0!D27*calibration!$I$31</f>
        <v>391.753990350788</v>
      </c>
      <c r="E27" s="3">
        <f>parking_demand_data_2024_ver0!E27*calibration!$I$31</f>
        <v>18.8324203437531</v>
      </c>
      <c r="F27" s="3">
        <f t="shared" si="0"/>
        <v>410.58641069454109</v>
      </c>
      <c r="G27" s="3">
        <f>parking_demand_data_2024_ver0!F27</f>
        <v>6</v>
      </c>
      <c r="H27" s="3">
        <f>parking_demand_data_2024_ver0!G27</f>
        <v>1</v>
      </c>
      <c r="I27" s="3">
        <f>parking_demand_data_2024_ver0!H27</f>
        <v>2</v>
      </c>
      <c r="J27" s="3">
        <f>parking_demand_data_2024_ver0!I27</f>
        <v>3</v>
      </c>
      <c r="K27" s="3">
        <f>parking_demand_data_2024_ver0!J27</f>
        <v>0</v>
      </c>
      <c r="L27" s="3">
        <f>parking_demand_data_2024_ver0!K27</f>
        <v>0</v>
      </c>
      <c r="M27" s="3">
        <f>parking_demand_data_2024_ver0!L27</f>
        <v>0</v>
      </c>
      <c r="N27" s="3">
        <f>parking_demand_data_2024_ver0!M27</f>
        <v>343</v>
      </c>
      <c r="O27" s="3">
        <f>parking_demand_data_2024_ver0!N27</f>
        <v>150</v>
      </c>
      <c r="P27" s="3">
        <f>parking_demand_data_2024_ver0!O27</f>
        <v>140</v>
      </c>
      <c r="Q27" s="3">
        <f>parking_demand_data_2024_ver0!P27</f>
        <v>53</v>
      </c>
      <c r="R27" s="3">
        <f>parking_demand_data_2024_ver0!Q27</f>
        <v>0</v>
      </c>
      <c r="S27" s="3">
        <f>parking_demand_data_2024_ver0!R27</f>
        <v>0</v>
      </c>
      <c r="T27" s="3">
        <f>parking_demand_data_2024_ver0!S27</f>
        <v>0</v>
      </c>
    </row>
    <row r="28" spans="1:20" x14ac:dyDescent="0.25">
      <c r="A28">
        <v>18003</v>
      </c>
      <c r="B28" t="s">
        <v>30</v>
      </c>
      <c r="C28">
        <v>2</v>
      </c>
      <c r="D28" s="3">
        <f>parking_demand_data_2024_ver0!D28*calibration!$I$31</f>
        <v>391.47645994572298</v>
      </c>
      <c r="E28" s="3">
        <f>parking_demand_data_2024_ver0!E28*calibration!$I$31</f>
        <v>19.704658759674299</v>
      </c>
      <c r="F28" s="3">
        <f t="shared" si="0"/>
        <v>411.1811187053973</v>
      </c>
      <c r="G28" s="3">
        <f>parking_demand_data_2024_ver0!F28</f>
        <v>6</v>
      </c>
      <c r="H28" s="3">
        <f>parking_demand_data_2024_ver0!G28</f>
        <v>1</v>
      </c>
      <c r="I28" s="3">
        <f>parking_demand_data_2024_ver0!H28</f>
        <v>2</v>
      </c>
      <c r="J28" s="3">
        <f>parking_demand_data_2024_ver0!I28</f>
        <v>3</v>
      </c>
      <c r="K28" s="3">
        <f>parking_demand_data_2024_ver0!J28</f>
        <v>0</v>
      </c>
      <c r="L28" s="3">
        <f>parking_demand_data_2024_ver0!K28</f>
        <v>0</v>
      </c>
      <c r="M28" s="3">
        <f>parking_demand_data_2024_ver0!L28</f>
        <v>0</v>
      </c>
      <c r="N28" s="3">
        <f>parking_demand_data_2024_ver0!M28</f>
        <v>343</v>
      </c>
      <c r="O28" s="3">
        <f>parking_demand_data_2024_ver0!N28</f>
        <v>150</v>
      </c>
      <c r="P28" s="3">
        <f>parking_demand_data_2024_ver0!O28</f>
        <v>140</v>
      </c>
      <c r="Q28" s="3">
        <f>parking_demand_data_2024_ver0!P28</f>
        <v>53</v>
      </c>
      <c r="R28" s="3">
        <f>parking_demand_data_2024_ver0!Q28</f>
        <v>0</v>
      </c>
      <c r="S28" s="3">
        <f>parking_demand_data_2024_ver0!R28</f>
        <v>0</v>
      </c>
      <c r="T28" s="3">
        <f>parking_demand_data_2024_ver0!S28</f>
        <v>0</v>
      </c>
    </row>
    <row r="29" spans="1:20" x14ac:dyDescent="0.25">
      <c r="A29">
        <v>18003</v>
      </c>
      <c r="B29" t="s">
        <v>30</v>
      </c>
      <c r="C29">
        <v>3</v>
      </c>
      <c r="D29" s="3">
        <f>parking_demand_data_2024_ver0!D29*calibration!$I$31</f>
        <v>387.31350386973497</v>
      </c>
      <c r="E29" s="3">
        <f>parking_demand_data_2024_ver0!E29*calibration!$I$31</f>
        <v>21.131957985727201</v>
      </c>
      <c r="F29" s="3">
        <f t="shared" si="0"/>
        <v>408.44546185546216</v>
      </c>
      <c r="G29" s="3">
        <f>parking_demand_data_2024_ver0!F29</f>
        <v>6</v>
      </c>
      <c r="H29" s="3">
        <f>parking_demand_data_2024_ver0!G29</f>
        <v>1</v>
      </c>
      <c r="I29" s="3">
        <f>parking_demand_data_2024_ver0!H29</f>
        <v>2</v>
      </c>
      <c r="J29" s="3">
        <f>parking_demand_data_2024_ver0!I29</f>
        <v>3</v>
      </c>
      <c r="K29" s="3">
        <f>parking_demand_data_2024_ver0!J29</f>
        <v>0</v>
      </c>
      <c r="L29" s="3">
        <f>parking_demand_data_2024_ver0!K29</f>
        <v>0</v>
      </c>
      <c r="M29" s="3">
        <f>parking_demand_data_2024_ver0!L29</f>
        <v>0</v>
      </c>
      <c r="N29" s="3">
        <f>parking_demand_data_2024_ver0!M29</f>
        <v>343</v>
      </c>
      <c r="O29" s="3">
        <f>parking_demand_data_2024_ver0!N29</f>
        <v>150</v>
      </c>
      <c r="P29" s="3">
        <f>parking_demand_data_2024_ver0!O29</f>
        <v>140</v>
      </c>
      <c r="Q29" s="3">
        <f>parking_demand_data_2024_ver0!P29</f>
        <v>53</v>
      </c>
      <c r="R29" s="3">
        <f>parking_demand_data_2024_ver0!Q29</f>
        <v>0</v>
      </c>
      <c r="S29" s="3">
        <f>parking_demand_data_2024_ver0!R29</f>
        <v>0</v>
      </c>
      <c r="T29" s="3">
        <f>parking_demand_data_2024_ver0!S29</f>
        <v>0</v>
      </c>
    </row>
    <row r="30" spans="1:20" x14ac:dyDescent="0.25">
      <c r="A30">
        <v>18003</v>
      </c>
      <c r="B30" t="s">
        <v>30</v>
      </c>
      <c r="C30">
        <v>4</v>
      </c>
      <c r="D30" s="3">
        <f>parking_demand_data_2024_ver0!D30*calibration!$I$31</f>
        <v>368.24320032164002</v>
      </c>
      <c r="E30" s="3">
        <f>parking_demand_data_2024_ver0!E30*calibration!$I$31</f>
        <v>20.101130766911201</v>
      </c>
      <c r="F30" s="3">
        <f t="shared" si="0"/>
        <v>388.3443310885512</v>
      </c>
      <c r="G30" s="3">
        <f>parking_demand_data_2024_ver0!F30</f>
        <v>6</v>
      </c>
      <c r="H30" s="3">
        <f>parking_demand_data_2024_ver0!G30</f>
        <v>1</v>
      </c>
      <c r="I30" s="3">
        <f>parking_demand_data_2024_ver0!H30</f>
        <v>2</v>
      </c>
      <c r="J30" s="3">
        <f>parking_demand_data_2024_ver0!I30</f>
        <v>3</v>
      </c>
      <c r="K30" s="3">
        <f>parking_demand_data_2024_ver0!J30</f>
        <v>0</v>
      </c>
      <c r="L30" s="3">
        <f>parking_demand_data_2024_ver0!K30</f>
        <v>0</v>
      </c>
      <c r="M30" s="3">
        <f>parking_demand_data_2024_ver0!L30</f>
        <v>0</v>
      </c>
      <c r="N30" s="3">
        <f>parking_demand_data_2024_ver0!M30</f>
        <v>343</v>
      </c>
      <c r="O30" s="3">
        <f>parking_demand_data_2024_ver0!N30</f>
        <v>150</v>
      </c>
      <c r="P30" s="3">
        <f>parking_demand_data_2024_ver0!O30</f>
        <v>140</v>
      </c>
      <c r="Q30" s="3">
        <f>parking_demand_data_2024_ver0!P30</f>
        <v>53</v>
      </c>
      <c r="R30" s="3">
        <f>parking_demand_data_2024_ver0!Q30</f>
        <v>0</v>
      </c>
      <c r="S30" s="3">
        <f>parking_demand_data_2024_ver0!R30</f>
        <v>0</v>
      </c>
      <c r="T30" s="3">
        <f>parking_demand_data_2024_ver0!S30</f>
        <v>0</v>
      </c>
    </row>
    <row r="31" spans="1:20" x14ac:dyDescent="0.25">
      <c r="A31">
        <v>18003</v>
      </c>
      <c r="B31" t="s">
        <v>30</v>
      </c>
      <c r="C31">
        <v>5</v>
      </c>
      <c r="D31" s="3">
        <f>parking_demand_data_2024_ver0!D31*calibration!$I$31</f>
        <v>352.78079203940001</v>
      </c>
      <c r="E31" s="3">
        <f>parking_demand_data_2024_ver0!E31*calibration!$I$31</f>
        <v>22.361021208161599</v>
      </c>
      <c r="F31" s="3">
        <f t="shared" si="0"/>
        <v>375.14181324756163</v>
      </c>
      <c r="G31" s="3">
        <f>parking_demand_data_2024_ver0!F31</f>
        <v>6</v>
      </c>
      <c r="H31" s="3">
        <f>parking_demand_data_2024_ver0!G31</f>
        <v>1</v>
      </c>
      <c r="I31" s="3">
        <f>parking_demand_data_2024_ver0!H31</f>
        <v>2</v>
      </c>
      <c r="J31" s="3">
        <f>parking_demand_data_2024_ver0!I31</f>
        <v>3</v>
      </c>
      <c r="K31" s="3">
        <f>parking_demand_data_2024_ver0!J31</f>
        <v>0</v>
      </c>
      <c r="L31" s="3">
        <f>parking_demand_data_2024_ver0!K31</f>
        <v>0</v>
      </c>
      <c r="M31" s="3">
        <f>parking_demand_data_2024_ver0!L31</f>
        <v>0</v>
      </c>
      <c r="N31" s="3">
        <f>parking_demand_data_2024_ver0!M31</f>
        <v>343</v>
      </c>
      <c r="O31" s="3">
        <f>parking_demand_data_2024_ver0!N31</f>
        <v>150</v>
      </c>
      <c r="P31" s="3">
        <f>parking_demand_data_2024_ver0!O31</f>
        <v>140</v>
      </c>
      <c r="Q31" s="3">
        <f>parking_demand_data_2024_ver0!P31</f>
        <v>53</v>
      </c>
      <c r="R31" s="3">
        <f>parking_demand_data_2024_ver0!Q31</f>
        <v>0</v>
      </c>
      <c r="S31" s="3">
        <f>parking_demand_data_2024_ver0!R31</f>
        <v>0</v>
      </c>
      <c r="T31" s="3">
        <f>parking_demand_data_2024_ver0!S31</f>
        <v>0</v>
      </c>
    </row>
    <row r="32" spans="1:20" x14ac:dyDescent="0.25">
      <c r="A32">
        <v>18003</v>
      </c>
      <c r="B32" t="s">
        <v>30</v>
      </c>
      <c r="C32">
        <v>6</v>
      </c>
      <c r="D32" s="3">
        <f>parking_demand_data_2024_ver0!D32*calibration!$I$31</f>
        <v>323.00574429590898</v>
      </c>
      <c r="E32" s="3">
        <f>parking_demand_data_2024_ver0!E32*calibration!$I$31</f>
        <v>29.378575736254898</v>
      </c>
      <c r="F32" s="3">
        <f t="shared" si="0"/>
        <v>352.38432003216388</v>
      </c>
      <c r="G32" s="3">
        <f>parking_demand_data_2024_ver0!F32</f>
        <v>6</v>
      </c>
      <c r="H32" s="3">
        <f>parking_demand_data_2024_ver0!G32</f>
        <v>1</v>
      </c>
      <c r="I32" s="3">
        <f>parking_demand_data_2024_ver0!H32</f>
        <v>2</v>
      </c>
      <c r="J32" s="3">
        <f>parking_demand_data_2024_ver0!I32</f>
        <v>3</v>
      </c>
      <c r="K32" s="3">
        <f>parking_demand_data_2024_ver0!J32</f>
        <v>0</v>
      </c>
      <c r="L32" s="3">
        <f>parking_demand_data_2024_ver0!K32</f>
        <v>0</v>
      </c>
      <c r="M32" s="3">
        <f>parking_demand_data_2024_ver0!L32</f>
        <v>0</v>
      </c>
      <c r="N32" s="3">
        <f>parking_demand_data_2024_ver0!M32</f>
        <v>343</v>
      </c>
      <c r="O32" s="3">
        <f>parking_demand_data_2024_ver0!N32</f>
        <v>150</v>
      </c>
      <c r="P32" s="3">
        <f>parking_demand_data_2024_ver0!O32</f>
        <v>140</v>
      </c>
      <c r="Q32" s="3">
        <f>parking_demand_data_2024_ver0!P32</f>
        <v>53</v>
      </c>
      <c r="R32" s="3">
        <f>parking_demand_data_2024_ver0!Q32</f>
        <v>0</v>
      </c>
      <c r="S32" s="3">
        <f>parking_demand_data_2024_ver0!R32</f>
        <v>0</v>
      </c>
      <c r="T32" s="3">
        <f>parking_demand_data_2024_ver0!S32</f>
        <v>0</v>
      </c>
    </row>
    <row r="33" spans="1:20" x14ac:dyDescent="0.25">
      <c r="A33">
        <v>18003</v>
      </c>
      <c r="B33" t="s">
        <v>30</v>
      </c>
      <c r="C33">
        <v>7</v>
      </c>
      <c r="D33" s="3">
        <f>parking_demand_data_2024_ver0!D33*calibration!$I$31</f>
        <v>276.22204744195301</v>
      </c>
      <c r="E33" s="3">
        <f>parking_demand_data_2024_ver0!E33*calibration!$I$31</f>
        <v>35.761775052769103</v>
      </c>
      <c r="F33" s="3">
        <f t="shared" si="0"/>
        <v>311.98382249472212</v>
      </c>
      <c r="G33" s="3">
        <f>parking_demand_data_2024_ver0!F33</f>
        <v>6</v>
      </c>
      <c r="H33" s="3">
        <f>parking_demand_data_2024_ver0!G33</f>
        <v>1</v>
      </c>
      <c r="I33" s="3">
        <f>parking_demand_data_2024_ver0!H33</f>
        <v>2</v>
      </c>
      <c r="J33" s="3">
        <f>parking_demand_data_2024_ver0!I33</f>
        <v>3</v>
      </c>
      <c r="K33" s="3">
        <f>parking_demand_data_2024_ver0!J33</f>
        <v>0</v>
      </c>
      <c r="L33" s="3">
        <f>parking_demand_data_2024_ver0!K33</f>
        <v>0</v>
      </c>
      <c r="M33" s="3">
        <f>parking_demand_data_2024_ver0!L33</f>
        <v>0</v>
      </c>
      <c r="N33" s="3">
        <f>parking_demand_data_2024_ver0!M33</f>
        <v>343</v>
      </c>
      <c r="O33" s="3">
        <f>parking_demand_data_2024_ver0!N33</f>
        <v>150</v>
      </c>
      <c r="P33" s="3">
        <f>parking_demand_data_2024_ver0!O33</f>
        <v>140</v>
      </c>
      <c r="Q33" s="3">
        <f>parking_demand_data_2024_ver0!P33</f>
        <v>53</v>
      </c>
      <c r="R33" s="3">
        <f>parking_demand_data_2024_ver0!Q33</f>
        <v>0</v>
      </c>
      <c r="S33" s="3">
        <f>parking_demand_data_2024_ver0!R33</f>
        <v>0</v>
      </c>
      <c r="T33" s="3">
        <f>parking_demand_data_2024_ver0!S33</f>
        <v>0</v>
      </c>
    </row>
    <row r="34" spans="1:20" x14ac:dyDescent="0.25">
      <c r="A34">
        <v>18003</v>
      </c>
      <c r="B34" t="s">
        <v>30</v>
      </c>
      <c r="C34">
        <v>8</v>
      </c>
      <c r="D34" s="3">
        <f>parking_demand_data_2024_ver0!D34*calibration!$I$31</f>
        <v>234.39425067846</v>
      </c>
      <c r="E34" s="3">
        <f>parking_demand_data_2024_ver0!E34*calibration!$I$31</f>
        <v>38.1406070961905</v>
      </c>
      <c r="F34" s="3">
        <f t="shared" si="0"/>
        <v>272.5348577746505</v>
      </c>
      <c r="G34" s="3">
        <f>parking_demand_data_2024_ver0!F34</f>
        <v>6</v>
      </c>
      <c r="H34" s="3">
        <f>parking_demand_data_2024_ver0!G34</f>
        <v>1</v>
      </c>
      <c r="I34" s="3">
        <f>parking_demand_data_2024_ver0!H34</f>
        <v>2</v>
      </c>
      <c r="J34" s="3">
        <f>parking_demand_data_2024_ver0!I34</f>
        <v>3</v>
      </c>
      <c r="K34" s="3">
        <f>parking_demand_data_2024_ver0!J34</f>
        <v>0</v>
      </c>
      <c r="L34" s="3">
        <f>parking_demand_data_2024_ver0!K34</f>
        <v>0</v>
      </c>
      <c r="M34" s="3">
        <f>parking_demand_data_2024_ver0!L34</f>
        <v>0</v>
      </c>
      <c r="N34" s="3">
        <f>parking_demand_data_2024_ver0!M34</f>
        <v>343</v>
      </c>
      <c r="O34" s="3">
        <f>parking_demand_data_2024_ver0!N34</f>
        <v>150</v>
      </c>
      <c r="P34" s="3">
        <f>parking_demand_data_2024_ver0!O34</f>
        <v>140</v>
      </c>
      <c r="Q34" s="3">
        <f>parking_demand_data_2024_ver0!P34</f>
        <v>53</v>
      </c>
      <c r="R34" s="3">
        <f>parking_demand_data_2024_ver0!Q34</f>
        <v>0</v>
      </c>
      <c r="S34" s="3">
        <f>parking_demand_data_2024_ver0!R34</f>
        <v>0</v>
      </c>
      <c r="T34" s="3">
        <f>parking_demand_data_2024_ver0!S34</f>
        <v>0</v>
      </c>
    </row>
    <row r="35" spans="1:20" x14ac:dyDescent="0.25">
      <c r="A35">
        <v>18003</v>
      </c>
      <c r="B35" t="s">
        <v>30</v>
      </c>
      <c r="C35">
        <v>9</v>
      </c>
      <c r="D35" s="3">
        <f>parking_demand_data_2024_ver0!D35*calibration!$I$31</f>
        <v>215.32394713036399</v>
      </c>
      <c r="E35" s="3">
        <f>parking_demand_data_2024_ver0!E35*calibration!$I$31</f>
        <v>39.409317519348598</v>
      </c>
      <c r="F35" s="3">
        <f t="shared" si="0"/>
        <v>254.73326464971259</v>
      </c>
      <c r="G35" s="3">
        <f>parking_demand_data_2024_ver0!F35</f>
        <v>6</v>
      </c>
      <c r="H35" s="3">
        <f>parking_demand_data_2024_ver0!G35</f>
        <v>1</v>
      </c>
      <c r="I35" s="3">
        <f>parking_demand_data_2024_ver0!H35</f>
        <v>2</v>
      </c>
      <c r="J35" s="3">
        <f>parking_demand_data_2024_ver0!I35</f>
        <v>3</v>
      </c>
      <c r="K35" s="3">
        <f>parking_demand_data_2024_ver0!J35</f>
        <v>0</v>
      </c>
      <c r="L35" s="3">
        <f>parking_demand_data_2024_ver0!K35</f>
        <v>0</v>
      </c>
      <c r="M35" s="3">
        <f>parking_demand_data_2024_ver0!L35</f>
        <v>0</v>
      </c>
      <c r="N35" s="3">
        <f>parking_demand_data_2024_ver0!M35</f>
        <v>343</v>
      </c>
      <c r="O35" s="3">
        <f>parking_demand_data_2024_ver0!N35</f>
        <v>150</v>
      </c>
      <c r="P35" s="3">
        <f>parking_demand_data_2024_ver0!O35</f>
        <v>140</v>
      </c>
      <c r="Q35" s="3">
        <f>parking_demand_data_2024_ver0!P35</f>
        <v>53</v>
      </c>
      <c r="R35" s="3">
        <f>parking_demand_data_2024_ver0!Q35</f>
        <v>0</v>
      </c>
      <c r="S35" s="3">
        <f>parking_demand_data_2024_ver0!R35</f>
        <v>0</v>
      </c>
      <c r="T35" s="3">
        <f>parking_demand_data_2024_ver0!S35</f>
        <v>0</v>
      </c>
    </row>
    <row r="36" spans="1:20" x14ac:dyDescent="0.25">
      <c r="A36">
        <v>18003</v>
      </c>
      <c r="B36" t="s">
        <v>30</v>
      </c>
      <c r="C36">
        <v>10</v>
      </c>
      <c r="D36" s="3">
        <f>parking_demand_data_2024_ver0!D36*calibration!$I$31</f>
        <v>213.143351090561</v>
      </c>
      <c r="E36" s="3">
        <f>parking_demand_data_2024_ver0!E36*calibration!$I$31</f>
        <v>37.0304854759272</v>
      </c>
      <c r="F36" s="3">
        <f t="shared" si="0"/>
        <v>250.17383656648821</v>
      </c>
      <c r="G36" s="3">
        <f>parking_demand_data_2024_ver0!F36</f>
        <v>6</v>
      </c>
      <c r="H36" s="3">
        <f>parking_demand_data_2024_ver0!G36</f>
        <v>1</v>
      </c>
      <c r="I36" s="3">
        <f>parking_demand_data_2024_ver0!H36</f>
        <v>2</v>
      </c>
      <c r="J36" s="3">
        <f>parking_demand_data_2024_ver0!I36</f>
        <v>3</v>
      </c>
      <c r="K36" s="3">
        <f>parking_demand_data_2024_ver0!J36</f>
        <v>0</v>
      </c>
      <c r="L36" s="3">
        <f>parking_demand_data_2024_ver0!K36</f>
        <v>0</v>
      </c>
      <c r="M36" s="3">
        <f>parking_demand_data_2024_ver0!L36</f>
        <v>0</v>
      </c>
      <c r="N36" s="3">
        <f>parking_demand_data_2024_ver0!M36</f>
        <v>343</v>
      </c>
      <c r="O36" s="3">
        <f>parking_demand_data_2024_ver0!N36</f>
        <v>150</v>
      </c>
      <c r="P36" s="3">
        <f>parking_demand_data_2024_ver0!O36</f>
        <v>140</v>
      </c>
      <c r="Q36" s="3">
        <f>parking_demand_data_2024_ver0!P36</f>
        <v>53</v>
      </c>
      <c r="R36" s="3">
        <f>parking_demand_data_2024_ver0!Q36</f>
        <v>0</v>
      </c>
      <c r="S36" s="3">
        <f>parking_demand_data_2024_ver0!R36</f>
        <v>0</v>
      </c>
      <c r="T36" s="3">
        <f>parking_demand_data_2024_ver0!S36</f>
        <v>0</v>
      </c>
    </row>
    <row r="37" spans="1:20" x14ac:dyDescent="0.25">
      <c r="A37">
        <v>18003</v>
      </c>
      <c r="B37" t="s">
        <v>30</v>
      </c>
      <c r="C37">
        <v>11</v>
      </c>
      <c r="D37" s="3">
        <f>parking_demand_data_2024_ver0!D37*calibration!$I$31</f>
        <v>208.78215901095501</v>
      </c>
      <c r="E37" s="3">
        <f>parking_demand_data_2024_ver0!E37*calibration!$I$31</f>
        <v>37.0701326766509</v>
      </c>
      <c r="F37" s="3">
        <f t="shared" si="0"/>
        <v>245.85229168760591</v>
      </c>
      <c r="G37" s="3">
        <f>parking_demand_data_2024_ver0!F37</f>
        <v>6</v>
      </c>
      <c r="H37" s="3">
        <f>parking_demand_data_2024_ver0!G37</f>
        <v>1</v>
      </c>
      <c r="I37" s="3">
        <f>parking_demand_data_2024_ver0!H37</f>
        <v>2</v>
      </c>
      <c r="J37" s="3">
        <f>parking_demand_data_2024_ver0!I37</f>
        <v>3</v>
      </c>
      <c r="K37" s="3">
        <f>parking_demand_data_2024_ver0!J37</f>
        <v>0</v>
      </c>
      <c r="L37" s="3">
        <f>parking_demand_data_2024_ver0!K37</f>
        <v>0</v>
      </c>
      <c r="M37" s="3">
        <f>parking_demand_data_2024_ver0!L37</f>
        <v>0</v>
      </c>
      <c r="N37" s="3">
        <f>parking_demand_data_2024_ver0!M37</f>
        <v>343</v>
      </c>
      <c r="O37" s="3">
        <f>parking_demand_data_2024_ver0!N37</f>
        <v>150</v>
      </c>
      <c r="P37" s="3">
        <f>parking_demand_data_2024_ver0!O37</f>
        <v>140</v>
      </c>
      <c r="Q37" s="3">
        <f>parking_demand_data_2024_ver0!P37</f>
        <v>53</v>
      </c>
      <c r="R37" s="3">
        <f>parking_demand_data_2024_ver0!Q37</f>
        <v>0</v>
      </c>
      <c r="S37" s="3">
        <f>parking_demand_data_2024_ver0!R37</f>
        <v>0</v>
      </c>
      <c r="T37" s="3">
        <f>parking_demand_data_2024_ver0!S37</f>
        <v>0</v>
      </c>
    </row>
    <row r="38" spans="1:20" x14ac:dyDescent="0.25">
      <c r="A38">
        <v>18003</v>
      </c>
      <c r="B38" t="s">
        <v>30</v>
      </c>
      <c r="C38">
        <v>12</v>
      </c>
      <c r="D38" s="3">
        <f>parking_demand_data_2024_ver0!D38*calibration!$I$31</f>
        <v>216.11689114483801</v>
      </c>
      <c r="E38" s="3">
        <f>parking_demand_data_2024_ver0!E38*calibration!$I$31</f>
        <v>31.519524575334199</v>
      </c>
      <c r="F38" s="3">
        <f t="shared" si="0"/>
        <v>247.63641572017221</v>
      </c>
      <c r="G38" s="3">
        <f>parking_demand_data_2024_ver0!F38</f>
        <v>6</v>
      </c>
      <c r="H38" s="3">
        <f>parking_demand_data_2024_ver0!G38</f>
        <v>1</v>
      </c>
      <c r="I38" s="3">
        <f>parking_demand_data_2024_ver0!H38</f>
        <v>2</v>
      </c>
      <c r="J38" s="3">
        <f>parking_demand_data_2024_ver0!I38</f>
        <v>3</v>
      </c>
      <c r="K38" s="3">
        <f>parking_demand_data_2024_ver0!J38</f>
        <v>0</v>
      </c>
      <c r="L38" s="3">
        <f>parking_demand_data_2024_ver0!K38</f>
        <v>0</v>
      </c>
      <c r="M38" s="3">
        <f>parking_demand_data_2024_ver0!L38</f>
        <v>0</v>
      </c>
      <c r="N38" s="3">
        <f>parking_demand_data_2024_ver0!M38</f>
        <v>343</v>
      </c>
      <c r="O38" s="3">
        <f>parking_demand_data_2024_ver0!N38</f>
        <v>150</v>
      </c>
      <c r="P38" s="3">
        <f>parking_demand_data_2024_ver0!O38</f>
        <v>140</v>
      </c>
      <c r="Q38" s="3">
        <f>parking_demand_data_2024_ver0!P38</f>
        <v>53</v>
      </c>
      <c r="R38" s="3">
        <f>parking_demand_data_2024_ver0!Q38</f>
        <v>0</v>
      </c>
      <c r="S38" s="3">
        <f>parking_demand_data_2024_ver0!R38</f>
        <v>0</v>
      </c>
      <c r="T38" s="3">
        <f>parking_demand_data_2024_ver0!S38</f>
        <v>0</v>
      </c>
    </row>
    <row r="39" spans="1:20" x14ac:dyDescent="0.25">
      <c r="A39">
        <v>18003</v>
      </c>
      <c r="B39" t="s">
        <v>30</v>
      </c>
      <c r="C39">
        <v>13</v>
      </c>
      <c r="D39" s="3">
        <f>parking_demand_data_2024_ver0!D39*calibration!$I$31</f>
        <v>231.38106342345901</v>
      </c>
      <c r="E39" s="3">
        <f>parking_demand_data_2024_ver0!E39*calibration!$I$31</f>
        <v>27.079038094280801</v>
      </c>
      <c r="F39" s="3">
        <f t="shared" si="0"/>
        <v>258.46010151773982</v>
      </c>
      <c r="G39" s="3">
        <f>parking_demand_data_2024_ver0!F39</f>
        <v>6</v>
      </c>
      <c r="H39" s="3">
        <f>parking_demand_data_2024_ver0!G39</f>
        <v>1</v>
      </c>
      <c r="I39" s="3">
        <f>parking_demand_data_2024_ver0!H39</f>
        <v>2</v>
      </c>
      <c r="J39" s="3">
        <f>parking_demand_data_2024_ver0!I39</f>
        <v>3</v>
      </c>
      <c r="K39" s="3">
        <f>parking_demand_data_2024_ver0!J39</f>
        <v>0</v>
      </c>
      <c r="L39" s="3">
        <f>parking_demand_data_2024_ver0!K39</f>
        <v>0</v>
      </c>
      <c r="M39" s="3">
        <f>parking_demand_data_2024_ver0!L39</f>
        <v>0</v>
      </c>
      <c r="N39" s="3">
        <f>parking_demand_data_2024_ver0!M39</f>
        <v>343</v>
      </c>
      <c r="O39" s="3">
        <f>parking_demand_data_2024_ver0!N39</f>
        <v>150</v>
      </c>
      <c r="P39" s="3">
        <f>parking_demand_data_2024_ver0!O39</f>
        <v>140</v>
      </c>
      <c r="Q39" s="3">
        <f>parking_demand_data_2024_ver0!P39</f>
        <v>53</v>
      </c>
      <c r="R39" s="3">
        <f>parking_demand_data_2024_ver0!Q39</f>
        <v>0</v>
      </c>
      <c r="S39" s="3">
        <f>parking_demand_data_2024_ver0!R39</f>
        <v>0</v>
      </c>
      <c r="T39" s="3">
        <f>parking_demand_data_2024_ver0!S39</f>
        <v>0</v>
      </c>
    </row>
    <row r="40" spans="1:20" x14ac:dyDescent="0.25">
      <c r="A40">
        <v>18003</v>
      </c>
      <c r="B40" t="s">
        <v>30</v>
      </c>
      <c r="C40">
        <v>14</v>
      </c>
      <c r="D40" s="3">
        <f>parking_demand_data_2024_ver0!D40*calibration!$I$31</f>
        <v>248.112182128857</v>
      </c>
      <c r="E40" s="3">
        <f>parking_demand_data_2024_ver0!E40*calibration!$I$31</f>
        <v>19.8632475625691</v>
      </c>
      <c r="F40" s="3">
        <f t="shared" si="0"/>
        <v>267.97542969142609</v>
      </c>
      <c r="G40" s="3">
        <f>parking_demand_data_2024_ver0!F40</f>
        <v>6</v>
      </c>
      <c r="H40" s="3">
        <f>parking_demand_data_2024_ver0!G40</f>
        <v>1</v>
      </c>
      <c r="I40" s="3">
        <f>parking_demand_data_2024_ver0!H40</f>
        <v>2</v>
      </c>
      <c r="J40" s="3">
        <f>parking_demand_data_2024_ver0!I40</f>
        <v>3</v>
      </c>
      <c r="K40" s="3">
        <f>parking_demand_data_2024_ver0!J40</f>
        <v>0</v>
      </c>
      <c r="L40" s="3">
        <f>parking_demand_data_2024_ver0!K40</f>
        <v>0</v>
      </c>
      <c r="M40" s="3">
        <f>parking_demand_data_2024_ver0!L40</f>
        <v>0</v>
      </c>
      <c r="N40" s="3">
        <f>parking_demand_data_2024_ver0!M40</f>
        <v>343</v>
      </c>
      <c r="O40" s="3">
        <f>parking_demand_data_2024_ver0!N40</f>
        <v>150</v>
      </c>
      <c r="P40" s="3">
        <f>parking_demand_data_2024_ver0!O40</f>
        <v>140</v>
      </c>
      <c r="Q40" s="3">
        <f>parking_demand_data_2024_ver0!P40</f>
        <v>53</v>
      </c>
      <c r="R40" s="3">
        <f>parking_demand_data_2024_ver0!Q40</f>
        <v>0</v>
      </c>
      <c r="S40" s="3">
        <f>parking_demand_data_2024_ver0!R40</f>
        <v>0</v>
      </c>
      <c r="T40" s="3">
        <f>parking_demand_data_2024_ver0!S40</f>
        <v>0</v>
      </c>
    </row>
    <row r="41" spans="1:20" x14ac:dyDescent="0.25">
      <c r="A41">
        <v>18003</v>
      </c>
      <c r="B41" t="s">
        <v>30</v>
      </c>
      <c r="C41">
        <v>15</v>
      </c>
      <c r="D41" s="3">
        <f>parking_demand_data_2024_ver0!D41*calibration!$I$31</f>
        <v>256.67597748517397</v>
      </c>
      <c r="E41" s="3">
        <f>parking_demand_data_2024_ver0!E41*calibration!$I$31</f>
        <v>16.413941099608</v>
      </c>
      <c r="F41" s="3">
        <f t="shared" si="0"/>
        <v>273.08991858478197</v>
      </c>
      <c r="G41" s="3">
        <f>parking_demand_data_2024_ver0!F41</f>
        <v>6</v>
      </c>
      <c r="H41" s="3">
        <f>parking_demand_data_2024_ver0!G41</f>
        <v>1</v>
      </c>
      <c r="I41" s="3">
        <f>parking_demand_data_2024_ver0!H41</f>
        <v>2</v>
      </c>
      <c r="J41" s="3">
        <f>parking_demand_data_2024_ver0!I41</f>
        <v>3</v>
      </c>
      <c r="K41" s="3">
        <f>parking_demand_data_2024_ver0!J41</f>
        <v>0</v>
      </c>
      <c r="L41" s="3">
        <f>parking_demand_data_2024_ver0!K41</f>
        <v>0</v>
      </c>
      <c r="M41" s="3">
        <f>parking_demand_data_2024_ver0!L41</f>
        <v>0</v>
      </c>
      <c r="N41" s="3">
        <f>parking_demand_data_2024_ver0!M41</f>
        <v>343</v>
      </c>
      <c r="O41" s="3">
        <f>parking_demand_data_2024_ver0!N41</f>
        <v>150</v>
      </c>
      <c r="P41" s="3">
        <f>parking_demand_data_2024_ver0!O41</f>
        <v>140</v>
      </c>
      <c r="Q41" s="3">
        <f>parking_demand_data_2024_ver0!P41</f>
        <v>53</v>
      </c>
      <c r="R41" s="3">
        <f>parking_demand_data_2024_ver0!Q41</f>
        <v>0</v>
      </c>
      <c r="S41" s="3">
        <f>parking_demand_data_2024_ver0!R41</f>
        <v>0</v>
      </c>
      <c r="T41" s="3">
        <f>parking_demand_data_2024_ver0!S41</f>
        <v>0</v>
      </c>
    </row>
    <row r="42" spans="1:20" x14ac:dyDescent="0.25">
      <c r="A42">
        <v>18003</v>
      </c>
      <c r="B42" t="s">
        <v>30</v>
      </c>
      <c r="C42">
        <v>16</v>
      </c>
      <c r="D42" s="3">
        <f>parking_demand_data_2024_ver0!D42*calibration!$I$31</f>
        <v>274.794748215901</v>
      </c>
      <c r="E42" s="3">
        <f>parking_demand_data_2024_ver0!E42*calibration!$I$31</f>
        <v>10.3875665896069</v>
      </c>
      <c r="F42" s="3">
        <f t="shared" si="0"/>
        <v>285.18231480550787</v>
      </c>
      <c r="G42" s="3">
        <f>parking_demand_data_2024_ver0!F42</f>
        <v>6</v>
      </c>
      <c r="H42" s="3">
        <f>parking_demand_data_2024_ver0!G42</f>
        <v>1</v>
      </c>
      <c r="I42" s="3">
        <f>parking_demand_data_2024_ver0!H42</f>
        <v>2</v>
      </c>
      <c r="J42" s="3">
        <f>parking_demand_data_2024_ver0!I42</f>
        <v>3</v>
      </c>
      <c r="K42" s="3">
        <f>parking_demand_data_2024_ver0!J42</f>
        <v>0</v>
      </c>
      <c r="L42" s="3">
        <f>parking_demand_data_2024_ver0!K42</f>
        <v>0</v>
      </c>
      <c r="M42" s="3">
        <f>parking_demand_data_2024_ver0!L42</f>
        <v>0</v>
      </c>
      <c r="N42" s="3">
        <f>parking_demand_data_2024_ver0!M42</f>
        <v>343</v>
      </c>
      <c r="O42" s="3">
        <f>parking_demand_data_2024_ver0!N42</f>
        <v>150</v>
      </c>
      <c r="P42" s="3">
        <f>parking_demand_data_2024_ver0!O42</f>
        <v>140</v>
      </c>
      <c r="Q42" s="3">
        <f>parking_demand_data_2024_ver0!P42</f>
        <v>53</v>
      </c>
      <c r="R42" s="3">
        <f>parking_demand_data_2024_ver0!Q42</f>
        <v>0</v>
      </c>
      <c r="S42" s="3">
        <f>parking_demand_data_2024_ver0!R42</f>
        <v>0</v>
      </c>
      <c r="T42" s="3">
        <f>parking_demand_data_2024_ver0!S42</f>
        <v>0</v>
      </c>
    </row>
    <row r="43" spans="1:20" x14ac:dyDescent="0.25">
      <c r="A43">
        <v>18003</v>
      </c>
      <c r="B43" t="s">
        <v>30</v>
      </c>
      <c r="C43">
        <v>17</v>
      </c>
      <c r="D43" s="3">
        <f>parking_demand_data_2024_ver0!D43*calibration!$I$31</f>
        <v>301.75484470801001</v>
      </c>
      <c r="E43" s="3">
        <f>parking_demand_data_2024_ver0!E43*calibration!$I$31</f>
        <v>9.2377977686199593</v>
      </c>
      <c r="F43" s="3">
        <f t="shared" si="0"/>
        <v>310.99264247662995</v>
      </c>
      <c r="G43" s="3">
        <f>parking_demand_data_2024_ver0!F43</f>
        <v>6</v>
      </c>
      <c r="H43" s="3">
        <f>parking_demand_data_2024_ver0!G43</f>
        <v>1</v>
      </c>
      <c r="I43" s="3">
        <f>parking_demand_data_2024_ver0!H43</f>
        <v>2</v>
      </c>
      <c r="J43" s="3">
        <f>parking_demand_data_2024_ver0!I43</f>
        <v>3</v>
      </c>
      <c r="K43" s="3">
        <f>parking_demand_data_2024_ver0!J43</f>
        <v>0</v>
      </c>
      <c r="L43" s="3">
        <f>parking_demand_data_2024_ver0!K43</f>
        <v>0</v>
      </c>
      <c r="M43" s="3">
        <f>parking_demand_data_2024_ver0!L43</f>
        <v>0</v>
      </c>
      <c r="N43" s="3">
        <f>parking_demand_data_2024_ver0!M43</f>
        <v>343</v>
      </c>
      <c r="O43" s="3">
        <f>parking_demand_data_2024_ver0!N43</f>
        <v>150</v>
      </c>
      <c r="P43" s="3">
        <f>parking_demand_data_2024_ver0!O43</f>
        <v>140</v>
      </c>
      <c r="Q43" s="3">
        <f>parking_demand_data_2024_ver0!P43</f>
        <v>53</v>
      </c>
      <c r="R43" s="3">
        <f>parking_demand_data_2024_ver0!Q43</f>
        <v>0</v>
      </c>
      <c r="S43" s="3">
        <f>parking_demand_data_2024_ver0!R43</f>
        <v>0</v>
      </c>
      <c r="T43" s="3">
        <f>parking_demand_data_2024_ver0!S43</f>
        <v>0</v>
      </c>
    </row>
    <row r="44" spans="1:20" x14ac:dyDescent="0.25">
      <c r="A44">
        <v>18003</v>
      </c>
      <c r="B44" t="s">
        <v>30</v>
      </c>
      <c r="C44">
        <v>18</v>
      </c>
      <c r="D44" s="3">
        <f>parking_demand_data_2024_ver0!D44*calibration!$I$31</f>
        <v>326.81187556538299</v>
      </c>
      <c r="E44" s="3">
        <f>parking_demand_data_2024_ver0!E44*calibration!$I$31</f>
        <v>8.2862649512513809</v>
      </c>
      <c r="F44" s="3">
        <f t="shared" si="0"/>
        <v>335.09814051663437</v>
      </c>
      <c r="G44" s="3">
        <f>parking_demand_data_2024_ver0!F44</f>
        <v>6</v>
      </c>
      <c r="H44" s="3">
        <f>parking_demand_data_2024_ver0!G44</f>
        <v>1</v>
      </c>
      <c r="I44" s="3">
        <f>parking_demand_data_2024_ver0!H44</f>
        <v>2</v>
      </c>
      <c r="J44" s="3">
        <f>parking_demand_data_2024_ver0!I44</f>
        <v>3</v>
      </c>
      <c r="K44" s="3">
        <f>parking_demand_data_2024_ver0!J44</f>
        <v>0</v>
      </c>
      <c r="L44" s="3">
        <f>parking_demand_data_2024_ver0!K44</f>
        <v>0</v>
      </c>
      <c r="M44" s="3">
        <f>parking_demand_data_2024_ver0!L44</f>
        <v>0</v>
      </c>
      <c r="N44" s="3">
        <f>parking_demand_data_2024_ver0!M44</f>
        <v>343</v>
      </c>
      <c r="O44" s="3">
        <f>parking_demand_data_2024_ver0!N44</f>
        <v>150</v>
      </c>
      <c r="P44" s="3">
        <f>parking_demand_data_2024_ver0!O44</f>
        <v>140</v>
      </c>
      <c r="Q44" s="3">
        <f>parking_demand_data_2024_ver0!P44</f>
        <v>53</v>
      </c>
      <c r="R44" s="3">
        <f>parking_demand_data_2024_ver0!Q44</f>
        <v>0</v>
      </c>
      <c r="S44" s="3">
        <f>parking_demand_data_2024_ver0!R44</f>
        <v>0</v>
      </c>
      <c r="T44" s="3">
        <f>parking_demand_data_2024_ver0!S44</f>
        <v>0</v>
      </c>
    </row>
    <row r="45" spans="1:20" x14ac:dyDescent="0.25">
      <c r="A45">
        <v>18003</v>
      </c>
      <c r="B45" t="s">
        <v>30</v>
      </c>
      <c r="C45">
        <v>19</v>
      </c>
      <c r="D45" s="3">
        <f>parking_demand_data_2024_ver0!D45*calibration!$I$31</f>
        <v>351.23455121117598</v>
      </c>
      <c r="E45" s="3">
        <f>parking_demand_data_2024_ver0!E45*calibration!$I$31</f>
        <v>8.1276761483566098</v>
      </c>
      <c r="F45" s="3">
        <f t="shared" si="0"/>
        <v>359.3622273595326</v>
      </c>
      <c r="G45" s="3">
        <f>parking_demand_data_2024_ver0!F45</f>
        <v>6</v>
      </c>
      <c r="H45" s="3">
        <f>parking_demand_data_2024_ver0!G45</f>
        <v>1</v>
      </c>
      <c r="I45" s="3">
        <f>parking_demand_data_2024_ver0!H45</f>
        <v>2</v>
      </c>
      <c r="J45" s="3">
        <f>parking_demand_data_2024_ver0!I45</f>
        <v>3</v>
      </c>
      <c r="K45" s="3">
        <f>parking_demand_data_2024_ver0!J45</f>
        <v>0</v>
      </c>
      <c r="L45" s="3">
        <f>parking_demand_data_2024_ver0!K45</f>
        <v>0</v>
      </c>
      <c r="M45" s="3">
        <f>parking_demand_data_2024_ver0!L45</f>
        <v>0</v>
      </c>
      <c r="N45" s="3">
        <f>parking_demand_data_2024_ver0!M45</f>
        <v>343</v>
      </c>
      <c r="O45" s="3">
        <f>parking_demand_data_2024_ver0!N45</f>
        <v>150</v>
      </c>
      <c r="P45" s="3">
        <f>parking_demand_data_2024_ver0!O45</f>
        <v>140</v>
      </c>
      <c r="Q45" s="3">
        <f>parking_demand_data_2024_ver0!P45</f>
        <v>53</v>
      </c>
      <c r="R45" s="3">
        <f>parking_demand_data_2024_ver0!Q45</f>
        <v>0</v>
      </c>
      <c r="S45" s="3">
        <f>parking_demand_data_2024_ver0!R45</f>
        <v>0</v>
      </c>
      <c r="T45" s="3">
        <f>parking_demand_data_2024_ver0!S45</f>
        <v>0</v>
      </c>
    </row>
    <row r="46" spans="1:20" x14ac:dyDescent="0.25">
      <c r="A46">
        <v>18003</v>
      </c>
      <c r="B46" t="s">
        <v>30</v>
      </c>
      <c r="C46">
        <v>20</v>
      </c>
      <c r="D46" s="3">
        <f>parking_demand_data_2024_ver0!D46*calibration!$I$31</f>
        <v>373.08015880993003</v>
      </c>
      <c r="E46" s="3">
        <f>parking_demand_data_2024_ver0!E46*calibration!$I$31</f>
        <v>7.7312041411197097</v>
      </c>
      <c r="F46" s="3">
        <f t="shared" si="0"/>
        <v>380.81136295104972</v>
      </c>
      <c r="G46" s="3">
        <f>parking_demand_data_2024_ver0!F46</f>
        <v>6</v>
      </c>
      <c r="H46" s="3">
        <f>parking_demand_data_2024_ver0!G46</f>
        <v>1</v>
      </c>
      <c r="I46" s="3">
        <f>parking_demand_data_2024_ver0!H46</f>
        <v>2</v>
      </c>
      <c r="J46" s="3">
        <f>parking_demand_data_2024_ver0!I46</f>
        <v>3</v>
      </c>
      <c r="K46" s="3">
        <f>parking_demand_data_2024_ver0!J46</f>
        <v>0</v>
      </c>
      <c r="L46" s="3">
        <f>parking_demand_data_2024_ver0!K46</f>
        <v>0</v>
      </c>
      <c r="M46" s="3">
        <f>parking_demand_data_2024_ver0!L46</f>
        <v>0</v>
      </c>
      <c r="N46" s="3">
        <f>parking_demand_data_2024_ver0!M46</f>
        <v>343</v>
      </c>
      <c r="O46" s="3">
        <f>parking_demand_data_2024_ver0!N46</f>
        <v>150</v>
      </c>
      <c r="P46" s="3">
        <f>parking_demand_data_2024_ver0!O46</f>
        <v>140</v>
      </c>
      <c r="Q46" s="3">
        <f>parking_demand_data_2024_ver0!P46</f>
        <v>53</v>
      </c>
      <c r="R46" s="3">
        <f>parking_demand_data_2024_ver0!Q46</f>
        <v>0</v>
      </c>
      <c r="S46" s="3">
        <f>parking_demand_data_2024_ver0!R46</f>
        <v>0</v>
      </c>
      <c r="T46" s="3">
        <f>parking_demand_data_2024_ver0!S46</f>
        <v>0</v>
      </c>
    </row>
    <row r="47" spans="1:20" x14ac:dyDescent="0.25">
      <c r="A47">
        <v>18003</v>
      </c>
      <c r="B47" t="s">
        <v>30</v>
      </c>
      <c r="C47">
        <v>21</v>
      </c>
      <c r="D47" s="3">
        <f>parking_demand_data_2024_ver0!D47*calibration!$I$31</f>
        <v>385.01396622776099</v>
      </c>
      <c r="E47" s="3">
        <f>parking_demand_data_2024_ver0!E47*calibration!$I$31</f>
        <v>9.7135641773042494</v>
      </c>
      <c r="F47" s="3">
        <f t="shared" si="0"/>
        <v>394.72753040506524</v>
      </c>
      <c r="G47" s="3">
        <f>parking_demand_data_2024_ver0!F47</f>
        <v>6</v>
      </c>
      <c r="H47" s="3">
        <f>parking_demand_data_2024_ver0!G47</f>
        <v>1</v>
      </c>
      <c r="I47" s="3">
        <f>parking_demand_data_2024_ver0!H47</f>
        <v>2</v>
      </c>
      <c r="J47" s="3">
        <f>parking_demand_data_2024_ver0!I47</f>
        <v>3</v>
      </c>
      <c r="K47" s="3">
        <f>parking_demand_data_2024_ver0!J47</f>
        <v>0</v>
      </c>
      <c r="L47" s="3">
        <f>parking_demand_data_2024_ver0!K47</f>
        <v>0</v>
      </c>
      <c r="M47" s="3">
        <f>parking_demand_data_2024_ver0!L47</f>
        <v>0</v>
      </c>
      <c r="N47" s="3">
        <f>parking_demand_data_2024_ver0!M47</f>
        <v>343</v>
      </c>
      <c r="O47" s="3">
        <f>parking_demand_data_2024_ver0!N47</f>
        <v>150</v>
      </c>
      <c r="P47" s="3">
        <f>parking_demand_data_2024_ver0!O47</f>
        <v>140</v>
      </c>
      <c r="Q47" s="3">
        <f>parking_demand_data_2024_ver0!P47</f>
        <v>53</v>
      </c>
      <c r="R47" s="3">
        <f>parking_demand_data_2024_ver0!Q47</f>
        <v>0</v>
      </c>
      <c r="S47" s="3">
        <f>parking_demand_data_2024_ver0!R47</f>
        <v>0</v>
      </c>
      <c r="T47" s="3">
        <f>parking_demand_data_2024_ver0!S47</f>
        <v>0</v>
      </c>
    </row>
    <row r="48" spans="1:20" x14ac:dyDescent="0.25">
      <c r="A48">
        <v>18003</v>
      </c>
      <c r="B48" t="s">
        <v>30</v>
      </c>
      <c r="C48">
        <v>22</v>
      </c>
      <c r="D48" s="3">
        <f>parking_demand_data_2024_ver0!D48*calibration!$I$31</f>
        <v>391.19892954065699</v>
      </c>
      <c r="E48" s="3">
        <f>parking_demand_data_2024_ver0!E48*calibration!$I$31</f>
        <v>13.916167454015399</v>
      </c>
      <c r="F48" s="3">
        <f t="shared" si="0"/>
        <v>405.1150969946724</v>
      </c>
      <c r="G48" s="3">
        <f>parking_demand_data_2024_ver0!F48</f>
        <v>6</v>
      </c>
      <c r="H48" s="3">
        <f>parking_demand_data_2024_ver0!G48</f>
        <v>1</v>
      </c>
      <c r="I48" s="3">
        <f>parking_demand_data_2024_ver0!H48</f>
        <v>2</v>
      </c>
      <c r="J48" s="3">
        <f>parking_demand_data_2024_ver0!I48</f>
        <v>3</v>
      </c>
      <c r="K48" s="3">
        <f>parking_demand_data_2024_ver0!J48</f>
        <v>0</v>
      </c>
      <c r="L48" s="3">
        <f>parking_demand_data_2024_ver0!K48</f>
        <v>0</v>
      </c>
      <c r="M48" s="3">
        <f>parking_demand_data_2024_ver0!L48</f>
        <v>0</v>
      </c>
      <c r="N48" s="3">
        <f>parking_demand_data_2024_ver0!M48</f>
        <v>343</v>
      </c>
      <c r="O48" s="3">
        <f>parking_demand_data_2024_ver0!N48</f>
        <v>150</v>
      </c>
      <c r="P48" s="3">
        <f>parking_demand_data_2024_ver0!O48</f>
        <v>140</v>
      </c>
      <c r="Q48" s="3">
        <f>parking_demand_data_2024_ver0!P48</f>
        <v>53</v>
      </c>
      <c r="R48" s="3">
        <f>parking_demand_data_2024_ver0!Q48</f>
        <v>0</v>
      </c>
      <c r="S48" s="3">
        <f>parking_demand_data_2024_ver0!R48</f>
        <v>0</v>
      </c>
      <c r="T48" s="3">
        <f>parking_demand_data_2024_ver0!S48</f>
        <v>0</v>
      </c>
    </row>
    <row r="49" spans="1:20" x14ac:dyDescent="0.25">
      <c r="A49">
        <v>18003</v>
      </c>
      <c r="B49" t="s">
        <v>30</v>
      </c>
      <c r="C49">
        <v>23</v>
      </c>
      <c r="D49" s="3">
        <f>parking_demand_data_2024_ver0!D49*calibration!$I$31</f>
        <v>394.45</v>
      </c>
      <c r="E49" s="3">
        <f>parking_demand_data_2024_ver0!E49*calibration!$I$31</f>
        <v>16.9690019097396</v>
      </c>
      <c r="F49" s="3">
        <f t="shared" si="0"/>
        <v>411.41900190973956</v>
      </c>
      <c r="G49" s="3">
        <f>parking_demand_data_2024_ver0!F49</f>
        <v>6</v>
      </c>
      <c r="H49" s="3">
        <f>parking_demand_data_2024_ver0!G49</f>
        <v>1</v>
      </c>
      <c r="I49" s="3">
        <f>parking_demand_data_2024_ver0!H49</f>
        <v>2</v>
      </c>
      <c r="J49" s="3">
        <f>parking_demand_data_2024_ver0!I49</f>
        <v>3</v>
      </c>
      <c r="K49" s="3">
        <f>parking_demand_data_2024_ver0!J49</f>
        <v>0</v>
      </c>
      <c r="L49" s="3">
        <f>parking_demand_data_2024_ver0!K49</f>
        <v>0</v>
      </c>
      <c r="M49" s="3">
        <f>parking_demand_data_2024_ver0!L49</f>
        <v>0</v>
      </c>
      <c r="N49" s="3">
        <f>parking_demand_data_2024_ver0!M49</f>
        <v>343</v>
      </c>
      <c r="O49" s="3">
        <f>parking_demand_data_2024_ver0!N49</f>
        <v>150</v>
      </c>
      <c r="P49" s="3">
        <f>parking_demand_data_2024_ver0!O49</f>
        <v>140</v>
      </c>
      <c r="Q49" s="3">
        <f>parking_demand_data_2024_ver0!P49</f>
        <v>53</v>
      </c>
      <c r="R49" s="3">
        <f>parking_demand_data_2024_ver0!Q49</f>
        <v>0</v>
      </c>
      <c r="S49" s="3">
        <f>parking_demand_data_2024_ver0!R49</f>
        <v>0</v>
      </c>
      <c r="T49" s="3">
        <f>parking_demand_data_2024_ver0!S49</f>
        <v>0</v>
      </c>
    </row>
    <row r="50" spans="1:20" x14ac:dyDescent="0.25">
      <c r="A50">
        <v>18005</v>
      </c>
      <c r="B50" t="s">
        <v>31</v>
      </c>
      <c r="C50">
        <v>0</v>
      </c>
      <c r="D50" s="3">
        <f>parking_demand_data_2024_ver0!D50*calibration!$I$31</f>
        <v>94.306029962546802</v>
      </c>
      <c r="E50" s="3">
        <f>parking_demand_data_2024_ver0!E50*calibration!$I$31</f>
        <v>21.985674157303301</v>
      </c>
      <c r="F50" s="3">
        <f t="shared" si="0"/>
        <v>116.2917041198501</v>
      </c>
      <c r="G50" s="3">
        <f>parking_demand_data_2024_ver0!F50</f>
        <v>2</v>
      </c>
      <c r="H50" s="3">
        <f>parking_demand_data_2024_ver0!G50</f>
        <v>0</v>
      </c>
      <c r="I50" s="3">
        <f>parking_demand_data_2024_ver0!H50</f>
        <v>0</v>
      </c>
      <c r="J50" s="3">
        <f>parking_demand_data_2024_ver0!I50</f>
        <v>0</v>
      </c>
      <c r="K50" s="3">
        <f>parking_demand_data_2024_ver0!J50</f>
        <v>0</v>
      </c>
      <c r="L50" s="3">
        <f>parking_demand_data_2024_ver0!K50</f>
        <v>0</v>
      </c>
      <c r="M50" s="3">
        <f>parking_demand_data_2024_ver0!L50</f>
        <v>2</v>
      </c>
      <c r="N50" s="3">
        <f>parking_demand_data_2024_ver0!M50</f>
        <v>83</v>
      </c>
      <c r="O50" s="3">
        <f>parking_demand_data_2024_ver0!N50</f>
        <v>0</v>
      </c>
      <c r="P50" s="3">
        <f>parking_demand_data_2024_ver0!O50</f>
        <v>0</v>
      </c>
      <c r="Q50" s="3">
        <f>parking_demand_data_2024_ver0!P50</f>
        <v>0</v>
      </c>
      <c r="R50" s="3">
        <f>parking_demand_data_2024_ver0!Q50</f>
        <v>0</v>
      </c>
      <c r="S50" s="3">
        <f>parking_demand_data_2024_ver0!R50</f>
        <v>0</v>
      </c>
      <c r="T50" s="3">
        <f>parking_demand_data_2024_ver0!S50</f>
        <v>83</v>
      </c>
    </row>
    <row r="51" spans="1:20" x14ac:dyDescent="0.25">
      <c r="A51">
        <v>18005</v>
      </c>
      <c r="B51" t="s">
        <v>31</v>
      </c>
      <c r="C51">
        <v>1</v>
      </c>
      <c r="D51" s="3">
        <f>parking_demand_data_2024_ver0!D51*calibration!$I$31</f>
        <v>95.449999999999903</v>
      </c>
      <c r="E51" s="3">
        <f>parking_demand_data_2024_ver0!E51*calibration!$I$31</f>
        <v>23.3798876404494</v>
      </c>
      <c r="F51" s="3">
        <f t="shared" si="0"/>
        <v>118.8298876404493</v>
      </c>
      <c r="G51" s="3">
        <f>parking_demand_data_2024_ver0!F51</f>
        <v>2</v>
      </c>
      <c r="H51" s="3">
        <f>parking_demand_data_2024_ver0!G51</f>
        <v>0</v>
      </c>
      <c r="I51" s="3">
        <f>parking_demand_data_2024_ver0!H51</f>
        <v>0</v>
      </c>
      <c r="J51" s="3">
        <f>parking_demand_data_2024_ver0!I51</f>
        <v>0</v>
      </c>
      <c r="K51" s="3">
        <f>parking_demand_data_2024_ver0!J51</f>
        <v>0</v>
      </c>
      <c r="L51" s="3">
        <f>parking_demand_data_2024_ver0!K51</f>
        <v>0</v>
      </c>
      <c r="M51" s="3">
        <f>parking_demand_data_2024_ver0!L51</f>
        <v>2</v>
      </c>
      <c r="N51" s="3">
        <f>parking_demand_data_2024_ver0!M51</f>
        <v>83</v>
      </c>
      <c r="O51" s="3">
        <f>parking_demand_data_2024_ver0!N51</f>
        <v>0</v>
      </c>
      <c r="P51" s="3">
        <f>parking_demand_data_2024_ver0!O51</f>
        <v>0</v>
      </c>
      <c r="Q51" s="3">
        <f>parking_demand_data_2024_ver0!P51</f>
        <v>0</v>
      </c>
      <c r="R51" s="3">
        <f>parking_demand_data_2024_ver0!Q51</f>
        <v>0</v>
      </c>
      <c r="S51" s="3">
        <f>parking_demand_data_2024_ver0!R51</f>
        <v>0</v>
      </c>
      <c r="T51" s="3">
        <f>parking_demand_data_2024_ver0!S51</f>
        <v>83</v>
      </c>
    </row>
    <row r="52" spans="1:20" x14ac:dyDescent="0.25">
      <c r="A52">
        <v>18005</v>
      </c>
      <c r="B52" t="s">
        <v>31</v>
      </c>
      <c r="C52">
        <v>2</v>
      </c>
      <c r="D52" s="3">
        <f>parking_demand_data_2024_ver0!D52*calibration!$I$31</f>
        <v>94.699269662921296</v>
      </c>
      <c r="E52" s="3">
        <f>parking_demand_data_2024_ver0!E52*calibration!$I$31</f>
        <v>25.167340823970001</v>
      </c>
      <c r="F52" s="3">
        <f t="shared" si="0"/>
        <v>119.86661048689129</v>
      </c>
      <c r="G52" s="3">
        <f>parking_demand_data_2024_ver0!F52</f>
        <v>2</v>
      </c>
      <c r="H52" s="3">
        <f>parking_demand_data_2024_ver0!G52</f>
        <v>0</v>
      </c>
      <c r="I52" s="3">
        <f>parking_demand_data_2024_ver0!H52</f>
        <v>0</v>
      </c>
      <c r="J52" s="3">
        <f>parking_demand_data_2024_ver0!I52</f>
        <v>0</v>
      </c>
      <c r="K52" s="3">
        <f>parking_demand_data_2024_ver0!J52</f>
        <v>0</v>
      </c>
      <c r="L52" s="3">
        <f>parking_demand_data_2024_ver0!K52</f>
        <v>0</v>
      </c>
      <c r="M52" s="3">
        <f>parking_demand_data_2024_ver0!L52</f>
        <v>2</v>
      </c>
      <c r="N52" s="3">
        <f>parking_demand_data_2024_ver0!M52</f>
        <v>83</v>
      </c>
      <c r="O52" s="3">
        <f>parking_demand_data_2024_ver0!N52</f>
        <v>0</v>
      </c>
      <c r="P52" s="3">
        <f>parking_demand_data_2024_ver0!O52</f>
        <v>0</v>
      </c>
      <c r="Q52" s="3">
        <f>parking_demand_data_2024_ver0!P52</f>
        <v>0</v>
      </c>
      <c r="R52" s="3">
        <f>parking_demand_data_2024_ver0!Q52</f>
        <v>0</v>
      </c>
      <c r="S52" s="3">
        <f>parking_demand_data_2024_ver0!R52</f>
        <v>0</v>
      </c>
      <c r="T52" s="3">
        <f>parking_demand_data_2024_ver0!S52</f>
        <v>83</v>
      </c>
    </row>
    <row r="53" spans="1:20" x14ac:dyDescent="0.25">
      <c r="A53">
        <v>18005</v>
      </c>
      <c r="B53" t="s">
        <v>31</v>
      </c>
      <c r="C53">
        <v>3</v>
      </c>
      <c r="D53" s="3">
        <f>parking_demand_data_2024_ver0!D53*calibration!$I$31</f>
        <v>94.020037453183505</v>
      </c>
      <c r="E53" s="3">
        <f>parking_demand_data_2024_ver0!E53*calibration!$I$31</f>
        <v>26.311310861423198</v>
      </c>
      <c r="F53" s="3">
        <f t="shared" si="0"/>
        <v>120.3313483146067</v>
      </c>
      <c r="G53" s="3">
        <f>parking_demand_data_2024_ver0!F53</f>
        <v>2</v>
      </c>
      <c r="H53" s="3">
        <f>parking_demand_data_2024_ver0!G53</f>
        <v>0</v>
      </c>
      <c r="I53" s="3">
        <f>parking_demand_data_2024_ver0!H53</f>
        <v>0</v>
      </c>
      <c r="J53" s="3">
        <f>parking_demand_data_2024_ver0!I53</f>
        <v>0</v>
      </c>
      <c r="K53" s="3">
        <f>parking_demand_data_2024_ver0!J53</f>
        <v>0</v>
      </c>
      <c r="L53" s="3">
        <f>parking_demand_data_2024_ver0!K53</f>
        <v>0</v>
      </c>
      <c r="M53" s="3">
        <f>parking_demand_data_2024_ver0!L53</f>
        <v>2</v>
      </c>
      <c r="N53" s="3">
        <f>parking_demand_data_2024_ver0!M53</f>
        <v>83</v>
      </c>
      <c r="O53" s="3">
        <f>parking_demand_data_2024_ver0!N53</f>
        <v>0</v>
      </c>
      <c r="P53" s="3">
        <f>parking_demand_data_2024_ver0!O53</f>
        <v>0</v>
      </c>
      <c r="Q53" s="3">
        <f>parking_demand_data_2024_ver0!P53</f>
        <v>0</v>
      </c>
      <c r="R53" s="3">
        <f>parking_demand_data_2024_ver0!Q53</f>
        <v>0</v>
      </c>
      <c r="S53" s="3">
        <f>parking_demand_data_2024_ver0!R53</f>
        <v>0</v>
      </c>
      <c r="T53" s="3">
        <f>parking_demand_data_2024_ver0!S53</f>
        <v>83</v>
      </c>
    </row>
    <row r="54" spans="1:20" x14ac:dyDescent="0.25">
      <c r="A54">
        <v>18005</v>
      </c>
      <c r="B54" t="s">
        <v>31</v>
      </c>
      <c r="C54">
        <v>4</v>
      </c>
      <c r="D54" s="3">
        <f>parking_demand_data_2024_ver0!D54*calibration!$I$31</f>
        <v>91.803595505617906</v>
      </c>
      <c r="E54" s="3">
        <f>parking_demand_data_2024_ver0!E54*calibration!$I$31</f>
        <v>27.455280898876399</v>
      </c>
      <c r="F54" s="3">
        <f t="shared" si="0"/>
        <v>119.2588764044943</v>
      </c>
      <c r="G54" s="3">
        <f>parking_demand_data_2024_ver0!F54</f>
        <v>2</v>
      </c>
      <c r="H54" s="3">
        <f>parking_demand_data_2024_ver0!G54</f>
        <v>0</v>
      </c>
      <c r="I54" s="3">
        <f>parking_demand_data_2024_ver0!H54</f>
        <v>0</v>
      </c>
      <c r="J54" s="3">
        <f>parking_demand_data_2024_ver0!I54</f>
        <v>0</v>
      </c>
      <c r="K54" s="3">
        <f>parking_demand_data_2024_ver0!J54</f>
        <v>0</v>
      </c>
      <c r="L54" s="3">
        <f>parking_demand_data_2024_ver0!K54</f>
        <v>0</v>
      </c>
      <c r="M54" s="3">
        <f>parking_demand_data_2024_ver0!L54</f>
        <v>2</v>
      </c>
      <c r="N54" s="3">
        <f>parking_demand_data_2024_ver0!M54</f>
        <v>83</v>
      </c>
      <c r="O54" s="3">
        <f>parking_demand_data_2024_ver0!N54</f>
        <v>0</v>
      </c>
      <c r="P54" s="3">
        <f>parking_demand_data_2024_ver0!O54</f>
        <v>0</v>
      </c>
      <c r="Q54" s="3">
        <f>parking_demand_data_2024_ver0!P54</f>
        <v>0</v>
      </c>
      <c r="R54" s="3">
        <f>parking_demand_data_2024_ver0!Q54</f>
        <v>0</v>
      </c>
      <c r="S54" s="3">
        <f>parking_demand_data_2024_ver0!R54</f>
        <v>0</v>
      </c>
      <c r="T54" s="3">
        <f>parking_demand_data_2024_ver0!S54</f>
        <v>83</v>
      </c>
    </row>
    <row r="55" spans="1:20" x14ac:dyDescent="0.25">
      <c r="A55">
        <v>18005</v>
      </c>
      <c r="B55" t="s">
        <v>31</v>
      </c>
      <c r="C55">
        <v>5</v>
      </c>
      <c r="D55" s="3">
        <f>parking_demand_data_2024_ver0!D55*calibration!$I$31</f>
        <v>90.874119850187199</v>
      </c>
      <c r="E55" s="3">
        <f>parking_demand_data_2024_ver0!E55*calibration!$I$31</f>
        <v>27.133539325842602</v>
      </c>
      <c r="F55" s="3">
        <f t="shared" si="0"/>
        <v>118.0076591760298</v>
      </c>
      <c r="G55" s="3">
        <f>parking_demand_data_2024_ver0!F55</f>
        <v>2</v>
      </c>
      <c r="H55" s="3">
        <f>parking_demand_data_2024_ver0!G55</f>
        <v>0</v>
      </c>
      <c r="I55" s="3">
        <f>parking_demand_data_2024_ver0!H55</f>
        <v>0</v>
      </c>
      <c r="J55" s="3">
        <f>parking_demand_data_2024_ver0!I55</f>
        <v>0</v>
      </c>
      <c r="K55" s="3">
        <f>parking_demand_data_2024_ver0!J55</f>
        <v>0</v>
      </c>
      <c r="L55" s="3">
        <f>parking_demand_data_2024_ver0!K55</f>
        <v>0</v>
      </c>
      <c r="M55" s="3">
        <f>parking_demand_data_2024_ver0!L55</f>
        <v>2</v>
      </c>
      <c r="N55" s="3">
        <f>parking_demand_data_2024_ver0!M55</f>
        <v>83</v>
      </c>
      <c r="O55" s="3">
        <f>parking_demand_data_2024_ver0!N55</f>
        <v>0</v>
      </c>
      <c r="P55" s="3">
        <f>parking_demand_data_2024_ver0!O55</f>
        <v>0</v>
      </c>
      <c r="Q55" s="3">
        <f>parking_demand_data_2024_ver0!P55</f>
        <v>0</v>
      </c>
      <c r="R55" s="3">
        <f>parking_demand_data_2024_ver0!Q55</f>
        <v>0</v>
      </c>
      <c r="S55" s="3">
        <f>parking_demand_data_2024_ver0!R55</f>
        <v>0</v>
      </c>
      <c r="T55" s="3">
        <f>parking_demand_data_2024_ver0!S55</f>
        <v>83</v>
      </c>
    </row>
    <row r="56" spans="1:20" x14ac:dyDescent="0.25">
      <c r="A56">
        <v>18005</v>
      </c>
      <c r="B56" t="s">
        <v>31</v>
      </c>
      <c r="C56">
        <v>6</v>
      </c>
      <c r="D56" s="3">
        <f>parking_demand_data_2024_ver0!D56*calibration!$I$31</f>
        <v>86.119494382022395</v>
      </c>
      <c r="E56" s="3">
        <f>parking_demand_data_2024_ver0!E56*calibration!$I$31</f>
        <v>24.881348314606701</v>
      </c>
      <c r="F56" s="3">
        <f t="shared" si="0"/>
        <v>111.00084269662909</v>
      </c>
      <c r="G56" s="3">
        <f>parking_demand_data_2024_ver0!F56</f>
        <v>2</v>
      </c>
      <c r="H56" s="3">
        <f>parking_demand_data_2024_ver0!G56</f>
        <v>0</v>
      </c>
      <c r="I56" s="3">
        <f>parking_demand_data_2024_ver0!H56</f>
        <v>0</v>
      </c>
      <c r="J56" s="3">
        <f>parking_demand_data_2024_ver0!I56</f>
        <v>0</v>
      </c>
      <c r="K56" s="3">
        <f>parking_demand_data_2024_ver0!J56</f>
        <v>0</v>
      </c>
      <c r="L56" s="3">
        <f>parking_demand_data_2024_ver0!K56</f>
        <v>0</v>
      </c>
      <c r="M56" s="3">
        <f>parking_demand_data_2024_ver0!L56</f>
        <v>2</v>
      </c>
      <c r="N56" s="3">
        <f>parking_demand_data_2024_ver0!M56</f>
        <v>83</v>
      </c>
      <c r="O56" s="3">
        <f>parking_demand_data_2024_ver0!N56</f>
        <v>0</v>
      </c>
      <c r="P56" s="3">
        <f>parking_demand_data_2024_ver0!O56</f>
        <v>0</v>
      </c>
      <c r="Q56" s="3">
        <f>parking_demand_data_2024_ver0!P56</f>
        <v>0</v>
      </c>
      <c r="R56" s="3">
        <f>parking_demand_data_2024_ver0!Q56</f>
        <v>0</v>
      </c>
      <c r="S56" s="3">
        <f>parking_demand_data_2024_ver0!R56</f>
        <v>0</v>
      </c>
      <c r="T56" s="3">
        <f>parking_demand_data_2024_ver0!S56</f>
        <v>83</v>
      </c>
    </row>
    <row r="57" spans="1:20" x14ac:dyDescent="0.25">
      <c r="A57">
        <v>18005</v>
      </c>
      <c r="B57" t="s">
        <v>31</v>
      </c>
      <c r="C57">
        <v>7</v>
      </c>
      <c r="D57" s="3">
        <f>parking_demand_data_2024_ver0!D57*calibration!$I$31</f>
        <v>73.500074906367004</v>
      </c>
      <c r="E57" s="3">
        <f>parking_demand_data_2024_ver0!E57*calibration!$I$31</f>
        <v>21.985674157303301</v>
      </c>
      <c r="F57" s="3">
        <f t="shared" si="0"/>
        <v>95.485749063670312</v>
      </c>
      <c r="G57" s="3">
        <f>parking_demand_data_2024_ver0!F57</f>
        <v>2</v>
      </c>
      <c r="H57" s="3">
        <f>parking_demand_data_2024_ver0!G57</f>
        <v>0</v>
      </c>
      <c r="I57" s="3">
        <f>parking_demand_data_2024_ver0!H57</f>
        <v>0</v>
      </c>
      <c r="J57" s="3">
        <f>parking_demand_data_2024_ver0!I57</f>
        <v>0</v>
      </c>
      <c r="K57" s="3">
        <f>parking_demand_data_2024_ver0!J57</f>
        <v>0</v>
      </c>
      <c r="L57" s="3">
        <f>parking_demand_data_2024_ver0!K57</f>
        <v>0</v>
      </c>
      <c r="M57" s="3">
        <f>parking_demand_data_2024_ver0!L57</f>
        <v>2</v>
      </c>
      <c r="N57" s="3">
        <f>parking_demand_data_2024_ver0!M57</f>
        <v>83</v>
      </c>
      <c r="O57" s="3">
        <f>parking_demand_data_2024_ver0!N57</f>
        <v>0</v>
      </c>
      <c r="P57" s="3">
        <f>parking_demand_data_2024_ver0!O57</f>
        <v>0</v>
      </c>
      <c r="Q57" s="3">
        <f>parking_demand_data_2024_ver0!P57</f>
        <v>0</v>
      </c>
      <c r="R57" s="3">
        <f>parking_demand_data_2024_ver0!Q57</f>
        <v>0</v>
      </c>
      <c r="S57" s="3">
        <f>parking_demand_data_2024_ver0!R57</f>
        <v>0</v>
      </c>
      <c r="T57" s="3">
        <f>parking_demand_data_2024_ver0!S57</f>
        <v>83</v>
      </c>
    </row>
    <row r="58" spans="1:20" x14ac:dyDescent="0.25">
      <c r="A58">
        <v>18005</v>
      </c>
      <c r="B58" t="s">
        <v>31</v>
      </c>
      <c r="C58">
        <v>8</v>
      </c>
      <c r="D58" s="3">
        <f>parking_demand_data_2024_ver0!D58*calibration!$I$31</f>
        <v>57.091254681647897</v>
      </c>
      <c r="E58" s="3">
        <f>parking_demand_data_2024_ver0!E58*calibration!$I$31</f>
        <v>18.375018726591701</v>
      </c>
      <c r="F58" s="3">
        <f t="shared" si="0"/>
        <v>75.466273408239601</v>
      </c>
      <c r="G58" s="3">
        <f>parking_demand_data_2024_ver0!F58</f>
        <v>2</v>
      </c>
      <c r="H58" s="3">
        <f>parking_demand_data_2024_ver0!G58</f>
        <v>0</v>
      </c>
      <c r="I58" s="3">
        <f>parking_demand_data_2024_ver0!H58</f>
        <v>0</v>
      </c>
      <c r="J58" s="3">
        <f>parking_demand_data_2024_ver0!I58</f>
        <v>0</v>
      </c>
      <c r="K58" s="3">
        <f>parking_demand_data_2024_ver0!J58</f>
        <v>0</v>
      </c>
      <c r="L58" s="3">
        <f>parking_demand_data_2024_ver0!K58</f>
        <v>0</v>
      </c>
      <c r="M58" s="3">
        <f>parking_demand_data_2024_ver0!L58</f>
        <v>2</v>
      </c>
      <c r="N58" s="3">
        <f>parking_demand_data_2024_ver0!M58</f>
        <v>83</v>
      </c>
      <c r="O58" s="3">
        <f>parking_demand_data_2024_ver0!N58</f>
        <v>0</v>
      </c>
      <c r="P58" s="3">
        <f>parking_demand_data_2024_ver0!O58</f>
        <v>0</v>
      </c>
      <c r="Q58" s="3">
        <f>parking_demand_data_2024_ver0!P58</f>
        <v>0</v>
      </c>
      <c r="R58" s="3">
        <f>parking_demand_data_2024_ver0!Q58</f>
        <v>0</v>
      </c>
      <c r="S58" s="3">
        <f>parking_demand_data_2024_ver0!R58</f>
        <v>0</v>
      </c>
      <c r="T58" s="3">
        <f>parking_demand_data_2024_ver0!S58</f>
        <v>83</v>
      </c>
    </row>
    <row r="59" spans="1:20" x14ac:dyDescent="0.25">
      <c r="A59">
        <v>18005</v>
      </c>
      <c r="B59" t="s">
        <v>31</v>
      </c>
      <c r="C59">
        <v>9</v>
      </c>
      <c r="D59" s="3">
        <f>parking_demand_data_2024_ver0!D59*calibration!$I$31</f>
        <v>46.080543071161003</v>
      </c>
      <c r="E59" s="3">
        <f>parking_demand_data_2024_ver0!E59*calibration!$I$31</f>
        <v>13.5846441947565</v>
      </c>
      <c r="F59" s="3">
        <f t="shared" si="0"/>
        <v>59.665187265917503</v>
      </c>
      <c r="G59" s="3">
        <f>parking_demand_data_2024_ver0!F59</f>
        <v>2</v>
      </c>
      <c r="H59" s="3">
        <f>parking_demand_data_2024_ver0!G59</f>
        <v>0</v>
      </c>
      <c r="I59" s="3">
        <f>parking_demand_data_2024_ver0!H59</f>
        <v>0</v>
      </c>
      <c r="J59" s="3">
        <f>parking_demand_data_2024_ver0!I59</f>
        <v>0</v>
      </c>
      <c r="K59" s="3">
        <f>parking_demand_data_2024_ver0!J59</f>
        <v>0</v>
      </c>
      <c r="L59" s="3">
        <f>parking_demand_data_2024_ver0!K59</f>
        <v>0</v>
      </c>
      <c r="M59" s="3">
        <f>parking_demand_data_2024_ver0!L59</f>
        <v>2</v>
      </c>
      <c r="N59" s="3">
        <f>parking_demand_data_2024_ver0!M59</f>
        <v>83</v>
      </c>
      <c r="O59" s="3">
        <f>parking_demand_data_2024_ver0!N59</f>
        <v>0</v>
      </c>
      <c r="P59" s="3">
        <f>parking_demand_data_2024_ver0!O59</f>
        <v>0</v>
      </c>
      <c r="Q59" s="3">
        <f>parking_demand_data_2024_ver0!P59</f>
        <v>0</v>
      </c>
      <c r="R59" s="3">
        <f>parking_demand_data_2024_ver0!Q59</f>
        <v>0</v>
      </c>
      <c r="S59" s="3">
        <f>parking_demand_data_2024_ver0!R59</f>
        <v>0</v>
      </c>
      <c r="T59" s="3">
        <f>parking_demand_data_2024_ver0!S59</f>
        <v>83</v>
      </c>
    </row>
    <row r="60" spans="1:20" x14ac:dyDescent="0.25">
      <c r="A60">
        <v>18005</v>
      </c>
      <c r="B60" t="s">
        <v>31</v>
      </c>
      <c r="C60">
        <v>10</v>
      </c>
      <c r="D60" s="3">
        <f>parking_demand_data_2024_ver0!D60*calibration!$I$31</f>
        <v>40.110449438202203</v>
      </c>
      <c r="E60" s="3">
        <f>parking_demand_data_2024_ver0!E60*calibration!$I$31</f>
        <v>8.4725280898876392</v>
      </c>
      <c r="F60" s="3">
        <f t="shared" si="0"/>
        <v>48.582977528089842</v>
      </c>
      <c r="G60" s="3">
        <f>parking_demand_data_2024_ver0!F60</f>
        <v>2</v>
      </c>
      <c r="H60" s="3">
        <f>parking_demand_data_2024_ver0!G60</f>
        <v>0</v>
      </c>
      <c r="I60" s="3">
        <f>parking_demand_data_2024_ver0!H60</f>
        <v>0</v>
      </c>
      <c r="J60" s="3">
        <f>parking_demand_data_2024_ver0!I60</f>
        <v>0</v>
      </c>
      <c r="K60" s="3">
        <f>parking_demand_data_2024_ver0!J60</f>
        <v>0</v>
      </c>
      <c r="L60" s="3">
        <f>parking_demand_data_2024_ver0!K60</f>
        <v>0</v>
      </c>
      <c r="M60" s="3">
        <f>parking_demand_data_2024_ver0!L60</f>
        <v>2</v>
      </c>
      <c r="N60" s="3">
        <f>parking_demand_data_2024_ver0!M60</f>
        <v>83</v>
      </c>
      <c r="O60" s="3">
        <f>parking_demand_data_2024_ver0!N60</f>
        <v>0</v>
      </c>
      <c r="P60" s="3">
        <f>parking_demand_data_2024_ver0!O60</f>
        <v>0</v>
      </c>
      <c r="Q60" s="3">
        <f>parking_demand_data_2024_ver0!P60</f>
        <v>0</v>
      </c>
      <c r="R60" s="3">
        <f>parking_demand_data_2024_ver0!Q60</f>
        <v>0</v>
      </c>
      <c r="S60" s="3">
        <f>parking_demand_data_2024_ver0!R60</f>
        <v>0</v>
      </c>
      <c r="T60" s="3">
        <f>parking_demand_data_2024_ver0!S60</f>
        <v>83</v>
      </c>
    </row>
    <row r="61" spans="1:20" x14ac:dyDescent="0.25">
      <c r="A61">
        <v>18005</v>
      </c>
      <c r="B61" t="s">
        <v>31</v>
      </c>
      <c r="C61">
        <v>11</v>
      </c>
      <c r="D61" s="3">
        <f>parking_demand_data_2024_ver0!D61*calibration!$I$31</f>
        <v>40.753932584269599</v>
      </c>
      <c r="E61" s="3">
        <f>parking_demand_data_2024_ver0!E61*calibration!$I$31</f>
        <v>5.3266104868913802</v>
      </c>
      <c r="F61" s="3">
        <f t="shared" si="0"/>
        <v>46.080543071160982</v>
      </c>
      <c r="G61" s="3">
        <f>parking_demand_data_2024_ver0!F61</f>
        <v>2</v>
      </c>
      <c r="H61" s="3">
        <f>parking_demand_data_2024_ver0!G61</f>
        <v>0</v>
      </c>
      <c r="I61" s="3">
        <f>parking_demand_data_2024_ver0!H61</f>
        <v>0</v>
      </c>
      <c r="J61" s="3">
        <f>parking_demand_data_2024_ver0!I61</f>
        <v>0</v>
      </c>
      <c r="K61" s="3">
        <f>parking_demand_data_2024_ver0!J61</f>
        <v>0</v>
      </c>
      <c r="L61" s="3">
        <f>parking_demand_data_2024_ver0!K61</f>
        <v>0</v>
      </c>
      <c r="M61" s="3">
        <f>parking_demand_data_2024_ver0!L61</f>
        <v>2</v>
      </c>
      <c r="N61" s="3">
        <f>parking_demand_data_2024_ver0!M61</f>
        <v>83</v>
      </c>
      <c r="O61" s="3">
        <f>parking_demand_data_2024_ver0!N61</f>
        <v>0</v>
      </c>
      <c r="P61" s="3">
        <f>parking_demand_data_2024_ver0!O61</f>
        <v>0</v>
      </c>
      <c r="Q61" s="3">
        <f>parking_demand_data_2024_ver0!P61</f>
        <v>0</v>
      </c>
      <c r="R61" s="3">
        <f>parking_demand_data_2024_ver0!Q61</f>
        <v>0</v>
      </c>
      <c r="S61" s="3">
        <f>parking_demand_data_2024_ver0!R61</f>
        <v>0</v>
      </c>
      <c r="T61" s="3">
        <f>parking_demand_data_2024_ver0!S61</f>
        <v>83</v>
      </c>
    </row>
    <row r="62" spans="1:20" x14ac:dyDescent="0.25">
      <c r="A62">
        <v>18005</v>
      </c>
      <c r="B62" t="s">
        <v>31</v>
      </c>
      <c r="C62">
        <v>12</v>
      </c>
      <c r="D62" s="3">
        <f>parking_demand_data_2024_ver0!D62*calibration!$I$31</f>
        <v>45.2583146067415</v>
      </c>
      <c r="E62" s="3">
        <f>parking_demand_data_2024_ver0!E62*calibration!$I$31</f>
        <v>4.21838951310861</v>
      </c>
      <c r="F62" s="3">
        <f t="shared" si="0"/>
        <v>49.476704119850112</v>
      </c>
      <c r="G62" s="3">
        <f>parking_demand_data_2024_ver0!F62</f>
        <v>2</v>
      </c>
      <c r="H62" s="3">
        <f>parking_demand_data_2024_ver0!G62</f>
        <v>0</v>
      </c>
      <c r="I62" s="3">
        <f>parking_demand_data_2024_ver0!H62</f>
        <v>0</v>
      </c>
      <c r="J62" s="3">
        <f>parking_demand_data_2024_ver0!I62</f>
        <v>0</v>
      </c>
      <c r="K62" s="3">
        <f>parking_demand_data_2024_ver0!J62</f>
        <v>0</v>
      </c>
      <c r="L62" s="3">
        <f>parking_demand_data_2024_ver0!K62</f>
        <v>0</v>
      </c>
      <c r="M62" s="3">
        <f>parking_demand_data_2024_ver0!L62</f>
        <v>2</v>
      </c>
      <c r="N62" s="3">
        <f>parking_demand_data_2024_ver0!M62</f>
        <v>83</v>
      </c>
      <c r="O62" s="3">
        <f>parking_demand_data_2024_ver0!N62</f>
        <v>0</v>
      </c>
      <c r="P62" s="3">
        <f>parking_demand_data_2024_ver0!O62</f>
        <v>0</v>
      </c>
      <c r="Q62" s="3">
        <f>parking_demand_data_2024_ver0!P62</f>
        <v>0</v>
      </c>
      <c r="R62" s="3">
        <f>parking_demand_data_2024_ver0!Q62</f>
        <v>0</v>
      </c>
      <c r="S62" s="3">
        <f>parking_demand_data_2024_ver0!R62</f>
        <v>0</v>
      </c>
      <c r="T62" s="3">
        <f>parking_demand_data_2024_ver0!S62</f>
        <v>83</v>
      </c>
    </row>
    <row r="63" spans="1:20" x14ac:dyDescent="0.25">
      <c r="A63">
        <v>18005</v>
      </c>
      <c r="B63" t="s">
        <v>31</v>
      </c>
      <c r="C63">
        <v>13</v>
      </c>
      <c r="D63" s="3">
        <f>parking_demand_data_2024_ver0!D63*calibration!$I$31</f>
        <v>46.688277153557998</v>
      </c>
      <c r="E63" s="3">
        <f>parking_demand_data_2024_ver0!E63*calibration!$I$31</f>
        <v>2.0019475655430701</v>
      </c>
      <c r="F63" s="3">
        <f t="shared" si="0"/>
        <v>48.690224719101067</v>
      </c>
      <c r="G63" s="3">
        <f>parking_demand_data_2024_ver0!F63</f>
        <v>2</v>
      </c>
      <c r="H63" s="3">
        <f>parking_demand_data_2024_ver0!G63</f>
        <v>0</v>
      </c>
      <c r="I63" s="3">
        <f>parking_demand_data_2024_ver0!H63</f>
        <v>0</v>
      </c>
      <c r="J63" s="3">
        <f>parking_demand_data_2024_ver0!I63</f>
        <v>0</v>
      </c>
      <c r="K63" s="3">
        <f>parking_demand_data_2024_ver0!J63</f>
        <v>0</v>
      </c>
      <c r="L63" s="3">
        <f>parking_demand_data_2024_ver0!K63</f>
        <v>0</v>
      </c>
      <c r="M63" s="3">
        <f>parking_demand_data_2024_ver0!L63</f>
        <v>2</v>
      </c>
      <c r="N63" s="3">
        <f>parking_demand_data_2024_ver0!M63</f>
        <v>83</v>
      </c>
      <c r="O63" s="3">
        <f>parking_demand_data_2024_ver0!N63</f>
        <v>0</v>
      </c>
      <c r="P63" s="3">
        <f>parking_demand_data_2024_ver0!O63</f>
        <v>0</v>
      </c>
      <c r="Q63" s="3">
        <f>parking_demand_data_2024_ver0!P63</f>
        <v>0</v>
      </c>
      <c r="R63" s="3">
        <f>parking_demand_data_2024_ver0!Q63</f>
        <v>0</v>
      </c>
      <c r="S63" s="3">
        <f>parking_demand_data_2024_ver0!R63</f>
        <v>0</v>
      </c>
      <c r="T63" s="3">
        <f>parking_demand_data_2024_ver0!S63</f>
        <v>83</v>
      </c>
    </row>
    <row r="64" spans="1:20" x14ac:dyDescent="0.25">
      <c r="A64">
        <v>18005</v>
      </c>
      <c r="B64" t="s">
        <v>31</v>
      </c>
      <c r="C64">
        <v>14</v>
      </c>
      <c r="D64" s="3">
        <f>parking_demand_data_2024_ver0!D64*calibration!$I$31</f>
        <v>47.8679962546816</v>
      </c>
      <c r="E64" s="3">
        <f>parking_demand_data_2024_ver0!E64*calibration!$I$31</f>
        <v>1.8232022471910101</v>
      </c>
      <c r="F64" s="3">
        <f t="shared" si="0"/>
        <v>49.691198501872613</v>
      </c>
      <c r="G64" s="3">
        <f>parking_demand_data_2024_ver0!F64</f>
        <v>2</v>
      </c>
      <c r="H64" s="3">
        <f>parking_demand_data_2024_ver0!G64</f>
        <v>0</v>
      </c>
      <c r="I64" s="3">
        <f>parking_demand_data_2024_ver0!H64</f>
        <v>0</v>
      </c>
      <c r="J64" s="3">
        <f>parking_demand_data_2024_ver0!I64</f>
        <v>0</v>
      </c>
      <c r="K64" s="3">
        <f>parking_demand_data_2024_ver0!J64</f>
        <v>0</v>
      </c>
      <c r="L64" s="3">
        <f>parking_demand_data_2024_ver0!K64</f>
        <v>0</v>
      </c>
      <c r="M64" s="3">
        <f>parking_demand_data_2024_ver0!L64</f>
        <v>2</v>
      </c>
      <c r="N64" s="3">
        <f>parking_demand_data_2024_ver0!M64</f>
        <v>83</v>
      </c>
      <c r="O64" s="3">
        <f>parking_demand_data_2024_ver0!N64</f>
        <v>0</v>
      </c>
      <c r="P64" s="3">
        <f>parking_demand_data_2024_ver0!O64</f>
        <v>0</v>
      </c>
      <c r="Q64" s="3">
        <f>parking_demand_data_2024_ver0!P64</f>
        <v>0</v>
      </c>
      <c r="R64" s="3">
        <f>parking_demand_data_2024_ver0!Q64</f>
        <v>0</v>
      </c>
      <c r="S64" s="3">
        <f>parking_demand_data_2024_ver0!R64</f>
        <v>0</v>
      </c>
      <c r="T64" s="3">
        <f>parking_demand_data_2024_ver0!S64</f>
        <v>83</v>
      </c>
    </row>
    <row r="65" spans="1:20" x14ac:dyDescent="0.25">
      <c r="A65">
        <v>18005</v>
      </c>
      <c r="B65" t="s">
        <v>31</v>
      </c>
      <c r="C65">
        <v>15</v>
      </c>
      <c r="D65" s="3">
        <f>parking_demand_data_2024_ver0!D65*calibration!$I$31</f>
        <v>48.261235955056101</v>
      </c>
      <c r="E65" s="3">
        <f>parking_demand_data_2024_ver0!E65*calibration!$I$31</f>
        <v>1.7159550561797701</v>
      </c>
      <c r="F65" s="3">
        <f t="shared" si="0"/>
        <v>49.977191011235874</v>
      </c>
      <c r="G65" s="3">
        <f>parking_demand_data_2024_ver0!F65</f>
        <v>2</v>
      </c>
      <c r="H65" s="3">
        <f>parking_demand_data_2024_ver0!G65</f>
        <v>0</v>
      </c>
      <c r="I65" s="3">
        <f>parking_demand_data_2024_ver0!H65</f>
        <v>0</v>
      </c>
      <c r="J65" s="3">
        <f>parking_demand_data_2024_ver0!I65</f>
        <v>0</v>
      </c>
      <c r="K65" s="3">
        <f>parking_demand_data_2024_ver0!J65</f>
        <v>0</v>
      </c>
      <c r="L65" s="3">
        <f>parking_demand_data_2024_ver0!K65</f>
        <v>0</v>
      </c>
      <c r="M65" s="3">
        <f>parking_demand_data_2024_ver0!L65</f>
        <v>2</v>
      </c>
      <c r="N65" s="3">
        <f>parking_demand_data_2024_ver0!M65</f>
        <v>83</v>
      </c>
      <c r="O65" s="3">
        <f>parking_demand_data_2024_ver0!N65</f>
        <v>0</v>
      </c>
      <c r="P65" s="3">
        <f>parking_demand_data_2024_ver0!O65</f>
        <v>0</v>
      </c>
      <c r="Q65" s="3">
        <f>parking_demand_data_2024_ver0!P65</f>
        <v>0</v>
      </c>
      <c r="R65" s="3">
        <f>parking_demand_data_2024_ver0!Q65</f>
        <v>0</v>
      </c>
      <c r="S65" s="3">
        <f>parking_demand_data_2024_ver0!R65</f>
        <v>0</v>
      </c>
      <c r="T65" s="3">
        <f>parking_demand_data_2024_ver0!S65</f>
        <v>83</v>
      </c>
    </row>
    <row r="66" spans="1:20" x14ac:dyDescent="0.25">
      <c r="A66">
        <v>18005</v>
      </c>
      <c r="B66" t="s">
        <v>31</v>
      </c>
      <c r="C66">
        <v>16</v>
      </c>
      <c r="D66" s="3">
        <f>parking_demand_data_2024_ver0!D66*calibration!$I$31</f>
        <v>49.869943820224698</v>
      </c>
      <c r="E66" s="3">
        <f>parking_demand_data_2024_ver0!E66*calibration!$I$31</f>
        <v>2.0019475655430701</v>
      </c>
      <c r="F66" s="3">
        <f t="shared" si="0"/>
        <v>51.871891385767768</v>
      </c>
      <c r="G66" s="3">
        <f>parking_demand_data_2024_ver0!F66</f>
        <v>2</v>
      </c>
      <c r="H66" s="3">
        <f>parking_demand_data_2024_ver0!G66</f>
        <v>0</v>
      </c>
      <c r="I66" s="3">
        <f>parking_demand_data_2024_ver0!H66</f>
        <v>0</v>
      </c>
      <c r="J66" s="3">
        <f>parking_demand_data_2024_ver0!I66</f>
        <v>0</v>
      </c>
      <c r="K66" s="3">
        <f>parking_demand_data_2024_ver0!J66</f>
        <v>0</v>
      </c>
      <c r="L66" s="3">
        <f>parking_demand_data_2024_ver0!K66</f>
        <v>0</v>
      </c>
      <c r="M66" s="3">
        <f>parking_demand_data_2024_ver0!L66</f>
        <v>2</v>
      </c>
      <c r="N66" s="3">
        <f>parking_demand_data_2024_ver0!M66</f>
        <v>83</v>
      </c>
      <c r="O66" s="3">
        <f>parking_demand_data_2024_ver0!N66</f>
        <v>0</v>
      </c>
      <c r="P66" s="3">
        <f>parking_demand_data_2024_ver0!O66</f>
        <v>0</v>
      </c>
      <c r="Q66" s="3">
        <f>parking_demand_data_2024_ver0!P66</f>
        <v>0</v>
      </c>
      <c r="R66" s="3">
        <f>parking_demand_data_2024_ver0!Q66</f>
        <v>0</v>
      </c>
      <c r="S66" s="3">
        <f>parking_demand_data_2024_ver0!R66</f>
        <v>0</v>
      </c>
      <c r="T66" s="3">
        <f>parking_demand_data_2024_ver0!S66</f>
        <v>83</v>
      </c>
    </row>
    <row r="67" spans="1:20" x14ac:dyDescent="0.25">
      <c r="A67">
        <v>18005</v>
      </c>
      <c r="B67" t="s">
        <v>31</v>
      </c>
      <c r="C67">
        <v>17</v>
      </c>
      <c r="D67" s="3">
        <f>parking_demand_data_2024_ver0!D67*calibration!$I$31</f>
        <v>52.801367041198397</v>
      </c>
      <c r="E67" s="3">
        <f>parking_demand_data_2024_ver0!E67*calibration!$I$31</f>
        <v>2.0019475655430701</v>
      </c>
      <c r="F67" s="3">
        <f t="shared" ref="F67:F130" si="1">SUM(D67:E67)</f>
        <v>54.803314606741466</v>
      </c>
      <c r="G67" s="3">
        <f>parking_demand_data_2024_ver0!F67</f>
        <v>2</v>
      </c>
      <c r="H67" s="3">
        <f>parking_demand_data_2024_ver0!G67</f>
        <v>0</v>
      </c>
      <c r="I67" s="3">
        <f>parking_demand_data_2024_ver0!H67</f>
        <v>0</v>
      </c>
      <c r="J67" s="3">
        <f>parking_demand_data_2024_ver0!I67</f>
        <v>0</v>
      </c>
      <c r="K67" s="3">
        <f>parking_demand_data_2024_ver0!J67</f>
        <v>0</v>
      </c>
      <c r="L67" s="3">
        <f>parking_demand_data_2024_ver0!K67</f>
        <v>0</v>
      </c>
      <c r="M67" s="3">
        <f>parking_demand_data_2024_ver0!L67</f>
        <v>2</v>
      </c>
      <c r="N67" s="3">
        <f>parking_demand_data_2024_ver0!M67</f>
        <v>83</v>
      </c>
      <c r="O67" s="3">
        <f>parking_demand_data_2024_ver0!N67</f>
        <v>0</v>
      </c>
      <c r="P67" s="3">
        <f>parking_demand_data_2024_ver0!O67</f>
        <v>0</v>
      </c>
      <c r="Q67" s="3">
        <f>parking_demand_data_2024_ver0!P67</f>
        <v>0</v>
      </c>
      <c r="R67" s="3">
        <f>parking_demand_data_2024_ver0!Q67</f>
        <v>0</v>
      </c>
      <c r="S67" s="3">
        <f>parking_demand_data_2024_ver0!R67</f>
        <v>0</v>
      </c>
      <c r="T67" s="3">
        <f>parking_demand_data_2024_ver0!S67</f>
        <v>83</v>
      </c>
    </row>
    <row r="68" spans="1:20" x14ac:dyDescent="0.25">
      <c r="A68">
        <v>18005</v>
      </c>
      <c r="B68" t="s">
        <v>31</v>
      </c>
      <c r="C68">
        <v>18</v>
      </c>
      <c r="D68" s="3">
        <f>parking_demand_data_2024_ver0!D68*calibration!$I$31</f>
        <v>61.595636704119798</v>
      </c>
      <c r="E68" s="3">
        <f>parking_demand_data_2024_ver0!E68*calibration!$I$31</f>
        <v>2.4666853932584201</v>
      </c>
      <c r="F68" s="3">
        <f t="shared" si="1"/>
        <v>64.062322097378214</v>
      </c>
      <c r="G68" s="3">
        <f>parking_demand_data_2024_ver0!F68</f>
        <v>2</v>
      </c>
      <c r="H68" s="3">
        <f>parking_demand_data_2024_ver0!G68</f>
        <v>0</v>
      </c>
      <c r="I68" s="3">
        <f>parking_demand_data_2024_ver0!H68</f>
        <v>0</v>
      </c>
      <c r="J68" s="3">
        <f>parking_demand_data_2024_ver0!I68</f>
        <v>0</v>
      </c>
      <c r="K68" s="3">
        <f>parking_demand_data_2024_ver0!J68</f>
        <v>0</v>
      </c>
      <c r="L68" s="3">
        <f>parking_demand_data_2024_ver0!K68</f>
        <v>0</v>
      </c>
      <c r="M68" s="3">
        <f>parking_demand_data_2024_ver0!L68</f>
        <v>2</v>
      </c>
      <c r="N68" s="3">
        <f>parking_demand_data_2024_ver0!M68</f>
        <v>83</v>
      </c>
      <c r="O68" s="3">
        <f>parking_demand_data_2024_ver0!N68</f>
        <v>0</v>
      </c>
      <c r="P68" s="3">
        <f>parking_demand_data_2024_ver0!O68</f>
        <v>0</v>
      </c>
      <c r="Q68" s="3">
        <f>parking_demand_data_2024_ver0!P68</f>
        <v>0</v>
      </c>
      <c r="R68" s="3">
        <f>parking_demand_data_2024_ver0!Q68</f>
        <v>0</v>
      </c>
      <c r="S68" s="3">
        <f>parking_demand_data_2024_ver0!R68</f>
        <v>0</v>
      </c>
      <c r="T68" s="3">
        <f>parking_demand_data_2024_ver0!S68</f>
        <v>83</v>
      </c>
    </row>
    <row r="69" spans="1:20" x14ac:dyDescent="0.25">
      <c r="A69">
        <v>18005</v>
      </c>
      <c r="B69" t="s">
        <v>31</v>
      </c>
      <c r="C69">
        <v>19</v>
      </c>
      <c r="D69" s="3">
        <f>parking_demand_data_2024_ver0!D69*calibration!$I$31</f>
        <v>72.856591760299594</v>
      </c>
      <c r="E69" s="3">
        <f>parking_demand_data_2024_ver0!E69*calibration!$I$31</f>
        <v>4.1826404494381997</v>
      </c>
      <c r="F69" s="3">
        <f t="shared" si="1"/>
        <v>77.03923220973779</v>
      </c>
      <c r="G69" s="3">
        <f>parking_demand_data_2024_ver0!F69</f>
        <v>2</v>
      </c>
      <c r="H69" s="3">
        <f>parking_demand_data_2024_ver0!G69</f>
        <v>0</v>
      </c>
      <c r="I69" s="3">
        <f>parking_demand_data_2024_ver0!H69</f>
        <v>0</v>
      </c>
      <c r="J69" s="3">
        <f>parking_demand_data_2024_ver0!I69</f>
        <v>0</v>
      </c>
      <c r="K69" s="3">
        <f>parking_demand_data_2024_ver0!J69</f>
        <v>0</v>
      </c>
      <c r="L69" s="3">
        <f>parking_demand_data_2024_ver0!K69</f>
        <v>0</v>
      </c>
      <c r="M69" s="3">
        <f>parking_demand_data_2024_ver0!L69</f>
        <v>2</v>
      </c>
      <c r="N69" s="3">
        <f>parking_demand_data_2024_ver0!M69</f>
        <v>83</v>
      </c>
      <c r="O69" s="3">
        <f>parking_demand_data_2024_ver0!N69</f>
        <v>0</v>
      </c>
      <c r="P69" s="3">
        <f>parking_demand_data_2024_ver0!O69</f>
        <v>0</v>
      </c>
      <c r="Q69" s="3">
        <f>parking_demand_data_2024_ver0!P69</f>
        <v>0</v>
      </c>
      <c r="R69" s="3">
        <f>parking_demand_data_2024_ver0!Q69</f>
        <v>0</v>
      </c>
      <c r="S69" s="3">
        <f>parking_demand_data_2024_ver0!R69</f>
        <v>0</v>
      </c>
      <c r="T69" s="3">
        <f>parking_demand_data_2024_ver0!S69</f>
        <v>83</v>
      </c>
    </row>
    <row r="70" spans="1:20" x14ac:dyDescent="0.25">
      <c r="A70">
        <v>18005</v>
      </c>
      <c r="B70" t="s">
        <v>31</v>
      </c>
      <c r="C70">
        <v>20</v>
      </c>
      <c r="D70" s="3">
        <f>parking_demand_data_2024_ver0!D70*calibration!$I$31</f>
        <v>81.293370786516803</v>
      </c>
      <c r="E70" s="3">
        <f>parking_demand_data_2024_ver0!E70*calibration!$I$31</f>
        <v>7.4000561797752802</v>
      </c>
      <c r="F70" s="3">
        <f t="shared" si="1"/>
        <v>88.69342696629208</v>
      </c>
      <c r="G70" s="3">
        <f>parking_demand_data_2024_ver0!F70</f>
        <v>2</v>
      </c>
      <c r="H70" s="3">
        <f>parking_demand_data_2024_ver0!G70</f>
        <v>0</v>
      </c>
      <c r="I70" s="3">
        <f>parking_demand_data_2024_ver0!H70</f>
        <v>0</v>
      </c>
      <c r="J70" s="3">
        <f>parking_demand_data_2024_ver0!I70</f>
        <v>0</v>
      </c>
      <c r="K70" s="3">
        <f>parking_demand_data_2024_ver0!J70</f>
        <v>0</v>
      </c>
      <c r="L70" s="3">
        <f>parking_demand_data_2024_ver0!K70</f>
        <v>0</v>
      </c>
      <c r="M70" s="3">
        <f>parking_demand_data_2024_ver0!L70</f>
        <v>2</v>
      </c>
      <c r="N70" s="3">
        <f>parking_demand_data_2024_ver0!M70</f>
        <v>83</v>
      </c>
      <c r="O70" s="3">
        <f>parking_demand_data_2024_ver0!N70</f>
        <v>0</v>
      </c>
      <c r="P70" s="3">
        <f>parking_demand_data_2024_ver0!O70</f>
        <v>0</v>
      </c>
      <c r="Q70" s="3">
        <f>parking_demand_data_2024_ver0!P70</f>
        <v>0</v>
      </c>
      <c r="R70" s="3">
        <f>parking_demand_data_2024_ver0!Q70</f>
        <v>0</v>
      </c>
      <c r="S70" s="3">
        <f>parking_demand_data_2024_ver0!R70</f>
        <v>0</v>
      </c>
      <c r="T70" s="3">
        <f>parking_demand_data_2024_ver0!S70</f>
        <v>83</v>
      </c>
    </row>
    <row r="71" spans="1:20" x14ac:dyDescent="0.25">
      <c r="A71">
        <v>18005</v>
      </c>
      <c r="B71" t="s">
        <v>31</v>
      </c>
      <c r="C71">
        <v>21</v>
      </c>
      <c r="D71" s="3">
        <f>parking_demand_data_2024_ver0!D71*calibration!$I$31</f>
        <v>86.512734082397003</v>
      </c>
      <c r="E71" s="3">
        <f>parking_demand_data_2024_ver0!E71*calibration!$I$31</f>
        <v>10.152734082397</v>
      </c>
      <c r="F71" s="3">
        <f t="shared" si="1"/>
        <v>96.665468164794007</v>
      </c>
      <c r="G71" s="3">
        <f>parking_demand_data_2024_ver0!F71</f>
        <v>2</v>
      </c>
      <c r="H71" s="3">
        <f>parking_demand_data_2024_ver0!G71</f>
        <v>0</v>
      </c>
      <c r="I71" s="3">
        <f>parking_demand_data_2024_ver0!H71</f>
        <v>0</v>
      </c>
      <c r="J71" s="3">
        <f>parking_demand_data_2024_ver0!I71</f>
        <v>0</v>
      </c>
      <c r="K71" s="3">
        <f>parking_demand_data_2024_ver0!J71</f>
        <v>0</v>
      </c>
      <c r="L71" s="3">
        <f>parking_demand_data_2024_ver0!K71</f>
        <v>0</v>
      </c>
      <c r="M71" s="3">
        <f>parking_demand_data_2024_ver0!L71</f>
        <v>2</v>
      </c>
      <c r="N71" s="3">
        <f>parking_demand_data_2024_ver0!M71</f>
        <v>83</v>
      </c>
      <c r="O71" s="3">
        <f>parking_demand_data_2024_ver0!N71</f>
        <v>0</v>
      </c>
      <c r="P71" s="3">
        <f>parking_demand_data_2024_ver0!O71</f>
        <v>0</v>
      </c>
      <c r="Q71" s="3">
        <f>parking_demand_data_2024_ver0!P71</f>
        <v>0</v>
      </c>
      <c r="R71" s="3">
        <f>parking_demand_data_2024_ver0!Q71</f>
        <v>0</v>
      </c>
      <c r="S71" s="3">
        <f>parking_demand_data_2024_ver0!R71</f>
        <v>0</v>
      </c>
      <c r="T71" s="3">
        <f>parking_demand_data_2024_ver0!S71</f>
        <v>83</v>
      </c>
    </row>
    <row r="72" spans="1:20" x14ac:dyDescent="0.25">
      <c r="A72">
        <v>18005</v>
      </c>
      <c r="B72" t="s">
        <v>31</v>
      </c>
      <c r="C72">
        <v>22</v>
      </c>
      <c r="D72" s="3">
        <f>parking_demand_data_2024_ver0!D72*calibration!$I$31</f>
        <v>90.588127340823903</v>
      </c>
      <c r="E72" s="3">
        <f>parking_demand_data_2024_ver0!E72*calibration!$I$31</f>
        <v>15.193352059924999</v>
      </c>
      <c r="F72" s="3">
        <f t="shared" si="1"/>
        <v>105.78147940074891</v>
      </c>
      <c r="G72" s="3">
        <f>parking_demand_data_2024_ver0!F72</f>
        <v>2</v>
      </c>
      <c r="H72" s="3">
        <f>parking_demand_data_2024_ver0!G72</f>
        <v>0</v>
      </c>
      <c r="I72" s="3">
        <f>parking_demand_data_2024_ver0!H72</f>
        <v>0</v>
      </c>
      <c r="J72" s="3">
        <f>parking_demand_data_2024_ver0!I72</f>
        <v>0</v>
      </c>
      <c r="K72" s="3">
        <f>parking_demand_data_2024_ver0!J72</f>
        <v>0</v>
      </c>
      <c r="L72" s="3">
        <f>parking_demand_data_2024_ver0!K72</f>
        <v>0</v>
      </c>
      <c r="M72" s="3">
        <f>parking_demand_data_2024_ver0!L72</f>
        <v>2</v>
      </c>
      <c r="N72" s="3">
        <f>parking_demand_data_2024_ver0!M72</f>
        <v>83</v>
      </c>
      <c r="O72" s="3">
        <f>parking_demand_data_2024_ver0!N72</f>
        <v>0</v>
      </c>
      <c r="P72" s="3">
        <f>parking_demand_data_2024_ver0!O72</f>
        <v>0</v>
      </c>
      <c r="Q72" s="3">
        <f>parking_demand_data_2024_ver0!P72</f>
        <v>0</v>
      </c>
      <c r="R72" s="3">
        <f>parking_demand_data_2024_ver0!Q72</f>
        <v>0</v>
      </c>
      <c r="S72" s="3">
        <f>parking_demand_data_2024_ver0!R72</f>
        <v>0</v>
      </c>
      <c r="T72" s="3">
        <f>parking_demand_data_2024_ver0!S72</f>
        <v>83</v>
      </c>
    </row>
    <row r="73" spans="1:20" x14ac:dyDescent="0.25">
      <c r="A73">
        <v>18005</v>
      </c>
      <c r="B73" t="s">
        <v>31</v>
      </c>
      <c r="C73">
        <v>23</v>
      </c>
      <c r="D73" s="3">
        <f>parking_demand_data_2024_ver0!D73*calibration!$I$31</f>
        <v>93.734044943820194</v>
      </c>
      <c r="E73" s="3">
        <f>parking_demand_data_2024_ver0!E73*calibration!$I$31</f>
        <v>19.411741573033702</v>
      </c>
      <c r="F73" s="3">
        <f t="shared" si="1"/>
        <v>113.14578651685389</v>
      </c>
      <c r="G73" s="3">
        <f>parking_demand_data_2024_ver0!F73</f>
        <v>2</v>
      </c>
      <c r="H73" s="3">
        <f>parking_demand_data_2024_ver0!G73</f>
        <v>0</v>
      </c>
      <c r="I73" s="3">
        <f>parking_demand_data_2024_ver0!H73</f>
        <v>0</v>
      </c>
      <c r="J73" s="3">
        <f>parking_demand_data_2024_ver0!I73</f>
        <v>0</v>
      </c>
      <c r="K73" s="3">
        <f>parking_demand_data_2024_ver0!J73</f>
        <v>0</v>
      </c>
      <c r="L73" s="3">
        <f>parking_demand_data_2024_ver0!K73</f>
        <v>0</v>
      </c>
      <c r="M73" s="3">
        <f>parking_demand_data_2024_ver0!L73</f>
        <v>2</v>
      </c>
      <c r="N73" s="3">
        <f>parking_demand_data_2024_ver0!M73</f>
        <v>83</v>
      </c>
      <c r="O73" s="3">
        <f>parking_demand_data_2024_ver0!N73</f>
        <v>0</v>
      </c>
      <c r="P73" s="3">
        <f>parking_demand_data_2024_ver0!O73</f>
        <v>0</v>
      </c>
      <c r="Q73" s="3">
        <f>parking_demand_data_2024_ver0!P73</f>
        <v>0</v>
      </c>
      <c r="R73" s="3">
        <f>parking_demand_data_2024_ver0!Q73</f>
        <v>0</v>
      </c>
      <c r="S73" s="3">
        <f>parking_demand_data_2024_ver0!R73</f>
        <v>0</v>
      </c>
      <c r="T73" s="3">
        <f>parking_demand_data_2024_ver0!S73</f>
        <v>83</v>
      </c>
    </row>
    <row r="74" spans="1:20" x14ac:dyDescent="0.25">
      <c r="A74">
        <v>18007</v>
      </c>
      <c r="B74" t="s">
        <v>32</v>
      </c>
      <c r="C74">
        <v>0</v>
      </c>
      <c r="D74" s="3">
        <f>parking_demand_data_2024_ver0!D74*calibration!$I$31</f>
        <v>0</v>
      </c>
      <c r="E74" s="3">
        <f>parking_demand_data_2024_ver0!E74*calibration!$I$31</f>
        <v>0</v>
      </c>
      <c r="F74" s="3">
        <f t="shared" si="1"/>
        <v>0</v>
      </c>
      <c r="G74" s="3">
        <f>parking_demand_data_2024_ver0!F74</f>
        <v>0</v>
      </c>
      <c r="H74" s="3">
        <f>parking_demand_data_2024_ver0!G74</f>
        <v>0</v>
      </c>
      <c r="I74" s="3">
        <f>parking_demand_data_2024_ver0!H74</f>
        <v>0</v>
      </c>
      <c r="J74" s="3">
        <f>parking_demand_data_2024_ver0!I74</f>
        <v>0</v>
      </c>
      <c r="K74" s="3">
        <f>parking_demand_data_2024_ver0!J74</f>
        <v>0</v>
      </c>
      <c r="L74" s="3">
        <f>parking_demand_data_2024_ver0!K74</f>
        <v>0</v>
      </c>
      <c r="M74" s="3">
        <f>parking_demand_data_2024_ver0!L74</f>
        <v>0</v>
      </c>
      <c r="N74" s="3">
        <f>parking_demand_data_2024_ver0!M74</f>
        <v>0</v>
      </c>
      <c r="O74" s="3">
        <f>parking_demand_data_2024_ver0!N74</f>
        <v>0</v>
      </c>
      <c r="P74" s="3">
        <f>parking_demand_data_2024_ver0!O74</f>
        <v>0</v>
      </c>
      <c r="Q74" s="3">
        <f>parking_demand_data_2024_ver0!P74</f>
        <v>0</v>
      </c>
      <c r="R74" s="3">
        <f>parking_demand_data_2024_ver0!Q74</f>
        <v>0</v>
      </c>
      <c r="S74" s="3">
        <f>parking_demand_data_2024_ver0!R74</f>
        <v>0</v>
      </c>
      <c r="T74" s="3">
        <f>parking_demand_data_2024_ver0!S74</f>
        <v>0</v>
      </c>
    </row>
    <row r="75" spans="1:20" x14ac:dyDescent="0.25">
      <c r="A75">
        <v>18007</v>
      </c>
      <c r="B75" t="s">
        <v>32</v>
      </c>
      <c r="C75">
        <v>1</v>
      </c>
      <c r="D75" s="3">
        <f>parking_demand_data_2024_ver0!D75*calibration!$I$31</f>
        <v>0</v>
      </c>
      <c r="E75" s="3">
        <f>parking_demand_data_2024_ver0!E75*calibration!$I$31</f>
        <v>0</v>
      </c>
      <c r="F75" s="3">
        <f t="shared" si="1"/>
        <v>0</v>
      </c>
      <c r="G75" s="3">
        <f>parking_demand_data_2024_ver0!F75</f>
        <v>0</v>
      </c>
      <c r="H75" s="3">
        <f>parking_demand_data_2024_ver0!G75</f>
        <v>0</v>
      </c>
      <c r="I75" s="3">
        <f>parking_demand_data_2024_ver0!H75</f>
        <v>0</v>
      </c>
      <c r="J75" s="3">
        <f>parking_demand_data_2024_ver0!I75</f>
        <v>0</v>
      </c>
      <c r="K75" s="3">
        <f>parking_demand_data_2024_ver0!J75</f>
        <v>0</v>
      </c>
      <c r="L75" s="3">
        <f>parking_demand_data_2024_ver0!K75</f>
        <v>0</v>
      </c>
      <c r="M75" s="3">
        <f>parking_demand_data_2024_ver0!L75</f>
        <v>0</v>
      </c>
      <c r="N75" s="3">
        <f>parking_demand_data_2024_ver0!M75</f>
        <v>0</v>
      </c>
      <c r="O75" s="3">
        <f>parking_demand_data_2024_ver0!N75</f>
        <v>0</v>
      </c>
      <c r="P75" s="3">
        <f>parking_demand_data_2024_ver0!O75</f>
        <v>0</v>
      </c>
      <c r="Q75" s="3">
        <f>parking_demand_data_2024_ver0!P75</f>
        <v>0</v>
      </c>
      <c r="R75" s="3">
        <f>parking_demand_data_2024_ver0!Q75</f>
        <v>0</v>
      </c>
      <c r="S75" s="3">
        <f>parking_demand_data_2024_ver0!R75</f>
        <v>0</v>
      </c>
      <c r="T75" s="3">
        <f>parking_demand_data_2024_ver0!S75</f>
        <v>0</v>
      </c>
    </row>
    <row r="76" spans="1:20" x14ac:dyDescent="0.25">
      <c r="A76">
        <v>18007</v>
      </c>
      <c r="B76" t="s">
        <v>32</v>
      </c>
      <c r="C76">
        <v>2</v>
      </c>
      <c r="D76" s="3">
        <f>parking_demand_data_2024_ver0!D76*calibration!$I$31</f>
        <v>0</v>
      </c>
      <c r="E76" s="3">
        <f>parking_demand_data_2024_ver0!E76*calibration!$I$31</f>
        <v>0</v>
      </c>
      <c r="F76" s="3">
        <f t="shared" si="1"/>
        <v>0</v>
      </c>
      <c r="G76" s="3">
        <f>parking_demand_data_2024_ver0!F76</f>
        <v>0</v>
      </c>
      <c r="H76" s="3">
        <f>parking_demand_data_2024_ver0!G76</f>
        <v>0</v>
      </c>
      <c r="I76" s="3">
        <f>parking_demand_data_2024_ver0!H76</f>
        <v>0</v>
      </c>
      <c r="J76" s="3">
        <f>parking_demand_data_2024_ver0!I76</f>
        <v>0</v>
      </c>
      <c r="K76" s="3">
        <f>parking_demand_data_2024_ver0!J76</f>
        <v>0</v>
      </c>
      <c r="L76" s="3">
        <f>parking_demand_data_2024_ver0!K76</f>
        <v>0</v>
      </c>
      <c r="M76" s="3">
        <f>parking_demand_data_2024_ver0!L76</f>
        <v>0</v>
      </c>
      <c r="N76" s="3">
        <f>parking_demand_data_2024_ver0!M76</f>
        <v>0</v>
      </c>
      <c r="O76" s="3">
        <f>parking_demand_data_2024_ver0!N76</f>
        <v>0</v>
      </c>
      <c r="P76" s="3">
        <f>parking_demand_data_2024_ver0!O76</f>
        <v>0</v>
      </c>
      <c r="Q76" s="3">
        <f>parking_demand_data_2024_ver0!P76</f>
        <v>0</v>
      </c>
      <c r="R76" s="3">
        <f>parking_demand_data_2024_ver0!Q76</f>
        <v>0</v>
      </c>
      <c r="S76" s="3">
        <f>parking_demand_data_2024_ver0!R76</f>
        <v>0</v>
      </c>
      <c r="T76" s="3">
        <f>parking_demand_data_2024_ver0!S76</f>
        <v>0</v>
      </c>
    </row>
    <row r="77" spans="1:20" x14ac:dyDescent="0.25">
      <c r="A77">
        <v>18007</v>
      </c>
      <c r="B77" t="s">
        <v>32</v>
      </c>
      <c r="C77">
        <v>3</v>
      </c>
      <c r="D77" s="3">
        <f>parking_demand_data_2024_ver0!D77*calibration!$I$31</f>
        <v>0</v>
      </c>
      <c r="E77" s="3">
        <f>parking_demand_data_2024_ver0!E77*calibration!$I$31</f>
        <v>0</v>
      </c>
      <c r="F77" s="3">
        <f t="shared" si="1"/>
        <v>0</v>
      </c>
      <c r="G77" s="3">
        <f>parking_demand_data_2024_ver0!F77</f>
        <v>0</v>
      </c>
      <c r="H77" s="3">
        <f>parking_demand_data_2024_ver0!G77</f>
        <v>0</v>
      </c>
      <c r="I77" s="3">
        <f>parking_demand_data_2024_ver0!H77</f>
        <v>0</v>
      </c>
      <c r="J77" s="3">
        <f>parking_demand_data_2024_ver0!I77</f>
        <v>0</v>
      </c>
      <c r="K77" s="3">
        <f>parking_demand_data_2024_ver0!J77</f>
        <v>0</v>
      </c>
      <c r="L77" s="3">
        <f>parking_demand_data_2024_ver0!K77</f>
        <v>0</v>
      </c>
      <c r="M77" s="3">
        <f>parking_demand_data_2024_ver0!L77</f>
        <v>0</v>
      </c>
      <c r="N77" s="3">
        <f>parking_demand_data_2024_ver0!M77</f>
        <v>0</v>
      </c>
      <c r="O77" s="3">
        <f>parking_demand_data_2024_ver0!N77</f>
        <v>0</v>
      </c>
      <c r="P77" s="3">
        <f>parking_demand_data_2024_ver0!O77</f>
        <v>0</v>
      </c>
      <c r="Q77" s="3">
        <f>parking_demand_data_2024_ver0!P77</f>
        <v>0</v>
      </c>
      <c r="R77" s="3">
        <f>parking_demand_data_2024_ver0!Q77</f>
        <v>0</v>
      </c>
      <c r="S77" s="3">
        <f>parking_demand_data_2024_ver0!R77</f>
        <v>0</v>
      </c>
      <c r="T77" s="3">
        <f>parking_demand_data_2024_ver0!S77</f>
        <v>0</v>
      </c>
    </row>
    <row r="78" spans="1:20" x14ac:dyDescent="0.25">
      <c r="A78">
        <v>18007</v>
      </c>
      <c r="B78" t="s">
        <v>32</v>
      </c>
      <c r="C78">
        <v>4</v>
      </c>
      <c r="D78" s="3">
        <f>parking_demand_data_2024_ver0!D78*calibration!$I$31</f>
        <v>0</v>
      </c>
      <c r="E78" s="3">
        <f>parking_demand_data_2024_ver0!E78*calibration!$I$31</f>
        <v>0</v>
      </c>
      <c r="F78" s="3">
        <f t="shared" si="1"/>
        <v>0</v>
      </c>
      <c r="G78" s="3">
        <f>parking_demand_data_2024_ver0!F78</f>
        <v>0</v>
      </c>
      <c r="H78" s="3">
        <f>parking_demand_data_2024_ver0!G78</f>
        <v>0</v>
      </c>
      <c r="I78" s="3">
        <f>parking_demand_data_2024_ver0!H78</f>
        <v>0</v>
      </c>
      <c r="J78" s="3">
        <f>parking_demand_data_2024_ver0!I78</f>
        <v>0</v>
      </c>
      <c r="K78" s="3">
        <f>parking_demand_data_2024_ver0!J78</f>
        <v>0</v>
      </c>
      <c r="L78" s="3">
        <f>parking_demand_data_2024_ver0!K78</f>
        <v>0</v>
      </c>
      <c r="M78" s="3">
        <f>parking_demand_data_2024_ver0!L78</f>
        <v>0</v>
      </c>
      <c r="N78" s="3">
        <f>parking_demand_data_2024_ver0!M78</f>
        <v>0</v>
      </c>
      <c r="O78" s="3">
        <f>parking_demand_data_2024_ver0!N78</f>
        <v>0</v>
      </c>
      <c r="P78" s="3">
        <f>parking_demand_data_2024_ver0!O78</f>
        <v>0</v>
      </c>
      <c r="Q78" s="3">
        <f>parking_demand_data_2024_ver0!P78</f>
        <v>0</v>
      </c>
      <c r="R78" s="3">
        <f>parking_demand_data_2024_ver0!Q78</f>
        <v>0</v>
      </c>
      <c r="S78" s="3">
        <f>parking_demand_data_2024_ver0!R78</f>
        <v>0</v>
      </c>
      <c r="T78" s="3">
        <f>parking_demand_data_2024_ver0!S78</f>
        <v>0</v>
      </c>
    </row>
    <row r="79" spans="1:20" x14ac:dyDescent="0.25">
      <c r="A79">
        <v>18007</v>
      </c>
      <c r="B79" t="s">
        <v>32</v>
      </c>
      <c r="C79">
        <v>5</v>
      </c>
      <c r="D79" s="3">
        <f>parking_demand_data_2024_ver0!D79*calibration!$I$31</f>
        <v>0</v>
      </c>
      <c r="E79" s="3">
        <f>parking_demand_data_2024_ver0!E79*calibration!$I$31</f>
        <v>0</v>
      </c>
      <c r="F79" s="3">
        <f t="shared" si="1"/>
        <v>0</v>
      </c>
      <c r="G79" s="3">
        <f>parking_demand_data_2024_ver0!F79</f>
        <v>0</v>
      </c>
      <c r="H79" s="3">
        <f>parking_demand_data_2024_ver0!G79</f>
        <v>0</v>
      </c>
      <c r="I79" s="3">
        <f>parking_demand_data_2024_ver0!H79</f>
        <v>0</v>
      </c>
      <c r="J79" s="3">
        <f>parking_demand_data_2024_ver0!I79</f>
        <v>0</v>
      </c>
      <c r="K79" s="3">
        <f>parking_demand_data_2024_ver0!J79</f>
        <v>0</v>
      </c>
      <c r="L79" s="3">
        <f>parking_demand_data_2024_ver0!K79</f>
        <v>0</v>
      </c>
      <c r="M79" s="3">
        <f>parking_demand_data_2024_ver0!L79</f>
        <v>0</v>
      </c>
      <c r="N79" s="3">
        <f>parking_demand_data_2024_ver0!M79</f>
        <v>0</v>
      </c>
      <c r="O79" s="3">
        <f>parking_demand_data_2024_ver0!N79</f>
        <v>0</v>
      </c>
      <c r="P79" s="3">
        <f>parking_demand_data_2024_ver0!O79</f>
        <v>0</v>
      </c>
      <c r="Q79" s="3">
        <f>parking_demand_data_2024_ver0!P79</f>
        <v>0</v>
      </c>
      <c r="R79" s="3">
        <f>parking_demand_data_2024_ver0!Q79</f>
        <v>0</v>
      </c>
      <c r="S79" s="3">
        <f>parking_demand_data_2024_ver0!R79</f>
        <v>0</v>
      </c>
      <c r="T79" s="3">
        <f>parking_demand_data_2024_ver0!S79</f>
        <v>0</v>
      </c>
    </row>
    <row r="80" spans="1:20" x14ac:dyDescent="0.25">
      <c r="A80">
        <v>18007</v>
      </c>
      <c r="B80" t="s">
        <v>32</v>
      </c>
      <c r="C80">
        <v>6</v>
      </c>
      <c r="D80" s="3">
        <f>parking_demand_data_2024_ver0!D80*calibration!$I$31</f>
        <v>0</v>
      </c>
      <c r="E80" s="3">
        <f>parking_demand_data_2024_ver0!E80*calibration!$I$31</f>
        <v>0</v>
      </c>
      <c r="F80" s="3">
        <f t="shared" si="1"/>
        <v>0</v>
      </c>
      <c r="G80" s="3">
        <f>parking_demand_data_2024_ver0!F80</f>
        <v>0</v>
      </c>
      <c r="H80" s="3">
        <f>parking_demand_data_2024_ver0!G80</f>
        <v>0</v>
      </c>
      <c r="I80" s="3">
        <f>parking_demand_data_2024_ver0!H80</f>
        <v>0</v>
      </c>
      <c r="J80" s="3">
        <f>parking_demand_data_2024_ver0!I80</f>
        <v>0</v>
      </c>
      <c r="K80" s="3">
        <f>parking_demand_data_2024_ver0!J80</f>
        <v>0</v>
      </c>
      <c r="L80" s="3">
        <f>parking_demand_data_2024_ver0!K80</f>
        <v>0</v>
      </c>
      <c r="M80" s="3">
        <f>parking_demand_data_2024_ver0!L80</f>
        <v>0</v>
      </c>
      <c r="N80" s="3">
        <f>parking_demand_data_2024_ver0!M80</f>
        <v>0</v>
      </c>
      <c r="O80" s="3">
        <f>parking_demand_data_2024_ver0!N80</f>
        <v>0</v>
      </c>
      <c r="P80" s="3">
        <f>parking_demand_data_2024_ver0!O80</f>
        <v>0</v>
      </c>
      <c r="Q80" s="3">
        <f>parking_demand_data_2024_ver0!P80</f>
        <v>0</v>
      </c>
      <c r="R80" s="3">
        <f>parking_demand_data_2024_ver0!Q80</f>
        <v>0</v>
      </c>
      <c r="S80" s="3">
        <f>parking_demand_data_2024_ver0!R80</f>
        <v>0</v>
      </c>
      <c r="T80" s="3">
        <f>parking_demand_data_2024_ver0!S80</f>
        <v>0</v>
      </c>
    </row>
    <row r="81" spans="1:20" x14ac:dyDescent="0.25">
      <c r="A81">
        <v>18007</v>
      </c>
      <c r="B81" t="s">
        <v>32</v>
      </c>
      <c r="C81">
        <v>7</v>
      </c>
      <c r="D81" s="3">
        <f>parking_demand_data_2024_ver0!D81*calibration!$I$31</f>
        <v>0</v>
      </c>
      <c r="E81" s="3">
        <f>parking_demand_data_2024_ver0!E81*calibration!$I$31</f>
        <v>0.53651051594282195</v>
      </c>
      <c r="F81" s="3">
        <f t="shared" si="1"/>
        <v>0.53651051594282195</v>
      </c>
      <c r="G81" s="3">
        <f>parking_demand_data_2024_ver0!F81</f>
        <v>0</v>
      </c>
      <c r="H81" s="3">
        <f>parking_demand_data_2024_ver0!G81</f>
        <v>0</v>
      </c>
      <c r="I81" s="3">
        <f>parking_demand_data_2024_ver0!H81</f>
        <v>0</v>
      </c>
      <c r="J81" s="3">
        <f>parking_demand_data_2024_ver0!I81</f>
        <v>0</v>
      </c>
      <c r="K81" s="3">
        <f>parking_demand_data_2024_ver0!J81</f>
        <v>0</v>
      </c>
      <c r="L81" s="3">
        <f>parking_demand_data_2024_ver0!K81</f>
        <v>0</v>
      </c>
      <c r="M81" s="3">
        <f>parking_demand_data_2024_ver0!L81</f>
        <v>0</v>
      </c>
      <c r="N81" s="3">
        <f>parking_demand_data_2024_ver0!M81</f>
        <v>0</v>
      </c>
      <c r="O81" s="3">
        <f>parking_demand_data_2024_ver0!N81</f>
        <v>0</v>
      </c>
      <c r="P81" s="3">
        <f>parking_demand_data_2024_ver0!O81</f>
        <v>0</v>
      </c>
      <c r="Q81" s="3">
        <f>parking_demand_data_2024_ver0!P81</f>
        <v>0</v>
      </c>
      <c r="R81" s="3">
        <f>parking_demand_data_2024_ver0!Q81</f>
        <v>0</v>
      </c>
      <c r="S81" s="3">
        <f>parking_demand_data_2024_ver0!R81</f>
        <v>0</v>
      </c>
      <c r="T81" s="3">
        <f>parking_demand_data_2024_ver0!S81</f>
        <v>0</v>
      </c>
    </row>
    <row r="82" spans="1:20" x14ac:dyDescent="0.25">
      <c r="A82">
        <v>18007</v>
      </c>
      <c r="B82" t="s">
        <v>32</v>
      </c>
      <c r="C82">
        <v>8</v>
      </c>
      <c r="D82" s="3">
        <f>parking_demand_data_2024_ver0!D82*calibration!$I$31</f>
        <v>0</v>
      </c>
      <c r="E82" s="3">
        <f>parking_demand_data_2024_ver0!E82*calibration!$I$31</f>
        <v>0.96571892869707998</v>
      </c>
      <c r="F82" s="3">
        <f t="shared" si="1"/>
        <v>0.96571892869707998</v>
      </c>
      <c r="G82" s="3">
        <f>parking_demand_data_2024_ver0!F82</f>
        <v>0</v>
      </c>
      <c r="H82" s="3">
        <f>parking_demand_data_2024_ver0!G82</f>
        <v>0</v>
      </c>
      <c r="I82" s="3">
        <f>parking_demand_data_2024_ver0!H82</f>
        <v>0</v>
      </c>
      <c r="J82" s="3">
        <f>parking_demand_data_2024_ver0!I82</f>
        <v>0</v>
      </c>
      <c r="K82" s="3">
        <f>parking_demand_data_2024_ver0!J82</f>
        <v>0</v>
      </c>
      <c r="L82" s="3">
        <f>parking_demand_data_2024_ver0!K82</f>
        <v>0</v>
      </c>
      <c r="M82" s="3">
        <f>parking_demand_data_2024_ver0!L82</f>
        <v>0</v>
      </c>
      <c r="N82" s="3">
        <f>parking_demand_data_2024_ver0!M82</f>
        <v>0</v>
      </c>
      <c r="O82" s="3">
        <f>parking_demand_data_2024_ver0!N82</f>
        <v>0</v>
      </c>
      <c r="P82" s="3">
        <f>parking_demand_data_2024_ver0!O82</f>
        <v>0</v>
      </c>
      <c r="Q82" s="3">
        <f>parking_demand_data_2024_ver0!P82</f>
        <v>0</v>
      </c>
      <c r="R82" s="3">
        <f>parking_demand_data_2024_ver0!Q82</f>
        <v>0</v>
      </c>
      <c r="S82" s="3">
        <f>parking_demand_data_2024_ver0!R82</f>
        <v>0</v>
      </c>
      <c r="T82" s="3">
        <f>parking_demand_data_2024_ver0!S82</f>
        <v>0</v>
      </c>
    </row>
    <row r="83" spans="1:20" x14ac:dyDescent="0.25">
      <c r="A83">
        <v>18007</v>
      </c>
      <c r="B83" t="s">
        <v>32</v>
      </c>
      <c r="C83">
        <v>9</v>
      </c>
      <c r="D83" s="3">
        <f>parking_demand_data_2024_ver0!D83*calibration!$I$31</f>
        <v>0</v>
      </c>
      <c r="E83" s="3">
        <f>parking_demand_data_2024_ver0!E83*calibration!$I$31</f>
        <v>1.43069470918085</v>
      </c>
      <c r="F83" s="3">
        <f t="shared" si="1"/>
        <v>1.43069470918085</v>
      </c>
      <c r="G83" s="3">
        <f>parking_demand_data_2024_ver0!F83</f>
        <v>0</v>
      </c>
      <c r="H83" s="3">
        <f>parking_demand_data_2024_ver0!G83</f>
        <v>0</v>
      </c>
      <c r="I83" s="3">
        <f>parking_demand_data_2024_ver0!H83</f>
        <v>0</v>
      </c>
      <c r="J83" s="3">
        <f>parking_demand_data_2024_ver0!I83</f>
        <v>0</v>
      </c>
      <c r="K83" s="3">
        <f>parking_demand_data_2024_ver0!J83</f>
        <v>0</v>
      </c>
      <c r="L83" s="3">
        <f>parking_demand_data_2024_ver0!K83</f>
        <v>0</v>
      </c>
      <c r="M83" s="3">
        <f>parking_demand_data_2024_ver0!L83</f>
        <v>0</v>
      </c>
      <c r="N83" s="3">
        <f>parking_demand_data_2024_ver0!M83</f>
        <v>0</v>
      </c>
      <c r="O83" s="3">
        <f>parking_demand_data_2024_ver0!N83</f>
        <v>0</v>
      </c>
      <c r="P83" s="3">
        <f>parking_demand_data_2024_ver0!O83</f>
        <v>0</v>
      </c>
      <c r="Q83" s="3">
        <f>parking_demand_data_2024_ver0!P83</f>
        <v>0</v>
      </c>
      <c r="R83" s="3">
        <f>parking_demand_data_2024_ver0!Q83</f>
        <v>0</v>
      </c>
      <c r="S83" s="3">
        <f>parking_demand_data_2024_ver0!R83</f>
        <v>0</v>
      </c>
      <c r="T83" s="3">
        <f>parking_demand_data_2024_ver0!S83</f>
        <v>0</v>
      </c>
    </row>
    <row r="84" spans="1:20" x14ac:dyDescent="0.25">
      <c r="A84">
        <v>18007</v>
      </c>
      <c r="B84" t="s">
        <v>32</v>
      </c>
      <c r="C84">
        <v>10</v>
      </c>
      <c r="D84" s="3">
        <f>parking_demand_data_2024_ver0!D84*calibration!$I$31</f>
        <v>0</v>
      </c>
      <c r="E84" s="3">
        <f>parking_demand_data_2024_ver0!E84*calibration!$I$31</f>
        <v>2.1102746960417602</v>
      </c>
      <c r="F84" s="3">
        <f t="shared" si="1"/>
        <v>2.1102746960417602</v>
      </c>
      <c r="G84" s="3">
        <f>parking_demand_data_2024_ver0!F84</f>
        <v>0</v>
      </c>
      <c r="H84" s="3">
        <f>parking_demand_data_2024_ver0!G84</f>
        <v>0</v>
      </c>
      <c r="I84" s="3">
        <f>parking_demand_data_2024_ver0!H84</f>
        <v>0</v>
      </c>
      <c r="J84" s="3">
        <f>parking_demand_data_2024_ver0!I84</f>
        <v>0</v>
      </c>
      <c r="K84" s="3">
        <f>parking_demand_data_2024_ver0!J84</f>
        <v>0</v>
      </c>
      <c r="L84" s="3">
        <f>parking_demand_data_2024_ver0!K84</f>
        <v>0</v>
      </c>
      <c r="M84" s="3">
        <f>parking_demand_data_2024_ver0!L84</f>
        <v>0</v>
      </c>
      <c r="N84" s="3">
        <f>parking_demand_data_2024_ver0!M84</f>
        <v>0</v>
      </c>
      <c r="O84" s="3">
        <f>parking_demand_data_2024_ver0!N84</f>
        <v>0</v>
      </c>
      <c r="P84" s="3">
        <f>parking_demand_data_2024_ver0!O84</f>
        <v>0</v>
      </c>
      <c r="Q84" s="3">
        <f>parking_demand_data_2024_ver0!P84</f>
        <v>0</v>
      </c>
      <c r="R84" s="3">
        <f>parking_demand_data_2024_ver0!Q84</f>
        <v>0</v>
      </c>
      <c r="S84" s="3">
        <f>parking_demand_data_2024_ver0!R84</f>
        <v>0</v>
      </c>
      <c r="T84" s="3">
        <f>parking_demand_data_2024_ver0!S84</f>
        <v>0</v>
      </c>
    </row>
    <row r="85" spans="1:20" x14ac:dyDescent="0.25">
      <c r="A85">
        <v>18007</v>
      </c>
      <c r="B85" t="s">
        <v>32</v>
      </c>
      <c r="C85">
        <v>11</v>
      </c>
      <c r="D85" s="3">
        <f>parking_demand_data_2024_ver0!D85*calibration!$I$31</f>
        <v>0</v>
      </c>
      <c r="E85" s="3">
        <f>parking_demand_data_2024_ver0!E85*calibration!$I$31</f>
        <v>2.0745073283122402</v>
      </c>
      <c r="F85" s="3">
        <f t="shared" si="1"/>
        <v>2.0745073283122402</v>
      </c>
      <c r="G85" s="3">
        <f>parking_demand_data_2024_ver0!F85</f>
        <v>0</v>
      </c>
      <c r="H85" s="3">
        <f>parking_demand_data_2024_ver0!G85</f>
        <v>0</v>
      </c>
      <c r="I85" s="3">
        <f>parking_demand_data_2024_ver0!H85</f>
        <v>0</v>
      </c>
      <c r="J85" s="3">
        <f>parking_demand_data_2024_ver0!I85</f>
        <v>0</v>
      </c>
      <c r="K85" s="3">
        <f>parking_demand_data_2024_ver0!J85</f>
        <v>0</v>
      </c>
      <c r="L85" s="3">
        <f>parking_demand_data_2024_ver0!K85</f>
        <v>0</v>
      </c>
      <c r="M85" s="3">
        <f>parking_demand_data_2024_ver0!L85</f>
        <v>0</v>
      </c>
      <c r="N85" s="3">
        <f>parking_demand_data_2024_ver0!M85</f>
        <v>0</v>
      </c>
      <c r="O85" s="3">
        <f>parking_demand_data_2024_ver0!N85</f>
        <v>0</v>
      </c>
      <c r="P85" s="3">
        <f>parking_demand_data_2024_ver0!O85</f>
        <v>0</v>
      </c>
      <c r="Q85" s="3">
        <f>parking_demand_data_2024_ver0!P85</f>
        <v>0</v>
      </c>
      <c r="R85" s="3">
        <f>parking_demand_data_2024_ver0!Q85</f>
        <v>0</v>
      </c>
      <c r="S85" s="3">
        <f>parking_demand_data_2024_ver0!R85</f>
        <v>0</v>
      </c>
      <c r="T85" s="3">
        <f>parking_demand_data_2024_ver0!S85</f>
        <v>0</v>
      </c>
    </row>
    <row r="86" spans="1:20" x14ac:dyDescent="0.25">
      <c r="A86">
        <v>18007</v>
      </c>
      <c r="B86" t="s">
        <v>32</v>
      </c>
      <c r="C86">
        <v>12</v>
      </c>
      <c r="D86" s="3">
        <f>parking_demand_data_2024_ver0!D86*calibration!$I$31</f>
        <v>0</v>
      </c>
      <c r="E86" s="3">
        <f>parking_demand_data_2024_ver0!E86*calibration!$I$31</f>
        <v>2.1818094315008101</v>
      </c>
      <c r="F86" s="3">
        <f t="shared" si="1"/>
        <v>2.1818094315008101</v>
      </c>
      <c r="G86" s="3">
        <f>parking_demand_data_2024_ver0!F86</f>
        <v>0</v>
      </c>
      <c r="H86" s="3">
        <f>parking_demand_data_2024_ver0!G86</f>
        <v>0</v>
      </c>
      <c r="I86" s="3">
        <f>parking_demand_data_2024_ver0!H86</f>
        <v>0</v>
      </c>
      <c r="J86" s="3">
        <f>parking_demand_data_2024_ver0!I86</f>
        <v>0</v>
      </c>
      <c r="K86" s="3">
        <f>parking_demand_data_2024_ver0!J86</f>
        <v>0</v>
      </c>
      <c r="L86" s="3">
        <f>parking_demand_data_2024_ver0!K86</f>
        <v>0</v>
      </c>
      <c r="M86" s="3">
        <f>parking_demand_data_2024_ver0!L86</f>
        <v>0</v>
      </c>
      <c r="N86" s="3">
        <f>parking_demand_data_2024_ver0!M86</f>
        <v>0</v>
      </c>
      <c r="O86" s="3">
        <f>parking_demand_data_2024_ver0!N86</f>
        <v>0</v>
      </c>
      <c r="P86" s="3">
        <f>parking_demand_data_2024_ver0!O86</f>
        <v>0</v>
      </c>
      <c r="Q86" s="3">
        <f>parking_demand_data_2024_ver0!P86</f>
        <v>0</v>
      </c>
      <c r="R86" s="3">
        <f>parking_demand_data_2024_ver0!Q86</f>
        <v>0</v>
      </c>
      <c r="S86" s="3">
        <f>parking_demand_data_2024_ver0!R86</f>
        <v>0</v>
      </c>
      <c r="T86" s="3">
        <f>parking_demand_data_2024_ver0!S86</f>
        <v>0</v>
      </c>
    </row>
    <row r="87" spans="1:20" x14ac:dyDescent="0.25">
      <c r="A87">
        <v>18007</v>
      </c>
      <c r="B87" t="s">
        <v>32</v>
      </c>
      <c r="C87">
        <v>13</v>
      </c>
      <c r="D87" s="3">
        <f>parking_demand_data_2024_ver0!D87*calibration!$I$31</f>
        <v>0</v>
      </c>
      <c r="E87" s="3">
        <f>parking_demand_data_2024_ver0!E87*calibration!$I$31</f>
        <v>1.60953154782846</v>
      </c>
      <c r="F87" s="3">
        <f t="shared" si="1"/>
        <v>1.60953154782846</v>
      </c>
      <c r="G87" s="3">
        <f>parking_demand_data_2024_ver0!F87</f>
        <v>0</v>
      </c>
      <c r="H87" s="3">
        <f>parking_demand_data_2024_ver0!G87</f>
        <v>0</v>
      </c>
      <c r="I87" s="3">
        <f>parking_demand_data_2024_ver0!H87</f>
        <v>0</v>
      </c>
      <c r="J87" s="3">
        <f>parking_demand_data_2024_ver0!I87</f>
        <v>0</v>
      </c>
      <c r="K87" s="3">
        <f>parking_demand_data_2024_ver0!J87</f>
        <v>0</v>
      </c>
      <c r="L87" s="3">
        <f>parking_demand_data_2024_ver0!K87</f>
        <v>0</v>
      </c>
      <c r="M87" s="3">
        <f>parking_demand_data_2024_ver0!L87</f>
        <v>0</v>
      </c>
      <c r="N87" s="3">
        <f>parking_demand_data_2024_ver0!M87</f>
        <v>0</v>
      </c>
      <c r="O87" s="3">
        <f>parking_demand_data_2024_ver0!N87</f>
        <v>0</v>
      </c>
      <c r="P87" s="3">
        <f>parking_demand_data_2024_ver0!O87</f>
        <v>0</v>
      </c>
      <c r="Q87" s="3">
        <f>parking_demand_data_2024_ver0!P87</f>
        <v>0</v>
      </c>
      <c r="R87" s="3">
        <f>parking_demand_data_2024_ver0!Q87</f>
        <v>0</v>
      </c>
      <c r="S87" s="3">
        <f>parking_demand_data_2024_ver0!R87</f>
        <v>0</v>
      </c>
      <c r="T87" s="3">
        <f>parking_demand_data_2024_ver0!S87</f>
        <v>0</v>
      </c>
    </row>
    <row r="88" spans="1:20" x14ac:dyDescent="0.25">
      <c r="A88">
        <v>18007</v>
      </c>
      <c r="B88" t="s">
        <v>32</v>
      </c>
      <c r="C88">
        <v>14</v>
      </c>
      <c r="D88" s="3">
        <f>parking_demand_data_2024_ver0!D88*calibration!$I$31</f>
        <v>0</v>
      </c>
      <c r="E88" s="3">
        <f>parking_demand_data_2024_ver0!E88*calibration!$I$31</f>
        <v>1.7168336510170299</v>
      </c>
      <c r="F88" s="3">
        <f t="shared" si="1"/>
        <v>1.7168336510170299</v>
      </c>
      <c r="G88" s="3">
        <f>parking_demand_data_2024_ver0!F88</f>
        <v>0</v>
      </c>
      <c r="H88" s="3">
        <f>parking_demand_data_2024_ver0!G88</f>
        <v>0</v>
      </c>
      <c r="I88" s="3">
        <f>parking_demand_data_2024_ver0!H88</f>
        <v>0</v>
      </c>
      <c r="J88" s="3">
        <f>parking_demand_data_2024_ver0!I88</f>
        <v>0</v>
      </c>
      <c r="K88" s="3">
        <f>parking_demand_data_2024_ver0!J88</f>
        <v>0</v>
      </c>
      <c r="L88" s="3">
        <f>parking_demand_data_2024_ver0!K88</f>
        <v>0</v>
      </c>
      <c r="M88" s="3">
        <f>parking_demand_data_2024_ver0!L88</f>
        <v>0</v>
      </c>
      <c r="N88" s="3">
        <f>parking_demand_data_2024_ver0!M88</f>
        <v>0</v>
      </c>
      <c r="O88" s="3">
        <f>parking_demand_data_2024_ver0!N88</f>
        <v>0</v>
      </c>
      <c r="P88" s="3">
        <f>parking_demand_data_2024_ver0!O88</f>
        <v>0</v>
      </c>
      <c r="Q88" s="3">
        <f>parking_demand_data_2024_ver0!P88</f>
        <v>0</v>
      </c>
      <c r="R88" s="3">
        <f>parking_demand_data_2024_ver0!Q88</f>
        <v>0</v>
      </c>
      <c r="S88" s="3">
        <f>parking_demand_data_2024_ver0!R88</f>
        <v>0</v>
      </c>
      <c r="T88" s="3">
        <f>parking_demand_data_2024_ver0!S88</f>
        <v>0</v>
      </c>
    </row>
    <row r="89" spans="1:20" x14ac:dyDescent="0.25">
      <c r="A89">
        <v>18007</v>
      </c>
      <c r="B89" t="s">
        <v>32</v>
      </c>
      <c r="C89">
        <v>15</v>
      </c>
      <c r="D89" s="3">
        <f>parking_demand_data_2024_ver0!D89*calibration!$I$31</f>
        <v>0</v>
      </c>
      <c r="E89" s="3">
        <f>parking_demand_data_2024_ver0!E89*calibration!$I$31</f>
        <v>1.43069470918085</v>
      </c>
      <c r="F89" s="3">
        <f t="shared" si="1"/>
        <v>1.43069470918085</v>
      </c>
      <c r="G89" s="3">
        <f>parking_demand_data_2024_ver0!F89</f>
        <v>0</v>
      </c>
      <c r="H89" s="3">
        <f>parking_demand_data_2024_ver0!G89</f>
        <v>0</v>
      </c>
      <c r="I89" s="3">
        <f>parking_demand_data_2024_ver0!H89</f>
        <v>0</v>
      </c>
      <c r="J89" s="3">
        <f>parking_demand_data_2024_ver0!I89</f>
        <v>0</v>
      </c>
      <c r="K89" s="3">
        <f>parking_demand_data_2024_ver0!J89</f>
        <v>0</v>
      </c>
      <c r="L89" s="3">
        <f>parking_demand_data_2024_ver0!K89</f>
        <v>0</v>
      </c>
      <c r="M89" s="3">
        <f>parking_demand_data_2024_ver0!L89</f>
        <v>0</v>
      </c>
      <c r="N89" s="3">
        <f>parking_demand_data_2024_ver0!M89</f>
        <v>0</v>
      </c>
      <c r="O89" s="3">
        <f>parking_demand_data_2024_ver0!N89</f>
        <v>0</v>
      </c>
      <c r="P89" s="3">
        <f>parking_demand_data_2024_ver0!O89</f>
        <v>0</v>
      </c>
      <c r="Q89" s="3">
        <f>parking_demand_data_2024_ver0!P89</f>
        <v>0</v>
      </c>
      <c r="R89" s="3">
        <f>parking_demand_data_2024_ver0!Q89</f>
        <v>0</v>
      </c>
      <c r="S89" s="3">
        <f>parking_demand_data_2024_ver0!R89</f>
        <v>0</v>
      </c>
      <c r="T89" s="3">
        <f>parking_demand_data_2024_ver0!S89</f>
        <v>0</v>
      </c>
    </row>
    <row r="90" spans="1:20" x14ac:dyDescent="0.25">
      <c r="A90">
        <v>18007</v>
      </c>
      <c r="B90" t="s">
        <v>32</v>
      </c>
      <c r="C90">
        <v>16</v>
      </c>
      <c r="D90" s="3">
        <f>parking_demand_data_2024_ver0!D90*calibration!$I$31</f>
        <v>0</v>
      </c>
      <c r="E90" s="3">
        <f>parking_demand_data_2024_ver0!E90*calibration!$I$31</f>
        <v>1.0014862964266</v>
      </c>
      <c r="F90" s="3">
        <f t="shared" si="1"/>
        <v>1.0014862964266</v>
      </c>
      <c r="G90" s="3">
        <f>parking_demand_data_2024_ver0!F90</f>
        <v>0</v>
      </c>
      <c r="H90" s="3">
        <f>parking_demand_data_2024_ver0!G90</f>
        <v>0</v>
      </c>
      <c r="I90" s="3">
        <f>parking_demand_data_2024_ver0!H90</f>
        <v>0</v>
      </c>
      <c r="J90" s="3">
        <f>parking_demand_data_2024_ver0!I90</f>
        <v>0</v>
      </c>
      <c r="K90" s="3">
        <f>parking_demand_data_2024_ver0!J90</f>
        <v>0</v>
      </c>
      <c r="L90" s="3">
        <f>parking_demand_data_2024_ver0!K90</f>
        <v>0</v>
      </c>
      <c r="M90" s="3">
        <f>parking_demand_data_2024_ver0!L90</f>
        <v>0</v>
      </c>
      <c r="N90" s="3">
        <f>parking_demand_data_2024_ver0!M90</f>
        <v>0</v>
      </c>
      <c r="O90" s="3">
        <f>parking_demand_data_2024_ver0!N90</f>
        <v>0</v>
      </c>
      <c r="P90" s="3">
        <f>parking_demand_data_2024_ver0!O90</f>
        <v>0</v>
      </c>
      <c r="Q90" s="3">
        <f>parking_demand_data_2024_ver0!P90</f>
        <v>0</v>
      </c>
      <c r="R90" s="3">
        <f>parking_demand_data_2024_ver0!Q90</f>
        <v>0</v>
      </c>
      <c r="S90" s="3">
        <f>parking_demand_data_2024_ver0!R90</f>
        <v>0</v>
      </c>
      <c r="T90" s="3">
        <f>parking_demand_data_2024_ver0!S90</f>
        <v>0</v>
      </c>
    </row>
    <row r="91" spans="1:20" x14ac:dyDescent="0.25">
      <c r="A91">
        <v>18007</v>
      </c>
      <c r="B91" t="s">
        <v>32</v>
      </c>
      <c r="C91">
        <v>17</v>
      </c>
      <c r="D91" s="3">
        <f>parking_demand_data_2024_ver0!D91*calibration!$I$31</f>
        <v>0</v>
      </c>
      <c r="E91" s="3">
        <f>parking_demand_data_2024_ver0!E91*calibration!$I$31</f>
        <v>0.25037157410665001</v>
      </c>
      <c r="F91" s="3">
        <f t="shared" si="1"/>
        <v>0.25037157410665001</v>
      </c>
      <c r="G91" s="3">
        <f>parking_demand_data_2024_ver0!F91</f>
        <v>0</v>
      </c>
      <c r="H91" s="3">
        <f>parking_demand_data_2024_ver0!G91</f>
        <v>0</v>
      </c>
      <c r="I91" s="3">
        <f>parking_demand_data_2024_ver0!H91</f>
        <v>0</v>
      </c>
      <c r="J91" s="3">
        <f>parking_demand_data_2024_ver0!I91</f>
        <v>0</v>
      </c>
      <c r="K91" s="3">
        <f>parking_demand_data_2024_ver0!J91</f>
        <v>0</v>
      </c>
      <c r="L91" s="3">
        <f>parking_demand_data_2024_ver0!K91</f>
        <v>0</v>
      </c>
      <c r="M91" s="3">
        <f>parking_demand_data_2024_ver0!L91</f>
        <v>0</v>
      </c>
      <c r="N91" s="3">
        <f>parking_demand_data_2024_ver0!M91</f>
        <v>0</v>
      </c>
      <c r="O91" s="3">
        <f>parking_demand_data_2024_ver0!N91</f>
        <v>0</v>
      </c>
      <c r="P91" s="3">
        <f>parking_demand_data_2024_ver0!O91</f>
        <v>0</v>
      </c>
      <c r="Q91" s="3">
        <f>parking_demand_data_2024_ver0!P91</f>
        <v>0</v>
      </c>
      <c r="R91" s="3">
        <f>parking_demand_data_2024_ver0!Q91</f>
        <v>0</v>
      </c>
      <c r="S91" s="3">
        <f>parking_demand_data_2024_ver0!R91</f>
        <v>0</v>
      </c>
      <c r="T91" s="3">
        <f>parking_demand_data_2024_ver0!S91</f>
        <v>0</v>
      </c>
    </row>
    <row r="92" spans="1:20" x14ac:dyDescent="0.25">
      <c r="A92">
        <v>18007</v>
      </c>
      <c r="B92" t="s">
        <v>32</v>
      </c>
      <c r="C92">
        <v>18</v>
      </c>
      <c r="D92" s="3">
        <f>parking_demand_data_2024_ver0!D92*calibration!$I$31</f>
        <v>0</v>
      </c>
      <c r="E92" s="3">
        <f>parking_demand_data_2024_ver0!E92*calibration!$I$31</f>
        <v>0</v>
      </c>
      <c r="F92" s="3">
        <f t="shared" si="1"/>
        <v>0</v>
      </c>
      <c r="G92" s="3">
        <f>parking_demand_data_2024_ver0!F92</f>
        <v>0</v>
      </c>
      <c r="H92" s="3">
        <f>parking_demand_data_2024_ver0!G92</f>
        <v>0</v>
      </c>
      <c r="I92" s="3">
        <f>parking_demand_data_2024_ver0!H92</f>
        <v>0</v>
      </c>
      <c r="J92" s="3">
        <f>parking_demand_data_2024_ver0!I92</f>
        <v>0</v>
      </c>
      <c r="K92" s="3">
        <f>parking_demand_data_2024_ver0!J92</f>
        <v>0</v>
      </c>
      <c r="L92" s="3">
        <f>parking_demand_data_2024_ver0!K92</f>
        <v>0</v>
      </c>
      <c r="M92" s="3">
        <f>parking_demand_data_2024_ver0!L92</f>
        <v>0</v>
      </c>
      <c r="N92" s="3">
        <f>parking_demand_data_2024_ver0!M92</f>
        <v>0</v>
      </c>
      <c r="O92" s="3">
        <f>parking_demand_data_2024_ver0!N92</f>
        <v>0</v>
      </c>
      <c r="P92" s="3">
        <f>parking_demand_data_2024_ver0!O92</f>
        <v>0</v>
      </c>
      <c r="Q92" s="3">
        <f>parking_demand_data_2024_ver0!P92</f>
        <v>0</v>
      </c>
      <c r="R92" s="3">
        <f>parking_demand_data_2024_ver0!Q92</f>
        <v>0</v>
      </c>
      <c r="S92" s="3">
        <f>parking_demand_data_2024_ver0!R92</f>
        <v>0</v>
      </c>
      <c r="T92" s="3">
        <f>parking_demand_data_2024_ver0!S92</f>
        <v>0</v>
      </c>
    </row>
    <row r="93" spans="1:20" x14ac:dyDescent="0.25">
      <c r="A93">
        <v>18007</v>
      </c>
      <c r="B93" t="s">
        <v>32</v>
      </c>
      <c r="C93">
        <v>19</v>
      </c>
      <c r="D93" s="3">
        <f>parking_demand_data_2024_ver0!D93*calibration!$I$31</f>
        <v>0</v>
      </c>
      <c r="E93" s="3">
        <f>parking_demand_data_2024_ver0!E93*calibration!$I$31</f>
        <v>0</v>
      </c>
      <c r="F93" s="3">
        <f t="shared" si="1"/>
        <v>0</v>
      </c>
      <c r="G93" s="3">
        <f>parking_demand_data_2024_ver0!F93</f>
        <v>0</v>
      </c>
      <c r="H93" s="3">
        <f>parking_demand_data_2024_ver0!G93</f>
        <v>0</v>
      </c>
      <c r="I93" s="3">
        <f>parking_demand_data_2024_ver0!H93</f>
        <v>0</v>
      </c>
      <c r="J93" s="3">
        <f>parking_demand_data_2024_ver0!I93</f>
        <v>0</v>
      </c>
      <c r="K93" s="3">
        <f>parking_demand_data_2024_ver0!J93</f>
        <v>0</v>
      </c>
      <c r="L93" s="3">
        <f>parking_demand_data_2024_ver0!K93</f>
        <v>0</v>
      </c>
      <c r="M93" s="3">
        <f>parking_demand_data_2024_ver0!L93</f>
        <v>0</v>
      </c>
      <c r="N93" s="3">
        <f>parking_demand_data_2024_ver0!M93</f>
        <v>0</v>
      </c>
      <c r="O93" s="3">
        <f>parking_demand_data_2024_ver0!N93</f>
        <v>0</v>
      </c>
      <c r="P93" s="3">
        <f>parking_demand_data_2024_ver0!O93</f>
        <v>0</v>
      </c>
      <c r="Q93" s="3">
        <f>parking_demand_data_2024_ver0!P93</f>
        <v>0</v>
      </c>
      <c r="R93" s="3">
        <f>parking_demand_data_2024_ver0!Q93</f>
        <v>0</v>
      </c>
      <c r="S93" s="3">
        <f>parking_demand_data_2024_ver0!R93</f>
        <v>0</v>
      </c>
      <c r="T93" s="3">
        <f>parking_demand_data_2024_ver0!S93</f>
        <v>0</v>
      </c>
    </row>
    <row r="94" spans="1:20" x14ac:dyDescent="0.25">
      <c r="A94">
        <v>18007</v>
      </c>
      <c r="B94" t="s">
        <v>32</v>
      </c>
      <c r="C94">
        <v>20</v>
      </c>
      <c r="D94" s="3">
        <f>parking_demand_data_2024_ver0!D94*calibration!$I$31</f>
        <v>0</v>
      </c>
      <c r="E94" s="3">
        <f>parking_demand_data_2024_ver0!E94*calibration!$I$31</f>
        <v>0</v>
      </c>
      <c r="F94" s="3">
        <f t="shared" si="1"/>
        <v>0</v>
      </c>
      <c r="G94" s="3">
        <f>parking_demand_data_2024_ver0!F94</f>
        <v>0</v>
      </c>
      <c r="H94" s="3">
        <f>parking_demand_data_2024_ver0!G94</f>
        <v>0</v>
      </c>
      <c r="I94" s="3">
        <f>parking_demand_data_2024_ver0!H94</f>
        <v>0</v>
      </c>
      <c r="J94" s="3">
        <f>parking_demand_data_2024_ver0!I94</f>
        <v>0</v>
      </c>
      <c r="K94" s="3">
        <f>parking_demand_data_2024_ver0!J94</f>
        <v>0</v>
      </c>
      <c r="L94" s="3">
        <f>parking_demand_data_2024_ver0!K94</f>
        <v>0</v>
      </c>
      <c r="M94" s="3">
        <f>parking_demand_data_2024_ver0!L94</f>
        <v>0</v>
      </c>
      <c r="N94" s="3">
        <f>parking_demand_data_2024_ver0!M94</f>
        <v>0</v>
      </c>
      <c r="O94" s="3">
        <f>parking_demand_data_2024_ver0!N94</f>
        <v>0</v>
      </c>
      <c r="P94" s="3">
        <f>parking_demand_data_2024_ver0!O94</f>
        <v>0</v>
      </c>
      <c r="Q94" s="3">
        <f>parking_demand_data_2024_ver0!P94</f>
        <v>0</v>
      </c>
      <c r="R94" s="3">
        <f>parking_demand_data_2024_ver0!Q94</f>
        <v>0</v>
      </c>
      <c r="S94" s="3">
        <f>parking_demand_data_2024_ver0!R94</f>
        <v>0</v>
      </c>
      <c r="T94" s="3">
        <f>parking_demand_data_2024_ver0!S94</f>
        <v>0</v>
      </c>
    </row>
    <row r="95" spans="1:20" x14ac:dyDescent="0.25">
      <c r="A95">
        <v>18007</v>
      </c>
      <c r="B95" t="s">
        <v>32</v>
      </c>
      <c r="C95">
        <v>21</v>
      </c>
      <c r="D95" s="3">
        <f>parking_demand_data_2024_ver0!D95*calibration!$I$31</f>
        <v>0</v>
      </c>
      <c r="E95" s="3">
        <f>parking_demand_data_2024_ver0!E95*calibration!$I$31</f>
        <v>0</v>
      </c>
      <c r="F95" s="3">
        <f t="shared" si="1"/>
        <v>0</v>
      </c>
      <c r="G95" s="3">
        <f>parking_demand_data_2024_ver0!F95</f>
        <v>0</v>
      </c>
      <c r="H95" s="3">
        <f>parking_demand_data_2024_ver0!G95</f>
        <v>0</v>
      </c>
      <c r="I95" s="3">
        <f>parking_demand_data_2024_ver0!H95</f>
        <v>0</v>
      </c>
      <c r="J95" s="3">
        <f>parking_demand_data_2024_ver0!I95</f>
        <v>0</v>
      </c>
      <c r="K95" s="3">
        <f>parking_demand_data_2024_ver0!J95</f>
        <v>0</v>
      </c>
      <c r="L95" s="3">
        <f>parking_demand_data_2024_ver0!K95</f>
        <v>0</v>
      </c>
      <c r="M95" s="3">
        <f>parking_demand_data_2024_ver0!L95</f>
        <v>0</v>
      </c>
      <c r="N95" s="3">
        <f>parking_demand_data_2024_ver0!M95</f>
        <v>0</v>
      </c>
      <c r="O95" s="3">
        <f>parking_demand_data_2024_ver0!N95</f>
        <v>0</v>
      </c>
      <c r="P95" s="3">
        <f>parking_demand_data_2024_ver0!O95</f>
        <v>0</v>
      </c>
      <c r="Q95" s="3">
        <f>parking_demand_data_2024_ver0!P95</f>
        <v>0</v>
      </c>
      <c r="R95" s="3">
        <f>parking_demand_data_2024_ver0!Q95</f>
        <v>0</v>
      </c>
      <c r="S95" s="3">
        <f>parking_demand_data_2024_ver0!R95</f>
        <v>0</v>
      </c>
      <c r="T95" s="3">
        <f>parking_demand_data_2024_ver0!S95</f>
        <v>0</v>
      </c>
    </row>
    <row r="96" spans="1:20" x14ac:dyDescent="0.25">
      <c r="A96">
        <v>18007</v>
      </c>
      <c r="B96" t="s">
        <v>32</v>
      </c>
      <c r="C96">
        <v>22</v>
      </c>
      <c r="D96" s="3">
        <f>parking_demand_data_2024_ver0!D96*calibration!$I$31</f>
        <v>0</v>
      </c>
      <c r="E96" s="3">
        <f>parking_demand_data_2024_ver0!E96*calibration!$I$31</f>
        <v>0</v>
      </c>
      <c r="F96" s="3">
        <f t="shared" si="1"/>
        <v>0</v>
      </c>
      <c r="G96" s="3">
        <f>parking_demand_data_2024_ver0!F96</f>
        <v>0</v>
      </c>
      <c r="H96" s="3">
        <f>parking_demand_data_2024_ver0!G96</f>
        <v>0</v>
      </c>
      <c r="I96" s="3">
        <f>parking_demand_data_2024_ver0!H96</f>
        <v>0</v>
      </c>
      <c r="J96" s="3">
        <f>parking_demand_data_2024_ver0!I96</f>
        <v>0</v>
      </c>
      <c r="K96" s="3">
        <f>parking_demand_data_2024_ver0!J96</f>
        <v>0</v>
      </c>
      <c r="L96" s="3">
        <f>parking_demand_data_2024_ver0!K96</f>
        <v>0</v>
      </c>
      <c r="M96" s="3">
        <f>parking_demand_data_2024_ver0!L96</f>
        <v>0</v>
      </c>
      <c r="N96" s="3">
        <f>parking_demand_data_2024_ver0!M96</f>
        <v>0</v>
      </c>
      <c r="O96" s="3">
        <f>parking_demand_data_2024_ver0!N96</f>
        <v>0</v>
      </c>
      <c r="P96" s="3">
        <f>parking_demand_data_2024_ver0!O96</f>
        <v>0</v>
      </c>
      <c r="Q96" s="3">
        <f>parking_demand_data_2024_ver0!P96</f>
        <v>0</v>
      </c>
      <c r="R96" s="3">
        <f>parking_demand_data_2024_ver0!Q96</f>
        <v>0</v>
      </c>
      <c r="S96" s="3">
        <f>parking_demand_data_2024_ver0!R96</f>
        <v>0</v>
      </c>
      <c r="T96" s="3">
        <f>parking_demand_data_2024_ver0!S96</f>
        <v>0</v>
      </c>
    </row>
    <row r="97" spans="1:20" x14ac:dyDescent="0.25">
      <c r="A97">
        <v>18007</v>
      </c>
      <c r="B97" t="s">
        <v>32</v>
      </c>
      <c r="C97">
        <v>23</v>
      </c>
      <c r="D97" s="3">
        <f>parking_demand_data_2024_ver0!D97*calibration!$I$31</f>
        <v>0</v>
      </c>
      <c r="E97" s="3">
        <f>parking_demand_data_2024_ver0!E97*calibration!$I$31</f>
        <v>0</v>
      </c>
      <c r="F97" s="3">
        <f t="shared" si="1"/>
        <v>0</v>
      </c>
      <c r="G97" s="3">
        <f>parking_demand_data_2024_ver0!F97</f>
        <v>0</v>
      </c>
      <c r="H97" s="3">
        <f>parking_demand_data_2024_ver0!G97</f>
        <v>0</v>
      </c>
      <c r="I97" s="3">
        <f>parking_demand_data_2024_ver0!H97</f>
        <v>0</v>
      </c>
      <c r="J97" s="3">
        <f>parking_demand_data_2024_ver0!I97</f>
        <v>0</v>
      </c>
      <c r="K97" s="3">
        <f>parking_demand_data_2024_ver0!J97</f>
        <v>0</v>
      </c>
      <c r="L97" s="3">
        <f>parking_demand_data_2024_ver0!K97</f>
        <v>0</v>
      </c>
      <c r="M97" s="3">
        <f>parking_demand_data_2024_ver0!L97</f>
        <v>0</v>
      </c>
      <c r="N97" s="3">
        <f>parking_demand_data_2024_ver0!M97</f>
        <v>0</v>
      </c>
      <c r="O97" s="3">
        <f>parking_demand_data_2024_ver0!N97</f>
        <v>0</v>
      </c>
      <c r="P97" s="3">
        <f>parking_demand_data_2024_ver0!O97</f>
        <v>0</v>
      </c>
      <c r="Q97" s="3">
        <f>parking_demand_data_2024_ver0!P97</f>
        <v>0</v>
      </c>
      <c r="R97" s="3">
        <f>parking_demand_data_2024_ver0!Q97</f>
        <v>0</v>
      </c>
      <c r="S97" s="3">
        <f>parking_demand_data_2024_ver0!R97</f>
        <v>0</v>
      </c>
      <c r="T97" s="3">
        <f>parking_demand_data_2024_ver0!S97</f>
        <v>0</v>
      </c>
    </row>
    <row r="98" spans="1:20" x14ac:dyDescent="0.25">
      <c r="A98">
        <v>18009</v>
      </c>
      <c r="B98" t="s">
        <v>33</v>
      </c>
      <c r="C98">
        <v>0</v>
      </c>
      <c r="D98" s="3">
        <f>parking_demand_data_2024_ver0!D98*calibration!$I$31</f>
        <v>0</v>
      </c>
      <c r="E98" s="3">
        <f>parking_demand_data_2024_ver0!E98*calibration!$I$31</f>
        <v>0</v>
      </c>
      <c r="F98" s="3">
        <f t="shared" si="1"/>
        <v>0</v>
      </c>
      <c r="G98" s="3">
        <f>parking_demand_data_2024_ver0!F98</f>
        <v>0</v>
      </c>
      <c r="H98" s="3">
        <f>parking_demand_data_2024_ver0!G98</f>
        <v>0</v>
      </c>
      <c r="I98" s="3">
        <f>parking_demand_data_2024_ver0!H98</f>
        <v>0</v>
      </c>
      <c r="J98" s="3">
        <f>parking_demand_data_2024_ver0!I98</f>
        <v>0</v>
      </c>
      <c r="K98" s="3">
        <f>parking_demand_data_2024_ver0!J98</f>
        <v>0</v>
      </c>
      <c r="L98" s="3">
        <f>parking_demand_data_2024_ver0!K98</f>
        <v>0</v>
      </c>
      <c r="M98" s="3">
        <f>parking_demand_data_2024_ver0!L98</f>
        <v>0</v>
      </c>
      <c r="N98" s="3">
        <f>parking_demand_data_2024_ver0!M98</f>
        <v>0</v>
      </c>
      <c r="O98" s="3">
        <f>parking_demand_data_2024_ver0!N98</f>
        <v>0</v>
      </c>
      <c r="P98" s="3">
        <f>parking_demand_data_2024_ver0!O98</f>
        <v>0</v>
      </c>
      <c r="Q98" s="3">
        <f>parking_demand_data_2024_ver0!P98</f>
        <v>0</v>
      </c>
      <c r="R98" s="3">
        <f>parking_demand_data_2024_ver0!Q98</f>
        <v>0</v>
      </c>
      <c r="S98" s="3">
        <f>parking_demand_data_2024_ver0!R98</f>
        <v>0</v>
      </c>
      <c r="T98" s="3">
        <f>parking_demand_data_2024_ver0!S98</f>
        <v>0</v>
      </c>
    </row>
    <row r="99" spans="1:20" x14ac:dyDescent="0.25">
      <c r="A99">
        <v>18009</v>
      </c>
      <c r="B99" t="s">
        <v>33</v>
      </c>
      <c r="C99">
        <v>1</v>
      </c>
      <c r="D99" s="3">
        <f>parking_demand_data_2024_ver0!D99*calibration!$I$31</f>
        <v>0</v>
      </c>
      <c r="E99" s="3">
        <f>parking_demand_data_2024_ver0!E99*calibration!$I$31</f>
        <v>0</v>
      </c>
      <c r="F99" s="3">
        <f t="shared" si="1"/>
        <v>0</v>
      </c>
      <c r="G99" s="3">
        <f>parking_demand_data_2024_ver0!F99</f>
        <v>0</v>
      </c>
      <c r="H99" s="3">
        <f>parking_demand_data_2024_ver0!G99</f>
        <v>0</v>
      </c>
      <c r="I99" s="3">
        <f>parking_demand_data_2024_ver0!H99</f>
        <v>0</v>
      </c>
      <c r="J99" s="3">
        <f>parking_demand_data_2024_ver0!I99</f>
        <v>0</v>
      </c>
      <c r="K99" s="3">
        <f>parking_demand_data_2024_ver0!J99</f>
        <v>0</v>
      </c>
      <c r="L99" s="3">
        <f>parking_demand_data_2024_ver0!K99</f>
        <v>0</v>
      </c>
      <c r="M99" s="3">
        <f>parking_demand_data_2024_ver0!L99</f>
        <v>0</v>
      </c>
      <c r="N99" s="3">
        <f>parking_demand_data_2024_ver0!M99</f>
        <v>0</v>
      </c>
      <c r="O99" s="3">
        <f>parking_demand_data_2024_ver0!N99</f>
        <v>0</v>
      </c>
      <c r="P99" s="3">
        <f>parking_demand_data_2024_ver0!O99</f>
        <v>0</v>
      </c>
      <c r="Q99" s="3">
        <f>parking_demand_data_2024_ver0!P99</f>
        <v>0</v>
      </c>
      <c r="R99" s="3">
        <f>parking_demand_data_2024_ver0!Q99</f>
        <v>0</v>
      </c>
      <c r="S99" s="3">
        <f>parking_demand_data_2024_ver0!R99</f>
        <v>0</v>
      </c>
      <c r="T99" s="3">
        <f>parking_demand_data_2024_ver0!S99</f>
        <v>0</v>
      </c>
    </row>
    <row r="100" spans="1:20" x14ac:dyDescent="0.25">
      <c r="A100">
        <v>18009</v>
      </c>
      <c r="B100" t="s">
        <v>33</v>
      </c>
      <c r="C100">
        <v>2</v>
      </c>
      <c r="D100" s="3">
        <f>parking_demand_data_2024_ver0!D100*calibration!$I$31</f>
        <v>0</v>
      </c>
      <c r="E100" s="3">
        <f>parking_demand_data_2024_ver0!E100*calibration!$I$31</f>
        <v>0</v>
      </c>
      <c r="F100" s="3">
        <f t="shared" si="1"/>
        <v>0</v>
      </c>
      <c r="G100" s="3">
        <f>parking_demand_data_2024_ver0!F100</f>
        <v>0</v>
      </c>
      <c r="H100" s="3">
        <f>parking_demand_data_2024_ver0!G100</f>
        <v>0</v>
      </c>
      <c r="I100" s="3">
        <f>parking_demand_data_2024_ver0!H100</f>
        <v>0</v>
      </c>
      <c r="J100" s="3">
        <f>parking_demand_data_2024_ver0!I100</f>
        <v>0</v>
      </c>
      <c r="K100" s="3">
        <f>parking_demand_data_2024_ver0!J100</f>
        <v>0</v>
      </c>
      <c r="L100" s="3">
        <f>parking_demand_data_2024_ver0!K100</f>
        <v>0</v>
      </c>
      <c r="M100" s="3">
        <f>parking_demand_data_2024_ver0!L100</f>
        <v>0</v>
      </c>
      <c r="N100" s="3">
        <f>parking_demand_data_2024_ver0!M100</f>
        <v>0</v>
      </c>
      <c r="O100" s="3">
        <f>parking_demand_data_2024_ver0!N100</f>
        <v>0</v>
      </c>
      <c r="P100" s="3">
        <f>parking_demand_data_2024_ver0!O100</f>
        <v>0</v>
      </c>
      <c r="Q100" s="3">
        <f>parking_demand_data_2024_ver0!P100</f>
        <v>0</v>
      </c>
      <c r="R100" s="3">
        <f>parking_demand_data_2024_ver0!Q100</f>
        <v>0</v>
      </c>
      <c r="S100" s="3">
        <f>parking_demand_data_2024_ver0!R100</f>
        <v>0</v>
      </c>
      <c r="T100" s="3">
        <f>parking_demand_data_2024_ver0!S100</f>
        <v>0</v>
      </c>
    </row>
    <row r="101" spans="1:20" x14ac:dyDescent="0.25">
      <c r="A101">
        <v>18009</v>
      </c>
      <c r="B101" t="s">
        <v>33</v>
      </c>
      <c r="C101">
        <v>3</v>
      </c>
      <c r="D101" s="3">
        <f>parking_demand_data_2024_ver0!D101*calibration!$I$31</f>
        <v>0</v>
      </c>
      <c r="E101" s="3">
        <f>parking_demand_data_2024_ver0!E101*calibration!$I$31</f>
        <v>0</v>
      </c>
      <c r="F101" s="3">
        <f t="shared" si="1"/>
        <v>0</v>
      </c>
      <c r="G101" s="3">
        <f>parking_demand_data_2024_ver0!F101</f>
        <v>0</v>
      </c>
      <c r="H101" s="3">
        <f>parking_demand_data_2024_ver0!G101</f>
        <v>0</v>
      </c>
      <c r="I101" s="3">
        <f>parking_demand_data_2024_ver0!H101</f>
        <v>0</v>
      </c>
      <c r="J101" s="3">
        <f>parking_demand_data_2024_ver0!I101</f>
        <v>0</v>
      </c>
      <c r="K101" s="3">
        <f>parking_demand_data_2024_ver0!J101</f>
        <v>0</v>
      </c>
      <c r="L101" s="3">
        <f>parking_demand_data_2024_ver0!K101</f>
        <v>0</v>
      </c>
      <c r="M101" s="3">
        <f>parking_demand_data_2024_ver0!L101</f>
        <v>0</v>
      </c>
      <c r="N101" s="3">
        <f>parking_demand_data_2024_ver0!M101</f>
        <v>0</v>
      </c>
      <c r="O101" s="3">
        <f>parking_demand_data_2024_ver0!N101</f>
        <v>0</v>
      </c>
      <c r="P101" s="3">
        <f>parking_demand_data_2024_ver0!O101</f>
        <v>0</v>
      </c>
      <c r="Q101" s="3">
        <f>parking_demand_data_2024_ver0!P101</f>
        <v>0</v>
      </c>
      <c r="R101" s="3">
        <f>parking_demand_data_2024_ver0!Q101</f>
        <v>0</v>
      </c>
      <c r="S101" s="3">
        <f>parking_demand_data_2024_ver0!R101</f>
        <v>0</v>
      </c>
      <c r="T101" s="3">
        <f>parking_demand_data_2024_ver0!S101</f>
        <v>0</v>
      </c>
    </row>
    <row r="102" spans="1:20" x14ac:dyDescent="0.25">
      <c r="A102">
        <v>18009</v>
      </c>
      <c r="B102" t="s">
        <v>33</v>
      </c>
      <c r="C102">
        <v>4</v>
      </c>
      <c r="D102" s="3">
        <f>parking_demand_data_2024_ver0!D102*calibration!$I$31</f>
        <v>0</v>
      </c>
      <c r="E102" s="3">
        <f>parking_demand_data_2024_ver0!E102*calibration!$I$31</f>
        <v>0</v>
      </c>
      <c r="F102" s="3">
        <f t="shared" si="1"/>
        <v>0</v>
      </c>
      <c r="G102" s="3">
        <f>parking_demand_data_2024_ver0!F102</f>
        <v>0</v>
      </c>
      <c r="H102" s="3">
        <f>parking_demand_data_2024_ver0!G102</f>
        <v>0</v>
      </c>
      <c r="I102" s="3">
        <f>parking_demand_data_2024_ver0!H102</f>
        <v>0</v>
      </c>
      <c r="J102" s="3">
        <f>parking_demand_data_2024_ver0!I102</f>
        <v>0</v>
      </c>
      <c r="K102" s="3">
        <f>parking_demand_data_2024_ver0!J102</f>
        <v>0</v>
      </c>
      <c r="L102" s="3">
        <f>parking_demand_data_2024_ver0!K102</f>
        <v>0</v>
      </c>
      <c r="M102" s="3">
        <f>parking_demand_data_2024_ver0!L102</f>
        <v>0</v>
      </c>
      <c r="N102" s="3">
        <f>parking_demand_data_2024_ver0!M102</f>
        <v>0</v>
      </c>
      <c r="O102" s="3">
        <f>parking_demand_data_2024_ver0!N102</f>
        <v>0</v>
      </c>
      <c r="P102" s="3">
        <f>parking_demand_data_2024_ver0!O102</f>
        <v>0</v>
      </c>
      <c r="Q102" s="3">
        <f>parking_demand_data_2024_ver0!P102</f>
        <v>0</v>
      </c>
      <c r="R102" s="3">
        <f>parking_demand_data_2024_ver0!Q102</f>
        <v>0</v>
      </c>
      <c r="S102" s="3">
        <f>parking_demand_data_2024_ver0!R102</f>
        <v>0</v>
      </c>
      <c r="T102" s="3">
        <f>parking_demand_data_2024_ver0!S102</f>
        <v>0</v>
      </c>
    </row>
    <row r="103" spans="1:20" x14ac:dyDescent="0.25">
      <c r="A103">
        <v>18009</v>
      </c>
      <c r="B103" t="s">
        <v>33</v>
      </c>
      <c r="C103">
        <v>5</v>
      </c>
      <c r="D103" s="3">
        <f>parking_demand_data_2024_ver0!D103*calibration!$I$31</f>
        <v>0</v>
      </c>
      <c r="E103" s="3">
        <f>parking_demand_data_2024_ver0!E103*calibration!$I$31</f>
        <v>0</v>
      </c>
      <c r="F103" s="3">
        <f t="shared" si="1"/>
        <v>0</v>
      </c>
      <c r="G103" s="3">
        <f>parking_demand_data_2024_ver0!F103</f>
        <v>0</v>
      </c>
      <c r="H103" s="3">
        <f>parking_demand_data_2024_ver0!G103</f>
        <v>0</v>
      </c>
      <c r="I103" s="3">
        <f>parking_demand_data_2024_ver0!H103</f>
        <v>0</v>
      </c>
      <c r="J103" s="3">
        <f>parking_demand_data_2024_ver0!I103</f>
        <v>0</v>
      </c>
      <c r="K103" s="3">
        <f>parking_demand_data_2024_ver0!J103</f>
        <v>0</v>
      </c>
      <c r="L103" s="3">
        <f>parking_demand_data_2024_ver0!K103</f>
        <v>0</v>
      </c>
      <c r="M103" s="3">
        <f>parking_demand_data_2024_ver0!L103</f>
        <v>0</v>
      </c>
      <c r="N103" s="3">
        <f>parking_demand_data_2024_ver0!M103</f>
        <v>0</v>
      </c>
      <c r="O103" s="3">
        <f>parking_demand_data_2024_ver0!N103</f>
        <v>0</v>
      </c>
      <c r="P103" s="3">
        <f>parking_demand_data_2024_ver0!O103</f>
        <v>0</v>
      </c>
      <c r="Q103" s="3">
        <f>parking_demand_data_2024_ver0!P103</f>
        <v>0</v>
      </c>
      <c r="R103" s="3">
        <f>parking_demand_data_2024_ver0!Q103</f>
        <v>0</v>
      </c>
      <c r="S103" s="3">
        <f>parking_demand_data_2024_ver0!R103</f>
        <v>0</v>
      </c>
      <c r="T103" s="3">
        <f>parking_demand_data_2024_ver0!S103</f>
        <v>0</v>
      </c>
    </row>
    <row r="104" spans="1:20" x14ac:dyDescent="0.25">
      <c r="A104">
        <v>18009</v>
      </c>
      <c r="B104" t="s">
        <v>33</v>
      </c>
      <c r="C104">
        <v>6</v>
      </c>
      <c r="D104" s="3">
        <f>parking_demand_data_2024_ver0!D104*calibration!$I$31</f>
        <v>0</v>
      </c>
      <c r="E104" s="3">
        <f>parking_demand_data_2024_ver0!E104*calibration!$I$31</f>
        <v>0</v>
      </c>
      <c r="F104" s="3">
        <f t="shared" si="1"/>
        <v>0</v>
      </c>
      <c r="G104" s="3">
        <f>parking_demand_data_2024_ver0!F104</f>
        <v>0</v>
      </c>
      <c r="H104" s="3">
        <f>parking_demand_data_2024_ver0!G104</f>
        <v>0</v>
      </c>
      <c r="I104" s="3">
        <f>parking_demand_data_2024_ver0!H104</f>
        <v>0</v>
      </c>
      <c r="J104" s="3">
        <f>parking_demand_data_2024_ver0!I104</f>
        <v>0</v>
      </c>
      <c r="K104" s="3">
        <f>parking_demand_data_2024_ver0!J104</f>
        <v>0</v>
      </c>
      <c r="L104" s="3">
        <f>parking_demand_data_2024_ver0!K104</f>
        <v>0</v>
      </c>
      <c r="M104" s="3">
        <f>parking_demand_data_2024_ver0!L104</f>
        <v>0</v>
      </c>
      <c r="N104" s="3">
        <f>parking_demand_data_2024_ver0!M104</f>
        <v>0</v>
      </c>
      <c r="O104" s="3">
        <f>parking_demand_data_2024_ver0!N104</f>
        <v>0</v>
      </c>
      <c r="P104" s="3">
        <f>parking_demand_data_2024_ver0!O104</f>
        <v>0</v>
      </c>
      <c r="Q104" s="3">
        <f>parking_demand_data_2024_ver0!P104</f>
        <v>0</v>
      </c>
      <c r="R104" s="3">
        <f>parking_demand_data_2024_ver0!Q104</f>
        <v>0</v>
      </c>
      <c r="S104" s="3">
        <f>parking_demand_data_2024_ver0!R104</f>
        <v>0</v>
      </c>
      <c r="T104" s="3">
        <f>parking_demand_data_2024_ver0!S104</f>
        <v>0</v>
      </c>
    </row>
    <row r="105" spans="1:20" x14ac:dyDescent="0.25">
      <c r="A105">
        <v>18009</v>
      </c>
      <c r="B105" t="s">
        <v>33</v>
      </c>
      <c r="C105">
        <v>7</v>
      </c>
      <c r="D105" s="3">
        <f>parking_demand_data_2024_ver0!D105*calibration!$I$31</f>
        <v>0</v>
      </c>
      <c r="E105" s="3">
        <f>parking_demand_data_2024_ver0!E105*calibration!$I$31</f>
        <v>0</v>
      </c>
      <c r="F105" s="3">
        <f t="shared" si="1"/>
        <v>0</v>
      </c>
      <c r="G105" s="3">
        <f>parking_demand_data_2024_ver0!F105</f>
        <v>0</v>
      </c>
      <c r="H105" s="3">
        <f>parking_demand_data_2024_ver0!G105</f>
        <v>0</v>
      </c>
      <c r="I105" s="3">
        <f>parking_demand_data_2024_ver0!H105</f>
        <v>0</v>
      </c>
      <c r="J105" s="3">
        <f>parking_demand_data_2024_ver0!I105</f>
        <v>0</v>
      </c>
      <c r="K105" s="3">
        <f>parking_demand_data_2024_ver0!J105</f>
        <v>0</v>
      </c>
      <c r="L105" s="3">
        <f>parking_demand_data_2024_ver0!K105</f>
        <v>0</v>
      </c>
      <c r="M105" s="3">
        <f>parking_demand_data_2024_ver0!L105</f>
        <v>0</v>
      </c>
      <c r="N105" s="3">
        <f>parking_demand_data_2024_ver0!M105</f>
        <v>0</v>
      </c>
      <c r="O105" s="3">
        <f>parking_demand_data_2024_ver0!N105</f>
        <v>0</v>
      </c>
      <c r="P105" s="3">
        <f>parking_demand_data_2024_ver0!O105</f>
        <v>0</v>
      </c>
      <c r="Q105" s="3">
        <f>parking_demand_data_2024_ver0!P105</f>
        <v>0</v>
      </c>
      <c r="R105" s="3">
        <f>parking_demand_data_2024_ver0!Q105</f>
        <v>0</v>
      </c>
      <c r="S105" s="3">
        <f>parking_demand_data_2024_ver0!R105</f>
        <v>0</v>
      </c>
      <c r="T105" s="3">
        <f>parking_demand_data_2024_ver0!S105</f>
        <v>0</v>
      </c>
    </row>
    <row r="106" spans="1:20" x14ac:dyDescent="0.25">
      <c r="A106">
        <v>18009</v>
      </c>
      <c r="B106" t="s">
        <v>33</v>
      </c>
      <c r="C106">
        <v>8</v>
      </c>
      <c r="D106" s="3">
        <f>parking_demand_data_2024_ver0!D106*calibration!$I$31</f>
        <v>0</v>
      </c>
      <c r="E106" s="3">
        <f>parking_demand_data_2024_ver0!E106*calibration!$I$31</f>
        <v>0</v>
      </c>
      <c r="F106" s="3">
        <f t="shared" si="1"/>
        <v>0</v>
      </c>
      <c r="G106" s="3">
        <f>parking_demand_data_2024_ver0!F106</f>
        <v>0</v>
      </c>
      <c r="H106" s="3">
        <f>parking_demand_data_2024_ver0!G106</f>
        <v>0</v>
      </c>
      <c r="I106" s="3">
        <f>parking_demand_data_2024_ver0!H106</f>
        <v>0</v>
      </c>
      <c r="J106" s="3">
        <f>parking_demand_data_2024_ver0!I106</f>
        <v>0</v>
      </c>
      <c r="K106" s="3">
        <f>parking_demand_data_2024_ver0!J106</f>
        <v>0</v>
      </c>
      <c r="L106" s="3">
        <f>parking_demand_data_2024_ver0!K106</f>
        <v>0</v>
      </c>
      <c r="M106" s="3">
        <f>parking_demand_data_2024_ver0!L106</f>
        <v>0</v>
      </c>
      <c r="N106" s="3">
        <f>parking_demand_data_2024_ver0!M106</f>
        <v>0</v>
      </c>
      <c r="O106" s="3">
        <f>parking_demand_data_2024_ver0!N106</f>
        <v>0</v>
      </c>
      <c r="P106" s="3">
        <f>parking_demand_data_2024_ver0!O106</f>
        <v>0</v>
      </c>
      <c r="Q106" s="3">
        <f>parking_demand_data_2024_ver0!P106</f>
        <v>0</v>
      </c>
      <c r="R106" s="3">
        <f>parking_demand_data_2024_ver0!Q106</f>
        <v>0</v>
      </c>
      <c r="S106" s="3">
        <f>parking_demand_data_2024_ver0!R106</f>
        <v>0</v>
      </c>
      <c r="T106" s="3">
        <f>parking_demand_data_2024_ver0!S106</f>
        <v>0</v>
      </c>
    </row>
    <row r="107" spans="1:20" x14ac:dyDescent="0.25">
      <c r="A107">
        <v>18009</v>
      </c>
      <c r="B107" t="s">
        <v>33</v>
      </c>
      <c r="C107">
        <v>9</v>
      </c>
      <c r="D107" s="3">
        <f>parking_demand_data_2024_ver0!D107*calibration!$I$31</f>
        <v>0</v>
      </c>
      <c r="E107" s="3">
        <f>parking_demand_data_2024_ver0!E107*calibration!$I$31</f>
        <v>0</v>
      </c>
      <c r="F107" s="3">
        <f t="shared" si="1"/>
        <v>0</v>
      </c>
      <c r="G107" s="3">
        <f>parking_demand_data_2024_ver0!F107</f>
        <v>0</v>
      </c>
      <c r="H107" s="3">
        <f>parking_demand_data_2024_ver0!G107</f>
        <v>0</v>
      </c>
      <c r="I107" s="3">
        <f>parking_demand_data_2024_ver0!H107</f>
        <v>0</v>
      </c>
      <c r="J107" s="3">
        <f>parking_demand_data_2024_ver0!I107</f>
        <v>0</v>
      </c>
      <c r="K107" s="3">
        <f>parking_demand_data_2024_ver0!J107</f>
        <v>0</v>
      </c>
      <c r="L107" s="3">
        <f>parking_demand_data_2024_ver0!K107</f>
        <v>0</v>
      </c>
      <c r="M107" s="3">
        <f>parking_demand_data_2024_ver0!L107</f>
        <v>0</v>
      </c>
      <c r="N107" s="3">
        <f>parking_demand_data_2024_ver0!M107</f>
        <v>0</v>
      </c>
      <c r="O107" s="3">
        <f>parking_demand_data_2024_ver0!N107</f>
        <v>0</v>
      </c>
      <c r="P107" s="3">
        <f>parking_demand_data_2024_ver0!O107</f>
        <v>0</v>
      </c>
      <c r="Q107" s="3">
        <f>parking_demand_data_2024_ver0!P107</f>
        <v>0</v>
      </c>
      <c r="R107" s="3">
        <f>parking_demand_data_2024_ver0!Q107</f>
        <v>0</v>
      </c>
      <c r="S107" s="3">
        <f>parking_demand_data_2024_ver0!R107</f>
        <v>0</v>
      </c>
      <c r="T107" s="3">
        <f>parking_demand_data_2024_ver0!S107</f>
        <v>0</v>
      </c>
    </row>
    <row r="108" spans="1:20" x14ac:dyDescent="0.25">
      <c r="A108">
        <v>18009</v>
      </c>
      <c r="B108" t="s">
        <v>33</v>
      </c>
      <c r="C108">
        <v>10</v>
      </c>
      <c r="D108" s="3">
        <f>parking_demand_data_2024_ver0!D108*calibration!$I$31</f>
        <v>0</v>
      </c>
      <c r="E108" s="3">
        <f>parking_demand_data_2024_ver0!E108*calibration!$I$31</f>
        <v>0</v>
      </c>
      <c r="F108" s="3">
        <f t="shared" si="1"/>
        <v>0</v>
      </c>
      <c r="G108" s="3">
        <f>parking_demand_data_2024_ver0!F108</f>
        <v>0</v>
      </c>
      <c r="H108" s="3">
        <f>parking_demand_data_2024_ver0!G108</f>
        <v>0</v>
      </c>
      <c r="I108" s="3">
        <f>parking_demand_data_2024_ver0!H108</f>
        <v>0</v>
      </c>
      <c r="J108" s="3">
        <f>parking_demand_data_2024_ver0!I108</f>
        <v>0</v>
      </c>
      <c r="K108" s="3">
        <f>parking_demand_data_2024_ver0!J108</f>
        <v>0</v>
      </c>
      <c r="L108" s="3">
        <f>parking_demand_data_2024_ver0!K108</f>
        <v>0</v>
      </c>
      <c r="M108" s="3">
        <f>parking_demand_data_2024_ver0!L108</f>
        <v>0</v>
      </c>
      <c r="N108" s="3">
        <f>parking_demand_data_2024_ver0!M108</f>
        <v>0</v>
      </c>
      <c r="O108" s="3">
        <f>parking_demand_data_2024_ver0!N108</f>
        <v>0</v>
      </c>
      <c r="P108" s="3">
        <f>parking_demand_data_2024_ver0!O108</f>
        <v>0</v>
      </c>
      <c r="Q108" s="3">
        <f>parking_demand_data_2024_ver0!P108</f>
        <v>0</v>
      </c>
      <c r="R108" s="3">
        <f>parking_demand_data_2024_ver0!Q108</f>
        <v>0</v>
      </c>
      <c r="S108" s="3">
        <f>parking_demand_data_2024_ver0!R108</f>
        <v>0</v>
      </c>
      <c r="T108" s="3">
        <f>parking_demand_data_2024_ver0!S108</f>
        <v>0</v>
      </c>
    </row>
    <row r="109" spans="1:20" x14ac:dyDescent="0.25">
      <c r="A109">
        <v>18009</v>
      </c>
      <c r="B109" t="s">
        <v>33</v>
      </c>
      <c r="C109">
        <v>11</v>
      </c>
      <c r="D109" s="3">
        <f>parking_demand_data_2024_ver0!D109*calibration!$I$31</f>
        <v>0</v>
      </c>
      <c r="E109" s="3">
        <f>parking_demand_data_2024_ver0!E109*calibration!$I$31</f>
        <v>0</v>
      </c>
      <c r="F109" s="3">
        <f t="shared" si="1"/>
        <v>0</v>
      </c>
      <c r="G109" s="3">
        <f>parking_demand_data_2024_ver0!F109</f>
        <v>0</v>
      </c>
      <c r="H109" s="3">
        <f>parking_demand_data_2024_ver0!G109</f>
        <v>0</v>
      </c>
      <c r="I109" s="3">
        <f>parking_demand_data_2024_ver0!H109</f>
        <v>0</v>
      </c>
      <c r="J109" s="3">
        <f>parking_demand_data_2024_ver0!I109</f>
        <v>0</v>
      </c>
      <c r="K109" s="3">
        <f>parking_demand_data_2024_ver0!J109</f>
        <v>0</v>
      </c>
      <c r="L109" s="3">
        <f>parking_demand_data_2024_ver0!K109</f>
        <v>0</v>
      </c>
      <c r="M109" s="3">
        <f>parking_demand_data_2024_ver0!L109</f>
        <v>0</v>
      </c>
      <c r="N109" s="3">
        <f>parking_demand_data_2024_ver0!M109</f>
        <v>0</v>
      </c>
      <c r="O109" s="3">
        <f>parking_demand_data_2024_ver0!N109</f>
        <v>0</v>
      </c>
      <c r="P109" s="3">
        <f>parking_demand_data_2024_ver0!O109</f>
        <v>0</v>
      </c>
      <c r="Q109" s="3">
        <f>parking_demand_data_2024_ver0!P109</f>
        <v>0</v>
      </c>
      <c r="R109" s="3">
        <f>parking_demand_data_2024_ver0!Q109</f>
        <v>0</v>
      </c>
      <c r="S109" s="3">
        <f>parking_demand_data_2024_ver0!R109</f>
        <v>0</v>
      </c>
      <c r="T109" s="3">
        <f>parking_demand_data_2024_ver0!S109</f>
        <v>0</v>
      </c>
    </row>
    <row r="110" spans="1:20" x14ac:dyDescent="0.25">
      <c r="A110">
        <v>18009</v>
      </c>
      <c r="B110" t="s">
        <v>33</v>
      </c>
      <c r="C110">
        <v>12</v>
      </c>
      <c r="D110" s="3">
        <f>parking_demand_data_2024_ver0!D110*calibration!$I$31</f>
        <v>0</v>
      </c>
      <c r="E110" s="3">
        <f>parking_demand_data_2024_ver0!E110*calibration!$I$31</f>
        <v>0</v>
      </c>
      <c r="F110" s="3">
        <f t="shared" si="1"/>
        <v>0</v>
      </c>
      <c r="G110" s="3">
        <f>parking_demand_data_2024_ver0!F110</f>
        <v>0</v>
      </c>
      <c r="H110" s="3">
        <f>parking_demand_data_2024_ver0!G110</f>
        <v>0</v>
      </c>
      <c r="I110" s="3">
        <f>parking_demand_data_2024_ver0!H110</f>
        <v>0</v>
      </c>
      <c r="J110" s="3">
        <f>parking_demand_data_2024_ver0!I110</f>
        <v>0</v>
      </c>
      <c r="K110" s="3">
        <f>parking_demand_data_2024_ver0!J110</f>
        <v>0</v>
      </c>
      <c r="L110" s="3">
        <f>parking_demand_data_2024_ver0!K110</f>
        <v>0</v>
      </c>
      <c r="M110" s="3">
        <f>parking_demand_data_2024_ver0!L110</f>
        <v>0</v>
      </c>
      <c r="N110" s="3">
        <f>parking_demand_data_2024_ver0!M110</f>
        <v>0</v>
      </c>
      <c r="O110" s="3">
        <f>parking_demand_data_2024_ver0!N110</f>
        <v>0</v>
      </c>
      <c r="P110" s="3">
        <f>parking_demand_data_2024_ver0!O110</f>
        <v>0</v>
      </c>
      <c r="Q110" s="3">
        <f>parking_demand_data_2024_ver0!P110</f>
        <v>0</v>
      </c>
      <c r="R110" s="3">
        <f>parking_demand_data_2024_ver0!Q110</f>
        <v>0</v>
      </c>
      <c r="S110" s="3">
        <f>parking_demand_data_2024_ver0!R110</f>
        <v>0</v>
      </c>
      <c r="T110" s="3">
        <f>parking_demand_data_2024_ver0!S110</f>
        <v>0</v>
      </c>
    </row>
    <row r="111" spans="1:20" x14ac:dyDescent="0.25">
      <c r="A111">
        <v>18009</v>
      </c>
      <c r="B111" t="s">
        <v>33</v>
      </c>
      <c r="C111">
        <v>13</v>
      </c>
      <c r="D111" s="3">
        <f>parking_demand_data_2024_ver0!D111*calibration!$I$31</f>
        <v>0</v>
      </c>
      <c r="E111" s="3">
        <f>parking_demand_data_2024_ver0!E111*calibration!$I$31</f>
        <v>0</v>
      </c>
      <c r="F111" s="3">
        <f t="shared" si="1"/>
        <v>0</v>
      </c>
      <c r="G111" s="3">
        <f>parking_demand_data_2024_ver0!F111</f>
        <v>0</v>
      </c>
      <c r="H111" s="3">
        <f>parking_demand_data_2024_ver0!G111</f>
        <v>0</v>
      </c>
      <c r="I111" s="3">
        <f>parking_demand_data_2024_ver0!H111</f>
        <v>0</v>
      </c>
      <c r="J111" s="3">
        <f>parking_demand_data_2024_ver0!I111</f>
        <v>0</v>
      </c>
      <c r="K111" s="3">
        <f>parking_demand_data_2024_ver0!J111</f>
        <v>0</v>
      </c>
      <c r="L111" s="3">
        <f>parking_demand_data_2024_ver0!K111</f>
        <v>0</v>
      </c>
      <c r="M111" s="3">
        <f>parking_demand_data_2024_ver0!L111</f>
        <v>0</v>
      </c>
      <c r="N111" s="3">
        <f>parking_demand_data_2024_ver0!M111</f>
        <v>0</v>
      </c>
      <c r="O111" s="3">
        <f>parking_demand_data_2024_ver0!N111</f>
        <v>0</v>
      </c>
      <c r="P111" s="3">
        <f>parking_demand_data_2024_ver0!O111</f>
        <v>0</v>
      </c>
      <c r="Q111" s="3">
        <f>parking_demand_data_2024_ver0!P111</f>
        <v>0</v>
      </c>
      <c r="R111" s="3">
        <f>parking_demand_data_2024_ver0!Q111</f>
        <v>0</v>
      </c>
      <c r="S111" s="3">
        <f>parking_demand_data_2024_ver0!R111</f>
        <v>0</v>
      </c>
      <c r="T111" s="3">
        <f>parking_demand_data_2024_ver0!S111</f>
        <v>0</v>
      </c>
    </row>
    <row r="112" spans="1:20" x14ac:dyDescent="0.25">
      <c r="A112">
        <v>18009</v>
      </c>
      <c r="B112" t="s">
        <v>33</v>
      </c>
      <c r="C112">
        <v>14</v>
      </c>
      <c r="D112" s="3">
        <f>parking_demand_data_2024_ver0!D112*calibration!$I$31</f>
        <v>0</v>
      </c>
      <c r="E112" s="3">
        <f>parking_demand_data_2024_ver0!E112*calibration!$I$31</f>
        <v>0</v>
      </c>
      <c r="F112" s="3">
        <f t="shared" si="1"/>
        <v>0</v>
      </c>
      <c r="G112" s="3">
        <f>parking_demand_data_2024_ver0!F112</f>
        <v>0</v>
      </c>
      <c r="H112" s="3">
        <f>parking_demand_data_2024_ver0!G112</f>
        <v>0</v>
      </c>
      <c r="I112" s="3">
        <f>parking_demand_data_2024_ver0!H112</f>
        <v>0</v>
      </c>
      <c r="J112" s="3">
        <f>parking_demand_data_2024_ver0!I112</f>
        <v>0</v>
      </c>
      <c r="K112" s="3">
        <f>parking_demand_data_2024_ver0!J112</f>
        <v>0</v>
      </c>
      <c r="L112" s="3">
        <f>parking_demand_data_2024_ver0!K112</f>
        <v>0</v>
      </c>
      <c r="M112" s="3">
        <f>parking_demand_data_2024_ver0!L112</f>
        <v>0</v>
      </c>
      <c r="N112" s="3">
        <f>parking_demand_data_2024_ver0!M112</f>
        <v>0</v>
      </c>
      <c r="O112" s="3">
        <f>parking_demand_data_2024_ver0!N112</f>
        <v>0</v>
      </c>
      <c r="P112" s="3">
        <f>parking_demand_data_2024_ver0!O112</f>
        <v>0</v>
      </c>
      <c r="Q112" s="3">
        <f>parking_demand_data_2024_ver0!P112</f>
        <v>0</v>
      </c>
      <c r="R112" s="3">
        <f>parking_demand_data_2024_ver0!Q112</f>
        <v>0</v>
      </c>
      <c r="S112" s="3">
        <f>parking_demand_data_2024_ver0!R112</f>
        <v>0</v>
      </c>
      <c r="T112" s="3">
        <f>parking_demand_data_2024_ver0!S112</f>
        <v>0</v>
      </c>
    </row>
    <row r="113" spans="1:20" x14ac:dyDescent="0.25">
      <c r="A113">
        <v>18009</v>
      </c>
      <c r="B113" t="s">
        <v>33</v>
      </c>
      <c r="C113">
        <v>15</v>
      </c>
      <c r="D113" s="3">
        <f>parking_demand_data_2024_ver0!D113*calibration!$I$31</f>
        <v>0</v>
      </c>
      <c r="E113" s="3">
        <f>parking_demand_data_2024_ver0!E113*calibration!$I$31</f>
        <v>0</v>
      </c>
      <c r="F113" s="3">
        <f t="shared" si="1"/>
        <v>0</v>
      </c>
      <c r="G113" s="3">
        <f>parking_demand_data_2024_ver0!F113</f>
        <v>0</v>
      </c>
      <c r="H113" s="3">
        <f>parking_demand_data_2024_ver0!G113</f>
        <v>0</v>
      </c>
      <c r="I113" s="3">
        <f>parking_demand_data_2024_ver0!H113</f>
        <v>0</v>
      </c>
      <c r="J113" s="3">
        <f>parking_demand_data_2024_ver0!I113</f>
        <v>0</v>
      </c>
      <c r="K113" s="3">
        <f>parking_demand_data_2024_ver0!J113</f>
        <v>0</v>
      </c>
      <c r="L113" s="3">
        <f>parking_demand_data_2024_ver0!K113</f>
        <v>0</v>
      </c>
      <c r="M113" s="3">
        <f>parking_demand_data_2024_ver0!L113</f>
        <v>0</v>
      </c>
      <c r="N113" s="3">
        <f>parking_demand_data_2024_ver0!M113</f>
        <v>0</v>
      </c>
      <c r="O113" s="3">
        <f>parking_demand_data_2024_ver0!N113</f>
        <v>0</v>
      </c>
      <c r="P113" s="3">
        <f>parking_demand_data_2024_ver0!O113</f>
        <v>0</v>
      </c>
      <c r="Q113" s="3">
        <f>parking_demand_data_2024_ver0!P113</f>
        <v>0</v>
      </c>
      <c r="R113" s="3">
        <f>parking_demand_data_2024_ver0!Q113</f>
        <v>0</v>
      </c>
      <c r="S113" s="3">
        <f>parking_demand_data_2024_ver0!R113</f>
        <v>0</v>
      </c>
      <c r="T113" s="3">
        <f>parking_demand_data_2024_ver0!S113</f>
        <v>0</v>
      </c>
    </row>
    <row r="114" spans="1:20" x14ac:dyDescent="0.25">
      <c r="A114">
        <v>18009</v>
      </c>
      <c r="B114" t="s">
        <v>33</v>
      </c>
      <c r="C114">
        <v>16</v>
      </c>
      <c r="D114" s="3">
        <f>parking_demand_data_2024_ver0!D114*calibration!$I$31</f>
        <v>0</v>
      </c>
      <c r="E114" s="3">
        <f>parking_demand_data_2024_ver0!E114*calibration!$I$31</f>
        <v>0</v>
      </c>
      <c r="F114" s="3">
        <f t="shared" si="1"/>
        <v>0</v>
      </c>
      <c r="G114" s="3">
        <f>parking_demand_data_2024_ver0!F114</f>
        <v>0</v>
      </c>
      <c r="H114" s="3">
        <f>parking_demand_data_2024_ver0!G114</f>
        <v>0</v>
      </c>
      <c r="I114" s="3">
        <f>parking_demand_data_2024_ver0!H114</f>
        <v>0</v>
      </c>
      <c r="J114" s="3">
        <f>parking_demand_data_2024_ver0!I114</f>
        <v>0</v>
      </c>
      <c r="K114" s="3">
        <f>parking_demand_data_2024_ver0!J114</f>
        <v>0</v>
      </c>
      <c r="L114" s="3">
        <f>parking_demand_data_2024_ver0!K114</f>
        <v>0</v>
      </c>
      <c r="M114" s="3">
        <f>parking_demand_data_2024_ver0!L114</f>
        <v>0</v>
      </c>
      <c r="N114" s="3">
        <f>parking_demand_data_2024_ver0!M114</f>
        <v>0</v>
      </c>
      <c r="O114" s="3">
        <f>parking_demand_data_2024_ver0!N114</f>
        <v>0</v>
      </c>
      <c r="P114" s="3">
        <f>parking_demand_data_2024_ver0!O114</f>
        <v>0</v>
      </c>
      <c r="Q114" s="3">
        <f>parking_demand_data_2024_ver0!P114</f>
        <v>0</v>
      </c>
      <c r="R114" s="3">
        <f>parking_demand_data_2024_ver0!Q114</f>
        <v>0</v>
      </c>
      <c r="S114" s="3">
        <f>parking_demand_data_2024_ver0!R114</f>
        <v>0</v>
      </c>
      <c r="T114" s="3">
        <f>parking_demand_data_2024_ver0!S114</f>
        <v>0</v>
      </c>
    </row>
    <row r="115" spans="1:20" x14ac:dyDescent="0.25">
      <c r="A115">
        <v>18009</v>
      </c>
      <c r="B115" t="s">
        <v>33</v>
      </c>
      <c r="C115">
        <v>17</v>
      </c>
      <c r="D115" s="3">
        <f>parking_demand_data_2024_ver0!D115*calibration!$I$31</f>
        <v>0</v>
      </c>
      <c r="E115" s="3">
        <f>parking_demand_data_2024_ver0!E115*calibration!$I$31</f>
        <v>0</v>
      </c>
      <c r="F115" s="3">
        <f t="shared" si="1"/>
        <v>0</v>
      </c>
      <c r="G115" s="3">
        <f>parking_demand_data_2024_ver0!F115</f>
        <v>0</v>
      </c>
      <c r="H115" s="3">
        <f>parking_demand_data_2024_ver0!G115</f>
        <v>0</v>
      </c>
      <c r="I115" s="3">
        <f>parking_demand_data_2024_ver0!H115</f>
        <v>0</v>
      </c>
      <c r="J115" s="3">
        <f>parking_demand_data_2024_ver0!I115</f>
        <v>0</v>
      </c>
      <c r="K115" s="3">
        <f>parking_demand_data_2024_ver0!J115</f>
        <v>0</v>
      </c>
      <c r="L115" s="3">
        <f>parking_demand_data_2024_ver0!K115</f>
        <v>0</v>
      </c>
      <c r="M115" s="3">
        <f>parking_demand_data_2024_ver0!L115</f>
        <v>0</v>
      </c>
      <c r="N115" s="3">
        <f>parking_demand_data_2024_ver0!M115</f>
        <v>0</v>
      </c>
      <c r="O115" s="3">
        <f>parking_demand_data_2024_ver0!N115</f>
        <v>0</v>
      </c>
      <c r="P115" s="3">
        <f>parking_demand_data_2024_ver0!O115</f>
        <v>0</v>
      </c>
      <c r="Q115" s="3">
        <f>parking_demand_data_2024_ver0!P115</f>
        <v>0</v>
      </c>
      <c r="R115" s="3">
        <f>parking_demand_data_2024_ver0!Q115</f>
        <v>0</v>
      </c>
      <c r="S115" s="3">
        <f>parking_demand_data_2024_ver0!R115</f>
        <v>0</v>
      </c>
      <c r="T115" s="3">
        <f>parking_demand_data_2024_ver0!S115</f>
        <v>0</v>
      </c>
    </row>
    <row r="116" spans="1:20" x14ac:dyDescent="0.25">
      <c r="A116">
        <v>18009</v>
      </c>
      <c r="B116" t="s">
        <v>33</v>
      </c>
      <c r="C116">
        <v>18</v>
      </c>
      <c r="D116" s="3">
        <f>parking_demand_data_2024_ver0!D116*calibration!$I$31</f>
        <v>0</v>
      </c>
      <c r="E116" s="3">
        <f>parking_demand_data_2024_ver0!E116*calibration!$I$31</f>
        <v>0</v>
      </c>
      <c r="F116" s="3">
        <f t="shared" si="1"/>
        <v>0</v>
      </c>
      <c r="G116" s="3">
        <f>parking_demand_data_2024_ver0!F116</f>
        <v>0</v>
      </c>
      <c r="H116" s="3">
        <f>parking_demand_data_2024_ver0!G116</f>
        <v>0</v>
      </c>
      <c r="I116" s="3">
        <f>parking_demand_data_2024_ver0!H116</f>
        <v>0</v>
      </c>
      <c r="J116" s="3">
        <f>parking_demand_data_2024_ver0!I116</f>
        <v>0</v>
      </c>
      <c r="K116" s="3">
        <f>parking_demand_data_2024_ver0!J116</f>
        <v>0</v>
      </c>
      <c r="L116" s="3">
        <f>parking_demand_data_2024_ver0!K116</f>
        <v>0</v>
      </c>
      <c r="M116" s="3">
        <f>parking_demand_data_2024_ver0!L116</f>
        <v>0</v>
      </c>
      <c r="N116" s="3">
        <f>parking_demand_data_2024_ver0!M116</f>
        <v>0</v>
      </c>
      <c r="O116" s="3">
        <f>parking_demand_data_2024_ver0!N116</f>
        <v>0</v>
      </c>
      <c r="P116" s="3">
        <f>parking_demand_data_2024_ver0!O116</f>
        <v>0</v>
      </c>
      <c r="Q116" s="3">
        <f>parking_demand_data_2024_ver0!P116</f>
        <v>0</v>
      </c>
      <c r="R116" s="3">
        <f>parking_demand_data_2024_ver0!Q116</f>
        <v>0</v>
      </c>
      <c r="S116" s="3">
        <f>parking_demand_data_2024_ver0!R116</f>
        <v>0</v>
      </c>
      <c r="T116" s="3">
        <f>parking_demand_data_2024_ver0!S116</f>
        <v>0</v>
      </c>
    </row>
    <row r="117" spans="1:20" x14ac:dyDescent="0.25">
      <c r="A117">
        <v>18009</v>
      </c>
      <c r="B117" t="s">
        <v>33</v>
      </c>
      <c r="C117">
        <v>19</v>
      </c>
      <c r="D117" s="3">
        <f>parking_demand_data_2024_ver0!D117*calibration!$I$31</f>
        <v>0</v>
      </c>
      <c r="E117" s="3">
        <f>parking_demand_data_2024_ver0!E117*calibration!$I$31</f>
        <v>0</v>
      </c>
      <c r="F117" s="3">
        <f t="shared" si="1"/>
        <v>0</v>
      </c>
      <c r="G117" s="3">
        <f>parking_demand_data_2024_ver0!F117</f>
        <v>0</v>
      </c>
      <c r="H117" s="3">
        <f>parking_demand_data_2024_ver0!G117</f>
        <v>0</v>
      </c>
      <c r="I117" s="3">
        <f>parking_demand_data_2024_ver0!H117</f>
        <v>0</v>
      </c>
      <c r="J117" s="3">
        <f>parking_demand_data_2024_ver0!I117</f>
        <v>0</v>
      </c>
      <c r="K117" s="3">
        <f>parking_demand_data_2024_ver0!J117</f>
        <v>0</v>
      </c>
      <c r="L117" s="3">
        <f>parking_demand_data_2024_ver0!K117</f>
        <v>0</v>
      </c>
      <c r="M117" s="3">
        <f>parking_demand_data_2024_ver0!L117</f>
        <v>0</v>
      </c>
      <c r="N117" s="3">
        <f>parking_demand_data_2024_ver0!M117</f>
        <v>0</v>
      </c>
      <c r="O117" s="3">
        <f>parking_demand_data_2024_ver0!N117</f>
        <v>0</v>
      </c>
      <c r="P117" s="3">
        <f>parking_demand_data_2024_ver0!O117</f>
        <v>0</v>
      </c>
      <c r="Q117" s="3">
        <f>parking_demand_data_2024_ver0!P117</f>
        <v>0</v>
      </c>
      <c r="R117" s="3">
        <f>parking_demand_data_2024_ver0!Q117</f>
        <v>0</v>
      </c>
      <c r="S117" s="3">
        <f>parking_demand_data_2024_ver0!R117</f>
        <v>0</v>
      </c>
      <c r="T117" s="3">
        <f>parking_demand_data_2024_ver0!S117</f>
        <v>0</v>
      </c>
    </row>
    <row r="118" spans="1:20" x14ac:dyDescent="0.25">
      <c r="A118">
        <v>18009</v>
      </c>
      <c r="B118" t="s">
        <v>33</v>
      </c>
      <c r="C118">
        <v>20</v>
      </c>
      <c r="D118" s="3">
        <f>parking_demand_data_2024_ver0!D118*calibration!$I$31</f>
        <v>0</v>
      </c>
      <c r="E118" s="3">
        <f>parking_demand_data_2024_ver0!E118*calibration!$I$31</f>
        <v>0</v>
      </c>
      <c r="F118" s="3">
        <f t="shared" si="1"/>
        <v>0</v>
      </c>
      <c r="G118" s="3">
        <f>parking_demand_data_2024_ver0!F118</f>
        <v>0</v>
      </c>
      <c r="H118" s="3">
        <f>parking_demand_data_2024_ver0!G118</f>
        <v>0</v>
      </c>
      <c r="I118" s="3">
        <f>parking_demand_data_2024_ver0!H118</f>
        <v>0</v>
      </c>
      <c r="J118" s="3">
        <f>parking_demand_data_2024_ver0!I118</f>
        <v>0</v>
      </c>
      <c r="K118" s="3">
        <f>parking_demand_data_2024_ver0!J118</f>
        <v>0</v>
      </c>
      <c r="L118" s="3">
        <f>parking_demand_data_2024_ver0!K118</f>
        <v>0</v>
      </c>
      <c r="M118" s="3">
        <f>parking_demand_data_2024_ver0!L118</f>
        <v>0</v>
      </c>
      <c r="N118" s="3">
        <f>parking_demand_data_2024_ver0!M118</f>
        <v>0</v>
      </c>
      <c r="O118" s="3">
        <f>parking_demand_data_2024_ver0!N118</f>
        <v>0</v>
      </c>
      <c r="P118" s="3">
        <f>parking_demand_data_2024_ver0!O118</f>
        <v>0</v>
      </c>
      <c r="Q118" s="3">
        <f>parking_demand_data_2024_ver0!P118</f>
        <v>0</v>
      </c>
      <c r="R118" s="3">
        <f>parking_demand_data_2024_ver0!Q118</f>
        <v>0</v>
      </c>
      <c r="S118" s="3">
        <f>parking_demand_data_2024_ver0!R118</f>
        <v>0</v>
      </c>
      <c r="T118" s="3">
        <f>parking_demand_data_2024_ver0!S118</f>
        <v>0</v>
      </c>
    </row>
    <row r="119" spans="1:20" x14ac:dyDescent="0.25">
      <c r="A119">
        <v>18009</v>
      </c>
      <c r="B119" t="s">
        <v>33</v>
      </c>
      <c r="C119">
        <v>21</v>
      </c>
      <c r="D119" s="3">
        <f>parking_demand_data_2024_ver0!D119*calibration!$I$31</f>
        <v>0</v>
      </c>
      <c r="E119" s="3">
        <f>parking_demand_data_2024_ver0!E119*calibration!$I$31</f>
        <v>0</v>
      </c>
      <c r="F119" s="3">
        <f t="shared" si="1"/>
        <v>0</v>
      </c>
      <c r="G119" s="3">
        <f>parking_demand_data_2024_ver0!F119</f>
        <v>0</v>
      </c>
      <c r="H119" s="3">
        <f>parking_demand_data_2024_ver0!G119</f>
        <v>0</v>
      </c>
      <c r="I119" s="3">
        <f>parking_demand_data_2024_ver0!H119</f>
        <v>0</v>
      </c>
      <c r="J119" s="3">
        <f>parking_demand_data_2024_ver0!I119</f>
        <v>0</v>
      </c>
      <c r="K119" s="3">
        <f>parking_demand_data_2024_ver0!J119</f>
        <v>0</v>
      </c>
      <c r="L119" s="3">
        <f>parking_demand_data_2024_ver0!K119</f>
        <v>0</v>
      </c>
      <c r="M119" s="3">
        <f>parking_demand_data_2024_ver0!L119</f>
        <v>0</v>
      </c>
      <c r="N119" s="3">
        <f>parking_demand_data_2024_ver0!M119</f>
        <v>0</v>
      </c>
      <c r="O119" s="3">
        <f>parking_demand_data_2024_ver0!N119</f>
        <v>0</v>
      </c>
      <c r="P119" s="3">
        <f>parking_demand_data_2024_ver0!O119</f>
        <v>0</v>
      </c>
      <c r="Q119" s="3">
        <f>parking_demand_data_2024_ver0!P119</f>
        <v>0</v>
      </c>
      <c r="R119" s="3">
        <f>parking_demand_data_2024_ver0!Q119</f>
        <v>0</v>
      </c>
      <c r="S119" s="3">
        <f>parking_demand_data_2024_ver0!R119</f>
        <v>0</v>
      </c>
      <c r="T119" s="3">
        <f>parking_demand_data_2024_ver0!S119</f>
        <v>0</v>
      </c>
    </row>
    <row r="120" spans="1:20" x14ac:dyDescent="0.25">
      <c r="A120">
        <v>18009</v>
      </c>
      <c r="B120" t="s">
        <v>33</v>
      </c>
      <c r="C120">
        <v>22</v>
      </c>
      <c r="D120" s="3">
        <f>parking_demand_data_2024_ver0!D120*calibration!$I$31</f>
        <v>0</v>
      </c>
      <c r="E120" s="3">
        <f>parking_demand_data_2024_ver0!E120*calibration!$I$31</f>
        <v>0</v>
      </c>
      <c r="F120" s="3">
        <f t="shared" si="1"/>
        <v>0</v>
      </c>
      <c r="G120" s="3">
        <f>parking_demand_data_2024_ver0!F120</f>
        <v>0</v>
      </c>
      <c r="H120" s="3">
        <f>parking_demand_data_2024_ver0!G120</f>
        <v>0</v>
      </c>
      <c r="I120" s="3">
        <f>parking_demand_data_2024_ver0!H120</f>
        <v>0</v>
      </c>
      <c r="J120" s="3">
        <f>parking_demand_data_2024_ver0!I120</f>
        <v>0</v>
      </c>
      <c r="K120" s="3">
        <f>parking_demand_data_2024_ver0!J120</f>
        <v>0</v>
      </c>
      <c r="L120" s="3">
        <f>parking_demand_data_2024_ver0!K120</f>
        <v>0</v>
      </c>
      <c r="M120" s="3">
        <f>parking_demand_data_2024_ver0!L120</f>
        <v>0</v>
      </c>
      <c r="N120" s="3">
        <f>parking_demand_data_2024_ver0!M120</f>
        <v>0</v>
      </c>
      <c r="O120" s="3">
        <f>parking_demand_data_2024_ver0!N120</f>
        <v>0</v>
      </c>
      <c r="P120" s="3">
        <f>parking_demand_data_2024_ver0!O120</f>
        <v>0</v>
      </c>
      <c r="Q120" s="3">
        <f>parking_demand_data_2024_ver0!P120</f>
        <v>0</v>
      </c>
      <c r="R120" s="3">
        <f>parking_demand_data_2024_ver0!Q120</f>
        <v>0</v>
      </c>
      <c r="S120" s="3">
        <f>parking_demand_data_2024_ver0!R120</f>
        <v>0</v>
      </c>
      <c r="T120" s="3">
        <f>parking_demand_data_2024_ver0!S120</f>
        <v>0</v>
      </c>
    </row>
    <row r="121" spans="1:20" x14ac:dyDescent="0.25">
      <c r="A121">
        <v>18009</v>
      </c>
      <c r="B121" t="s">
        <v>33</v>
      </c>
      <c r="C121">
        <v>23</v>
      </c>
      <c r="D121" s="3">
        <f>parking_demand_data_2024_ver0!D121*calibration!$I$31</f>
        <v>0</v>
      </c>
      <c r="E121" s="3">
        <f>parking_demand_data_2024_ver0!E121*calibration!$I$31</f>
        <v>0</v>
      </c>
      <c r="F121" s="3">
        <f t="shared" si="1"/>
        <v>0</v>
      </c>
      <c r="G121" s="3">
        <f>parking_demand_data_2024_ver0!F121</f>
        <v>0</v>
      </c>
      <c r="H121" s="3">
        <f>parking_demand_data_2024_ver0!G121</f>
        <v>0</v>
      </c>
      <c r="I121" s="3">
        <f>parking_demand_data_2024_ver0!H121</f>
        <v>0</v>
      </c>
      <c r="J121" s="3">
        <f>parking_demand_data_2024_ver0!I121</f>
        <v>0</v>
      </c>
      <c r="K121" s="3">
        <f>parking_demand_data_2024_ver0!J121</f>
        <v>0</v>
      </c>
      <c r="L121" s="3">
        <f>parking_demand_data_2024_ver0!K121</f>
        <v>0</v>
      </c>
      <c r="M121" s="3">
        <f>parking_demand_data_2024_ver0!L121</f>
        <v>0</v>
      </c>
      <c r="N121" s="3">
        <f>parking_demand_data_2024_ver0!M121</f>
        <v>0</v>
      </c>
      <c r="O121" s="3">
        <f>parking_demand_data_2024_ver0!N121</f>
        <v>0</v>
      </c>
      <c r="P121" s="3">
        <f>parking_demand_data_2024_ver0!O121</f>
        <v>0</v>
      </c>
      <c r="Q121" s="3">
        <f>parking_demand_data_2024_ver0!P121</f>
        <v>0</v>
      </c>
      <c r="R121" s="3">
        <f>parking_demand_data_2024_ver0!Q121</f>
        <v>0</v>
      </c>
      <c r="S121" s="3">
        <f>parking_demand_data_2024_ver0!R121</f>
        <v>0</v>
      </c>
      <c r="T121" s="3">
        <f>parking_demand_data_2024_ver0!S121</f>
        <v>0</v>
      </c>
    </row>
    <row r="122" spans="1:20" x14ac:dyDescent="0.25">
      <c r="A122">
        <v>18011</v>
      </c>
      <c r="B122" t="s">
        <v>34</v>
      </c>
      <c r="C122">
        <v>0</v>
      </c>
      <c r="D122" s="3">
        <f>parking_demand_data_2024_ver0!D122*calibration!$I$31</f>
        <v>466.29350978459797</v>
      </c>
      <c r="E122" s="3">
        <f>parking_demand_data_2024_ver0!E122*calibration!$I$31</f>
        <v>19.3545825707447</v>
      </c>
      <c r="F122" s="3">
        <f t="shared" si="1"/>
        <v>485.64809235534267</v>
      </c>
      <c r="G122" s="3">
        <f>parking_demand_data_2024_ver0!F122</f>
        <v>5</v>
      </c>
      <c r="H122" s="3">
        <f>parking_demand_data_2024_ver0!G122</f>
        <v>2</v>
      </c>
      <c r="I122" s="3">
        <f>parking_demand_data_2024_ver0!H122</f>
        <v>2</v>
      </c>
      <c r="J122" s="3">
        <f>parking_demand_data_2024_ver0!I122</f>
        <v>1</v>
      </c>
      <c r="K122" s="3">
        <f>parking_demand_data_2024_ver0!J122</f>
        <v>0</v>
      </c>
      <c r="L122" s="3">
        <f>parking_demand_data_2024_ver0!K122</f>
        <v>0</v>
      </c>
      <c r="M122" s="3">
        <f>parking_demand_data_2024_ver0!L122</f>
        <v>0</v>
      </c>
      <c r="N122" s="3">
        <f>parking_demand_data_2024_ver0!M122</f>
        <v>408</v>
      </c>
      <c r="O122" s="3">
        <f>parking_demand_data_2024_ver0!N122</f>
        <v>260</v>
      </c>
      <c r="P122" s="3">
        <f>parking_demand_data_2024_ver0!O122</f>
        <v>140</v>
      </c>
      <c r="Q122" s="3">
        <f>parking_demand_data_2024_ver0!P122</f>
        <v>8</v>
      </c>
      <c r="R122" s="3">
        <f>parking_demand_data_2024_ver0!Q122</f>
        <v>0</v>
      </c>
      <c r="S122" s="3">
        <f>parking_demand_data_2024_ver0!R122</f>
        <v>0</v>
      </c>
      <c r="T122" s="3">
        <f>parking_demand_data_2024_ver0!S122</f>
        <v>0</v>
      </c>
    </row>
    <row r="123" spans="1:20" x14ac:dyDescent="0.25">
      <c r="A123">
        <v>18011</v>
      </c>
      <c r="B123" t="s">
        <v>34</v>
      </c>
      <c r="C123">
        <v>1</v>
      </c>
      <c r="D123" s="3">
        <f>parking_demand_data_2024_ver0!D123*calibration!$I$31</f>
        <v>469.2</v>
      </c>
      <c r="E123" s="3">
        <f>parking_demand_data_2024_ver0!E123*calibration!$I$31</f>
        <v>21.864733211319098</v>
      </c>
      <c r="F123" s="3">
        <f t="shared" si="1"/>
        <v>491.06473321131909</v>
      </c>
      <c r="G123" s="3">
        <f>parking_demand_data_2024_ver0!F123</f>
        <v>5</v>
      </c>
      <c r="H123" s="3">
        <f>parking_demand_data_2024_ver0!G123</f>
        <v>2</v>
      </c>
      <c r="I123" s="3">
        <f>parking_demand_data_2024_ver0!H123</f>
        <v>2</v>
      </c>
      <c r="J123" s="3">
        <f>parking_demand_data_2024_ver0!I123</f>
        <v>1</v>
      </c>
      <c r="K123" s="3">
        <f>parking_demand_data_2024_ver0!J123</f>
        <v>0</v>
      </c>
      <c r="L123" s="3">
        <f>parking_demand_data_2024_ver0!K123</f>
        <v>0</v>
      </c>
      <c r="M123" s="3">
        <f>parking_demand_data_2024_ver0!L123</f>
        <v>0</v>
      </c>
      <c r="N123" s="3">
        <f>parking_demand_data_2024_ver0!M123</f>
        <v>408</v>
      </c>
      <c r="O123" s="3">
        <f>parking_demand_data_2024_ver0!N123</f>
        <v>260</v>
      </c>
      <c r="P123" s="3">
        <f>parking_demand_data_2024_ver0!O123</f>
        <v>140</v>
      </c>
      <c r="Q123" s="3">
        <f>parking_demand_data_2024_ver0!P123</f>
        <v>8</v>
      </c>
      <c r="R123" s="3">
        <f>parking_demand_data_2024_ver0!Q123</f>
        <v>0</v>
      </c>
      <c r="S123" s="3">
        <f>parking_demand_data_2024_ver0!R123</f>
        <v>0</v>
      </c>
      <c r="T123" s="3">
        <f>parking_demand_data_2024_ver0!S123</f>
        <v>0</v>
      </c>
    </row>
    <row r="124" spans="1:20" x14ac:dyDescent="0.25">
      <c r="A124">
        <v>18011</v>
      </c>
      <c r="B124" t="s">
        <v>34</v>
      </c>
      <c r="C124">
        <v>2</v>
      </c>
      <c r="D124" s="3">
        <f>parking_demand_data_2024_ver0!D124*calibration!$I$31</f>
        <v>467.05316063635001</v>
      </c>
      <c r="E124" s="3">
        <f>parking_demand_data_2024_ver0!E124*calibration!$I$31</f>
        <v>24.5730536393073</v>
      </c>
      <c r="F124" s="3">
        <f t="shared" si="1"/>
        <v>491.62621427565733</v>
      </c>
      <c r="G124" s="3">
        <f>parking_demand_data_2024_ver0!F124</f>
        <v>5</v>
      </c>
      <c r="H124" s="3">
        <f>parking_demand_data_2024_ver0!G124</f>
        <v>2</v>
      </c>
      <c r="I124" s="3">
        <f>parking_demand_data_2024_ver0!H124</f>
        <v>2</v>
      </c>
      <c r="J124" s="3">
        <f>parking_demand_data_2024_ver0!I124</f>
        <v>1</v>
      </c>
      <c r="K124" s="3">
        <f>parking_demand_data_2024_ver0!J124</f>
        <v>0</v>
      </c>
      <c r="L124" s="3">
        <f>parking_demand_data_2024_ver0!K124</f>
        <v>0</v>
      </c>
      <c r="M124" s="3">
        <f>parking_demand_data_2024_ver0!L124</f>
        <v>0</v>
      </c>
      <c r="N124" s="3">
        <f>parking_demand_data_2024_ver0!M124</f>
        <v>408</v>
      </c>
      <c r="O124" s="3">
        <f>parking_demand_data_2024_ver0!N124</f>
        <v>260</v>
      </c>
      <c r="P124" s="3">
        <f>parking_demand_data_2024_ver0!O124</f>
        <v>140</v>
      </c>
      <c r="Q124" s="3">
        <f>parking_demand_data_2024_ver0!P124</f>
        <v>8</v>
      </c>
      <c r="R124" s="3">
        <f>parking_demand_data_2024_ver0!Q124</f>
        <v>0</v>
      </c>
      <c r="S124" s="3">
        <f>parking_demand_data_2024_ver0!R124</f>
        <v>0</v>
      </c>
      <c r="T124" s="3">
        <f>parking_demand_data_2024_ver0!S124</f>
        <v>0</v>
      </c>
    </row>
    <row r="125" spans="1:20" x14ac:dyDescent="0.25">
      <c r="A125">
        <v>18011</v>
      </c>
      <c r="B125" t="s">
        <v>34</v>
      </c>
      <c r="C125">
        <v>3</v>
      </c>
      <c r="D125" s="3">
        <f>parking_demand_data_2024_ver0!D125*calibration!$I$31</f>
        <v>458.82911445867899</v>
      </c>
      <c r="E125" s="3">
        <f>parking_demand_data_2024_ver0!E125*calibration!$I$31</f>
        <v>27.0501759819794</v>
      </c>
      <c r="F125" s="3">
        <f t="shared" si="1"/>
        <v>485.87929044065839</v>
      </c>
      <c r="G125" s="3">
        <f>parking_demand_data_2024_ver0!F125</f>
        <v>5</v>
      </c>
      <c r="H125" s="3">
        <f>parking_demand_data_2024_ver0!G125</f>
        <v>2</v>
      </c>
      <c r="I125" s="3">
        <f>parking_demand_data_2024_ver0!H125</f>
        <v>2</v>
      </c>
      <c r="J125" s="3">
        <f>parking_demand_data_2024_ver0!I125</f>
        <v>1</v>
      </c>
      <c r="K125" s="3">
        <f>parking_demand_data_2024_ver0!J125</f>
        <v>0</v>
      </c>
      <c r="L125" s="3">
        <f>parking_demand_data_2024_ver0!K125</f>
        <v>0</v>
      </c>
      <c r="M125" s="3">
        <f>parking_demand_data_2024_ver0!L125</f>
        <v>0</v>
      </c>
      <c r="N125" s="3">
        <f>parking_demand_data_2024_ver0!M125</f>
        <v>408</v>
      </c>
      <c r="O125" s="3">
        <f>parking_demand_data_2024_ver0!N125</f>
        <v>260</v>
      </c>
      <c r="P125" s="3">
        <f>parking_demand_data_2024_ver0!O125</f>
        <v>140</v>
      </c>
      <c r="Q125" s="3">
        <f>parking_demand_data_2024_ver0!P125</f>
        <v>8</v>
      </c>
      <c r="R125" s="3">
        <f>parking_demand_data_2024_ver0!Q125</f>
        <v>0</v>
      </c>
      <c r="S125" s="3">
        <f>parking_demand_data_2024_ver0!R125</f>
        <v>0</v>
      </c>
      <c r="T125" s="3">
        <f>parking_demand_data_2024_ver0!S125</f>
        <v>0</v>
      </c>
    </row>
    <row r="126" spans="1:20" x14ac:dyDescent="0.25">
      <c r="A126">
        <v>18011</v>
      </c>
      <c r="B126" t="s">
        <v>34</v>
      </c>
      <c r="C126">
        <v>4</v>
      </c>
      <c r="D126" s="3">
        <f>parking_demand_data_2024_ver0!D126*calibration!$I$31</f>
        <v>439.30939039842298</v>
      </c>
      <c r="E126" s="3">
        <f>parking_demand_data_2024_ver0!E126*calibration!$I$31</f>
        <v>28.569477685485001</v>
      </c>
      <c r="F126" s="3">
        <f t="shared" si="1"/>
        <v>467.878868083908</v>
      </c>
      <c r="G126" s="3">
        <f>parking_demand_data_2024_ver0!F126</f>
        <v>5</v>
      </c>
      <c r="H126" s="3">
        <f>parking_demand_data_2024_ver0!G126</f>
        <v>2</v>
      </c>
      <c r="I126" s="3">
        <f>parking_demand_data_2024_ver0!H126</f>
        <v>2</v>
      </c>
      <c r="J126" s="3">
        <f>parking_demand_data_2024_ver0!I126</f>
        <v>1</v>
      </c>
      <c r="K126" s="3">
        <f>parking_demand_data_2024_ver0!J126</f>
        <v>0</v>
      </c>
      <c r="L126" s="3">
        <f>parking_demand_data_2024_ver0!K126</f>
        <v>0</v>
      </c>
      <c r="M126" s="3">
        <f>parking_demand_data_2024_ver0!L126</f>
        <v>0</v>
      </c>
      <c r="N126" s="3">
        <f>parking_demand_data_2024_ver0!M126</f>
        <v>408</v>
      </c>
      <c r="O126" s="3">
        <f>parking_demand_data_2024_ver0!N126</f>
        <v>260</v>
      </c>
      <c r="P126" s="3">
        <f>parking_demand_data_2024_ver0!O126</f>
        <v>140</v>
      </c>
      <c r="Q126" s="3">
        <f>parking_demand_data_2024_ver0!P126</f>
        <v>8</v>
      </c>
      <c r="R126" s="3">
        <f>parking_demand_data_2024_ver0!Q126</f>
        <v>0</v>
      </c>
      <c r="S126" s="3">
        <f>parking_demand_data_2024_ver0!R126</f>
        <v>0</v>
      </c>
      <c r="T126" s="3">
        <f>parking_demand_data_2024_ver0!S126</f>
        <v>0</v>
      </c>
    </row>
    <row r="127" spans="1:20" x14ac:dyDescent="0.25">
      <c r="A127">
        <v>18011</v>
      </c>
      <c r="B127" t="s">
        <v>34</v>
      </c>
      <c r="C127">
        <v>5</v>
      </c>
      <c r="D127" s="3">
        <f>parking_demand_data_2024_ver0!D127*calibration!$I$31</f>
        <v>419.16212867802301</v>
      </c>
      <c r="E127" s="3">
        <f>parking_demand_data_2024_ver0!E127*calibration!$I$31</f>
        <v>27.2483457693932</v>
      </c>
      <c r="F127" s="3">
        <f t="shared" si="1"/>
        <v>446.41047444741622</v>
      </c>
      <c r="G127" s="3">
        <f>parking_demand_data_2024_ver0!F127</f>
        <v>5</v>
      </c>
      <c r="H127" s="3">
        <f>parking_demand_data_2024_ver0!G127</f>
        <v>2</v>
      </c>
      <c r="I127" s="3">
        <f>parking_demand_data_2024_ver0!H127</f>
        <v>2</v>
      </c>
      <c r="J127" s="3">
        <f>parking_demand_data_2024_ver0!I127</f>
        <v>1</v>
      </c>
      <c r="K127" s="3">
        <f>parking_demand_data_2024_ver0!J127</f>
        <v>0</v>
      </c>
      <c r="L127" s="3">
        <f>parking_demand_data_2024_ver0!K127</f>
        <v>0</v>
      </c>
      <c r="M127" s="3">
        <f>parking_demand_data_2024_ver0!L127</f>
        <v>0</v>
      </c>
      <c r="N127" s="3">
        <f>parking_demand_data_2024_ver0!M127</f>
        <v>408</v>
      </c>
      <c r="O127" s="3">
        <f>parking_demand_data_2024_ver0!N127</f>
        <v>260</v>
      </c>
      <c r="P127" s="3">
        <f>parking_demand_data_2024_ver0!O127</f>
        <v>140</v>
      </c>
      <c r="Q127" s="3">
        <f>parking_demand_data_2024_ver0!P127</f>
        <v>8</v>
      </c>
      <c r="R127" s="3">
        <f>parking_demand_data_2024_ver0!Q127</f>
        <v>0</v>
      </c>
      <c r="S127" s="3">
        <f>parking_demand_data_2024_ver0!R127</f>
        <v>0</v>
      </c>
      <c r="T127" s="3">
        <f>parking_demand_data_2024_ver0!S127</f>
        <v>0</v>
      </c>
    </row>
    <row r="128" spans="1:20" x14ac:dyDescent="0.25">
      <c r="A128">
        <v>18011</v>
      </c>
      <c r="B128" t="s">
        <v>34</v>
      </c>
      <c r="C128">
        <v>6</v>
      </c>
      <c r="D128" s="3">
        <f>parking_demand_data_2024_ver0!D128*calibration!$I$31</f>
        <v>379.99056736590097</v>
      </c>
      <c r="E128" s="3">
        <f>parking_demand_data_2024_ver0!E128*calibration!$I$31</f>
        <v>24.275798958186598</v>
      </c>
      <c r="F128" s="3">
        <f t="shared" si="1"/>
        <v>404.26636632408758</v>
      </c>
      <c r="G128" s="3">
        <f>parking_demand_data_2024_ver0!F128</f>
        <v>5</v>
      </c>
      <c r="H128" s="3">
        <f>parking_demand_data_2024_ver0!G128</f>
        <v>2</v>
      </c>
      <c r="I128" s="3">
        <f>parking_demand_data_2024_ver0!H128</f>
        <v>2</v>
      </c>
      <c r="J128" s="3">
        <f>parking_demand_data_2024_ver0!I128</f>
        <v>1</v>
      </c>
      <c r="K128" s="3">
        <f>parking_demand_data_2024_ver0!J128</f>
        <v>0</v>
      </c>
      <c r="L128" s="3">
        <f>parking_demand_data_2024_ver0!K128</f>
        <v>0</v>
      </c>
      <c r="M128" s="3">
        <f>parking_demand_data_2024_ver0!L128</f>
        <v>0</v>
      </c>
      <c r="N128" s="3">
        <f>parking_demand_data_2024_ver0!M128</f>
        <v>408</v>
      </c>
      <c r="O128" s="3">
        <f>parking_demand_data_2024_ver0!N128</f>
        <v>260</v>
      </c>
      <c r="P128" s="3">
        <f>parking_demand_data_2024_ver0!O128</f>
        <v>140</v>
      </c>
      <c r="Q128" s="3">
        <f>parking_demand_data_2024_ver0!P128</f>
        <v>8</v>
      </c>
      <c r="R128" s="3">
        <f>parking_demand_data_2024_ver0!Q128</f>
        <v>0</v>
      </c>
      <c r="S128" s="3">
        <f>parking_demand_data_2024_ver0!R128</f>
        <v>0</v>
      </c>
      <c r="T128" s="3">
        <f>parking_demand_data_2024_ver0!S128</f>
        <v>0</v>
      </c>
    </row>
    <row r="129" spans="1:20" x14ac:dyDescent="0.25">
      <c r="A129">
        <v>18011</v>
      </c>
      <c r="B129" t="s">
        <v>34</v>
      </c>
      <c r="C129">
        <v>7</v>
      </c>
      <c r="D129" s="3">
        <f>parking_demand_data_2024_ver0!D129*calibration!$I$31</f>
        <v>336.55835562438398</v>
      </c>
      <c r="E129" s="3">
        <f>parking_demand_data_2024_ver0!E129*calibration!$I$31</f>
        <v>19.982120230888299</v>
      </c>
      <c r="F129" s="3">
        <f t="shared" si="1"/>
        <v>356.54047585527229</v>
      </c>
      <c r="G129" s="3">
        <f>parking_demand_data_2024_ver0!F129</f>
        <v>5</v>
      </c>
      <c r="H129" s="3">
        <f>parking_demand_data_2024_ver0!G129</f>
        <v>2</v>
      </c>
      <c r="I129" s="3">
        <f>parking_demand_data_2024_ver0!H129</f>
        <v>2</v>
      </c>
      <c r="J129" s="3">
        <f>parking_demand_data_2024_ver0!I129</f>
        <v>1</v>
      </c>
      <c r="K129" s="3">
        <f>parking_demand_data_2024_ver0!J129</f>
        <v>0</v>
      </c>
      <c r="L129" s="3">
        <f>parking_demand_data_2024_ver0!K129</f>
        <v>0</v>
      </c>
      <c r="M129" s="3">
        <f>parking_demand_data_2024_ver0!L129</f>
        <v>0</v>
      </c>
      <c r="N129" s="3">
        <f>parking_demand_data_2024_ver0!M129</f>
        <v>408</v>
      </c>
      <c r="O129" s="3">
        <f>parking_demand_data_2024_ver0!N129</f>
        <v>260</v>
      </c>
      <c r="P129" s="3">
        <f>parking_demand_data_2024_ver0!O129</f>
        <v>140</v>
      </c>
      <c r="Q129" s="3">
        <f>parking_demand_data_2024_ver0!P129</f>
        <v>8</v>
      </c>
      <c r="R129" s="3">
        <f>parking_demand_data_2024_ver0!Q129</f>
        <v>0</v>
      </c>
      <c r="S129" s="3">
        <f>parking_demand_data_2024_ver0!R129</f>
        <v>0</v>
      </c>
      <c r="T129" s="3">
        <f>parking_demand_data_2024_ver0!S129</f>
        <v>0</v>
      </c>
    </row>
    <row r="130" spans="1:20" x14ac:dyDescent="0.25">
      <c r="A130">
        <v>18011</v>
      </c>
      <c r="B130" t="s">
        <v>34</v>
      </c>
      <c r="C130">
        <v>8</v>
      </c>
      <c r="D130" s="3">
        <f>parking_demand_data_2024_ver0!D130*calibration!$I$31</f>
        <v>291.21050260453302</v>
      </c>
      <c r="E130" s="3">
        <f>parking_demand_data_2024_ver0!E130*calibration!$I$31</f>
        <v>16.6792904406588</v>
      </c>
      <c r="F130" s="3">
        <f t="shared" si="1"/>
        <v>307.88979304519182</v>
      </c>
      <c r="G130" s="3">
        <f>parking_demand_data_2024_ver0!F130</f>
        <v>5</v>
      </c>
      <c r="H130" s="3">
        <f>parking_demand_data_2024_ver0!G130</f>
        <v>2</v>
      </c>
      <c r="I130" s="3">
        <f>parking_demand_data_2024_ver0!H130</f>
        <v>2</v>
      </c>
      <c r="J130" s="3">
        <f>parking_demand_data_2024_ver0!I130</f>
        <v>1</v>
      </c>
      <c r="K130" s="3">
        <f>parking_demand_data_2024_ver0!J130</f>
        <v>0</v>
      </c>
      <c r="L130" s="3">
        <f>parking_demand_data_2024_ver0!K130</f>
        <v>0</v>
      </c>
      <c r="M130" s="3">
        <f>parking_demand_data_2024_ver0!L130</f>
        <v>0</v>
      </c>
      <c r="N130" s="3">
        <f>parking_demand_data_2024_ver0!M130</f>
        <v>408</v>
      </c>
      <c r="O130" s="3">
        <f>parking_demand_data_2024_ver0!N130</f>
        <v>260</v>
      </c>
      <c r="P130" s="3">
        <f>parking_demand_data_2024_ver0!O130</f>
        <v>140</v>
      </c>
      <c r="Q130" s="3">
        <f>parking_demand_data_2024_ver0!P130</f>
        <v>8</v>
      </c>
      <c r="R130" s="3">
        <f>parking_demand_data_2024_ver0!Q130</f>
        <v>0</v>
      </c>
      <c r="S130" s="3">
        <f>parking_demand_data_2024_ver0!R130</f>
        <v>0</v>
      </c>
      <c r="T130" s="3">
        <f>parking_demand_data_2024_ver0!S130</f>
        <v>0</v>
      </c>
    </row>
    <row r="131" spans="1:20" x14ac:dyDescent="0.25">
      <c r="A131">
        <v>18011</v>
      </c>
      <c r="B131" t="s">
        <v>34</v>
      </c>
      <c r="C131">
        <v>9</v>
      </c>
      <c r="D131" s="3">
        <f>parking_demand_data_2024_ver0!D131*calibration!$I$31</f>
        <v>255.672054061664</v>
      </c>
      <c r="E131" s="3">
        <f>parking_demand_data_2024_ver0!E131*calibration!$I$31</f>
        <v>13.4425172462339</v>
      </c>
      <c r="F131" s="3">
        <f t="shared" ref="F131:F194" si="2">SUM(D131:E131)</f>
        <v>269.1145713078979</v>
      </c>
      <c r="G131" s="3">
        <f>parking_demand_data_2024_ver0!F131</f>
        <v>5</v>
      </c>
      <c r="H131" s="3">
        <f>parking_demand_data_2024_ver0!G131</f>
        <v>2</v>
      </c>
      <c r="I131" s="3">
        <f>parking_demand_data_2024_ver0!H131</f>
        <v>2</v>
      </c>
      <c r="J131" s="3">
        <f>parking_demand_data_2024_ver0!I131</f>
        <v>1</v>
      </c>
      <c r="K131" s="3">
        <f>parking_demand_data_2024_ver0!J131</f>
        <v>0</v>
      </c>
      <c r="L131" s="3">
        <f>parking_demand_data_2024_ver0!K131</f>
        <v>0</v>
      </c>
      <c r="M131" s="3">
        <f>parking_demand_data_2024_ver0!L131</f>
        <v>0</v>
      </c>
      <c r="N131" s="3">
        <f>parking_demand_data_2024_ver0!M131</f>
        <v>408</v>
      </c>
      <c r="O131" s="3">
        <f>parking_demand_data_2024_ver0!N131</f>
        <v>260</v>
      </c>
      <c r="P131" s="3">
        <f>parking_demand_data_2024_ver0!O131</f>
        <v>140</v>
      </c>
      <c r="Q131" s="3">
        <f>parking_demand_data_2024_ver0!P131</f>
        <v>8</v>
      </c>
      <c r="R131" s="3">
        <f>parking_demand_data_2024_ver0!Q131</f>
        <v>0</v>
      </c>
      <c r="S131" s="3">
        <f>parking_demand_data_2024_ver0!R131</f>
        <v>0</v>
      </c>
      <c r="T131" s="3">
        <f>parking_demand_data_2024_ver0!S131</f>
        <v>0</v>
      </c>
    </row>
    <row r="132" spans="1:20" x14ac:dyDescent="0.25">
      <c r="A132">
        <v>18011</v>
      </c>
      <c r="B132" t="s">
        <v>34</v>
      </c>
      <c r="C132">
        <v>10</v>
      </c>
      <c r="D132" s="3">
        <f>parking_demand_data_2024_ver0!D132*calibration!$I$31</f>
        <v>236.28444319301701</v>
      </c>
      <c r="E132" s="3">
        <f>parking_demand_data_2024_ver0!E132*calibration!$I$31</f>
        <v>11.328706180487099</v>
      </c>
      <c r="F132" s="3">
        <f t="shared" si="2"/>
        <v>247.61314937350411</v>
      </c>
      <c r="G132" s="3">
        <f>parking_demand_data_2024_ver0!F132</f>
        <v>5</v>
      </c>
      <c r="H132" s="3">
        <f>parking_demand_data_2024_ver0!G132</f>
        <v>2</v>
      </c>
      <c r="I132" s="3">
        <f>parking_demand_data_2024_ver0!H132</f>
        <v>2</v>
      </c>
      <c r="J132" s="3">
        <f>parking_demand_data_2024_ver0!I132</f>
        <v>1</v>
      </c>
      <c r="K132" s="3">
        <f>parking_demand_data_2024_ver0!J132</f>
        <v>0</v>
      </c>
      <c r="L132" s="3">
        <f>parking_demand_data_2024_ver0!K132</f>
        <v>0</v>
      </c>
      <c r="M132" s="3">
        <f>parking_demand_data_2024_ver0!L132</f>
        <v>0</v>
      </c>
      <c r="N132" s="3">
        <f>parking_demand_data_2024_ver0!M132</f>
        <v>408</v>
      </c>
      <c r="O132" s="3">
        <f>parking_demand_data_2024_ver0!N132</f>
        <v>260</v>
      </c>
      <c r="P132" s="3">
        <f>parking_demand_data_2024_ver0!O132</f>
        <v>140</v>
      </c>
      <c r="Q132" s="3">
        <f>parking_demand_data_2024_ver0!P132</f>
        <v>8</v>
      </c>
      <c r="R132" s="3">
        <f>parking_demand_data_2024_ver0!Q132</f>
        <v>0</v>
      </c>
      <c r="S132" s="3">
        <f>parking_demand_data_2024_ver0!R132</f>
        <v>0</v>
      </c>
      <c r="T132" s="3">
        <f>parking_demand_data_2024_ver0!S132</f>
        <v>0</v>
      </c>
    </row>
    <row r="133" spans="1:20" x14ac:dyDescent="0.25">
      <c r="A133">
        <v>18011</v>
      </c>
      <c r="B133" t="s">
        <v>34</v>
      </c>
      <c r="C133">
        <v>11</v>
      </c>
      <c r="D133" s="3">
        <f>parking_demand_data_2024_ver0!D133*calibration!$I$31</f>
        <v>230.53751935801699</v>
      </c>
      <c r="E133" s="3">
        <f>parking_demand_data_2024_ver0!E133*calibration!$I$31</f>
        <v>8.5873574545966491</v>
      </c>
      <c r="F133" s="3">
        <f t="shared" si="2"/>
        <v>239.12487681261365</v>
      </c>
      <c r="G133" s="3">
        <f>parking_demand_data_2024_ver0!F133</f>
        <v>5</v>
      </c>
      <c r="H133" s="3">
        <f>parking_demand_data_2024_ver0!G133</f>
        <v>2</v>
      </c>
      <c r="I133" s="3">
        <f>parking_demand_data_2024_ver0!H133</f>
        <v>2</v>
      </c>
      <c r="J133" s="3">
        <f>parking_demand_data_2024_ver0!I133</f>
        <v>1</v>
      </c>
      <c r="K133" s="3">
        <f>parking_demand_data_2024_ver0!J133</f>
        <v>0</v>
      </c>
      <c r="L133" s="3">
        <f>parking_demand_data_2024_ver0!K133</f>
        <v>0</v>
      </c>
      <c r="M133" s="3">
        <f>parking_demand_data_2024_ver0!L133</f>
        <v>0</v>
      </c>
      <c r="N133" s="3">
        <f>parking_demand_data_2024_ver0!M133</f>
        <v>408</v>
      </c>
      <c r="O133" s="3">
        <f>parking_demand_data_2024_ver0!N133</f>
        <v>260</v>
      </c>
      <c r="P133" s="3">
        <f>parking_demand_data_2024_ver0!O133</f>
        <v>140</v>
      </c>
      <c r="Q133" s="3">
        <f>parking_demand_data_2024_ver0!P133</f>
        <v>8</v>
      </c>
      <c r="R133" s="3">
        <f>parking_demand_data_2024_ver0!Q133</f>
        <v>0</v>
      </c>
      <c r="S133" s="3">
        <f>parking_demand_data_2024_ver0!R133</f>
        <v>0</v>
      </c>
      <c r="T133" s="3">
        <f>parking_demand_data_2024_ver0!S133</f>
        <v>0</v>
      </c>
    </row>
    <row r="134" spans="1:20" x14ac:dyDescent="0.25">
      <c r="A134">
        <v>18011</v>
      </c>
      <c r="B134" t="s">
        <v>34</v>
      </c>
      <c r="C134">
        <v>12</v>
      </c>
      <c r="D134" s="3">
        <f>parking_demand_data_2024_ver0!D134*calibration!$I$31</f>
        <v>232.717387019569</v>
      </c>
      <c r="E134" s="3">
        <f>parking_demand_data_2024_ver0!E134*calibration!$I$31</f>
        <v>8.32313107137829</v>
      </c>
      <c r="F134" s="3">
        <f t="shared" si="2"/>
        <v>241.0405180909473</v>
      </c>
      <c r="G134" s="3">
        <f>parking_demand_data_2024_ver0!F134</f>
        <v>5</v>
      </c>
      <c r="H134" s="3">
        <f>parking_demand_data_2024_ver0!G134</f>
        <v>2</v>
      </c>
      <c r="I134" s="3">
        <f>parking_demand_data_2024_ver0!H134</f>
        <v>2</v>
      </c>
      <c r="J134" s="3">
        <f>parking_demand_data_2024_ver0!I134</f>
        <v>1</v>
      </c>
      <c r="K134" s="3">
        <f>parking_demand_data_2024_ver0!J134</f>
        <v>0</v>
      </c>
      <c r="L134" s="3">
        <f>parking_demand_data_2024_ver0!K134</f>
        <v>0</v>
      </c>
      <c r="M134" s="3">
        <f>parking_demand_data_2024_ver0!L134</f>
        <v>0</v>
      </c>
      <c r="N134" s="3">
        <f>parking_demand_data_2024_ver0!M134</f>
        <v>408</v>
      </c>
      <c r="O134" s="3">
        <f>parking_demand_data_2024_ver0!N134</f>
        <v>260</v>
      </c>
      <c r="P134" s="3">
        <f>parking_demand_data_2024_ver0!O134</f>
        <v>140</v>
      </c>
      <c r="Q134" s="3">
        <f>parking_demand_data_2024_ver0!P134</f>
        <v>8</v>
      </c>
      <c r="R134" s="3">
        <f>parking_demand_data_2024_ver0!Q134</f>
        <v>0</v>
      </c>
      <c r="S134" s="3">
        <f>parking_demand_data_2024_ver0!R134</f>
        <v>0</v>
      </c>
      <c r="T134" s="3">
        <f>parking_demand_data_2024_ver0!S134</f>
        <v>0</v>
      </c>
    </row>
    <row r="135" spans="1:20" x14ac:dyDescent="0.25">
      <c r="A135">
        <v>18011</v>
      </c>
      <c r="B135" t="s">
        <v>34</v>
      </c>
      <c r="C135">
        <v>13</v>
      </c>
      <c r="D135" s="3">
        <f>parking_demand_data_2024_ver0!D135*calibration!$I$31</f>
        <v>238.332197662959</v>
      </c>
      <c r="E135" s="3">
        <f>parking_demand_data_2024_ver0!E135*calibration!$I$31</f>
        <v>8.0258763902576291</v>
      </c>
      <c r="F135" s="3">
        <f t="shared" si="2"/>
        <v>246.35807405321663</v>
      </c>
      <c r="G135" s="3">
        <f>parking_demand_data_2024_ver0!F135</f>
        <v>5</v>
      </c>
      <c r="H135" s="3">
        <f>parking_demand_data_2024_ver0!G135</f>
        <v>2</v>
      </c>
      <c r="I135" s="3">
        <f>parking_demand_data_2024_ver0!H135</f>
        <v>2</v>
      </c>
      <c r="J135" s="3">
        <f>parking_demand_data_2024_ver0!I135</f>
        <v>1</v>
      </c>
      <c r="K135" s="3">
        <f>parking_demand_data_2024_ver0!J135</f>
        <v>0</v>
      </c>
      <c r="L135" s="3">
        <f>parking_demand_data_2024_ver0!K135</f>
        <v>0</v>
      </c>
      <c r="M135" s="3">
        <f>parking_demand_data_2024_ver0!L135</f>
        <v>0</v>
      </c>
      <c r="N135" s="3">
        <f>parking_demand_data_2024_ver0!M135</f>
        <v>408</v>
      </c>
      <c r="O135" s="3">
        <f>parking_demand_data_2024_ver0!N135</f>
        <v>260</v>
      </c>
      <c r="P135" s="3">
        <f>parking_demand_data_2024_ver0!O135</f>
        <v>140</v>
      </c>
      <c r="Q135" s="3">
        <f>parking_demand_data_2024_ver0!P135</f>
        <v>8</v>
      </c>
      <c r="R135" s="3">
        <f>parking_demand_data_2024_ver0!Q135</f>
        <v>0</v>
      </c>
      <c r="S135" s="3">
        <f>parking_demand_data_2024_ver0!R135</f>
        <v>0</v>
      </c>
      <c r="T135" s="3">
        <f>parking_demand_data_2024_ver0!S135</f>
        <v>0</v>
      </c>
    </row>
    <row r="136" spans="1:20" x14ac:dyDescent="0.25">
      <c r="A136">
        <v>18011</v>
      </c>
      <c r="B136" t="s">
        <v>34</v>
      </c>
      <c r="C136">
        <v>14</v>
      </c>
      <c r="D136" s="3">
        <f>parking_demand_data_2024_ver0!D136*calibration!$I$31</f>
        <v>241.50291426157901</v>
      </c>
      <c r="E136" s="3">
        <f>parking_demand_data_2024_ver0!E136*calibration!$I$31</f>
        <v>7.29925383640715</v>
      </c>
      <c r="F136" s="3">
        <f t="shared" si="2"/>
        <v>248.80216809798617</v>
      </c>
      <c r="G136" s="3">
        <f>parking_demand_data_2024_ver0!F136</f>
        <v>5</v>
      </c>
      <c r="H136" s="3">
        <f>parking_demand_data_2024_ver0!G136</f>
        <v>2</v>
      </c>
      <c r="I136" s="3">
        <f>parking_demand_data_2024_ver0!H136</f>
        <v>2</v>
      </c>
      <c r="J136" s="3">
        <f>parking_demand_data_2024_ver0!I136</f>
        <v>1</v>
      </c>
      <c r="K136" s="3">
        <f>parking_demand_data_2024_ver0!J136</f>
        <v>0</v>
      </c>
      <c r="L136" s="3">
        <f>parking_demand_data_2024_ver0!K136</f>
        <v>0</v>
      </c>
      <c r="M136" s="3">
        <f>parking_demand_data_2024_ver0!L136</f>
        <v>0</v>
      </c>
      <c r="N136" s="3">
        <f>parking_demand_data_2024_ver0!M136</f>
        <v>408</v>
      </c>
      <c r="O136" s="3">
        <f>parking_demand_data_2024_ver0!N136</f>
        <v>260</v>
      </c>
      <c r="P136" s="3">
        <f>parking_demand_data_2024_ver0!O136</f>
        <v>140</v>
      </c>
      <c r="Q136" s="3">
        <f>parking_demand_data_2024_ver0!P136</f>
        <v>8</v>
      </c>
      <c r="R136" s="3">
        <f>parking_demand_data_2024_ver0!Q136</f>
        <v>0</v>
      </c>
      <c r="S136" s="3">
        <f>parking_demand_data_2024_ver0!R136</f>
        <v>0</v>
      </c>
      <c r="T136" s="3">
        <f>parking_demand_data_2024_ver0!S136</f>
        <v>0</v>
      </c>
    </row>
    <row r="137" spans="1:20" x14ac:dyDescent="0.25">
      <c r="A137">
        <v>18011</v>
      </c>
      <c r="B137" t="s">
        <v>34</v>
      </c>
      <c r="C137">
        <v>15</v>
      </c>
      <c r="D137" s="3">
        <f>parking_demand_data_2024_ver0!D137*calibration!$I$31</f>
        <v>249.79301703505499</v>
      </c>
      <c r="E137" s="3">
        <f>parking_demand_data_2024_ver0!E137*calibration!$I$31</f>
        <v>7.03502745318879</v>
      </c>
      <c r="F137" s="3">
        <f t="shared" si="2"/>
        <v>256.82804448824379</v>
      </c>
      <c r="G137" s="3">
        <f>parking_demand_data_2024_ver0!F137</f>
        <v>5</v>
      </c>
      <c r="H137" s="3">
        <f>parking_demand_data_2024_ver0!G137</f>
        <v>2</v>
      </c>
      <c r="I137" s="3">
        <f>parking_demand_data_2024_ver0!H137</f>
        <v>2</v>
      </c>
      <c r="J137" s="3">
        <f>parking_demand_data_2024_ver0!I137</f>
        <v>1</v>
      </c>
      <c r="K137" s="3">
        <f>parking_demand_data_2024_ver0!J137</f>
        <v>0</v>
      </c>
      <c r="L137" s="3">
        <f>parking_demand_data_2024_ver0!K137</f>
        <v>0</v>
      </c>
      <c r="M137" s="3">
        <f>parking_demand_data_2024_ver0!L137</f>
        <v>0</v>
      </c>
      <c r="N137" s="3">
        <f>parking_demand_data_2024_ver0!M137</f>
        <v>408</v>
      </c>
      <c r="O137" s="3">
        <f>parking_demand_data_2024_ver0!N137</f>
        <v>260</v>
      </c>
      <c r="P137" s="3">
        <f>parking_demand_data_2024_ver0!O137</f>
        <v>140</v>
      </c>
      <c r="Q137" s="3">
        <f>parking_demand_data_2024_ver0!P137</f>
        <v>8</v>
      </c>
      <c r="R137" s="3">
        <f>parking_demand_data_2024_ver0!Q137</f>
        <v>0</v>
      </c>
      <c r="S137" s="3">
        <f>parking_demand_data_2024_ver0!R137</f>
        <v>0</v>
      </c>
      <c r="T137" s="3">
        <f>parking_demand_data_2024_ver0!S137</f>
        <v>0</v>
      </c>
    </row>
    <row r="138" spans="1:20" x14ac:dyDescent="0.25">
      <c r="A138">
        <v>18011</v>
      </c>
      <c r="B138" t="s">
        <v>34</v>
      </c>
      <c r="C138">
        <v>16</v>
      </c>
      <c r="D138" s="3">
        <f>parking_demand_data_2024_ver0!D138*calibration!$I$31</f>
        <v>282.62314514993602</v>
      </c>
      <c r="E138" s="3">
        <f>parking_demand_data_2024_ver0!E138*calibration!$I$31</f>
        <v>6.0111502182176499</v>
      </c>
      <c r="F138" s="3">
        <f t="shared" si="2"/>
        <v>288.63429536815369</v>
      </c>
      <c r="G138" s="3">
        <f>parking_demand_data_2024_ver0!F138</f>
        <v>5</v>
      </c>
      <c r="H138" s="3">
        <f>parking_demand_data_2024_ver0!G138</f>
        <v>2</v>
      </c>
      <c r="I138" s="3">
        <f>parking_demand_data_2024_ver0!H138</f>
        <v>2</v>
      </c>
      <c r="J138" s="3">
        <f>parking_demand_data_2024_ver0!I138</f>
        <v>1</v>
      </c>
      <c r="K138" s="3">
        <f>parking_demand_data_2024_ver0!J138</f>
        <v>0</v>
      </c>
      <c r="L138" s="3">
        <f>parking_demand_data_2024_ver0!K138</f>
        <v>0</v>
      </c>
      <c r="M138" s="3">
        <f>parking_demand_data_2024_ver0!L138</f>
        <v>0</v>
      </c>
      <c r="N138" s="3">
        <f>parking_demand_data_2024_ver0!M138</f>
        <v>408</v>
      </c>
      <c r="O138" s="3">
        <f>parking_demand_data_2024_ver0!N138</f>
        <v>260</v>
      </c>
      <c r="P138" s="3">
        <f>parking_demand_data_2024_ver0!O138</f>
        <v>140</v>
      </c>
      <c r="Q138" s="3">
        <f>parking_demand_data_2024_ver0!P138</f>
        <v>8</v>
      </c>
      <c r="R138" s="3">
        <f>parking_demand_data_2024_ver0!Q138</f>
        <v>0</v>
      </c>
      <c r="S138" s="3">
        <f>parking_demand_data_2024_ver0!R138</f>
        <v>0</v>
      </c>
      <c r="T138" s="3">
        <f>parking_demand_data_2024_ver0!S138</f>
        <v>0</v>
      </c>
    </row>
    <row r="139" spans="1:20" x14ac:dyDescent="0.25">
      <c r="A139">
        <v>18011</v>
      </c>
      <c r="B139" t="s">
        <v>34</v>
      </c>
      <c r="C139">
        <v>17</v>
      </c>
      <c r="D139" s="3">
        <f>parking_demand_data_2024_ver0!D139*calibration!$I$31</f>
        <v>319.68089539631097</v>
      </c>
      <c r="E139" s="3">
        <f>parking_demand_data_2024_ver0!E139*calibration!$I$31</f>
        <v>5.1854427706602797</v>
      </c>
      <c r="F139" s="3">
        <f t="shared" si="2"/>
        <v>324.86633816697127</v>
      </c>
      <c r="G139" s="3">
        <f>parking_demand_data_2024_ver0!F139</f>
        <v>5</v>
      </c>
      <c r="H139" s="3">
        <f>parking_demand_data_2024_ver0!G139</f>
        <v>2</v>
      </c>
      <c r="I139" s="3">
        <f>parking_demand_data_2024_ver0!H139</f>
        <v>2</v>
      </c>
      <c r="J139" s="3">
        <f>parking_demand_data_2024_ver0!I139</f>
        <v>1</v>
      </c>
      <c r="K139" s="3">
        <f>parking_demand_data_2024_ver0!J139</f>
        <v>0</v>
      </c>
      <c r="L139" s="3">
        <f>parking_demand_data_2024_ver0!K139</f>
        <v>0</v>
      </c>
      <c r="M139" s="3">
        <f>parking_demand_data_2024_ver0!L139</f>
        <v>0</v>
      </c>
      <c r="N139" s="3">
        <f>parking_demand_data_2024_ver0!M139</f>
        <v>408</v>
      </c>
      <c r="O139" s="3">
        <f>parking_demand_data_2024_ver0!N139</f>
        <v>260</v>
      </c>
      <c r="P139" s="3">
        <f>parking_demand_data_2024_ver0!O139</f>
        <v>140</v>
      </c>
      <c r="Q139" s="3">
        <f>parking_demand_data_2024_ver0!P139</f>
        <v>8</v>
      </c>
      <c r="R139" s="3">
        <f>parking_demand_data_2024_ver0!Q139</f>
        <v>0</v>
      </c>
      <c r="S139" s="3">
        <f>parking_demand_data_2024_ver0!R139</f>
        <v>0</v>
      </c>
      <c r="T139" s="3">
        <f>parking_demand_data_2024_ver0!S139</f>
        <v>0</v>
      </c>
    </row>
    <row r="140" spans="1:20" x14ac:dyDescent="0.25">
      <c r="A140">
        <v>18011</v>
      </c>
      <c r="B140" t="s">
        <v>34</v>
      </c>
      <c r="C140">
        <v>18</v>
      </c>
      <c r="D140" s="3">
        <f>parking_demand_data_2024_ver0!D140*calibration!$I$31</f>
        <v>357.92766436716801</v>
      </c>
      <c r="E140" s="3">
        <f>parking_demand_data_2024_ver0!E140*calibration!$I$31</f>
        <v>4.9872729832465099</v>
      </c>
      <c r="F140" s="3">
        <f t="shared" si="2"/>
        <v>362.9149373504145</v>
      </c>
      <c r="G140" s="3">
        <f>parking_demand_data_2024_ver0!F140</f>
        <v>5</v>
      </c>
      <c r="H140" s="3">
        <f>parking_demand_data_2024_ver0!G140</f>
        <v>2</v>
      </c>
      <c r="I140" s="3">
        <f>parking_demand_data_2024_ver0!H140</f>
        <v>2</v>
      </c>
      <c r="J140" s="3">
        <f>parking_demand_data_2024_ver0!I140</f>
        <v>1</v>
      </c>
      <c r="K140" s="3">
        <f>parking_demand_data_2024_ver0!J140</f>
        <v>0</v>
      </c>
      <c r="L140" s="3">
        <f>parking_demand_data_2024_ver0!K140</f>
        <v>0</v>
      </c>
      <c r="M140" s="3">
        <f>parking_demand_data_2024_ver0!L140</f>
        <v>0</v>
      </c>
      <c r="N140" s="3">
        <f>parking_demand_data_2024_ver0!M140</f>
        <v>408</v>
      </c>
      <c r="O140" s="3">
        <f>parking_demand_data_2024_ver0!N140</f>
        <v>260</v>
      </c>
      <c r="P140" s="3">
        <f>parking_demand_data_2024_ver0!O140</f>
        <v>140</v>
      </c>
      <c r="Q140" s="3">
        <f>parking_demand_data_2024_ver0!P140</f>
        <v>8</v>
      </c>
      <c r="R140" s="3">
        <f>parking_demand_data_2024_ver0!Q140</f>
        <v>0</v>
      </c>
      <c r="S140" s="3">
        <f>parking_demand_data_2024_ver0!R140</f>
        <v>0</v>
      </c>
      <c r="T140" s="3">
        <f>parking_demand_data_2024_ver0!S140</f>
        <v>0</v>
      </c>
    </row>
    <row r="141" spans="1:20" x14ac:dyDescent="0.25">
      <c r="A141">
        <v>18011</v>
      </c>
      <c r="B141" t="s">
        <v>34</v>
      </c>
      <c r="C141">
        <v>19</v>
      </c>
      <c r="D141" s="3">
        <f>parking_demand_data_2024_ver0!D141*calibration!$I$31</f>
        <v>393.73033929325601</v>
      </c>
      <c r="E141" s="3">
        <f>parking_demand_data_2024_ver0!E141*calibration!$I$31</f>
        <v>5.7138955370969997</v>
      </c>
      <c r="F141" s="3">
        <f t="shared" si="2"/>
        <v>399.44423483035303</v>
      </c>
      <c r="G141" s="3">
        <f>parking_demand_data_2024_ver0!F141</f>
        <v>5</v>
      </c>
      <c r="H141" s="3">
        <f>parking_demand_data_2024_ver0!G141</f>
        <v>2</v>
      </c>
      <c r="I141" s="3">
        <f>parking_demand_data_2024_ver0!H141</f>
        <v>2</v>
      </c>
      <c r="J141" s="3">
        <f>parking_demand_data_2024_ver0!I141</f>
        <v>1</v>
      </c>
      <c r="K141" s="3">
        <f>parking_demand_data_2024_ver0!J141</f>
        <v>0</v>
      </c>
      <c r="L141" s="3">
        <f>parking_demand_data_2024_ver0!K141</f>
        <v>0</v>
      </c>
      <c r="M141" s="3">
        <f>parking_demand_data_2024_ver0!L141</f>
        <v>0</v>
      </c>
      <c r="N141" s="3">
        <f>parking_demand_data_2024_ver0!M141</f>
        <v>408</v>
      </c>
      <c r="O141" s="3">
        <f>parking_demand_data_2024_ver0!N141</f>
        <v>260</v>
      </c>
      <c r="P141" s="3">
        <f>parking_demand_data_2024_ver0!O141</f>
        <v>140</v>
      </c>
      <c r="Q141" s="3">
        <f>parking_demand_data_2024_ver0!P141</f>
        <v>8</v>
      </c>
      <c r="R141" s="3">
        <f>parking_demand_data_2024_ver0!Q141</f>
        <v>0</v>
      </c>
      <c r="S141" s="3">
        <f>parking_demand_data_2024_ver0!R141</f>
        <v>0</v>
      </c>
      <c r="T141" s="3">
        <f>parking_demand_data_2024_ver0!S141</f>
        <v>0</v>
      </c>
    </row>
    <row r="142" spans="1:20" x14ac:dyDescent="0.25">
      <c r="A142">
        <v>18011</v>
      </c>
      <c r="B142" t="s">
        <v>34</v>
      </c>
      <c r="C142">
        <v>20</v>
      </c>
      <c r="D142" s="3">
        <f>parking_demand_data_2024_ver0!D142*calibration!$I$31</f>
        <v>419.16212867802301</v>
      </c>
      <c r="E142" s="3">
        <f>parking_demand_data_2024_ver0!E142*calibration!$I$31</f>
        <v>7.4313670280163304</v>
      </c>
      <c r="F142" s="3">
        <f t="shared" si="2"/>
        <v>426.59349570603933</v>
      </c>
      <c r="G142" s="3">
        <f>parking_demand_data_2024_ver0!F142</f>
        <v>5</v>
      </c>
      <c r="H142" s="3">
        <f>parking_demand_data_2024_ver0!G142</f>
        <v>2</v>
      </c>
      <c r="I142" s="3">
        <f>parking_demand_data_2024_ver0!H142</f>
        <v>2</v>
      </c>
      <c r="J142" s="3">
        <f>parking_demand_data_2024_ver0!I142</f>
        <v>1</v>
      </c>
      <c r="K142" s="3">
        <f>parking_demand_data_2024_ver0!J142</f>
        <v>0</v>
      </c>
      <c r="L142" s="3">
        <f>parking_demand_data_2024_ver0!K142</f>
        <v>0</v>
      </c>
      <c r="M142" s="3">
        <f>parking_demand_data_2024_ver0!L142</f>
        <v>0</v>
      </c>
      <c r="N142" s="3">
        <f>parking_demand_data_2024_ver0!M142</f>
        <v>408</v>
      </c>
      <c r="O142" s="3">
        <f>parking_demand_data_2024_ver0!N142</f>
        <v>260</v>
      </c>
      <c r="P142" s="3">
        <f>parking_demand_data_2024_ver0!O142</f>
        <v>140</v>
      </c>
      <c r="Q142" s="3">
        <f>parking_demand_data_2024_ver0!P142</f>
        <v>8</v>
      </c>
      <c r="R142" s="3">
        <f>parking_demand_data_2024_ver0!Q142</f>
        <v>0</v>
      </c>
      <c r="S142" s="3">
        <f>parking_demand_data_2024_ver0!R142</f>
        <v>0</v>
      </c>
      <c r="T142" s="3">
        <f>parking_demand_data_2024_ver0!S142</f>
        <v>0</v>
      </c>
    </row>
    <row r="143" spans="1:20" x14ac:dyDescent="0.25">
      <c r="A143">
        <v>18011</v>
      </c>
      <c r="B143" t="s">
        <v>34</v>
      </c>
      <c r="C143">
        <v>21</v>
      </c>
      <c r="D143" s="3">
        <f>parking_demand_data_2024_ver0!D143*calibration!$I$31</f>
        <v>439.40847529212999</v>
      </c>
      <c r="E143" s="3">
        <f>parking_demand_data_2024_ver0!E143*calibration!$I$31</f>
        <v>10.0736308601999</v>
      </c>
      <c r="F143" s="3">
        <f t="shared" si="2"/>
        <v>449.48210615232989</v>
      </c>
      <c r="G143" s="3">
        <f>parking_demand_data_2024_ver0!F143</f>
        <v>5</v>
      </c>
      <c r="H143" s="3">
        <f>parking_demand_data_2024_ver0!G143</f>
        <v>2</v>
      </c>
      <c r="I143" s="3">
        <f>parking_demand_data_2024_ver0!H143</f>
        <v>2</v>
      </c>
      <c r="J143" s="3">
        <f>parking_demand_data_2024_ver0!I143</f>
        <v>1</v>
      </c>
      <c r="K143" s="3">
        <f>parking_demand_data_2024_ver0!J143</f>
        <v>0</v>
      </c>
      <c r="L143" s="3">
        <f>parking_demand_data_2024_ver0!K143</f>
        <v>0</v>
      </c>
      <c r="M143" s="3">
        <f>parking_demand_data_2024_ver0!L143</f>
        <v>0</v>
      </c>
      <c r="N143" s="3">
        <f>parking_demand_data_2024_ver0!M143</f>
        <v>408</v>
      </c>
      <c r="O143" s="3">
        <f>parking_demand_data_2024_ver0!N143</f>
        <v>260</v>
      </c>
      <c r="P143" s="3">
        <f>parking_demand_data_2024_ver0!O143</f>
        <v>140</v>
      </c>
      <c r="Q143" s="3">
        <f>parking_demand_data_2024_ver0!P143</f>
        <v>8</v>
      </c>
      <c r="R143" s="3">
        <f>parking_demand_data_2024_ver0!Q143</f>
        <v>0</v>
      </c>
      <c r="S143" s="3">
        <f>parking_demand_data_2024_ver0!R143</f>
        <v>0</v>
      </c>
      <c r="T143" s="3">
        <f>parking_demand_data_2024_ver0!S143</f>
        <v>0</v>
      </c>
    </row>
    <row r="144" spans="1:20" x14ac:dyDescent="0.25">
      <c r="A144">
        <v>18011</v>
      </c>
      <c r="B144" t="s">
        <v>34</v>
      </c>
      <c r="C144">
        <v>22</v>
      </c>
      <c r="D144" s="3">
        <f>parking_demand_data_2024_ver0!D144*calibration!$I$31</f>
        <v>449.48210615233</v>
      </c>
      <c r="E144" s="3">
        <f>parking_demand_data_2024_ver0!E144*calibration!$I$31</f>
        <v>13.013149373504101</v>
      </c>
      <c r="F144" s="3">
        <f t="shared" si="2"/>
        <v>462.49525552583412</v>
      </c>
      <c r="G144" s="3">
        <f>parking_demand_data_2024_ver0!F144</f>
        <v>5</v>
      </c>
      <c r="H144" s="3">
        <f>parking_demand_data_2024_ver0!G144</f>
        <v>2</v>
      </c>
      <c r="I144" s="3">
        <f>parking_demand_data_2024_ver0!H144</f>
        <v>2</v>
      </c>
      <c r="J144" s="3">
        <f>parking_demand_data_2024_ver0!I144</f>
        <v>1</v>
      </c>
      <c r="K144" s="3">
        <f>parking_demand_data_2024_ver0!J144</f>
        <v>0</v>
      </c>
      <c r="L144" s="3">
        <f>parking_demand_data_2024_ver0!K144</f>
        <v>0</v>
      </c>
      <c r="M144" s="3">
        <f>parking_demand_data_2024_ver0!L144</f>
        <v>0</v>
      </c>
      <c r="N144" s="3">
        <f>parking_demand_data_2024_ver0!M144</f>
        <v>408</v>
      </c>
      <c r="O144" s="3">
        <f>parking_demand_data_2024_ver0!N144</f>
        <v>260</v>
      </c>
      <c r="P144" s="3">
        <f>parking_demand_data_2024_ver0!O144</f>
        <v>140</v>
      </c>
      <c r="Q144" s="3">
        <f>parking_demand_data_2024_ver0!P144</f>
        <v>8</v>
      </c>
      <c r="R144" s="3">
        <f>parking_demand_data_2024_ver0!Q144</f>
        <v>0</v>
      </c>
      <c r="S144" s="3">
        <f>parking_demand_data_2024_ver0!R144</f>
        <v>0</v>
      </c>
      <c r="T144" s="3">
        <f>parking_demand_data_2024_ver0!S144</f>
        <v>0</v>
      </c>
    </row>
    <row r="145" spans="1:20" x14ac:dyDescent="0.25">
      <c r="A145">
        <v>18011</v>
      </c>
      <c r="B145" t="s">
        <v>34</v>
      </c>
      <c r="C145">
        <v>23</v>
      </c>
      <c r="D145" s="3">
        <f>parking_demand_data_2024_ver0!D145*calibration!$I$31</f>
        <v>458.036435309024</v>
      </c>
      <c r="E145" s="3">
        <f>parking_demand_data_2024_ver0!E145*calibration!$I$31</f>
        <v>16.580205546951898</v>
      </c>
      <c r="F145" s="3">
        <f t="shared" si="2"/>
        <v>474.6166408559759</v>
      </c>
      <c r="G145" s="3">
        <f>parking_demand_data_2024_ver0!F145</f>
        <v>5</v>
      </c>
      <c r="H145" s="3">
        <f>parking_demand_data_2024_ver0!G145</f>
        <v>2</v>
      </c>
      <c r="I145" s="3">
        <f>parking_demand_data_2024_ver0!H145</f>
        <v>2</v>
      </c>
      <c r="J145" s="3">
        <f>parking_demand_data_2024_ver0!I145</f>
        <v>1</v>
      </c>
      <c r="K145" s="3">
        <f>parking_demand_data_2024_ver0!J145</f>
        <v>0</v>
      </c>
      <c r="L145" s="3">
        <f>parking_demand_data_2024_ver0!K145</f>
        <v>0</v>
      </c>
      <c r="M145" s="3">
        <f>parking_demand_data_2024_ver0!L145</f>
        <v>0</v>
      </c>
      <c r="N145" s="3">
        <f>parking_demand_data_2024_ver0!M145</f>
        <v>408</v>
      </c>
      <c r="O145" s="3">
        <f>parking_demand_data_2024_ver0!N145</f>
        <v>260</v>
      </c>
      <c r="P145" s="3">
        <f>parking_demand_data_2024_ver0!O145</f>
        <v>140</v>
      </c>
      <c r="Q145" s="3">
        <f>parking_demand_data_2024_ver0!P145</f>
        <v>8</v>
      </c>
      <c r="R145" s="3">
        <f>parking_demand_data_2024_ver0!Q145</f>
        <v>0</v>
      </c>
      <c r="S145" s="3">
        <f>parking_demand_data_2024_ver0!R145</f>
        <v>0</v>
      </c>
      <c r="T145" s="3">
        <f>parking_demand_data_2024_ver0!S145</f>
        <v>0</v>
      </c>
    </row>
    <row r="146" spans="1:20" x14ac:dyDescent="0.25">
      <c r="A146">
        <v>18013</v>
      </c>
      <c r="B146" t="s">
        <v>35</v>
      </c>
      <c r="C146">
        <v>0</v>
      </c>
      <c r="D146" s="3">
        <f>parking_demand_data_2024_ver0!D146*calibration!$I$31</f>
        <v>0</v>
      </c>
      <c r="E146" s="3">
        <f>parking_demand_data_2024_ver0!E146*calibration!$I$31</f>
        <v>0</v>
      </c>
      <c r="F146" s="3">
        <f t="shared" si="2"/>
        <v>0</v>
      </c>
      <c r="G146" s="3">
        <f>parking_demand_data_2024_ver0!F146</f>
        <v>0</v>
      </c>
      <c r="H146" s="3">
        <f>parking_demand_data_2024_ver0!G146</f>
        <v>0</v>
      </c>
      <c r="I146" s="3">
        <f>parking_demand_data_2024_ver0!H146</f>
        <v>0</v>
      </c>
      <c r="J146" s="3">
        <f>parking_demand_data_2024_ver0!I146</f>
        <v>0</v>
      </c>
      <c r="K146" s="3">
        <f>parking_demand_data_2024_ver0!J146</f>
        <v>0</v>
      </c>
      <c r="L146" s="3">
        <f>parking_demand_data_2024_ver0!K146</f>
        <v>0</v>
      </c>
      <c r="M146" s="3">
        <f>parking_demand_data_2024_ver0!L146</f>
        <v>0</v>
      </c>
      <c r="N146" s="3">
        <f>parking_demand_data_2024_ver0!M146</f>
        <v>0</v>
      </c>
      <c r="O146" s="3">
        <f>parking_demand_data_2024_ver0!N146</f>
        <v>0</v>
      </c>
      <c r="P146" s="3">
        <f>parking_demand_data_2024_ver0!O146</f>
        <v>0</v>
      </c>
      <c r="Q146" s="3">
        <f>parking_demand_data_2024_ver0!P146</f>
        <v>0</v>
      </c>
      <c r="R146" s="3">
        <f>parking_demand_data_2024_ver0!Q146</f>
        <v>0</v>
      </c>
      <c r="S146" s="3">
        <f>parking_demand_data_2024_ver0!R146</f>
        <v>0</v>
      </c>
      <c r="T146" s="3">
        <f>parking_demand_data_2024_ver0!S146</f>
        <v>0</v>
      </c>
    </row>
    <row r="147" spans="1:20" x14ac:dyDescent="0.25">
      <c r="A147">
        <v>18013</v>
      </c>
      <c r="B147" t="s">
        <v>35</v>
      </c>
      <c r="C147">
        <v>1</v>
      </c>
      <c r="D147" s="3">
        <f>parking_demand_data_2024_ver0!D147*calibration!$I$31</f>
        <v>0</v>
      </c>
      <c r="E147" s="3">
        <f>parking_demand_data_2024_ver0!E147*calibration!$I$31</f>
        <v>0</v>
      </c>
      <c r="F147" s="3">
        <f t="shared" si="2"/>
        <v>0</v>
      </c>
      <c r="G147" s="3">
        <f>parking_demand_data_2024_ver0!F147</f>
        <v>0</v>
      </c>
      <c r="H147" s="3">
        <f>parking_demand_data_2024_ver0!G147</f>
        <v>0</v>
      </c>
      <c r="I147" s="3">
        <f>parking_demand_data_2024_ver0!H147</f>
        <v>0</v>
      </c>
      <c r="J147" s="3">
        <f>parking_demand_data_2024_ver0!I147</f>
        <v>0</v>
      </c>
      <c r="K147" s="3">
        <f>parking_demand_data_2024_ver0!J147</f>
        <v>0</v>
      </c>
      <c r="L147" s="3">
        <f>parking_demand_data_2024_ver0!K147</f>
        <v>0</v>
      </c>
      <c r="M147" s="3">
        <f>parking_demand_data_2024_ver0!L147</f>
        <v>0</v>
      </c>
      <c r="N147" s="3">
        <f>parking_demand_data_2024_ver0!M147</f>
        <v>0</v>
      </c>
      <c r="O147" s="3">
        <f>parking_demand_data_2024_ver0!N147</f>
        <v>0</v>
      </c>
      <c r="P147" s="3">
        <f>parking_demand_data_2024_ver0!O147</f>
        <v>0</v>
      </c>
      <c r="Q147" s="3">
        <f>parking_demand_data_2024_ver0!P147</f>
        <v>0</v>
      </c>
      <c r="R147" s="3">
        <f>parking_demand_data_2024_ver0!Q147</f>
        <v>0</v>
      </c>
      <c r="S147" s="3">
        <f>parking_demand_data_2024_ver0!R147</f>
        <v>0</v>
      </c>
      <c r="T147" s="3">
        <f>parking_demand_data_2024_ver0!S147</f>
        <v>0</v>
      </c>
    </row>
    <row r="148" spans="1:20" x14ac:dyDescent="0.25">
      <c r="A148">
        <v>18013</v>
      </c>
      <c r="B148" t="s">
        <v>35</v>
      </c>
      <c r="C148">
        <v>2</v>
      </c>
      <c r="D148" s="3">
        <f>parking_demand_data_2024_ver0!D148*calibration!$I$31</f>
        <v>0</v>
      </c>
      <c r="E148" s="3">
        <f>parking_demand_data_2024_ver0!E148*calibration!$I$31</f>
        <v>0</v>
      </c>
      <c r="F148" s="3">
        <f t="shared" si="2"/>
        <v>0</v>
      </c>
      <c r="G148" s="3">
        <f>parking_demand_data_2024_ver0!F148</f>
        <v>0</v>
      </c>
      <c r="H148" s="3">
        <f>parking_demand_data_2024_ver0!G148</f>
        <v>0</v>
      </c>
      <c r="I148" s="3">
        <f>parking_demand_data_2024_ver0!H148</f>
        <v>0</v>
      </c>
      <c r="J148" s="3">
        <f>parking_demand_data_2024_ver0!I148</f>
        <v>0</v>
      </c>
      <c r="K148" s="3">
        <f>parking_demand_data_2024_ver0!J148</f>
        <v>0</v>
      </c>
      <c r="L148" s="3">
        <f>parking_demand_data_2024_ver0!K148</f>
        <v>0</v>
      </c>
      <c r="M148" s="3">
        <f>parking_demand_data_2024_ver0!L148</f>
        <v>0</v>
      </c>
      <c r="N148" s="3">
        <f>parking_demand_data_2024_ver0!M148</f>
        <v>0</v>
      </c>
      <c r="O148" s="3">
        <f>parking_demand_data_2024_ver0!N148</f>
        <v>0</v>
      </c>
      <c r="P148" s="3">
        <f>parking_demand_data_2024_ver0!O148</f>
        <v>0</v>
      </c>
      <c r="Q148" s="3">
        <f>parking_demand_data_2024_ver0!P148</f>
        <v>0</v>
      </c>
      <c r="R148" s="3">
        <f>parking_demand_data_2024_ver0!Q148</f>
        <v>0</v>
      </c>
      <c r="S148" s="3">
        <f>parking_demand_data_2024_ver0!R148</f>
        <v>0</v>
      </c>
      <c r="T148" s="3">
        <f>parking_demand_data_2024_ver0!S148</f>
        <v>0</v>
      </c>
    </row>
    <row r="149" spans="1:20" x14ac:dyDescent="0.25">
      <c r="A149">
        <v>18013</v>
      </c>
      <c r="B149" t="s">
        <v>35</v>
      </c>
      <c r="C149">
        <v>3</v>
      </c>
      <c r="D149" s="3">
        <f>parking_demand_data_2024_ver0!D149*calibration!$I$31</f>
        <v>0</v>
      </c>
      <c r="E149" s="3">
        <f>parking_demand_data_2024_ver0!E149*calibration!$I$31</f>
        <v>0</v>
      </c>
      <c r="F149" s="3">
        <f t="shared" si="2"/>
        <v>0</v>
      </c>
      <c r="G149" s="3">
        <f>parking_demand_data_2024_ver0!F149</f>
        <v>0</v>
      </c>
      <c r="H149" s="3">
        <f>parking_demand_data_2024_ver0!G149</f>
        <v>0</v>
      </c>
      <c r="I149" s="3">
        <f>parking_demand_data_2024_ver0!H149</f>
        <v>0</v>
      </c>
      <c r="J149" s="3">
        <f>parking_demand_data_2024_ver0!I149</f>
        <v>0</v>
      </c>
      <c r="K149" s="3">
        <f>parking_demand_data_2024_ver0!J149</f>
        <v>0</v>
      </c>
      <c r="L149" s="3">
        <f>parking_demand_data_2024_ver0!K149</f>
        <v>0</v>
      </c>
      <c r="M149" s="3">
        <f>parking_demand_data_2024_ver0!L149</f>
        <v>0</v>
      </c>
      <c r="N149" s="3">
        <f>parking_demand_data_2024_ver0!M149</f>
        <v>0</v>
      </c>
      <c r="O149" s="3">
        <f>parking_demand_data_2024_ver0!N149</f>
        <v>0</v>
      </c>
      <c r="P149" s="3">
        <f>parking_demand_data_2024_ver0!O149</f>
        <v>0</v>
      </c>
      <c r="Q149" s="3">
        <f>parking_demand_data_2024_ver0!P149</f>
        <v>0</v>
      </c>
      <c r="R149" s="3">
        <f>parking_demand_data_2024_ver0!Q149</f>
        <v>0</v>
      </c>
      <c r="S149" s="3">
        <f>parking_demand_data_2024_ver0!R149</f>
        <v>0</v>
      </c>
      <c r="T149" s="3">
        <f>parking_demand_data_2024_ver0!S149</f>
        <v>0</v>
      </c>
    </row>
    <row r="150" spans="1:20" x14ac:dyDescent="0.25">
      <c r="A150">
        <v>18013</v>
      </c>
      <c r="B150" t="s">
        <v>35</v>
      </c>
      <c r="C150">
        <v>4</v>
      </c>
      <c r="D150" s="3">
        <f>parking_demand_data_2024_ver0!D150*calibration!$I$31</f>
        <v>0</v>
      </c>
      <c r="E150" s="3">
        <f>parking_demand_data_2024_ver0!E150*calibration!$I$31</f>
        <v>0</v>
      </c>
      <c r="F150" s="3">
        <f t="shared" si="2"/>
        <v>0</v>
      </c>
      <c r="G150" s="3">
        <f>parking_demand_data_2024_ver0!F150</f>
        <v>0</v>
      </c>
      <c r="H150" s="3">
        <f>parking_demand_data_2024_ver0!G150</f>
        <v>0</v>
      </c>
      <c r="I150" s="3">
        <f>parking_demand_data_2024_ver0!H150</f>
        <v>0</v>
      </c>
      <c r="J150" s="3">
        <f>parking_demand_data_2024_ver0!I150</f>
        <v>0</v>
      </c>
      <c r="K150" s="3">
        <f>parking_demand_data_2024_ver0!J150</f>
        <v>0</v>
      </c>
      <c r="L150" s="3">
        <f>parking_demand_data_2024_ver0!K150</f>
        <v>0</v>
      </c>
      <c r="M150" s="3">
        <f>parking_demand_data_2024_ver0!L150</f>
        <v>0</v>
      </c>
      <c r="N150" s="3">
        <f>parking_demand_data_2024_ver0!M150</f>
        <v>0</v>
      </c>
      <c r="O150" s="3">
        <f>parking_demand_data_2024_ver0!N150</f>
        <v>0</v>
      </c>
      <c r="P150" s="3">
        <f>parking_demand_data_2024_ver0!O150</f>
        <v>0</v>
      </c>
      <c r="Q150" s="3">
        <f>parking_demand_data_2024_ver0!P150</f>
        <v>0</v>
      </c>
      <c r="R150" s="3">
        <f>parking_demand_data_2024_ver0!Q150</f>
        <v>0</v>
      </c>
      <c r="S150" s="3">
        <f>parking_demand_data_2024_ver0!R150</f>
        <v>0</v>
      </c>
      <c r="T150" s="3">
        <f>parking_demand_data_2024_ver0!S150</f>
        <v>0</v>
      </c>
    </row>
    <row r="151" spans="1:20" x14ac:dyDescent="0.25">
      <c r="A151">
        <v>18013</v>
      </c>
      <c r="B151" t="s">
        <v>35</v>
      </c>
      <c r="C151">
        <v>5</v>
      </c>
      <c r="D151" s="3">
        <f>parking_demand_data_2024_ver0!D151*calibration!$I$31</f>
        <v>0</v>
      </c>
      <c r="E151" s="3">
        <f>parking_demand_data_2024_ver0!E151*calibration!$I$31</f>
        <v>0</v>
      </c>
      <c r="F151" s="3">
        <f t="shared" si="2"/>
        <v>0</v>
      </c>
      <c r="G151" s="3">
        <f>parking_demand_data_2024_ver0!F151</f>
        <v>0</v>
      </c>
      <c r="H151" s="3">
        <f>parking_demand_data_2024_ver0!G151</f>
        <v>0</v>
      </c>
      <c r="I151" s="3">
        <f>parking_demand_data_2024_ver0!H151</f>
        <v>0</v>
      </c>
      <c r="J151" s="3">
        <f>parking_demand_data_2024_ver0!I151</f>
        <v>0</v>
      </c>
      <c r="K151" s="3">
        <f>parking_demand_data_2024_ver0!J151</f>
        <v>0</v>
      </c>
      <c r="L151" s="3">
        <f>parking_demand_data_2024_ver0!K151</f>
        <v>0</v>
      </c>
      <c r="M151" s="3">
        <f>parking_demand_data_2024_ver0!L151</f>
        <v>0</v>
      </c>
      <c r="N151" s="3">
        <f>parking_demand_data_2024_ver0!M151</f>
        <v>0</v>
      </c>
      <c r="O151" s="3">
        <f>parking_demand_data_2024_ver0!N151</f>
        <v>0</v>
      </c>
      <c r="P151" s="3">
        <f>parking_demand_data_2024_ver0!O151</f>
        <v>0</v>
      </c>
      <c r="Q151" s="3">
        <f>parking_demand_data_2024_ver0!P151</f>
        <v>0</v>
      </c>
      <c r="R151" s="3">
        <f>parking_demand_data_2024_ver0!Q151</f>
        <v>0</v>
      </c>
      <c r="S151" s="3">
        <f>parking_demand_data_2024_ver0!R151</f>
        <v>0</v>
      </c>
      <c r="T151" s="3">
        <f>parking_demand_data_2024_ver0!S151</f>
        <v>0</v>
      </c>
    </row>
    <row r="152" spans="1:20" x14ac:dyDescent="0.25">
      <c r="A152">
        <v>18013</v>
      </c>
      <c r="B152" t="s">
        <v>35</v>
      </c>
      <c r="C152">
        <v>6</v>
      </c>
      <c r="D152" s="3">
        <f>parking_demand_data_2024_ver0!D152*calibration!$I$31</f>
        <v>0</v>
      </c>
      <c r="E152" s="3">
        <f>parking_demand_data_2024_ver0!E152*calibration!$I$31</f>
        <v>0</v>
      </c>
      <c r="F152" s="3">
        <f t="shared" si="2"/>
        <v>0</v>
      </c>
      <c r="G152" s="3">
        <f>parking_demand_data_2024_ver0!F152</f>
        <v>0</v>
      </c>
      <c r="H152" s="3">
        <f>parking_demand_data_2024_ver0!G152</f>
        <v>0</v>
      </c>
      <c r="I152" s="3">
        <f>parking_demand_data_2024_ver0!H152</f>
        <v>0</v>
      </c>
      <c r="J152" s="3">
        <f>parking_demand_data_2024_ver0!I152</f>
        <v>0</v>
      </c>
      <c r="K152" s="3">
        <f>parking_demand_data_2024_ver0!J152</f>
        <v>0</v>
      </c>
      <c r="L152" s="3">
        <f>parking_demand_data_2024_ver0!K152</f>
        <v>0</v>
      </c>
      <c r="M152" s="3">
        <f>parking_demand_data_2024_ver0!L152</f>
        <v>0</v>
      </c>
      <c r="N152" s="3">
        <f>parking_demand_data_2024_ver0!M152</f>
        <v>0</v>
      </c>
      <c r="O152" s="3">
        <f>parking_demand_data_2024_ver0!N152</f>
        <v>0</v>
      </c>
      <c r="P152" s="3">
        <f>parking_demand_data_2024_ver0!O152</f>
        <v>0</v>
      </c>
      <c r="Q152" s="3">
        <f>parking_demand_data_2024_ver0!P152</f>
        <v>0</v>
      </c>
      <c r="R152" s="3">
        <f>parking_demand_data_2024_ver0!Q152</f>
        <v>0</v>
      </c>
      <c r="S152" s="3">
        <f>parking_demand_data_2024_ver0!R152</f>
        <v>0</v>
      </c>
      <c r="T152" s="3">
        <f>parking_demand_data_2024_ver0!S152</f>
        <v>0</v>
      </c>
    </row>
    <row r="153" spans="1:20" x14ac:dyDescent="0.25">
      <c r="A153">
        <v>18013</v>
      </c>
      <c r="B153" t="s">
        <v>35</v>
      </c>
      <c r="C153">
        <v>7</v>
      </c>
      <c r="D153" s="3">
        <f>parking_demand_data_2024_ver0!D153*calibration!$I$31</f>
        <v>0</v>
      </c>
      <c r="E153" s="3">
        <f>parking_demand_data_2024_ver0!E153*calibration!$I$31</f>
        <v>0</v>
      </c>
      <c r="F153" s="3">
        <f t="shared" si="2"/>
        <v>0</v>
      </c>
      <c r="G153" s="3">
        <f>parking_demand_data_2024_ver0!F153</f>
        <v>0</v>
      </c>
      <c r="H153" s="3">
        <f>parking_demand_data_2024_ver0!G153</f>
        <v>0</v>
      </c>
      <c r="I153" s="3">
        <f>parking_demand_data_2024_ver0!H153</f>
        <v>0</v>
      </c>
      <c r="J153" s="3">
        <f>parking_demand_data_2024_ver0!I153</f>
        <v>0</v>
      </c>
      <c r="K153" s="3">
        <f>parking_demand_data_2024_ver0!J153</f>
        <v>0</v>
      </c>
      <c r="L153" s="3">
        <f>parking_demand_data_2024_ver0!K153</f>
        <v>0</v>
      </c>
      <c r="M153" s="3">
        <f>parking_demand_data_2024_ver0!L153</f>
        <v>0</v>
      </c>
      <c r="N153" s="3">
        <f>parking_demand_data_2024_ver0!M153</f>
        <v>0</v>
      </c>
      <c r="O153" s="3">
        <f>parking_demand_data_2024_ver0!N153</f>
        <v>0</v>
      </c>
      <c r="P153" s="3">
        <f>parking_demand_data_2024_ver0!O153</f>
        <v>0</v>
      </c>
      <c r="Q153" s="3">
        <f>parking_demand_data_2024_ver0!P153</f>
        <v>0</v>
      </c>
      <c r="R153" s="3">
        <f>parking_demand_data_2024_ver0!Q153</f>
        <v>0</v>
      </c>
      <c r="S153" s="3">
        <f>parking_demand_data_2024_ver0!R153</f>
        <v>0</v>
      </c>
      <c r="T153" s="3">
        <f>parking_demand_data_2024_ver0!S153</f>
        <v>0</v>
      </c>
    </row>
    <row r="154" spans="1:20" x14ac:dyDescent="0.25">
      <c r="A154">
        <v>18013</v>
      </c>
      <c r="B154" t="s">
        <v>35</v>
      </c>
      <c r="C154">
        <v>8</v>
      </c>
      <c r="D154" s="3">
        <f>parking_demand_data_2024_ver0!D154*calibration!$I$31</f>
        <v>0</v>
      </c>
      <c r="E154" s="3">
        <f>parking_demand_data_2024_ver0!E154*calibration!$I$31</f>
        <v>0</v>
      </c>
      <c r="F154" s="3">
        <f t="shared" si="2"/>
        <v>0</v>
      </c>
      <c r="G154" s="3">
        <f>parking_demand_data_2024_ver0!F154</f>
        <v>0</v>
      </c>
      <c r="H154" s="3">
        <f>parking_demand_data_2024_ver0!G154</f>
        <v>0</v>
      </c>
      <c r="I154" s="3">
        <f>parking_demand_data_2024_ver0!H154</f>
        <v>0</v>
      </c>
      <c r="J154" s="3">
        <f>parking_demand_data_2024_ver0!I154</f>
        <v>0</v>
      </c>
      <c r="K154" s="3">
        <f>parking_demand_data_2024_ver0!J154</f>
        <v>0</v>
      </c>
      <c r="L154" s="3">
        <f>parking_demand_data_2024_ver0!K154</f>
        <v>0</v>
      </c>
      <c r="M154" s="3">
        <f>parking_demand_data_2024_ver0!L154</f>
        <v>0</v>
      </c>
      <c r="N154" s="3">
        <f>parking_demand_data_2024_ver0!M154</f>
        <v>0</v>
      </c>
      <c r="O154" s="3">
        <f>parking_demand_data_2024_ver0!N154</f>
        <v>0</v>
      </c>
      <c r="P154" s="3">
        <f>parking_demand_data_2024_ver0!O154</f>
        <v>0</v>
      </c>
      <c r="Q154" s="3">
        <f>parking_demand_data_2024_ver0!P154</f>
        <v>0</v>
      </c>
      <c r="R154" s="3">
        <f>parking_demand_data_2024_ver0!Q154</f>
        <v>0</v>
      </c>
      <c r="S154" s="3">
        <f>parking_demand_data_2024_ver0!R154</f>
        <v>0</v>
      </c>
      <c r="T154" s="3">
        <f>parking_demand_data_2024_ver0!S154</f>
        <v>0</v>
      </c>
    </row>
    <row r="155" spans="1:20" x14ac:dyDescent="0.25">
      <c r="A155">
        <v>18013</v>
      </c>
      <c r="B155" t="s">
        <v>35</v>
      </c>
      <c r="C155">
        <v>9</v>
      </c>
      <c r="D155" s="3">
        <f>parking_demand_data_2024_ver0!D155*calibration!$I$31</f>
        <v>0</v>
      </c>
      <c r="E155" s="3">
        <f>parking_demand_data_2024_ver0!E155*calibration!$I$31</f>
        <v>0</v>
      </c>
      <c r="F155" s="3">
        <f t="shared" si="2"/>
        <v>0</v>
      </c>
      <c r="G155" s="3">
        <f>parking_demand_data_2024_ver0!F155</f>
        <v>0</v>
      </c>
      <c r="H155" s="3">
        <f>parking_demand_data_2024_ver0!G155</f>
        <v>0</v>
      </c>
      <c r="I155" s="3">
        <f>parking_demand_data_2024_ver0!H155</f>
        <v>0</v>
      </c>
      <c r="J155" s="3">
        <f>parking_demand_data_2024_ver0!I155</f>
        <v>0</v>
      </c>
      <c r="K155" s="3">
        <f>parking_demand_data_2024_ver0!J155</f>
        <v>0</v>
      </c>
      <c r="L155" s="3">
        <f>parking_demand_data_2024_ver0!K155</f>
        <v>0</v>
      </c>
      <c r="M155" s="3">
        <f>parking_demand_data_2024_ver0!L155</f>
        <v>0</v>
      </c>
      <c r="N155" s="3">
        <f>parking_demand_data_2024_ver0!M155</f>
        <v>0</v>
      </c>
      <c r="O155" s="3">
        <f>parking_demand_data_2024_ver0!N155</f>
        <v>0</v>
      </c>
      <c r="P155" s="3">
        <f>parking_demand_data_2024_ver0!O155</f>
        <v>0</v>
      </c>
      <c r="Q155" s="3">
        <f>parking_demand_data_2024_ver0!P155</f>
        <v>0</v>
      </c>
      <c r="R155" s="3">
        <f>parking_demand_data_2024_ver0!Q155</f>
        <v>0</v>
      </c>
      <c r="S155" s="3">
        <f>parking_demand_data_2024_ver0!R155</f>
        <v>0</v>
      </c>
      <c r="T155" s="3">
        <f>parking_demand_data_2024_ver0!S155</f>
        <v>0</v>
      </c>
    </row>
    <row r="156" spans="1:20" x14ac:dyDescent="0.25">
      <c r="A156">
        <v>18013</v>
      </c>
      <c r="B156" t="s">
        <v>35</v>
      </c>
      <c r="C156">
        <v>10</v>
      </c>
      <c r="D156" s="3">
        <f>parking_demand_data_2024_ver0!D156*calibration!$I$31</f>
        <v>0</v>
      </c>
      <c r="E156" s="3">
        <f>parking_demand_data_2024_ver0!E156*calibration!$I$31</f>
        <v>0</v>
      </c>
      <c r="F156" s="3">
        <f t="shared" si="2"/>
        <v>0</v>
      </c>
      <c r="G156" s="3">
        <f>parking_demand_data_2024_ver0!F156</f>
        <v>0</v>
      </c>
      <c r="H156" s="3">
        <f>parking_demand_data_2024_ver0!G156</f>
        <v>0</v>
      </c>
      <c r="I156" s="3">
        <f>parking_demand_data_2024_ver0!H156</f>
        <v>0</v>
      </c>
      <c r="J156" s="3">
        <f>parking_demand_data_2024_ver0!I156</f>
        <v>0</v>
      </c>
      <c r="K156" s="3">
        <f>parking_demand_data_2024_ver0!J156</f>
        <v>0</v>
      </c>
      <c r="L156" s="3">
        <f>parking_demand_data_2024_ver0!K156</f>
        <v>0</v>
      </c>
      <c r="M156" s="3">
        <f>parking_demand_data_2024_ver0!L156</f>
        <v>0</v>
      </c>
      <c r="N156" s="3">
        <f>parking_demand_data_2024_ver0!M156</f>
        <v>0</v>
      </c>
      <c r="O156" s="3">
        <f>parking_demand_data_2024_ver0!N156</f>
        <v>0</v>
      </c>
      <c r="P156" s="3">
        <f>parking_demand_data_2024_ver0!O156</f>
        <v>0</v>
      </c>
      <c r="Q156" s="3">
        <f>parking_demand_data_2024_ver0!P156</f>
        <v>0</v>
      </c>
      <c r="R156" s="3">
        <f>parking_demand_data_2024_ver0!Q156</f>
        <v>0</v>
      </c>
      <c r="S156" s="3">
        <f>parking_demand_data_2024_ver0!R156</f>
        <v>0</v>
      </c>
      <c r="T156" s="3">
        <f>parking_demand_data_2024_ver0!S156</f>
        <v>0</v>
      </c>
    </row>
    <row r="157" spans="1:20" x14ac:dyDescent="0.25">
      <c r="A157">
        <v>18013</v>
      </c>
      <c r="B157" t="s">
        <v>35</v>
      </c>
      <c r="C157">
        <v>11</v>
      </c>
      <c r="D157" s="3">
        <f>parking_demand_data_2024_ver0!D157*calibration!$I$31</f>
        <v>0</v>
      </c>
      <c r="E157" s="3">
        <f>parking_demand_data_2024_ver0!E157*calibration!$I$31</f>
        <v>0</v>
      </c>
      <c r="F157" s="3">
        <f t="shared" si="2"/>
        <v>0</v>
      </c>
      <c r="G157" s="3">
        <f>parking_demand_data_2024_ver0!F157</f>
        <v>0</v>
      </c>
      <c r="H157" s="3">
        <f>parking_demand_data_2024_ver0!G157</f>
        <v>0</v>
      </c>
      <c r="I157" s="3">
        <f>parking_demand_data_2024_ver0!H157</f>
        <v>0</v>
      </c>
      <c r="J157" s="3">
        <f>parking_demand_data_2024_ver0!I157</f>
        <v>0</v>
      </c>
      <c r="K157" s="3">
        <f>parking_demand_data_2024_ver0!J157</f>
        <v>0</v>
      </c>
      <c r="L157" s="3">
        <f>parking_demand_data_2024_ver0!K157</f>
        <v>0</v>
      </c>
      <c r="M157" s="3">
        <f>parking_demand_data_2024_ver0!L157</f>
        <v>0</v>
      </c>
      <c r="N157" s="3">
        <f>parking_demand_data_2024_ver0!M157</f>
        <v>0</v>
      </c>
      <c r="O157" s="3">
        <f>parking_demand_data_2024_ver0!N157</f>
        <v>0</v>
      </c>
      <c r="P157" s="3">
        <f>parking_demand_data_2024_ver0!O157</f>
        <v>0</v>
      </c>
      <c r="Q157" s="3">
        <f>parking_demand_data_2024_ver0!P157</f>
        <v>0</v>
      </c>
      <c r="R157" s="3">
        <f>parking_demand_data_2024_ver0!Q157</f>
        <v>0</v>
      </c>
      <c r="S157" s="3">
        <f>parking_demand_data_2024_ver0!R157</f>
        <v>0</v>
      </c>
      <c r="T157" s="3">
        <f>parking_demand_data_2024_ver0!S157</f>
        <v>0</v>
      </c>
    </row>
    <row r="158" spans="1:20" x14ac:dyDescent="0.25">
      <c r="A158">
        <v>18013</v>
      </c>
      <c r="B158" t="s">
        <v>35</v>
      </c>
      <c r="C158">
        <v>12</v>
      </c>
      <c r="D158" s="3">
        <f>parking_demand_data_2024_ver0!D158*calibration!$I$31</f>
        <v>0</v>
      </c>
      <c r="E158" s="3">
        <f>parking_demand_data_2024_ver0!E158*calibration!$I$31</f>
        <v>0</v>
      </c>
      <c r="F158" s="3">
        <f t="shared" si="2"/>
        <v>0</v>
      </c>
      <c r="G158" s="3">
        <f>parking_demand_data_2024_ver0!F158</f>
        <v>0</v>
      </c>
      <c r="H158" s="3">
        <f>parking_demand_data_2024_ver0!G158</f>
        <v>0</v>
      </c>
      <c r="I158" s="3">
        <f>parking_demand_data_2024_ver0!H158</f>
        <v>0</v>
      </c>
      <c r="J158" s="3">
        <f>parking_demand_data_2024_ver0!I158</f>
        <v>0</v>
      </c>
      <c r="K158" s="3">
        <f>parking_demand_data_2024_ver0!J158</f>
        <v>0</v>
      </c>
      <c r="L158" s="3">
        <f>parking_demand_data_2024_ver0!K158</f>
        <v>0</v>
      </c>
      <c r="M158" s="3">
        <f>parking_demand_data_2024_ver0!L158</f>
        <v>0</v>
      </c>
      <c r="N158" s="3">
        <f>parking_demand_data_2024_ver0!M158</f>
        <v>0</v>
      </c>
      <c r="O158" s="3">
        <f>parking_demand_data_2024_ver0!N158</f>
        <v>0</v>
      </c>
      <c r="P158" s="3">
        <f>parking_demand_data_2024_ver0!O158</f>
        <v>0</v>
      </c>
      <c r="Q158" s="3">
        <f>parking_demand_data_2024_ver0!P158</f>
        <v>0</v>
      </c>
      <c r="R158" s="3">
        <f>parking_demand_data_2024_ver0!Q158</f>
        <v>0</v>
      </c>
      <c r="S158" s="3">
        <f>parking_demand_data_2024_ver0!R158</f>
        <v>0</v>
      </c>
      <c r="T158" s="3">
        <f>parking_demand_data_2024_ver0!S158</f>
        <v>0</v>
      </c>
    </row>
    <row r="159" spans="1:20" x14ac:dyDescent="0.25">
      <c r="A159">
        <v>18013</v>
      </c>
      <c r="B159" t="s">
        <v>35</v>
      </c>
      <c r="C159">
        <v>13</v>
      </c>
      <c r="D159" s="3">
        <f>parking_demand_data_2024_ver0!D159*calibration!$I$31</f>
        <v>0</v>
      </c>
      <c r="E159" s="3">
        <f>parking_demand_data_2024_ver0!E159*calibration!$I$31</f>
        <v>0</v>
      </c>
      <c r="F159" s="3">
        <f t="shared" si="2"/>
        <v>0</v>
      </c>
      <c r="G159" s="3">
        <f>parking_demand_data_2024_ver0!F159</f>
        <v>0</v>
      </c>
      <c r="H159" s="3">
        <f>parking_demand_data_2024_ver0!G159</f>
        <v>0</v>
      </c>
      <c r="I159" s="3">
        <f>parking_demand_data_2024_ver0!H159</f>
        <v>0</v>
      </c>
      <c r="J159" s="3">
        <f>parking_demand_data_2024_ver0!I159</f>
        <v>0</v>
      </c>
      <c r="K159" s="3">
        <f>parking_demand_data_2024_ver0!J159</f>
        <v>0</v>
      </c>
      <c r="L159" s="3">
        <f>parking_demand_data_2024_ver0!K159</f>
        <v>0</v>
      </c>
      <c r="M159" s="3">
        <f>parking_demand_data_2024_ver0!L159</f>
        <v>0</v>
      </c>
      <c r="N159" s="3">
        <f>parking_demand_data_2024_ver0!M159</f>
        <v>0</v>
      </c>
      <c r="O159" s="3">
        <f>parking_demand_data_2024_ver0!N159</f>
        <v>0</v>
      </c>
      <c r="P159" s="3">
        <f>parking_demand_data_2024_ver0!O159</f>
        <v>0</v>
      </c>
      <c r="Q159" s="3">
        <f>parking_demand_data_2024_ver0!P159</f>
        <v>0</v>
      </c>
      <c r="R159" s="3">
        <f>parking_demand_data_2024_ver0!Q159</f>
        <v>0</v>
      </c>
      <c r="S159" s="3">
        <f>parking_demand_data_2024_ver0!R159</f>
        <v>0</v>
      </c>
      <c r="T159" s="3">
        <f>parking_demand_data_2024_ver0!S159</f>
        <v>0</v>
      </c>
    </row>
    <row r="160" spans="1:20" x14ac:dyDescent="0.25">
      <c r="A160">
        <v>18013</v>
      </c>
      <c r="B160" t="s">
        <v>35</v>
      </c>
      <c r="C160">
        <v>14</v>
      </c>
      <c r="D160" s="3">
        <f>parking_demand_data_2024_ver0!D160*calibration!$I$31</f>
        <v>0</v>
      </c>
      <c r="E160" s="3">
        <f>parking_demand_data_2024_ver0!E160*calibration!$I$31</f>
        <v>0</v>
      </c>
      <c r="F160" s="3">
        <f t="shared" si="2"/>
        <v>0</v>
      </c>
      <c r="G160" s="3">
        <f>parking_demand_data_2024_ver0!F160</f>
        <v>0</v>
      </c>
      <c r="H160" s="3">
        <f>parking_demand_data_2024_ver0!G160</f>
        <v>0</v>
      </c>
      <c r="I160" s="3">
        <f>parking_demand_data_2024_ver0!H160</f>
        <v>0</v>
      </c>
      <c r="J160" s="3">
        <f>parking_demand_data_2024_ver0!I160</f>
        <v>0</v>
      </c>
      <c r="K160" s="3">
        <f>parking_demand_data_2024_ver0!J160</f>
        <v>0</v>
      </c>
      <c r="L160" s="3">
        <f>parking_demand_data_2024_ver0!K160</f>
        <v>0</v>
      </c>
      <c r="M160" s="3">
        <f>parking_demand_data_2024_ver0!L160</f>
        <v>0</v>
      </c>
      <c r="N160" s="3">
        <f>parking_demand_data_2024_ver0!M160</f>
        <v>0</v>
      </c>
      <c r="O160" s="3">
        <f>parking_demand_data_2024_ver0!N160</f>
        <v>0</v>
      </c>
      <c r="P160" s="3">
        <f>parking_demand_data_2024_ver0!O160</f>
        <v>0</v>
      </c>
      <c r="Q160" s="3">
        <f>parking_demand_data_2024_ver0!P160</f>
        <v>0</v>
      </c>
      <c r="R160" s="3">
        <f>parking_demand_data_2024_ver0!Q160</f>
        <v>0</v>
      </c>
      <c r="S160" s="3">
        <f>parking_demand_data_2024_ver0!R160</f>
        <v>0</v>
      </c>
      <c r="T160" s="3">
        <f>parking_demand_data_2024_ver0!S160</f>
        <v>0</v>
      </c>
    </row>
    <row r="161" spans="1:20" x14ac:dyDescent="0.25">
      <c r="A161">
        <v>18013</v>
      </c>
      <c r="B161" t="s">
        <v>35</v>
      </c>
      <c r="C161">
        <v>15</v>
      </c>
      <c r="D161" s="3">
        <f>parking_demand_data_2024_ver0!D161*calibration!$I$31</f>
        <v>0</v>
      </c>
      <c r="E161" s="3">
        <f>parking_demand_data_2024_ver0!E161*calibration!$I$31</f>
        <v>0</v>
      </c>
      <c r="F161" s="3">
        <f t="shared" si="2"/>
        <v>0</v>
      </c>
      <c r="G161" s="3">
        <f>parking_demand_data_2024_ver0!F161</f>
        <v>0</v>
      </c>
      <c r="H161" s="3">
        <f>parking_demand_data_2024_ver0!G161</f>
        <v>0</v>
      </c>
      <c r="I161" s="3">
        <f>parking_demand_data_2024_ver0!H161</f>
        <v>0</v>
      </c>
      <c r="J161" s="3">
        <f>parking_demand_data_2024_ver0!I161</f>
        <v>0</v>
      </c>
      <c r="K161" s="3">
        <f>parking_demand_data_2024_ver0!J161</f>
        <v>0</v>
      </c>
      <c r="L161" s="3">
        <f>parking_demand_data_2024_ver0!K161</f>
        <v>0</v>
      </c>
      <c r="M161" s="3">
        <f>parking_demand_data_2024_ver0!L161</f>
        <v>0</v>
      </c>
      <c r="N161" s="3">
        <f>parking_demand_data_2024_ver0!M161</f>
        <v>0</v>
      </c>
      <c r="O161" s="3">
        <f>parking_demand_data_2024_ver0!N161</f>
        <v>0</v>
      </c>
      <c r="P161" s="3">
        <f>parking_demand_data_2024_ver0!O161</f>
        <v>0</v>
      </c>
      <c r="Q161" s="3">
        <f>parking_demand_data_2024_ver0!P161</f>
        <v>0</v>
      </c>
      <c r="R161" s="3">
        <f>parking_demand_data_2024_ver0!Q161</f>
        <v>0</v>
      </c>
      <c r="S161" s="3">
        <f>parking_demand_data_2024_ver0!R161</f>
        <v>0</v>
      </c>
      <c r="T161" s="3">
        <f>parking_demand_data_2024_ver0!S161</f>
        <v>0</v>
      </c>
    </row>
    <row r="162" spans="1:20" x14ac:dyDescent="0.25">
      <c r="A162">
        <v>18013</v>
      </c>
      <c r="B162" t="s">
        <v>35</v>
      </c>
      <c r="C162">
        <v>16</v>
      </c>
      <c r="D162" s="3">
        <f>parking_demand_data_2024_ver0!D162*calibration!$I$31</f>
        <v>0</v>
      </c>
      <c r="E162" s="3">
        <f>parking_demand_data_2024_ver0!E162*calibration!$I$31</f>
        <v>0</v>
      </c>
      <c r="F162" s="3">
        <f t="shared" si="2"/>
        <v>0</v>
      </c>
      <c r="G162" s="3">
        <f>parking_demand_data_2024_ver0!F162</f>
        <v>0</v>
      </c>
      <c r="H162" s="3">
        <f>parking_demand_data_2024_ver0!G162</f>
        <v>0</v>
      </c>
      <c r="I162" s="3">
        <f>parking_demand_data_2024_ver0!H162</f>
        <v>0</v>
      </c>
      <c r="J162" s="3">
        <f>parking_demand_data_2024_ver0!I162</f>
        <v>0</v>
      </c>
      <c r="K162" s="3">
        <f>parking_demand_data_2024_ver0!J162</f>
        <v>0</v>
      </c>
      <c r="L162" s="3">
        <f>parking_demand_data_2024_ver0!K162</f>
        <v>0</v>
      </c>
      <c r="M162" s="3">
        <f>parking_demand_data_2024_ver0!L162</f>
        <v>0</v>
      </c>
      <c r="N162" s="3">
        <f>parking_demand_data_2024_ver0!M162</f>
        <v>0</v>
      </c>
      <c r="O162" s="3">
        <f>parking_demand_data_2024_ver0!N162</f>
        <v>0</v>
      </c>
      <c r="P162" s="3">
        <f>parking_demand_data_2024_ver0!O162</f>
        <v>0</v>
      </c>
      <c r="Q162" s="3">
        <f>parking_demand_data_2024_ver0!P162</f>
        <v>0</v>
      </c>
      <c r="R162" s="3">
        <f>parking_demand_data_2024_ver0!Q162</f>
        <v>0</v>
      </c>
      <c r="S162" s="3">
        <f>parking_demand_data_2024_ver0!R162</f>
        <v>0</v>
      </c>
      <c r="T162" s="3">
        <f>parking_demand_data_2024_ver0!S162</f>
        <v>0</v>
      </c>
    </row>
    <row r="163" spans="1:20" x14ac:dyDescent="0.25">
      <c r="A163">
        <v>18013</v>
      </c>
      <c r="B163" t="s">
        <v>35</v>
      </c>
      <c r="C163">
        <v>17</v>
      </c>
      <c r="D163" s="3">
        <f>parking_demand_data_2024_ver0!D163*calibration!$I$31</f>
        <v>0</v>
      </c>
      <c r="E163" s="3">
        <f>parking_demand_data_2024_ver0!E163*calibration!$I$31</f>
        <v>0</v>
      </c>
      <c r="F163" s="3">
        <f t="shared" si="2"/>
        <v>0</v>
      </c>
      <c r="G163" s="3">
        <f>parking_demand_data_2024_ver0!F163</f>
        <v>0</v>
      </c>
      <c r="H163" s="3">
        <f>parking_demand_data_2024_ver0!G163</f>
        <v>0</v>
      </c>
      <c r="I163" s="3">
        <f>parking_demand_data_2024_ver0!H163</f>
        <v>0</v>
      </c>
      <c r="J163" s="3">
        <f>parking_demand_data_2024_ver0!I163</f>
        <v>0</v>
      </c>
      <c r="K163" s="3">
        <f>parking_demand_data_2024_ver0!J163</f>
        <v>0</v>
      </c>
      <c r="L163" s="3">
        <f>parking_demand_data_2024_ver0!K163</f>
        <v>0</v>
      </c>
      <c r="M163" s="3">
        <f>parking_demand_data_2024_ver0!L163</f>
        <v>0</v>
      </c>
      <c r="N163" s="3">
        <f>parking_demand_data_2024_ver0!M163</f>
        <v>0</v>
      </c>
      <c r="O163" s="3">
        <f>parking_demand_data_2024_ver0!N163</f>
        <v>0</v>
      </c>
      <c r="P163" s="3">
        <f>parking_demand_data_2024_ver0!O163</f>
        <v>0</v>
      </c>
      <c r="Q163" s="3">
        <f>parking_demand_data_2024_ver0!P163</f>
        <v>0</v>
      </c>
      <c r="R163" s="3">
        <f>parking_demand_data_2024_ver0!Q163</f>
        <v>0</v>
      </c>
      <c r="S163" s="3">
        <f>parking_demand_data_2024_ver0!R163</f>
        <v>0</v>
      </c>
      <c r="T163" s="3">
        <f>parking_demand_data_2024_ver0!S163</f>
        <v>0</v>
      </c>
    </row>
    <row r="164" spans="1:20" x14ac:dyDescent="0.25">
      <c r="A164">
        <v>18013</v>
      </c>
      <c r="B164" t="s">
        <v>35</v>
      </c>
      <c r="C164">
        <v>18</v>
      </c>
      <c r="D164" s="3">
        <f>parking_demand_data_2024_ver0!D164*calibration!$I$31</f>
        <v>0</v>
      </c>
      <c r="E164" s="3">
        <f>parking_demand_data_2024_ver0!E164*calibration!$I$31</f>
        <v>0</v>
      </c>
      <c r="F164" s="3">
        <f t="shared" si="2"/>
        <v>0</v>
      </c>
      <c r="G164" s="3">
        <f>parking_demand_data_2024_ver0!F164</f>
        <v>0</v>
      </c>
      <c r="H164" s="3">
        <f>parking_demand_data_2024_ver0!G164</f>
        <v>0</v>
      </c>
      <c r="I164" s="3">
        <f>parking_demand_data_2024_ver0!H164</f>
        <v>0</v>
      </c>
      <c r="J164" s="3">
        <f>parking_demand_data_2024_ver0!I164</f>
        <v>0</v>
      </c>
      <c r="K164" s="3">
        <f>parking_demand_data_2024_ver0!J164</f>
        <v>0</v>
      </c>
      <c r="L164" s="3">
        <f>parking_demand_data_2024_ver0!K164</f>
        <v>0</v>
      </c>
      <c r="M164" s="3">
        <f>parking_demand_data_2024_ver0!L164</f>
        <v>0</v>
      </c>
      <c r="N164" s="3">
        <f>parking_demand_data_2024_ver0!M164</f>
        <v>0</v>
      </c>
      <c r="O164" s="3">
        <f>parking_demand_data_2024_ver0!N164</f>
        <v>0</v>
      </c>
      <c r="P164" s="3">
        <f>parking_demand_data_2024_ver0!O164</f>
        <v>0</v>
      </c>
      <c r="Q164" s="3">
        <f>parking_demand_data_2024_ver0!P164</f>
        <v>0</v>
      </c>
      <c r="R164" s="3">
        <f>parking_demand_data_2024_ver0!Q164</f>
        <v>0</v>
      </c>
      <c r="S164" s="3">
        <f>parking_demand_data_2024_ver0!R164</f>
        <v>0</v>
      </c>
      <c r="T164" s="3">
        <f>parking_demand_data_2024_ver0!S164</f>
        <v>0</v>
      </c>
    </row>
    <row r="165" spans="1:20" x14ac:dyDescent="0.25">
      <c r="A165">
        <v>18013</v>
      </c>
      <c r="B165" t="s">
        <v>35</v>
      </c>
      <c r="C165">
        <v>19</v>
      </c>
      <c r="D165" s="3">
        <f>parking_demand_data_2024_ver0!D165*calibration!$I$31</f>
        <v>0</v>
      </c>
      <c r="E165" s="3">
        <f>parking_demand_data_2024_ver0!E165*calibration!$I$31</f>
        <v>0</v>
      </c>
      <c r="F165" s="3">
        <f t="shared" si="2"/>
        <v>0</v>
      </c>
      <c r="G165" s="3">
        <f>parking_demand_data_2024_ver0!F165</f>
        <v>0</v>
      </c>
      <c r="H165" s="3">
        <f>parking_demand_data_2024_ver0!G165</f>
        <v>0</v>
      </c>
      <c r="I165" s="3">
        <f>parking_demand_data_2024_ver0!H165</f>
        <v>0</v>
      </c>
      <c r="J165" s="3">
        <f>parking_demand_data_2024_ver0!I165</f>
        <v>0</v>
      </c>
      <c r="K165" s="3">
        <f>parking_demand_data_2024_ver0!J165</f>
        <v>0</v>
      </c>
      <c r="L165" s="3">
        <f>parking_demand_data_2024_ver0!K165</f>
        <v>0</v>
      </c>
      <c r="M165" s="3">
        <f>parking_demand_data_2024_ver0!L165</f>
        <v>0</v>
      </c>
      <c r="N165" s="3">
        <f>parking_demand_data_2024_ver0!M165</f>
        <v>0</v>
      </c>
      <c r="O165" s="3">
        <f>parking_demand_data_2024_ver0!N165</f>
        <v>0</v>
      </c>
      <c r="P165" s="3">
        <f>parking_demand_data_2024_ver0!O165</f>
        <v>0</v>
      </c>
      <c r="Q165" s="3">
        <f>parking_demand_data_2024_ver0!P165</f>
        <v>0</v>
      </c>
      <c r="R165" s="3">
        <f>parking_demand_data_2024_ver0!Q165</f>
        <v>0</v>
      </c>
      <c r="S165" s="3">
        <f>parking_demand_data_2024_ver0!R165</f>
        <v>0</v>
      </c>
      <c r="T165" s="3">
        <f>parking_demand_data_2024_ver0!S165</f>
        <v>0</v>
      </c>
    </row>
    <row r="166" spans="1:20" x14ac:dyDescent="0.25">
      <c r="A166">
        <v>18013</v>
      </c>
      <c r="B166" t="s">
        <v>35</v>
      </c>
      <c r="C166">
        <v>20</v>
      </c>
      <c r="D166" s="3">
        <f>parking_demand_data_2024_ver0!D166*calibration!$I$31</f>
        <v>0</v>
      </c>
      <c r="E166" s="3">
        <f>parking_demand_data_2024_ver0!E166*calibration!$I$31</f>
        <v>0</v>
      </c>
      <c r="F166" s="3">
        <f t="shared" si="2"/>
        <v>0</v>
      </c>
      <c r="G166" s="3">
        <f>parking_demand_data_2024_ver0!F166</f>
        <v>0</v>
      </c>
      <c r="H166" s="3">
        <f>parking_demand_data_2024_ver0!G166</f>
        <v>0</v>
      </c>
      <c r="I166" s="3">
        <f>parking_demand_data_2024_ver0!H166</f>
        <v>0</v>
      </c>
      <c r="J166" s="3">
        <f>parking_demand_data_2024_ver0!I166</f>
        <v>0</v>
      </c>
      <c r="K166" s="3">
        <f>parking_demand_data_2024_ver0!J166</f>
        <v>0</v>
      </c>
      <c r="L166" s="3">
        <f>parking_demand_data_2024_ver0!K166</f>
        <v>0</v>
      </c>
      <c r="M166" s="3">
        <f>parking_demand_data_2024_ver0!L166</f>
        <v>0</v>
      </c>
      <c r="N166" s="3">
        <f>parking_demand_data_2024_ver0!M166</f>
        <v>0</v>
      </c>
      <c r="O166" s="3">
        <f>parking_demand_data_2024_ver0!N166</f>
        <v>0</v>
      </c>
      <c r="P166" s="3">
        <f>parking_demand_data_2024_ver0!O166</f>
        <v>0</v>
      </c>
      <c r="Q166" s="3">
        <f>parking_demand_data_2024_ver0!P166</f>
        <v>0</v>
      </c>
      <c r="R166" s="3">
        <f>parking_demand_data_2024_ver0!Q166</f>
        <v>0</v>
      </c>
      <c r="S166" s="3">
        <f>parking_demand_data_2024_ver0!R166</f>
        <v>0</v>
      </c>
      <c r="T166" s="3">
        <f>parking_demand_data_2024_ver0!S166</f>
        <v>0</v>
      </c>
    </row>
    <row r="167" spans="1:20" x14ac:dyDescent="0.25">
      <c r="A167">
        <v>18013</v>
      </c>
      <c r="B167" t="s">
        <v>35</v>
      </c>
      <c r="C167">
        <v>21</v>
      </c>
      <c r="D167" s="3">
        <f>parking_demand_data_2024_ver0!D167*calibration!$I$31</f>
        <v>0</v>
      </c>
      <c r="E167" s="3">
        <f>parking_demand_data_2024_ver0!E167*calibration!$I$31</f>
        <v>0</v>
      </c>
      <c r="F167" s="3">
        <f t="shared" si="2"/>
        <v>0</v>
      </c>
      <c r="G167" s="3">
        <f>parking_demand_data_2024_ver0!F167</f>
        <v>0</v>
      </c>
      <c r="H167" s="3">
        <f>parking_demand_data_2024_ver0!G167</f>
        <v>0</v>
      </c>
      <c r="I167" s="3">
        <f>parking_demand_data_2024_ver0!H167</f>
        <v>0</v>
      </c>
      <c r="J167" s="3">
        <f>parking_demand_data_2024_ver0!I167</f>
        <v>0</v>
      </c>
      <c r="K167" s="3">
        <f>parking_demand_data_2024_ver0!J167</f>
        <v>0</v>
      </c>
      <c r="L167" s="3">
        <f>parking_demand_data_2024_ver0!K167</f>
        <v>0</v>
      </c>
      <c r="M167" s="3">
        <f>parking_demand_data_2024_ver0!L167</f>
        <v>0</v>
      </c>
      <c r="N167" s="3">
        <f>parking_demand_data_2024_ver0!M167</f>
        <v>0</v>
      </c>
      <c r="O167" s="3">
        <f>parking_demand_data_2024_ver0!N167</f>
        <v>0</v>
      </c>
      <c r="P167" s="3">
        <f>parking_demand_data_2024_ver0!O167</f>
        <v>0</v>
      </c>
      <c r="Q167" s="3">
        <f>parking_demand_data_2024_ver0!P167</f>
        <v>0</v>
      </c>
      <c r="R167" s="3">
        <f>parking_demand_data_2024_ver0!Q167</f>
        <v>0</v>
      </c>
      <c r="S167" s="3">
        <f>parking_demand_data_2024_ver0!R167</f>
        <v>0</v>
      </c>
      <c r="T167" s="3">
        <f>parking_demand_data_2024_ver0!S167</f>
        <v>0</v>
      </c>
    </row>
    <row r="168" spans="1:20" x14ac:dyDescent="0.25">
      <c r="A168">
        <v>18013</v>
      </c>
      <c r="B168" t="s">
        <v>35</v>
      </c>
      <c r="C168">
        <v>22</v>
      </c>
      <c r="D168" s="3">
        <f>parking_demand_data_2024_ver0!D168*calibration!$I$31</f>
        <v>0</v>
      </c>
      <c r="E168" s="3">
        <f>parking_demand_data_2024_ver0!E168*calibration!$I$31</f>
        <v>0</v>
      </c>
      <c r="F168" s="3">
        <f t="shared" si="2"/>
        <v>0</v>
      </c>
      <c r="G168" s="3">
        <f>parking_demand_data_2024_ver0!F168</f>
        <v>0</v>
      </c>
      <c r="H168" s="3">
        <f>parking_demand_data_2024_ver0!G168</f>
        <v>0</v>
      </c>
      <c r="I168" s="3">
        <f>parking_demand_data_2024_ver0!H168</f>
        <v>0</v>
      </c>
      <c r="J168" s="3">
        <f>parking_demand_data_2024_ver0!I168</f>
        <v>0</v>
      </c>
      <c r="K168" s="3">
        <f>parking_demand_data_2024_ver0!J168</f>
        <v>0</v>
      </c>
      <c r="L168" s="3">
        <f>parking_demand_data_2024_ver0!K168</f>
        <v>0</v>
      </c>
      <c r="M168" s="3">
        <f>parking_demand_data_2024_ver0!L168</f>
        <v>0</v>
      </c>
      <c r="N168" s="3">
        <f>parking_demand_data_2024_ver0!M168</f>
        <v>0</v>
      </c>
      <c r="O168" s="3">
        <f>parking_demand_data_2024_ver0!N168</f>
        <v>0</v>
      </c>
      <c r="P168" s="3">
        <f>parking_demand_data_2024_ver0!O168</f>
        <v>0</v>
      </c>
      <c r="Q168" s="3">
        <f>parking_demand_data_2024_ver0!P168</f>
        <v>0</v>
      </c>
      <c r="R168" s="3">
        <f>parking_demand_data_2024_ver0!Q168</f>
        <v>0</v>
      </c>
      <c r="S168" s="3">
        <f>parking_demand_data_2024_ver0!R168</f>
        <v>0</v>
      </c>
      <c r="T168" s="3">
        <f>parking_demand_data_2024_ver0!S168</f>
        <v>0</v>
      </c>
    </row>
    <row r="169" spans="1:20" x14ac:dyDescent="0.25">
      <c r="A169">
        <v>18013</v>
      </c>
      <c r="B169" t="s">
        <v>35</v>
      </c>
      <c r="C169">
        <v>23</v>
      </c>
      <c r="D169" s="3">
        <f>parking_demand_data_2024_ver0!D169*calibration!$I$31</f>
        <v>0</v>
      </c>
      <c r="E169" s="3">
        <f>parking_demand_data_2024_ver0!E169*calibration!$I$31</f>
        <v>0</v>
      </c>
      <c r="F169" s="3">
        <f t="shared" si="2"/>
        <v>0</v>
      </c>
      <c r="G169" s="3">
        <f>parking_demand_data_2024_ver0!F169</f>
        <v>0</v>
      </c>
      <c r="H169" s="3">
        <f>parking_demand_data_2024_ver0!G169</f>
        <v>0</v>
      </c>
      <c r="I169" s="3">
        <f>parking_demand_data_2024_ver0!H169</f>
        <v>0</v>
      </c>
      <c r="J169" s="3">
        <f>parking_demand_data_2024_ver0!I169</f>
        <v>0</v>
      </c>
      <c r="K169" s="3">
        <f>parking_demand_data_2024_ver0!J169</f>
        <v>0</v>
      </c>
      <c r="L169" s="3">
        <f>parking_demand_data_2024_ver0!K169</f>
        <v>0</v>
      </c>
      <c r="M169" s="3">
        <f>parking_demand_data_2024_ver0!L169</f>
        <v>0</v>
      </c>
      <c r="N169" s="3">
        <f>parking_demand_data_2024_ver0!M169</f>
        <v>0</v>
      </c>
      <c r="O169" s="3">
        <f>parking_demand_data_2024_ver0!N169</f>
        <v>0</v>
      </c>
      <c r="P169" s="3">
        <f>parking_demand_data_2024_ver0!O169</f>
        <v>0</v>
      </c>
      <c r="Q169" s="3">
        <f>parking_demand_data_2024_ver0!P169</f>
        <v>0</v>
      </c>
      <c r="R169" s="3">
        <f>parking_demand_data_2024_ver0!Q169</f>
        <v>0</v>
      </c>
      <c r="S169" s="3">
        <f>parking_demand_data_2024_ver0!R169</f>
        <v>0</v>
      </c>
      <c r="T169" s="3">
        <f>parking_demand_data_2024_ver0!S169</f>
        <v>0</v>
      </c>
    </row>
    <row r="170" spans="1:20" x14ac:dyDescent="0.25">
      <c r="A170">
        <v>18015</v>
      </c>
      <c r="B170" t="s">
        <v>36</v>
      </c>
      <c r="C170">
        <v>0</v>
      </c>
      <c r="D170" s="3">
        <f>parking_demand_data_2024_ver0!D170*calibration!$I$31</f>
        <v>0</v>
      </c>
      <c r="E170" s="3">
        <f>parking_demand_data_2024_ver0!E170*calibration!$I$31</f>
        <v>0.120289643046572</v>
      </c>
      <c r="F170" s="3">
        <f t="shared" si="2"/>
        <v>0.120289643046572</v>
      </c>
      <c r="G170" s="3">
        <f>parking_demand_data_2024_ver0!F170</f>
        <v>0</v>
      </c>
      <c r="H170" s="3">
        <f>parking_demand_data_2024_ver0!G170</f>
        <v>0</v>
      </c>
      <c r="I170" s="3">
        <f>parking_demand_data_2024_ver0!H170</f>
        <v>0</v>
      </c>
      <c r="J170" s="3">
        <f>parking_demand_data_2024_ver0!I170</f>
        <v>0</v>
      </c>
      <c r="K170" s="3">
        <f>parking_demand_data_2024_ver0!J170</f>
        <v>0</v>
      </c>
      <c r="L170" s="3">
        <f>parking_demand_data_2024_ver0!K170</f>
        <v>0</v>
      </c>
      <c r="M170" s="3">
        <f>parking_demand_data_2024_ver0!L170</f>
        <v>0</v>
      </c>
      <c r="N170" s="3">
        <f>parking_demand_data_2024_ver0!M170</f>
        <v>0</v>
      </c>
      <c r="O170" s="3">
        <f>parking_demand_data_2024_ver0!N170</f>
        <v>0</v>
      </c>
      <c r="P170" s="3">
        <f>parking_demand_data_2024_ver0!O170</f>
        <v>0</v>
      </c>
      <c r="Q170" s="3">
        <f>parking_demand_data_2024_ver0!P170</f>
        <v>0</v>
      </c>
      <c r="R170" s="3">
        <f>parking_demand_data_2024_ver0!Q170</f>
        <v>0</v>
      </c>
      <c r="S170" s="3">
        <f>parking_demand_data_2024_ver0!R170</f>
        <v>0</v>
      </c>
      <c r="T170" s="3">
        <f>parking_demand_data_2024_ver0!S170</f>
        <v>0</v>
      </c>
    </row>
    <row r="171" spans="1:20" x14ac:dyDescent="0.25">
      <c r="A171">
        <v>18015</v>
      </c>
      <c r="B171" t="s">
        <v>36</v>
      </c>
      <c r="C171">
        <v>1</v>
      </c>
      <c r="D171" s="3">
        <f>parking_demand_data_2024_ver0!D171*calibration!$I$31</f>
        <v>0</v>
      </c>
      <c r="E171" s="3">
        <f>parking_demand_data_2024_ver0!E171*calibration!$I$31</f>
        <v>0.16038619072876201</v>
      </c>
      <c r="F171" s="3">
        <f t="shared" si="2"/>
        <v>0.16038619072876201</v>
      </c>
      <c r="G171" s="3">
        <f>parking_demand_data_2024_ver0!F171</f>
        <v>0</v>
      </c>
      <c r="H171" s="3">
        <f>parking_demand_data_2024_ver0!G171</f>
        <v>0</v>
      </c>
      <c r="I171" s="3">
        <f>parking_demand_data_2024_ver0!H171</f>
        <v>0</v>
      </c>
      <c r="J171" s="3">
        <f>parking_demand_data_2024_ver0!I171</f>
        <v>0</v>
      </c>
      <c r="K171" s="3">
        <f>parking_demand_data_2024_ver0!J171</f>
        <v>0</v>
      </c>
      <c r="L171" s="3">
        <f>parking_demand_data_2024_ver0!K171</f>
        <v>0</v>
      </c>
      <c r="M171" s="3">
        <f>parking_demand_data_2024_ver0!L171</f>
        <v>0</v>
      </c>
      <c r="N171" s="3">
        <f>parking_demand_data_2024_ver0!M171</f>
        <v>0</v>
      </c>
      <c r="O171" s="3">
        <f>parking_demand_data_2024_ver0!N171</f>
        <v>0</v>
      </c>
      <c r="P171" s="3">
        <f>parking_demand_data_2024_ver0!O171</f>
        <v>0</v>
      </c>
      <c r="Q171" s="3">
        <f>parking_demand_data_2024_ver0!P171</f>
        <v>0</v>
      </c>
      <c r="R171" s="3">
        <f>parking_demand_data_2024_ver0!Q171</f>
        <v>0</v>
      </c>
      <c r="S171" s="3">
        <f>parking_demand_data_2024_ver0!R171</f>
        <v>0</v>
      </c>
      <c r="T171" s="3">
        <f>parking_demand_data_2024_ver0!S171</f>
        <v>0</v>
      </c>
    </row>
    <row r="172" spans="1:20" x14ac:dyDescent="0.25">
      <c r="A172">
        <v>18015</v>
      </c>
      <c r="B172" t="s">
        <v>36</v>
      </c>
      <c r="C172">
        <v>2</v>
      </c>
      <c r="D172" s="3">
        <f>parking_demand_data_2024_ver0!D172*calibration!$I$31</f>
        <v>0</v>
      </c>
      <c r="E172" s="3">
        <f>parking_demand_data_2024_ver0!E172*calibration!$I$31</f>
        <v>0.16038619072876201</v>
      </c>
      <c r="F172" s="3">
        <f t="shared" si="2"/>
        <v>0.16038619072876201</v>
      </c>
      <c r="G172" s="3">
        <f>parking_demand_data_2024_ver0!F172</f>
        <v>0</v>
      </c>
      <c r="H172" s="3">
        <f>parking_demand_data_2024_ver0!G172</f>
        <v>0</v>
      </c>
      <c r="I172" s="3">
        <f>parking_demand_data_2024_ver0!H172</f>
        <v>0</v>
      </c>
      <c r="J172" s="3">
        <f>parking_demand_data_2024_ver0!I172</f>
        <v>0</v>
      </c>
      <c r="K172" s="3">
        <f>parking_demand_data_2024_ver0!J172</f>
        <v>0</v>
      </c>
      <c r="L172" s="3">
        <f>parking_demand_data_2024_ver0!K172</f>
        <v>0</v>
      </c>
      <c r="M172" s="3">
        <f>parking_demand_data_2024_ver0!L172</f>
        <v>0</v>
      </c>
      <c r="N172" s="3">
        <f>parking_demand_data_2024_ver0!M172</f>
        <v>0</v>
      </c>
      <c r="O172" s="3">
        <f>parking_demand_data_2024_ver0!N172</f>
        <v>0</v>
      </c>
      <c r="P172" s="3">
        <f>parking_demand_data_2024_ver0!O172</f>
        <v>0</v>
      </c>
      <c r="Q172" s="3">
        <f>parking_demand_data_2024_ver0!P172</f>
        <v>0</v>
      </c>
      <c r="R172" s="3">
        <f>parking_demand_data_2024_ver0!Q172</f>
        <v>0</v>
      </c>
      <c r="S172" s="3">
        <f>parking_demand_data_2024_ver0!R172</f>
        <v>0</v>
      </c>
      <c r="T172" s="3">
        <f>parking_demand_data_2024_ver0!S172</f>
        <v>0</v>
      </c>
    </row>
    <row r="173" spans="1:20" x14ac:dyDescent="0.25">
      <c r="A173">
        <v>18015</v>
      </c>
      <c r="B173" t="s">
        <v>36</v>
      </c>
      <c r="C173">
        <v>3</v>
      </c>
      <c r="D173" s="3">
        <f>parking_demand_data_2024_ver0!D173*calibration!$I$31</f>
        <v>0</v>
      </c>
      <c r="E173" s="3">
        <f>parking_demand_data_2024_ver0!E173*calibration!$I$31</f>
        <v>0.16038619072876201</v>
      </c>
      <c r="F173" s="3">
        <f t="shared" si="2"/>
        <v>0.16038619072876201</v>
      </c>
      <c r="G173" s="3">
        <f>parking_demand_data_2024_ver0!F173</f>
        <v>0</v>
      </c>
      <c r="H173" s="3">
        <f>parking_demand_data_2024_ver0!G173</f>
        <v>0</v>
      </c>
      <c r="I173" s="3">
        <f>parking_demand_data_2024_ver0!H173</f>
        <v>0</v>
      </c>
      <c r="J173" s="3">
        <f>parking_demand_data_2024_ver0!I173</f>
        <v>0</v>
      </c>
      <c r="K173" s="3">
        <f>parking_demand_data_2024_ver0!J173</f>
        <v>0</v>
      </c>
      <c r="L173" s="3">
        <f>parking_demand_data_2024_ver0!K173</f>
        <v>0</v>
      </c>
      <c r="M173" s="3">
        <f>parking_demand_data_2024_ver0!L173</f>
        <v>0</v>
      </c>
      <c r="N173" s="3">
        <f>parking_demand_data_2024_ver0!M173</f>
        <v>0</v>
      </c>
      <c r="O173" s="3">
        <f>parking_demand_data_2024_ver0!N173</f>
        <v>0</v>
      </c>
      <c r="P173" s="3">
        <f>parking_demand_data_2024_ver0!O173</f>
        <v>0</v>
      </c>
      <c r="Q173" s="3">
        <f>parking_demand_data_2024_ver0!P173</f>
        <v>0</v>
      </c>
      <c r="R173" s="3">
        <f>parking_demand_data_2024_ver0!Q173</f>
        <v>0</v>
      </c>
      <c r="S173" s="3">
        <f>parking_demand_data_2024_ver0!R173</f>
        <v>0</v>
      </c>
      <c r="T173" s="3">
        <f>parking_demand_data_2024_ver0!S173</f>
        <v>0</v>
      </c>
    </row>
    <row r="174" spans="1:20" x14ac:dyDescent="0.25">
      <c r="A174">
        <v>18015</v>
      </c>
      <c r="B174" t="s">
        <v>36</v>
      </c>
      <c r="C174">
        <v>4</v>
      </c>
      <c r="D174" s="3">
        <f>parking_demand_data_2024_ver0!D174*calibration!$I$31</f>
        <v>0</v>
      </c>
      <c r="E174" s="3">
        <f>parking_demand_data_2024_ver0!E174*calibration!$I$31</f>
        <v>0.20048273841095299</v>
      </c>
      <c r="F174" s="3">
        <f t="shared" si="2"/>
        <v>0.20048273841095299</v>
      </c>
      <c r="G174" s="3">
        <f>parking_demand_data_2024_ver0!F174</f>
        <v>0</v>
      </c>
      <c r="H174" s="3">
        <f>parking_demand_data_2024_ver0!G174</f>
        <v>0</v>
      </c>
      <c r="I174" s="3">
        <f>parking_demand_data_2024_ver0!H174</f>
        <v>0</v>
      </c>
      <c r="J174" s="3">
        <f>parking_demand_data_2024_ver0!I174</f>
        <v>0</v>
      </c>
      <c r="K174" s="3">
        <f>parking_demand_data_2024_ver0!J174</f>
        <v>0</v>
      </c>
      <c r="L174" s="3">
        <f>parking_demand_data_2024_ver0!K174</f>
        <v>0</v>
      </c>
      <c r="M174" s="3">
        <f>parking_demand_data_2024_ver0!L174</f>
        <v>0</v>
      </c>
      <c r="N174" s="3">
        <f>parking_demand_data_2024_ver0!M174</f>
        <v>0</v>
      </c>
      <c r="O174" s="3">
        <f>parking_demand_data_2024_ver0!N174</f>
        <v>0</v>
      </c>
      <c r="P174" s="3">
        <f>parking_demand_data_2024_ver0!O174</f>
        <v>0</v>
      </c>
      <c r="Q174" s="3">
        <f>parking_demand_data_2024_ver0!P174</f>
        <v>0</v>
      </c>
      <c r="R174" s="3">
        <f>parking_demand_data_2024_ver0!Q174</f>
        <v>0</v>
      </c>
      <c r="S174" s="3">
        <f>parking_demand_data_2024_ver0!R174</f>
        <v>0</v>
      </c>
      <c r="T174" s="3">
        <f>parking_demand_data_2024_ver0!S174</f>
        <v>0</v>
      </c>
    </row>
    <row r="175" spans="1:20" x14ac:dyDescent="0.25">
      <c r="A175">
        <v>18015</v>
      </c>
      <c r="B175" t="s">
        <v>36</v>
      </c>
      <c r="C175">
        <v>5</v>
      </c>
      <c r="D175" s="3">
        <f>parking_demand_data_2024_ver0!D175*calibration!$I$31</f>
        <v>0</v>
      </c>
      <c r="E175" s="3">
        <f>parking_demand_data_2024_ver0!E175*calibration!$I$31</f>
        <v>0.32077238145752501</v>
      </c>
      <c r="F175" s="3">
        <f t="shared" si="2"/>
        <v>0.32077238145752501</v>
      </c>
      <c r="G175" s="3">
        <f>parking_demand_data_2024_ver0!F175</f>
        <v>0</v>
      </c>
      <c r="H175" s="3">
        <f>parking_demand_data_2024_ver0!G175</f>
        <v>0</v>
      </c>
      <c r="I175" s="3">
        <f>parking_demand_data_2024_ver0!H175</f>
        <v>0</v>
      </c>
      <c r="J175" s="3">
        <f>parking_demand_data_2024_ver0!I175</f>
        <v>0</v>
      </c>
      <c r="K175" s="3">
        <f>parking_demand_data_2024_ver0!J175</f>
        <v>0</v>
      </c>
      <c r="L175" s="3">
        <f>parking_demand_data_2024_ver0!K175</f>
        <v>0</v>
      </c>
      <c r="M175" s="3">
        <f>parking_demand_data_2024_ver0!L175</f>
        <v>0</v>
      </c>
      <c r="N175" s="3">
        <f>parking_demand_data_2024_ver0!M175</f>
        <v>0</v>
      </c>
      <c r="O175" s="3">
        <f>parking_demand_data_2024_ver0!N175</f>
        <v>0</v>
      </c>
      <c r="P175" s="3">
        <f>parking_demand_data_2024_ver0!O175</f>
        <v>0</v>
      </c>
      <c r="Q175" s="3">
        <f>parking_demand_data_2024_ver0!P175</f>
        <v>0</v>
      </c>
      <c r="R175" s="3">
        <f>parking_demand_data_2024_ver0!Q175</f>
        <v>0</v>
      </c>
      <c r="S175" s="3">
        <f>parking_demand_data_2024_ver0!R175</f>
        <v>0</v>
      </c>
      <c r="T175" s="3">
        <f>parking_demand_data_2024_ver0!S175</f>
        <v>0</v>
      </c>
    </row>
    <row r="176" spans="1:20" x14ac:dyDescent="0.25">
      <c r="A176">
        <v>18015</v>
      </c>
      <c r="B176" t="s">
        <v>36</v>
      </c>
      <c r="C176">
        <v>6</v>
      </c>
      <c r="D176" s="3">
        <f>parking_demand_data_2024_ver0!D176*calibration!$I$31</f>
        <v>0</v>
      </c>
      <c r="E176" s="3">
        <f>parking_demand_data_2024_ver0!E176*calibration!$I$31</f>
        <v>1.88453774106296</v>
      </c>
      <c r="F176" s="3">
        <f t="shared" si="2"/>
        <v>1.88453774106296</v>
      </c>
      <c r="G176" s="3">
        <f>parking_demand_data_2024_ver0!F176</f>
        <v>0</v>
      </c>
      <c r="H176" s="3">
        <f>parking_demand_data_2024_ver0!G176</f>
        <v>0</v>
      </c>
      <c r="I176" s="3">
        <f>parking_demand_data_2024_ver0!H176</f>
        <v>0</v>
      </c>
      <c r="J176" s="3">
        <f>parking_demand_data_2024_ver0!I176</f>
        <v>0</v>
      </c>
      <c r="K176" s="3">
        <f>parking_demand_data_2024_ver0!J176</f>
        <v>0</v>
      </c>
      <c r="L176" s="3">
        <f>parking_demand_data_2024_ver0!K176</f>
        <v>0</v>
      </c>
      <c r="M176" s="3">
        <f>parking_demand_data_2024_ver0!L176</f>
        <v>0</v>
      </c>
      <c r="N176" s="3">
        <f>parking_demand_data_2024_ver0!M176</f>
        <v>0</v>
      </c>
      <c r="O176" s="3">
        <f>parking_demand_data_2024_ver0!N176</f>
        <v>0</v>
      </c>
      <c r="P176" s="3">
        <f>parking_demand_data_2024_ver0!O176</f>
        <v>0</v>
      </c>
      <c r="Q176" s="3">
        <f>parking_demand_data_2024_ver0!P176</f>
        <v>0</v>
      </c>
      <c r="R176" s="3">
        <f>parking_demand_data_2024_ver0!Q176</f>
        <v>0</v>
      </c>
      <c r="S176" s="3">
        <f>parking_demand_data_2024_ver0!R176</f>
        <v>0</v>
      </c>
      <c r="T176" s="3">
        <f>parking_demand_data_2024_ver0!S176</f>
        <v>0</v>
      </c>
    </row>
    <row r="177" spans="1:20" x14ac:dyDescent="0.25">
      <c r="A177">
        <v>18015</v>
      </c>
      <c r="B177" t="s">
        <v>36</v>
      </c>
      <c r="C177">
        <v>7</v>
      </c>
      <c r="D177" s="3">
        <f>parking_demand_data_2024_ver0!D177*calibration!$I$31</f>
        <v>0</v>
      </c>
      <c r="E177" s="3">
        <f>parking_demand_data_2024_ver0!E177*calibration!$I$31</f>
        <v>3.36811000530402</v>
      </c>
      <c r="F177" s="3">
        <f t="shared" si="2"/>
        <v>3.36811000530402</v>
      </c>
      <c r="G177" s="3">
        <f>parking_demand_data_2024_ver0!F177</f>
        <v>0</v>
      </c>
      <c r="H177" s="3">
        <f>parking_demand_data_2024_ver0!G177</f>
        <v>0</v>
      </c>
      <c r="I177" s="3">
        <f>parking_demand_data_2024_ver0!H177</f>
        <v>0</v>
      </c>
      <c r="J177" s="3">
        <f>parking_demand_data_2024_ver0!I177</f>
        <v>0</v>
      </c>
      <c r="K177" s="3">
        <f>parking_demand_data_2024_ver0!J177</f>
        <v>0</v>
      </c>
      <c r="L177" s="3">
        <f>parking_demand_data_2024_ver0!K177</f>
        <v>0</v>
      </c>
      <c r="M177" s="3">
        <f>parking_demand_data_2024_ver0!L177</f>
        <v>0</v>
      </c>
      <c r="N177" s="3">
        <f>parking_demand_data_2024_ver0!M177</f>
        <v>0</v>
      </c>
      <c r="O177" s="3">
        <f>parking_demand_data_2024_ver0!N177</f>
        <v>0</v>
      </c>
      <c r="P177" s="3">
        <f>parking_demand_data_2024_ver0!O177</f>
        <v>0</v>
      </c>
      <c r="Q177" s="3">
        <f>parking_demand_data_2024_ver0!P177</f>
        <v>0</v>
      </c>
      <c r="R177" s="3">
        <f>parking_demand_data_2024_ver0!Q177</f>
        <v>0</v>
      </c>
      <c r="S177" s="3">
        <f>parking_demand_data_2024_ver0!R177</f>
        <v>0</v>
      </c>
      <c r="T177" s="3">
        <f>parking_demand_data_2024_ver0!S177</f>
        <v>0</v>
      </c>
    </row>
    <row r="178" spans="1:20" x14ac:dyDescent="0.25">
      <c r="A178">
        <v>18015</v>
      </c>
      <c r="B178" t="s">
        <v>36</v>
      </c>
      <c r="C178">
        <v>8</v>
      </c>
      <c r="D178" s="3">
        <f>parking_demand_data_2024_ver0!D178*calibration!$I$31</f>
        <v>0</v>
      </c>
      <c r="E178" s="3">
        <f>parking_demand_data_2024_ver0!E178*calibration!$I$31</f>
        <v>5.1724546510026004</v>
      </c>
      <c r="F178" s="3">
        <f t="shared" si="2"/>
        <v>5.1724546510026004</v>
      </c>
      <c r="G178" s="3">
        <f>parking_demand_data_2024_ver0!F178</f>
        <v>0</v>
      </c>
      <c r="H178" s="3">
        <f>parking_demand_data_2024_ver0!G178</f>
        <v>0</v>
      </c>
      <c r="I178" s="3">
        <f>parking_demand_data_2024_ver0!H178</f>
        <v>0</v>
      </c>
      <c r="J178" s="3">
        <f>parking_demand_data_2024_ver0!I178</f>
        <v>0</v>
      </c>
      <c r="K178" s="3">
        <f>parking_demand_data_2024_ver0!J178</f>
        <v>0</v>
      </c>
      <c r="L178" s="3">
        <f>parking_demand_data_2024_ver0!K178</f>
        <v>0</v>
      </c>
      <c r="M178" s="3">
        <f>parking_demand_data_2024_ver0!L178</f>
        <v>0</v>
      </c>
      <c r="N178" s="3">
        <f>parking_demand_data_2024_ver0!M178</f>
        <v>0</v>
      </c>
      <c r="O178" s="3">
        <f>parking_demand_data_2024_ver0!N178</f>
        <v>0</v>
      </c>
      <c r="P178" s="3">
        <f>parking_demand_data_2024_ver0!O178</f>
        <v>0</v>
      </c>
      <c r="Q178" s="3">
        <f>parking_demand_data_2024_ver0!P178</f>
        <v>0</v>
      </c>
      <c r="R178" s="3">
        <f>parking_demand_data_2024_ver0!Q178</f>
        <v>0</v>
      </c>
      <c r="S178" s="3">
        <f>parking_demand_data_2024_ver0!R178</f>
        <v>0</v>
      </c>
      <c r="T178" s="3">
        <f>parking_demand_data_2024_ver0!S178</f>
        <v>0</v>
      </c>
    </row>
    <row r="179" spans="1:20" x14ac:dyDescent="0.25">
      <c r="A179">
        <v>18015</v>
      </c>
      <c r="B179" t="s">
        <v>36</v>
      </c>
      <c r="C179">
        <v>9</v>
      </c>
      <c r="D179" s="3">
        <f>parking_demand_data_2024_ver0!D179*calibration!$I$31</f>
        <v>0</v>
      </c>
      <c r="E179" s="3">
        <f>parking_demand_data_2024_ver0!E179*calibration!$I$31</f>
        <v>5.1724546510026004</v>
      </c>
      <c r="F179" s="3">
        <f t="shared" si="2"/>
        <v>5.1724546510026004</v>
      </c>
      <c r="G179" s="3">
        <f>parking_demand_data_2024_ver0!F179</f>
        <v>0</v>
      </c>
      <c r="H179" s="3">
        <f>parking_demand_data_2024_ver0!G179</f>
        <v>0</v>
      </c>
      <c r="I179" s="3">
        <f>parking_demand_data_2024_ver0!H179</f>
        <v>0</v>
      </c>
      <c r="J179" s="3">
        <f>parking_demand_data_2024_ver0!I179</f>
        <v>0</v>
      </c>
      <c r="K179" s="3">
        <f>parking_demand_data_2024_ver0!J179</f>
        <v>0</v>
      </c>
      <c r="L179" s="3">
        <f>parking_demand_data_2024_ver0!K179</f>
        <v>0</v>
      </c>
      <c r="M179" s="3">
        <f>parking_demand_data_2024_ver0!L179</f>
        <v>0</v>
      </c>
      <c r="N179" s="3">
        <f>parking_demand_data_2024_ver0!M179</f>
        <v>0</v>
      </c>
      <c r="O179" s="3">
        <f>parking_demand_data_2024_ver0!N179</f>
        <v>0</v>
      </c>
      <c r="P179" s="3">
        <f>parking_demand_data_2024_ver0!O179</f>
        <v>0</v>
      </c>
      <c r="Q179" s="3">
        <f>parking_demand_data_2024_ver0!P179</f>
        <v>0</v>
      </c>
      <c r="R179" s="3">
        <f>parking_demand_data_2024_ver0!Q179</f>
        <v>0</v>
      </c>
      <c r="S179" s="3">
        <f>parking_demand_data_2024_ver0!R179</f>
        <v>0</v>
      </c>
      <c r="T179" s="3">
        <f>parking_demand_data_2024_ver0!S179</f>
        <v>0</v>
      </c>
    </row>
    <row r="180" spans="1:20" x14ac:dyDescent="0.25">
      <c r="A180">
        <v>18015</v>
      </c>
      <c r="B180" t="s">
        <v>36</v>
      </c>
      <c r="C180">
        <v>10</v>
      </c>
      <c r="D180" s="3">
        <f>parking_demand_data_2024_ver0!D180*calibration!$I$31</f>
        <v>0</v>
      </c>
      <c r="E180" s="3">
        <f>parking_demand_data_2024_ver0!E180*calibration!$I$31</f>
        <v>5.0120684602738397</v>
      </c>
      <c r="F180" s="3">
        <f t="shared" si="2"/>
        <v>5.0120684602738397</v>
      </c>
      <c r="G180" s="3">
        <f>parking_demand_data_2024_ver0!F180</f>
        <v>0</v>
      </c>
      <c r="H180" s="3">
        <f>parking_demand_data_2024_ver0!G180</f>
        <v>0</v>
      </c>
      <c r="I180" s="3">
        <f>parking_demand_data_2024_ver0!H180</f>
        <v>0</v>
      </c>
      <c r="J180" s="3">
        <f>parking_demand_data_2024_ver0!I180</f>
        <v>0</v>
      </c>
      <c r="K180" s="3">
        <f>parking_demand_data_2024_ver0!J180</f>
        <v>0</v>
      </c>
      <c r="L180" s="3">
        <f>parking_demand_data_2024_ver0!K180</f>
        <v>0</v>
      </c>
      <c r="M180" s="3">
        <f>parking_demand_data_2024_ver0!L180</f>
        <v>0</v>
      </c>
      <c r="N180" s="3">
        <f>parking_demand_data_2024_ver0!M180</f>
        <v>0</v>
      </c>
      <c r="O180" s="3">
        <f>parking_demand_data_2024_ver0!N180</f>
        <v>0</v>
      </c>
      <c r="P180" s="3">
        <f>parking_demand_data_2024_ver0!O180</f>
        <v>0</v>
      </c>
      <c r="Q180" s="3">
        <f>parking_demand_data_2024_ver0!P180</f>
        <v>0</v>
      </c>
      <c r="R180" s="3">
        <f>parking_demand_data_2024_ver0!Q180</f>
        <v>0</v>
      </c>
      <c r="S180" s="3">
        <f>parking_demand_data_2024_ver0!R180</f>
        <v>0</v>
      </c>
      <c r="T180" s="3">
        <f>parking_demand_data_2024_ver0!S180</f>
        <v>0</v>
      </c>
    </row>
    <row r="181" spans="1:20" x14ac:dyDescent="0.25">
      <c r="A181">
        <v>18015</v>
      </c>
      <c r="B181" t="s">
        <v>36</v>
      </c>
      <c r="C181">
        <v>11</v>
      </c>
      <c r="D181" s="3">
        <f>parking_demand_data_2024_ver0!D181*calibration!$I$31</f>
        <v>0</v>
      </c>
      <c r="E181" s="3">
        <f>parking_demand_data_2024_ver0!E181*calibration!$I$31</f>
        <v>3.96955822053688</v>
      </c>
      <c r="F181" s="3">
        <f t="shared" si="2"/>
        <v>3.96955822053688</v>
      </c>
      <c r="G181" s="3">
        <f>parking_demand_data_2024_ver0!F181</f>
        <v>0</v>
      </c>
      <c r="H181" s="3">
        <f>parking_demand_data_2024_ver0!G181</f>
        <v>0</v>
      </c>
      <c r="I181" s="3">
        <f>parking_demand_data_2024_ver0!H181</f>
        <v>0</v>
      </c>
      <c r="J181" s="3">
        <f>parking_demand_data_2024_ver0!I181</f>
        <v>0</v>
      </c>
      <c r="K181" s="3">
        <f>parking_demand_data_2024_ver0!J181</f>
        <v>0</v>
      </c>
      <c r="L181" s="3">
        <f>parking_demand_data_2024_ver0!K181</f>
        <v>0</v>
      </c>
      <c r="M181" s="3">
        <f>parking_demand_data_2024_ver0!L181</f>
        <v>0</v>
      </c>
      <c r="N181" s="3">
        <f>parking_demand_data_2024_ver0!M181</f>
        <v>0</v>
      </c>
      <c r="O181" s="3">
        <f>parking_demand_data_2024_ver0!N181</f>
        <v>0</v>
      </c>
      <c r="P181" s="3">
        <f>parking_demand_data_2024_ver0!O181</f>
        <v>0</v>
      </c>
      <c r="Q181" s="3">
        <f>parking_demand_data_2024_ver0!P181</f>
        <v>0</v>
      </c>
      <c r="R181" s="3">
        <f>parking_demand_data_2024_ver0!Q181</f>
        <v>0</v>
      </c>
      <c r="S181" s="3">
        <f>parking_demand_data_2024_ver0!R181</f>
        <v>0</v>
      </c>
      <c r="T181" s="3">
        <f>parking_demand_data_2024_ver0!S181</f>
        <v>0</v>
      </c>
    </row>
    <row r="182" spans="1:20" x14ac:dyDescent="0.25">
      <c r="A182">
        <v>18015</v>
      </c>
      <c r="B182" t="s">
        <v>36</v>
      </c>
      <c r="C182">
        <v>12</v>
      </c>
      <c r="D182" s="3">
        <f>parking_demand_data_2024_ver0!D182*calibration!$I$31</f>
        <v>0</v>
      </c>
      <c r="E182" s="3">
        <f>parking_demand_data_2024_ver0!E182*calibration!$I$31</f>
        <v>3.8091720298081202</v>
      </c>
      <c r="F182" s="3">
        <f t="shared" si="2"/>
        <v>3.8091720298081202</v>
      </c>
      <c r="G182" s="3">
        <f>parking_demand_data_2024_ver0!F182</f>
        <v>0</v>
      </c>
      <c r="H182" s="3">
        <f>parking_demand_data_2024_ver0!G182</f>
        <v>0</v>
      </c>
      <c r="I182" s="3">
        <f>parking_demand_data_2024_ver0!H182</f>
        <v>0</v>
      </c>
      <c r="J182" s="3">
        <f>parking_demand_data_2024_ver0!I182</f>
        <v>0</v>
      </c>
      <c r="K182" s="3">
        <f>parking_demand_data_2024_ver0!J182</f>
        <v>0</v>
      </c>
      <c r="L182" s="3">
        <f>parking_demand_data_2024_ver0!K182</f>
        <v>0</v>
      </c>
      <c r="M182" s="3">
        <f>parking_demand_data_2024_ver0!L182</f>
        <v>0</v>
      </c>
      <c r="N182" s="3">
        <f>parking_demand_data_2024_ver0!M182</f>
        <v>0</v>
      </c>
      <c r="O182" s="3">
        <f>parking_demand_data_2024_ver0!N182</f>
        <v>0</v>
      </c>
      <c r="P182" s="3">
        <f>parking_demand_data_2024_ver0!O182</f>
        <v>0</v>
      </c>
      <c r="Q182" s="3">
        <f>parking_demand_data_2024_ver0!P182</f>
        <v>0</v>
      </c>
      <c r="R182" s="3">
        <f>parking_demand_data_2024_ver0!Q182</f>
        <v>0</v>
      </c>
      <c r="S182" s="3">
        <f>parking_demand_data_2024_ver0!R182</f>
        <v>0</v>
      </c>
      <c r="T182" s="3">
        <f>parking_demand_data_2024_ver0!S182</f>
        <v>0</v>
      </c>
    </row>
    <row r="183" spans="1:20" x14ac:dyDescent="0.25">
      <c r="A183">
        <v>18015</v>
      </c>
      <c r="B183" t="s">
        <v>36</v>
      </c>
      <c r="C183">
        <v>13</v>
      </c>
      <c r="D183" s="3">
        <f>parking_demand_data_2024_ver0!D183*calibration!$I$31</f>
        <v>0</v>
      </c>
      <c r="E183" s="3">
        <f>parking_demand_data_2024_ver0!E183*calibration!$I$31</f>
        <v>2.4057928609314398</v>
      </c>
      <c r="F183" s="3">
        <f t="shared" si="2"/>
        <v>2.4057928609314398</v>
      </c>
      <c r="G183" s="3">
        <f>parking_demand_data_2024_ver0!F183</f>
        <v>0</v>
      </c>
      <c r="H183" s="3">
        <f>parking_demand_data_2024_ver0!G183</f>
        <v>0</v>
      </c>
      <c r="I183" s="3">
        <f>parking_demand_data_2024_ver0!H183</f>
        <v>0</v>
      </c>
      <c r="J183" s="3">
        <f>parking_demand_data_2024_ver0!I183</f>
        <v>0</v>
      </c>
      <c r="K183" s="3">
        <f>parking_demand_data_2024_ver0!J183</f>
        <v>0</v>
      </c>
      <c r="L183" s="3">
        <f>parking_demand_data_2024_ver0!K183</f>
        <v>0</v>
      </c>
      <c r="M183" s="3">
        <f>parking_demand_data_2024_ver0!L183</f>
        <v>0</v>
      </c>
      <c r="N183" s="3">
        <f>parking_demand_data_2024_ver0!M183</f>
        <v>0</v>
      </c>
      <c r="O183" s="3">
        <f>parking_demand_data_2024_ver0!N183</f>
        <v>0</v>
      </c>
      <c r="P183" s="3">
        <f>parking_demand_data_2024_ver0!O183</f>
        <v>0</v>
      </c>
      <c r="Q183" s="3">
        <f>parking_demand_data_2024_ver0!P183</f>
        <v>0</v>
      </c>
      <c r="R183" s="3">
        <f>parking_demand_data_2024_ver0!Q183</f>
        <v>0</v>
      </c>
      <c r="S183" s="3">
        <f>parking_demand_data_2024_ver0!R183</f>
        <v>0</v>
      </c>
      <c r="T183" s="3">
        <f>parking_demand_data_2024_ver0!S183</f>
        <v>0</v>
      </c>
    </row>
    <row r="184" spans="1:20" x14ac:dyDescent="0.25">
      <c r="A184">
        <v>18015</v>
      </c>
      <c r="B184" t="s">
        <v>36</v>
      </c>
      <c r="C184">
        <v>14</v>
      </c>
      <c r="D184" s="3">
        <f>parking_demand_data_2024_ver0!D184*calibration!$I$31</f>
        <v>0</v>
      </c>
      <c r="E184" s="3">
        <f>parking_demand_data_2024_ver0!E184*calibration!$I$31</f>
        <v>1.88453774106296</v>
      </c>
      <c r="F184" s="3">
        <f t="shared" si="2"/>
        <v>1.88453774106296</v>
      </c>
      <c r="G184" s="3">
        <f>parking_demand_data_2024_ver0!F184</f>
        <v>0</v>
      </c>
      <c r="H184" s="3">
        <f>parking_demand_data_2024_ver0!G184</f>
        <v>0</v>
      </c>
      <c r="I184" s="3">
        <f>parking_demand_data_2024_ver0!H184</f>
        <v>0</v>
      </c>
      <c r="J184" s="3">
        <f>parking_demand_data_2024_ver0!I184</f>
        <v>0</v>
      </c>
      <c r="K184" s="3">
        <f>parking_demand_data_2024_ver0!J184</f>
        <v>0</v>
      </c>
      <c r="L184" s="3">
        <f>parking_demand_data_2024_ver0!K184</f>
        <v>0</v>
      </c>
      <c r="M184" s="3">
        <f>parking_demand_data_2024_ver0!L184</f>
        <v>0</v>
      </c>
      <c r="N184" s="3">
        <f>parking_demand_data_2024_ver0!M184</f>
        <v>0</v>
      </c>
      <c r="O184" s="3">
        <f>parking_demand_data_2024_ver0!N184</f>
        <v>0</v>
      </c>
      <c r="P184" s="3">
        <f>parking_demand_data_2024_ver0!O184</f>
        <v>0</v>
      </c>
      <c r="Q184" s="3">
        <f>parking_demand_data_2024_ver0!P184</f>
        <v>0</v>
      </c>
      <c r="R184" s="3">
        <f>parking_demand_data_2024_ver0!Q184</f>
        <v>0</v>
      </c>
      <c r="S184" s="3">
        <f>parking_demand_data_2024_ver0!R184</f>
        <v>0</v>
      </c>
      <c r="T184" s="3">
        <f>parking_demand_data_2024_ver0!S184</f>
        <v>0</v>
      </c>
    </row>
    <row r="185" spans="1:20" x14ac:dyDescent="0.25">
      <c r="A185">
        <v>18015</v>
      </c>
      <c r="B185" t="s">
        <v>36</v>
      </c>
      <c r="C185">
        <v>15</v>
      </c>
      <c r="D185" s="3">
        <f>parking_demand_data_2024_ver0!D185*calibration!$I$31</f>
        <v>0</v>
      </c>
      <c r="E185" s="3">
        <f>parking_demand_data_2024_ver0!E185*calibration!$I$31</f>
        <v>1.0024136920547599</v>
      </c>
      <c r="F185" s="3">
        <f t="shared" si="2"/>
        <v>1.0024136920547599</v>
      </c>
      <c r="G185" s="3">
        <f>parking_demand_data_2024_ver0!F185</f>
        <v>0</v>
      </c>
      <c r="H185" s="3">
        <f>parking_demand_data_2024_ver0!G185</f>
        <v>0</v>
      </c>
      <c r="I185" s="3">
        <f>parking_demand_data_2024_ver0!H185</f>
        <v>0</v>
      </c>
      <c r="J185" s="3">
        <f>parking_demand_data_2024_ver0!I185</f>
        <v>0</v>
      </c>
      <c r="K185" s="3">
        <f>parking_demand_data_2024_ver0!J185</f>
        <v>0</v>
      </c>
      <c r="L185" s="3">
        <f>parking_demand_data_2024_ver0!K185</f>
        <v>0</v>
      </c>
      <c r="M185" s="3">
        <f>parking_demand_data_2024_ver0!L185</f>
        <v>0</v>
      </c>
      <c r="N185" s="3">
        <f>parking_demand_data_2024_ver0!M185</f>
        <v>0</v>
      </c>
      <c r="O185" s="3">
        <f>parking_demand_data_2024_ver0!N185</f>
        <v>0</v>
      </c>
      <c r="P185" s="3">
        <f>parking_demand_data_2024_ver0!O185</f>
        <v>0</v>
      </c>
      <c r="Q185" s="3">
        <f>parking_demand_data_2024_ver0!P185</f>
        <v>0</v>
      </c>
      <c r="R185" s="3">
        <f>parking_demand_data_2024_ver0!Q185</f>
        <v>0</v>
      </c>
      <c r="S185" s="3">
        <f>parking_demand_data_2024_ver0!R185</f>
        <v>0</v>
      </c>
      <c r="T185" s="3">
        <f>parking_demand_data_2024_ver0!S185</f>
        <v>0</v>
      </c>
    </row>
    <row r="186" spans="1:20" x14ac:dyDescent="0.25">
      <c r="A186">
        <v>18015</v>
      </c>
      <c r="B186" t="s">
        <v>36</v>
      </c>
      <c r="C186">
        <v>16</v>
      </c>
      <c r="D186" s="3">
        <f>parking_demand_data_2024_ver0!D186*calibration!$I$31</f>
        <v>0</v>
      </c>
      <c r="E186" s="3">
        <f>parking_demand_data_2024_ver0!E186*calibration!$I$31</f>
        <v>0.16038619072876201</v>
      </c>
      <c r="F186" s="3">
        <f t="shared" si="2"/>
        <v>0.16038619072876201</v>
      </c>
      <c r="G186" s="3">
        <f>parking_demand_data_2024_ver0!F186</f>
        <v>0</v>
      </c>
      <c r="H186" s="3">
        <f>parking_demand_data_2024_ver0!G186</f>
        <v>0</v>
      </c>
      <c r="I186" s="3">
        <f>parking_demand_data_2024_ver0!H186</f>
        <v>0</v>
      </c>
      <c r="J186" s="3">
        <f>parking_demand_data_2024_ver0!I186</f>
        <v>0</v>
      </c>
      <c r="K186" s="3">
        <f>parking_demand_data_2024_ver0!J186</f>
        <v>0</v>
      </c>
      <c r="L186" s="3">
        <f>parking_demand_data_2024_ver0!K186</f>
        <v>0</v>
      </c>
      <c r="M186" s="3">
        <f>parking_demand_data_2024_ver0!L186</f>
        <v>0</v>
      </c>
      <c r="N186" s="3">
        <f>parking_demand_data_2024_ver0!M186</f>
        <v>0</v>
      </c>
      <c r="O186" s="3">
        <f>parking_demand_data_2024_ver0!N186</f>
        <v>0</v>
      </c>
      <c r="P186" s="3">
        <f>parking_demand_data_2024_ver0!O186</f>
        <v>0</v>
      </c>
      <c r="Q186" s="3">
        <f>parking_demand_data_2024_ver0!P186</f>
        <v>0</v>
      </c>
      <c r="R186" s="3">
        <f>parking_demand_data_2024_ver0!Q186</f>
        <v>0</v>
      </c>
      <c r="S186" s="3">
        <f>parking_demand_data_2024_ver0!R186</f>
        <v>0</v>
      </c>
      <c r="T186" s="3">
        <f>parking_demand_data_2024_ver0!S186</f>
        <v>0</v>
      </c>
    </row>
    <row r="187" spans="1:20" x14ac:dyDescent="0.25">
      <c r="A187">
        <v>18015</v>
      </c>
      <c r="B187" t="s">
        <v>36</v>
      </c>
      <c r="C187">
        <v>17</v>
      </c>
      <c r="D187" s="3">
        <f>parking_demand_data_2024_ver0!D187*calibration!$I$31</f>
        <v>0</v>
      </c>
      <c r="E187" s="3">
        <f>parking_demand_data_2024_ver0!E187*calibration!$I$31</f>
        <v>0.20048273841095299</v>
      </c>
      <c r="F187" s="3">
        <f t="shared" si="2"/>
        <v>0.20048273841095299</v>
      </c>
      <c r="G187" s="3">
        <f>parking_demand_data_2024_ver0!F187</f>
        <v>0</v>
      </c>
      <c r="H187" s="3">
        <f>parking_demand_data_2024_ver0!G187</f>
        <v>0</v>
      </c>
      <c r="I187" s="3">
        <f>parking_demand_data_2024_ver0!H187</f>
        <v>0</v>
      </c>
      <c r="J187" s="3">
        <f>parking_demand_data_2024_ver0!I187</f>
        <v>0</v>
      </c>
      <c r="K187" s="3">
        <f>parking_demand_data_2024_ver0!J187</f>
        <v>0</v>
      </c>
      <c r="L187" s="3">
        <f>parking_demand_data_2024_ver0!K187</f>
        <v>0</v>
      </c>
      <c r="M187" s="3">
        <f>parking_demand_data_2024_ver0!L187</f>
        <v>0</v>
      </c>
      <c r="N187" s="3">
        <f>parking_demand_data_2024_ver0!M187</f>
        <v>0</v>
      </c>
      <c r="O187" s="3">
        <f>parking_demand_data_2024_ver0!N187</f>
        <v>0</v>
      </c>
      <c r="P187" s="3">
        <f>parking_demand_data_2024_ver0!O187</f>
        <v>0</v>
      </c>
      <c r="Q187" s="3">
        <f>parking_demand_data_2024_ver0!P187</f>
        <v>0</v>
      </c>
      <c r="R187" s="3">
        <f>parking_demand_data_2024_ver0!Q187</f>
        <v>0</v>
      </c>
      <c r="S187" s="3">
        <f>parking_demand_data_2024_ver0!R187</f>
        <v>0</v>
      </c>
      <c r="T187" s="3">
        <f>parking_demand_data_2024_ver0!S187</f>
        <v>0</v>
      </c>
    </row>
    <row r="188" spans="1:20" x14ac:dyDescent="0.25">
      <c r="A188">
        <v>18015</v>
      </c>
      <c r="B188" t="s">
        <v>36</v>
      </c>
      <c r="C188">
        <v>18</v>
      </c>
      <c r="D188" s="3">
        <f>parking_demand_data_2024_ver0!D188*calibration!$I$31</f>
        <v>0</v>
      </c>
      <c r="E188" s="3">
        <f>parking_demand_data_2024_ver0!E188*calibration!$I$31</f>
        <v>0.36086892913971602</v>
      </c>
      <c r="F188" s="3">
        <f t="shared" si="2"/>
        <v>0.36086892913971602</v>
      </c>
      <c r="G188" s="3">
        <f>parking_demand_data_2024_ver0!F188</f>
        <v>0</v>
      </c>
      <c r="H188" s="3">
        <f>parking_demand_data_2024_ver0!G188</f>
        <v>0</v>
      </c>
      <c r="I188" s="3">
        <f>parking_demand_data_2024_ver0!H188</f>
        <v>0</v>
      </c>
      <c r="J188" s="3">
        <f>parking_demand_data_2024_ver0!I188</f>
        <v>0</v>
      </c>
      <c r="K188" s="3">
        <f>parking_demand_data_2024_ver0!J188</f>
        <v>0</v>
      </c>
      <c r="L188" s="3">
        <f>parking_demand_data_2024_ver0!K188</f>
        <v>0</v>
      </c>
      <c r="M188" s="3">
        <f>parking_demand_data_2024_ver0!L188</f>
        <v>0</v>
      </c>
      <c r="N188" s="3">
        <f>parking_demand_data_2024_ver0!M188</f>
        <v>0</v>
      </c>
      <c r="O188" s="3">
        <f>parking_demand_data_2024_ver0!N188</f>
        <v>0</v>
      </c>
      <c r="P188" s="3">
        <f>parking_demand_data_2024_ver0!O188</f>
        <v>0</v>
      </c>
      <c r="Q188" s="3">
        <f>parking_demand_data_2024_ver0!P188</f>
        <v>0</v>
      </c>
      <c r="R188" s="3">
        <f>parking_demand_data_2024_ver0!Q188</f>
        <v>0</v>
      </c>
      <c r="S188" s="3">
        <f>parking_demand_data_2024_ver0!R188</f>
        <v>0</v>
      </c>
      <c r="T188" s="3">
        <f>parking_demand_data_2024_ver0!S188</f>
        <v>0</v>
      </c>
    </row>
    <row r="189" spans="1:20" x14ac:dyDescent="0.25">
      <c r="A189">
        <v>18015</v>
      </c>
      <c r="B189" t="s">
        <v>36</v>
      </c>
      <c r="C189">
        <v>19</v>
      </c>
      <c r="D189" s="3">
        <f>parking_demand_data_2024_ver0!D189*calibration!$I$31</f>
        <v>0</v>
      </c>
      <c r="E189" s="3">
        <f>parking_demand_data_2024_ver0!E189*calibration!$I$31</f>
        <v>0.16038619072876201</v>
      </c>
      <c r="F189" s="3">
        <f t="shared" si="2"/>
        <v>0.16038619072876201</v>
      </c>
      <c r="G189" s="3">
        <f>parking_demand_data_2024_ver0!F189</f>
        <v>0</v>
      </c>
      <c r="H189" s="3">
        <f>parking_demand_data_2024_ver0!G189</f>
        <v>0</v>
      </c>
      <c r="I189" s="3">
        <f>parking_demand_data_2024_ver0!H189</f>
        <v>0</v>
      </c>
      <c r="J189" s="3">
        <f>parking_demand_data_2024_ver0!I189</f>
        <v>0</v>
      </c>
      <c r="K189" s="3">
        <f>parking_demand_data_2024_ver0!J189</f>
        <v>0</v>
      </c>
      <c r="L189" s="3">
        <f>parking_demand_data_2024_ver0!K189</f>
        <v>0</v>
      </c>
      <c r="M189" s="3">
        <f>parking_demand_data_2024_ver0!L189</f>
        <v>0</v>
      </c>
      <c r="N189" s="3">
        <f>parking_demand_data_2024_ver0!M189</f>
        <v>0</v>
      </c>
      <c r="O189" s="3">
        <f>parking_demand_data_2024_ver0!N189</f>
        <v>0</v>
      </c>
      <c r="P189" s="3">
        <f>parking_demand_data_2024_ver0!O189</f>
        <v>0</v>
      </c>
      <c r="Q189" s="3">
        <f>parking_demand_data_2024_ver0!P189</f>
        <v>0</v>
      </c>
      <c r="R189" s="3">
        <f>parking_demand_data_2024_ver0!Q189</f>
        <v>0</v>
      </c>
      <c r="S189" s="3">
        <f>parking_demand_data_2024_ver0!R189</f>
        <v>0</v>
      </c>
      <c r="T189" s="3">
        <f>parking_demand_data_2024_ver0!S189</f>
        <v>0</v>
      </c>
    </row>
    <row r="190" spans="1:20" x14ac:dyDescent="0.25">
      <c r="A190">
        <v>18015</v>
      </c>
      <c r="B190" t="s">
        <v>36</v>
      </c>
      <c r="C190">
        <v>20</v>
      </c>
      <c r="D190" s="3">
        <f>parking_demand_data_2024_ver0!D190*calibration!$I$31</f>
        <v>0</v>
      </c>
      <c r="E190" s="3">
        <f>parking_demand_data_2024_ver0!E190*calibration!$I$31</f>
        <v>0.120289643046572</v>
      </c>
      <c r="F190" s="3">
        <f t="shared" si="2"/>
        <v>0.120289643046572</v>
      </c>
      <c r="G190" s="3">
        <f>parking_demand_data_2024_ver0!F190</f>
        <v>0</v>
      </c>
      <c r="H190" s="3">
        <f>parking_demand_data_2024_ver0!G190</f>
        <v>0</v>
      </c>
      <c r="I190" s="3">
        <f>parking_demand_data_2024_ver0!H190</f>
        <v>0</v>
      </c>
      <c r="J190" s="3">
        <f>parking_demand_data_2024_ver0!I190</f>
        <v>0</v>
      </c>
      <c r="K190" s="3">
        <f>parking_demand_data_2024_ver0!J190</f>
        <v>0</v>
      </c>
      <c r="L190" s="3">
        <f>parking_demand_data_2024_ver0!K190</f>
        <v>0</v>
      </c>
      <c r="M190" s="3">
        <f>parking_demand_data_2024_ver0!L190</f>
        <v>0</v>
      </c>
      <c r="N190" s="3">
        <f>parking_demand_data_2024_ver0!M190</f>
        <v>0</v>
      </c>
      <c r="O190" s="3">
        <f>parking_demand_data_2024_ver0!N190</f>
        <v>0</v>
      </c>
      <c r="P190" s="3">
        <f>parking_demand_data_2024_ver0!O190</f>
        <v>0</v>
      </c>
      <c r="Q190" s="3">
        <f>parking_demand_data_2024_ver0!P190</f>
        <v>0</v>
      </c>
      <c r="R190" s="3">
        <f>parking_demand_data_2024_ver0!Q190</f>
        <v>0</v>
      </c>
      <c r="S190" s="3">
        <f>parking_demand_data_2024_ver0!R190</f>
        <v>0</v>
      </c>
      <c r="T190" s="3">
        <f>parking_demand_data_2024_ver0!S190</f>
        <v>0</v>
      </c>
    </row>
    <row r="191" spans="1:20" x14ac:dyDescent="0.25">
      <c r="A191">
        <v>18015</v>
      </c>
      <c r="B191" t="s">
        <v>36</v>
      </c>
      <c r="C191">
        <v>21</v>
      </c>
      <c r="D191" s="3">
        <f>parking_demand_data_2024_ver0!D191*calibration!$I$31</f>
        <v>0</v>
      </c>
      <c r="E191" s="3">
        <f>parking_demand_data_2024_ver0!E191*calibration!$I$31</f>
        <v>0.120289643046572</v>
      </c>
      <c r="F191" s="3">
        <f t="shared" si="2"/>
        <v>0.120289643046572</v>
      </c>
      <c r="G191" s="3">
        <f>parking_demand_data_2024_ver0!F191</f>
        <v>0</v>
      </c>
      <c r="H191" s="3">
        <f>parking_demand_data_2024_ver0!G191</f>
        <v>0</v>
      </c>
      <c r="I191" s="3">
        <f>parking_demand_data_2024_ver0!H191</f>
        <v>0</v>
      </c>
      <c r="J191" s="3">
        <f>parking_demand_data_2024_ver0!I191</f>
        <v>0</v>
      </c>
      <c r="K191" s="3">
        <f>parking_demand_data_2024_ver0!J191</f>
        <v>0</v>
      </c>
      <c r="L191" s="3">
        <f>parking_demand_data_2024_ver0!K191</f>
        <v>0</v>
      </c>
      <c r="M191" s="3">
        <f>parking_demand_data_2024_ver0!L191</f>
        <v>0</v>
      </c>
      <c r="N191" s="3">
        <f>parking_demand_data_2024_ver0!M191</f>
        <v>0</v>
      </c>
      <c r="O191" s="3">
        <f>parking_demand_data_2024_ver0!N191</f>
        <v>0</v>
      </c>
      <c r="P191" s="3">
        <f>parking_demand_data_2024_ver0!O191</f>
        <v>0</v>
      </c>
      <c r="Q191" s="3">
        <f>parking_demand_data_2024_ver0!P191</f>
        <v>0</v>
      </c>
      <c r="R191" s="3">
        <f>parking_demand_data_2024_ver0!Q191</f>
        <v>0</v>
      </c>
      <c r="S191" s="3">
        <f>parking_demand_data_2024_ver0!R191</f>
        <v>0</v>
      </c>
      <c r="T191" s="3">
        <f>parking_demand_data_2024_ver0!S191</f>
        <v>0</v>
      </c>
    </row>
    <row r="192" spans="1:20" x14ac:dyDescent="0.25">
      <c r="A192">
        <v>18015</v>
      </c>
      <c r="B192" t="s">
        <v>36</v>
      </c>
      <c r="C192">
        <v>22</v>
      </c>
      <c r="D192" s="3">
        <f>parking_demand_data_2024_ver0!D192*calibration!$I$31</f>
        <v>0</v>
      </c>
      <c r="E192" s="3">
        <f>parking_demand_data_2024_ver0!E192*calibration!$I$31</f>
        <v>0.120289643046572</v>
      </c>
      <c r="F192" s="3">
        <f t="shared" si="2"/>
        <v>0.120289643046572</v>
      </c>
      <c r="G192" s="3">
        <f>parking_demand_data_2024_ver0!F192</f>
        <v>0</v>
      </c>
      <c r="H192" s="3">
        <f>parking_demand_data_2024_ver0!G192</f>
        <v>0</v>
      </c>
      <c r="I192" s="3">
        <f>parking_demand_data_2024_ver0!H192</f>
        <v>0</v>
      </c>
      <c r="J192" s="3">
        <f>parking_demand_data_2024_ver0!I192</f>
        <v>0</v>
      </c>
      <c r="K192" s="3">
        <f>parking_demand_data_2024_ver0!J192</f>
        <v>0</v>
      </c>
      <c r="L192" s="3">
        <f>parking_demand_data_2024_ver0!K192</f>
        <v>0</v>
      </c>
      <c r="M192" s="3">
        <f>parking_demand_data_2024_ver0!L192</f>
        <v>0</v>
      </c>
      <c r="N192" s="3">
        <f>parking_demand_data_2024_ver0!M192</f>
        <v>0</v>
      </c>
      <c r="O192" s="3">
        <f>parking_demand_data_2024_ver0!N192</f>
        <v>0</v>
      </c>
      <c r="P192" s="3">
        <f>parking_demand_data_2024_ver0!O192</f>
        <v>0</v>
      </c>
      <c r="Q192" s="3">
        <f>parking_demand_data_2024_ver0!P192</f>
        <v>0</v>
      </c>
      <c r="R192" s="3">
        <f>parking_demand_data_2024_ver0!Q192</f>
        <v>0</v>
      </c>
      <c r="S192" s="3">
        <f>parking_demand_data_2024_ver0!R192</f>
        <v>0</v>
      </c>
      <c r="T192" s="3">
        <f>parking_demand_data_2024_ver0!S192</f>
        <v>0</v>
      </c>
    </row>
    <row r="193" spans="1:20" x14ac:dyDescent="0.25">
      <c r="A193">
        <v>18015</v>
      </c>
      <c r="B193" t="s">
        <v>36</v>
      </c>
      <c r="C193">
        <v>23</v>
      </c>
      <c r="D193" s="3">
        <f>parking_demand_data_2024_ver0!D193*calibration!$I$31</f>
        <v>0</v>
      </c>
      <c r="E193" s="3">
        <f>parking_demand_data_2024_ver0!E193*calibration!$I$31</f>
        <v>0.120289643046572</v>
      </c>
      <c r="F193" s="3">
        <f t="shared" si="2"/>
        <v>0.120289643046572</v>
      </c>
      <c r="G193" s="3">
        <f>parking_demand_data_2024_ver0!F193</f>
        <v>0</v>
      </c>
      <c r="H193" s="3">
        <f>parking_demand_data_2024_ver0!G193</f>
        <v>0</v>
      </c>
      <c r="I193" s="3">
        <f>parking_demand_data_2024_ver0!H193</f>
        <v>0</v>
      </c>
      <c r="J193" s="3">
        <f>parking_demand_data_2024_ver0!I193</f>
        <v>0</v>
      </c>
      <c r="K193" s="3">
        <f>parking_demand_data_2024_ver0!J193</f>
        <v>0</v>
      </c>
      <c r="L193" s="3">
        <f>parking_demand_data_2024_ver0!K193</f>
        <v>0</v>
      </c>
      <c r="M193" s="3">
        <f>parking_demand_data_2024_ver0!L193</f>
        <v>0</v>
      </c>
      <c r="N193" s="3">
        <f>parking_demand_data_2024_ver0!M193</f>
        <v>0</v>
      </c>
      <c r="O193" s="3">
        <f>parking_demand_data_2024_ver0!N193</f>
        <v>0</v>
      </c>
      <c r="P193" s="3">
        <f>parking_demand_data_2024_ver0!O193</f>
        <v>0</v>
      </c>
      <c r="Q193" s="3">
        <f>parking_demand_data_2024_ver0!P193</f>
        <v>0</v>
      </c>
      <c r="R193" s="3">
        <f>parking_demand_data_2024_ver0!Q193</f>
        <v>0</v>
      </c>
      <c r="S193" s="3">
        <f>parking_demand_data_2024_ver0!R193</f>
        <v>0</v>
      </c>
      <c r="T193" s="3">
        <f>parking_demand_data_2024_ver0!S193</f>
        <v>0</v>
      </c>
    </row>
    <row r="194" spans="1:20" x14ac:dyDescent="0.25">
      <c r="A194">
        <v>18017</v>
      </c>
      <c r="B194" t="s">
        <v>37</v>
      </c>
      <c r="C194">
        <v>0</v>
      </c>
      <c r="D194" s="3">
        <f>parking_demand_data_2024_ver0!D194*calibration!$I$31</f>
        <v>24.7200618647916</v>
      </c>
      <c r="E194" s="3">
        <f>parking_demand_data_2024_ver0!E194*calibration!$I$31</f>
        <v>2.48102810686777</v>
      </c>
      <c r="F194" s="3">
        <f t="shared" si="2"/>
        <v>27.201089971659371</v>
      </c>
      <c r="G194" s="3">
        <f>parking_demand_data_2024_ver0!F194</f>
        <v>1</v>
      </c>
      <c r="H194" s="3">
        <f>parking_demand_data_2024_ver0!G194</f>
        <v>0</v>
      </c>
      <c r="I194" s="3">
        <f>parking_demand_data_2024_ver0!H194</f>
        <v>0</v>
      </c>
      <c r="J194" s="3">
        <f>parking_demand_data_2024_ver0!I194</f>
        <v>1</v>
      </c>
      <c r="K194" s="3">
        <f>parking_demand_data_2024_ver0!J194</f>
        <v>0</v>
      </c>
      <c r="L194" s="3">
        <f>parking_demand_data_2024_ver0!K194</f>
        <v>0</v>
      </c>
      <c r="M194" s="3">
        <f>parking_demand_data_2024_ver0!L194</f>
        <v>0</v>
      </c>
      <c r="N194" s="3">
        <f>parking_demand_data_2024_ver0!M194</f>
        <v>25</v>
      </c>
      <c r="O194" s="3">
        <f>parking_demand_data_2024_ver0!N194</f>
        <v>0</v>
      </c>
      <c r="P194" s="3">
        <f>parking_demand_data_2024_ver0!O194</f>
        <v>0</v>
      </c>
      <c r="Q194" s="3">
        <f>parking_demand_data_2024_ver0!P194</f>
        <v>25</v>
      </c>
      <c r="R194" s="3">
        <f>parking_demand_data_2024_ver0!Q194</f>
        <v>0</v>
      </c>
      <c r="S194" s="3">
        <f>parking_demand_data_2024_ver0!R194</f>
        <v>0</v>
      </c>
      <c r="T194" s="3">
        <f>parking_demand_data_2024_ver0!S194</f>
        <v>0</v>
      </c>
    </row>
    <row r="195" spans="1:20" x14ac:dyDescent="0.25">
      <c r="A195">
        <v>18017</v>
      </c>
      <c r="B195" t="s">
        <v>37</v>
      </c>
      <c r="C195">
        <v>1</v>
      </c>
      <c r="D195" s="3">
        <f>parking_demand_data_2024_ver0!D195*calibration!$I$31</f>
        <v>24.629842660905499</v>
      </c>
      <c r="E195" s="3">
        <f>parking_demand_data_2024_ver0!E195*calibration!$I$31</f>
        <v>2.48102810686777</v>
      </c>
      <c r="F195" s="3">
        <f t="shared" ref="F195:F258" si="3">SUM(D195:E195)</f>
        <v>27.110870767773271</v>
      </c>
      <c r="G195" s="3">
        <f>parking_demand_data_2024_ver0!F195</f>
        <v>1</v>
      </c>
      <c r="H195" s="3">
        <f>parking_demand_data_2024_ver0!G195</f>
        <v>0</v>
      </c>
      <c r="I195" s="3">
        <f>parking_demand_data_2024_ver0!H195</f>
        <v>0</v>
      </c>
      <c r="J195" s="3">
        <f>parking_demand_data_2024_ver0!I195</f>
        <v>1</v>
      </c>
      <c r="K195" s="3">
        <f>parking_demand_data_2024_ver0!J195</f>
        <v>0</v>
      </c>
      <c r="L195" s="3">
        <f>parking_demand_data_2024_ver0!K195</f>
        <v>0</v>
      </c>
      <c r="M195" s="3">
        <f>parking_demand_data_2024_ver0!L195</f>
        <v>0</v>
      </c>
      <c r="N195" s="3">
        <f>parking_demand_data_2024_ver0!M195</f>
        <v>25</v>
      </c>
      <c r="O195" s="3">
        <f>parking_demand_data_2024_ver0!N195</f>
        <v>0</v>
      </c>
      <c r="P195" s="3">
        <f>parking_demand_data_2024_ver0!O195</f>
        <v>0</v>
      </c>
      <c r="Q195" s="3">
        <f>parking_demand_data_2024_ver0!P195</f>
        <v>25</v>
      </c>
      <c r="R195" s="3">
        <f>parking_demand_data_2024_ver0!Q195</f>
        <v>0</v>
      </c>
      <c r="S195" s="3">
        <f>parking_demand_data_2024_ver0!R195</f>
        <v>0</v>
      </c>
      <c r="T195" s="3">
        <f>parking_demand_data_2024_ver0!S195</f>
        <v>0</v>
      </c>
    </row>
    <row r="196" spans="1:20" x14ac:dyDescent="0.25">
      <c r="A196">
        <v>18017</v>
      </c>
      <c r="B196" t="s">
        <v>37</v>
      </c>
      <c r="C196">
        <v>2</v>
      </c>
      <c r="D196" s="3">
        <f>parking_demand_data_2024_ver0!D196*calibration!$I$31</f>
        <v>24.223856243417998</v>
      </c>
      <c r="E196" s="3">
        <f>parking_demand_data_2024_ver0!E196*calibration!$I$31</f>
        <v>2.48102810686777</v>
      </c>
      <c r="F196" s="3">
        <f t="shared" si="3"/>
        <v>26.704884350285766</v>
      </c>
      <c r="G196" s="3">
        <f>parking_demand_data_2024_ver0!F196</f>
        <v>1</v>
      </c>
      <c r="H196" s="3">
        <f>parking_demand_data_2024_ver0!G196</f>
        <v>0</v>
      </c>
      <c r="I196" s="3">
        <f>parking_demand_data_2024_ver0!H196</f>
        <v>0</v>
      </c>
      <c r="J196" s="3">
        <f>parking_demand_data_2024_ver0!I196</f>
        <v>1</v>
      </c>
      <c r="K196" s="3">
        <f>parking_demand_data_2024_ver0!J196</f>
        <v>0</v>
      </c>
      <c r="L196" s="3">
        <f>parking_demand_data_2024_ver0!K196</f>
        <v>0</v>
      </c>
      <c r="M196" s="3">
        <f>parking_demand_data_2024_ver0!L196</f>
        <v>0</v>
      </c>
      <c r="N196" s="3">
        <f>parking_demand_data_2024_ver0!M196</f>
        <v>25</v>
      </c>
      <c r="O196" s="3">
        <f>parking_demand_data_2024_ver0!N196</f>
        <v>0</v>
      </c>
      <c r="P196" s="3">
        <f>parking_demand_data_2024_ver0!O196</f>
        <v>0</v>
      </c>
      <c r="Q196" s="3">
        <f>parking_demand_data_2024_ver0!P196</f>
        <v>25</v>
      </c>
      <c r="R196" s="3">
        <f>parking_demand_data_2024_ver0!Q196</f>
        <v>0</v>
      </c>
      <c r="S196" s="3">
        <f>parking_demand_data_2024_ver0!R196</f>
        <v>0</v>
      </c>
      <c r="T196" s="3">
        <f>parking_demand_data_2024_ver0!S196</f>
        <v>0</v>
      </c>
    </row>
    <row r="197" spans="1:20" x14ac:dyDescent="0.25">
      <c r="A197">
        <v>18017</v>
      </c>
      <c r="B197" t="s">
        <v>37</v>
      </c>
      <c r="C197">
        <v>3</v>
      </c>
      <c r="D197" s="3">
        <f>parking_demand_data_2024_ver0!D197*calibration!$I$31</f>
        <v>23.186335398727898</v>
      </c>
      <c r="E197" s="3">
        <f>parking_demand_data_2024_ver0!E197*calibration!$I$31</f>
        <v>2.48102810686777</v>
      </c>
      <c r="F197" s="3">
        <f t="shared" si="3"/>
        <v>25.667363505595667</v>
      </c>
      <c r="G197" s="3">
        <f>parking_demand_data_2024_ver0!F197</f>
        <v>1</v>
      </c>
      <c r="H197" s="3">
        <f>parking_demand_data_2024_ver0!G197</f>
        <v>0</v>
      </c>
      <c r="I197" s="3">
        <f>parking_demand_data_2024_ver0!H197</f>
        <v>0</v>
      </c>
      <c r="J197" s="3">
        <f>parking_demand_data_2024_ver0!I197</f>
        <v>1</v>
      </c>
      <c r="K197" s="3">
        <f>parking_demand_data_2024_ver0!J197</f>
        <v>0</v>
      </c>
      <c r="L197" s="3">
        <f>parking_demand_data_2024_ver0!K197</f>
        <v>0</v>
      </c>
      <c r="M197" s="3">
        <f>parking_demand_data_2024_ver0!L197</f>
        <v>0</v>
      </c>
      <c r="N197" s="3">
        <f>parking_demand_data_2024_ver0!M197</f>
        <v>25</v>
      </c>
      <c r="O197" s="3">
        <f>parking_demand_data_2024_ver0!N197</f>
        <v>0</v>
      </c>
      <c r="P197" s="3">
        <f>parking_demand_data_2024_ver0!O197</f>
        <v>0</v>
      </c>
      <c r="Q197" s="3">
        <f>parking_demand_data_2024_ver0!P197</f>
        <v>25</v>
      </c>
      <c r="R197" s="3">
        <f>parking_demand_data_2024_ver0!Q197</f>
        <v>0</v>
      </c>
      <c r="S197" s="3">
        <f>parking_demand_data_2024_ver0!R197</f>
        <v>0</v>
      </c>
      <c r="T197" s="3">
        <f>parking_demand_data_2024_ver0!S197</f>
        <v>0</v>
      </c>
    </row>
    <row r="198" spans="1:20" x14ac:dyDescent="0.25">
      <c r="A198">
        <v>18017</v>
      </c>
      <c r="B198" t="s">
        <v>37</v>
      </c>
      <c r="C198">
        <v>4</v>
      </c>
      <c r="D198" s="3">
        <f>parking_demand_data_2024_ver0!D198*calibration!$I$31</f>
        <v>21.923266544322502</v>
      </c>
      <c r="E198" s="3">
        <f>parking_demand_data_2024_ver0!E198*calibration!$I$31</f>
        <v>2.48102810686777</v>
      </c>
      <c r="F198" s="3">
        <f t="shared" si="3"/>
        <v>24.40429465119027</v>
      </c>
      <c r="G198" s="3">
        <f>parking_demand_data_2024_ver0!F198</f>
        <v>1</v>
      </c>
      <c r="H198" s="3">
        <f>parking_demand_data_2024_ver0!G198</f>
        <v>0</v>
      </c>
      <c r="I198" s="3">
        <f>parking_demand_data_2024_ver0!H198</f>
        <v>0</v>
      </c>
      <c r="J198" s="3">
        <f>parking_demand_data_2024_ver0!I198</f>
        <v>1</v>
      </c>
      <c r="K198" s="3">
        <f>parking_demand_data_2024_ver0!J198</f>
        <v>0</v>
      </c>
      <c r="L198" s="3">
        <f>parking_demand_data_2024_ver0!K198</f>
        <v>0</v>
      </c>
      <c r="M198" s="3">
        <f>parking_demand_data_2024_ver0!L198</f>
        <v>0</v>
      </c>
      <c r="N198" s="3">
        <f>parking_demand_data_2024_ver0!M198</f>
        <v>25</v>
      </c>
      <c r="O198" s="3">
        <f>parking_demand_data_2024_ver0!N198</f>
        <v>0</v>
      </c>
      <c r="P198" s="3">
        <f>parking_demand_data_2024_ver0!O198</f>
        <v>0</v>
      </c>
      <c r="Q198" s="3">
        <f>parking_demand_data_2024_ver0!P198</f>
        <v>25</v>
      </c>
      <c r="R198" s="3">
        <f>parking_demand_data_2024_ver0!Q198</f>
        <v>0</v>
      </c>
      <c r="S198" s="3">
        <f>parking_demand_data_2024_ver0!R198</f>
        <v>0</v>
      </c>
      <c r="T198" s="3">
        <f>parking_demand_data_2024_ver0!S198</f>
        <v>0</v>
      </c>
    </row>
    <row r="199" spans="1:20" x14ac:dyDescent="0.25">
      <c r="A199">
        <v>18017</v>
      </c>
      <c r="B199" t="s">
        <v>37</v>
      </c>
      <c r="C199">
        <v>5</v>
      </c>
      <c r="D199" s="3">
        <f>parking_demand_data_2024_ver0!D199*calibration!$I$31</f>
        <v>20.0737728646574</v>
      </c>
      <c r="E199" s="3">
        <f>parking_demand_data_2024_ver0!E199*calibration!$I$31</f>
        <v>2.6163569126969199</v>
      </c>
      <c r="F199" s="3">
        <f t="shared" si="3"/>
        <v>22.690129777354318</v>
      </c>
      <c r="G199" s="3">
        <f>parking_demand_data_2024_ver0!F199</f>
        <v>1</v>
      </c>
      <c r="H199" s="3">
        <f>parking_demand_data_2024_ver0!G199</f>
        <v>0</v>
      </c>
      <c r="I199" s="3">
        <f>parking_demand_data_2024_ver0!H199</f>
        <v>0</v>
      </c>
      <c r="J199" s="3">
        <f>parking_demand_data_2024_ver0!I199</f>
        <v>1</v>
      </c>
      <c r="K199" s="3">
        <f>parking_demand_data_2024_ver0!J199</f>
        <v>0</v>
      </c>
      <c r="L199" s="3">
        <f>parking_demand_data_2024_ver0!K199</f>
        <v>0</v>
      </c>
      <c r="M199" s="3">
        <f>parking_demand_data_2024_ver0!L199</f>
        <v>0</v>
      </c>
      <c r="N199" s="3">
        <f>parking_demand_data_2024_ver0!M199</f>
        <v>25</v>
      </c>
      <c r="O199" s="3">
        <f>parking_demand_data_2024_ver0!N199</f>
        <v>0</v>
      </c>
      <c r="P199" s="3">
        <f>parking_demand_data_2024_ver0!O199</f>
        <v>0</v>
      </c>
      <c r="Q199" s="3">
        <f>parking_demand_data_2024_ver0!P199</f>
        <v>25</v>
      </c>
      <c r="R199" s="3">
        <f>parking_demand_data_2024_ver0!Q199</f>
        <v>0</v>
      </c>
      <c r="S199" s="3">
        <f>parking_demand_data_2024_ver0!R199</f>
        <v>0</v>
      </c>
      <c r="T199" s="3">
        <f>parking_demand_data_2024_ver0!S199</f>
        <v>0</v>
      </c>
    </row>
    <row r="200" spans="1:20" x14ac:dyDescent="0.25">
      <c r="A200">
        <v>18017</v>
      </c>
      <c r="B200" t="s">
        <v>37</v>
      </c>
      <c r="C200">
        <v>6</v>
      </c>
      <c r="D200" s="3">
        <f>parking_demand_data_2024_ver0!D200*calibration!$I$31</f>
        <v>18.359607990821502</v>
      </c>
      <c r="E200" s="3">
        <f>parking_demand_data_2024_ver0!E200*calibration!$I$31</f>
        <v>1.30817845634846</v>
      </c>
      <c r="F200" s="3">
        <f t="shared" si="3"/>
        <v>19.667786447169963</v>
      </c>
      <c r="G200" s="3">
        <f>parking_demand_data_2024_ver0!F200</f>
        <v>1</v>
      </c>
      <c r="H200" s="3">
        <f>parking_demand_data_2024_ver0!G200</f>
        <v>0</v>
      </c>
      <c r="I200" s="3">
        <f>parking_demand_data_2024_ver0!H200</f>
        <v>0</v>
      </c>
      <c r="J200" s="3">
        <f>parking_demand_data_2024_ver0!I200</f>
        <v>1</v>
      </c>
      <c r="K200" s="3">
        <f>parking_demand_data_2024_ver0!J200</f>
        <v>0</v>
      </c>
      <c r="L200" s="3">
        <f>parking_demand_data_2024_ver0!K200</f>
        <v>0</v>
      </c>
      <c r="M200" s="3">
        <f>parking_demand_data_2024_ver0!L200</f>
        <v>0</v>
      </c>
      <c r="N200" s="3">
        <f>parking_demand_data_2024_ver0!M200</f>
        <v>25</v>
      </c>
      <c r="O200" s="3">
        <f>parking_demand_data_2024_ver0!N200</f>
        <v>0</v>
      </c>
      <c r="P200" s="3">
        <f>parking_demand_data_2024_ver0!O200</f>
        <v>0</v>
      </c>
      <c r="Q200" s="3">
        <f>parking_demand_data_2024_ver0!P200</f>
        <v>25</v>
      </c>
      <c r="R200" s="3">
        <f>parking_demand_data_2024_ver0!Q200</f>
        <v>0</v>
      </c>
      <c r="S200" s="3">
        <f>parking_demand_data_2024_ver0!R200</f>
        <v>0</v>
      </c>
      <c r="T200" s="3">
        <f>parking_demand_data_2024_ver0!S200</f>
        <v>0</v>
      </c>
    </row>
    <row r="201" spans="1:20" x14ac:dyDescent="0.25">
      <c r="A201">
        <v>18017</v>
      </c>
      <c r="B201" t="s">
        <v>37</v>
      </c>
      <c r="C201">
        <v>7</v>
      </c>
      <c r="D201" s="3">
        <f>parking_demand_data_2024_ver0!D201*calibration!$I$31</f>
        <v>15.7883606800676</v>
      </c>
      <c r="E201" s="3">
        <f>parking_demand_data_2024_ver0!E201*calibration!$I$31</f>
        <v>9.0219203886100802E-2</v>
      </c>
      <c r="F201" s="3">
        <f t="shared" si="3"/>
        <v>15.8785798839537</v>
      </c>
      <c r="G201" s="3">
        <f>parking_demand_data_2024_ver0!F201</f>
        <v>1</v>
      </c>
      <c r="H201" s="3">
        <f>parking_demand_data_2024_ver0!G201</f>
        <v>0</v>
      </c>
      <c r="I201" s="3">
        <f>parking_demand_data_2024_ver0!H201</f>
        <v>0</v>
      </c>
      <c r="J201" s="3">
        <f>parking_demand_data_2024_ver0!I201</f>
        <v>1</v>
      </c>
      <c r="K201" s="3">
        <f>parking_demand_data_2024_ver0!J201</f>
        <v>0</v>
      </c>
      <c r="L201" s="3">
        <f>parking_demand_data_2024_ver0!K201</f>
        <v>0</v>
      </c>
      <c r="M201" s="3">
        <f>parking_demand_data_2024_ver0!L201</f>
        <v>0</v>
      </c>
      <c r="N201" s="3">
        <f>parking_demand_data_2024_ver0!M201</f>
        <v>25</v>
      </c>
      <c r="O201" s="3">
        <f>parking_demand_data_2024_ver0!N201</f>
        <v>0</v>
      </c>
      <c r="P201" s="3">
        <f>parking_demand_data_2024_ver0!O201</f>
        <v>0</v>
      </c>
      <c r="Q201" s="3">
        <f>parking_demand_data_2024_ver0!P201</f>
        <v>25</v>
      </c>
      <c r="R201" s="3">
        <f>parking_demand_data_2024_ver0!Q201</f>
        <v>0</v>
      </c>
      <c r="S201" s="3">
        <f>parking_demand_data_2024_ver0!R201</f>
        <v>0</v>
      </c>
      <c r="T201" s="3">
        <f>parking_demand_data_2024_ver0!S201</f>
        <v>0</v>
      </c>
    </row>
    <row r="202" spans="1:20" x14ac:dyDescent="0.25">
      <c r="A202">
        <v>18017</v>
      </c>
      <c r="B202" t="s">
        <v>37</v>
      </c>
      <c r="C202">
        <v>8</v>
      </c>
      <c r="D202" s="3">
        <f>parking_demand_data_2024_ver0!D202*calibration!$I$31</f>
        <v>13.126894165427601</v>
      </c>
      <c r="E202" s="3">
        <f>parking_demand_data_2024_ver0!E202*calibration!$I$31</f>
        <v>0.40598641748745301</v>
      </c>
      <c r="F202" s="3">
        <f t="shared" si="3"/>
        <v>13.532880582915054</v>
      </c>
      <c r="G202" s="3">
        <f>parking_demand_data_2024_ver0!F202</f>
        <v>1</v>
      </c>
      <c r="H202" s="3">
        <f>parking_demand_data_2024_ver0!G202</f>
        <v>0</v>
      </c>
      <c r="I202" s="3">
        <f>parking_demand_data_2024_ver0!H202</f>
        <v>0</v>
      </c>
      <c r="J202" s="3">
        <f>parking_demand_data_2024_ver0!I202</f>
        <v>1</v>
      </c>
      <c r="K202" s="3">
        <f>parking_demand_data_2024_ver0!J202</f>
        <v>0</v>
      </c>
      <c r="L202" s="3">
        <f>parking_demand_data_2024_ver0!K202</f>
        <v>0</v>
      </c>
      <c r="M202" s="3">
        <f>parking_demand_data_2024_ver0!L202</f>
        <v>0</v>
      </c>
      <c r="N202" s="3">
        <f>parking_demand_data_2024_ver0!M202</f>
        <v>25</v>
      </c>
      <c r="O202" s="3">
        <f>parking_demand_data_2024_ver0!N202</f>
        <v>0</v>
      </c>
      <c r="P202" s="3">
        <f>parking_demand_data_2024_ver0!O202</f>
        <v>0</v>
      </c>
      <c r="Q202" s="3">
        <f>parking_demand_data_2024_ver0!P202</f>
        <v>25</v>
      </c>
      <c r="R202" s="3">
        <f>parking_demand_data_2024_ver0!Q202</f>
        <v>0</v>
      </c>
      <c r="S202" s="3">
        <f>parking_demand_data_2024_ver0!R202</f>
        <v>0</v>
      </c>
      <c r="T202" s="3">
        <f>parking_demand_data_2024_ver0!S202</f>
        <v>0</v>
      </c>
    </row>
    <row r="203" spans="1:20" x14ac:dyDescent="0.25">
      <c r="A203">
        <v>18017</v>
      </c>
      <c r="B203" t="s">
        <v>37</v>
      </c>
      <c r="C203">
        <v>9</v>
      </c>
      <c r="D203" s="3">
        <f>parking_demand_data_2024_ver0!D203*calibration!$I$31</f>
        <v>10.871414068275101</v>
      </c>
      <c r="E203" s="3">
        <f>parking_demand_data_2024_ver0!E203*calibration!$I$31</f>
        <v>0.67664402914575605</v>
      </c>
      <c r="F203" s="3">
        <f t="shared" si="3"/>
        <v>11.548058097420856</v>
      </c>
      <c r="G203" s="3">
        <f>parking_demand_data_2024_ver0!F203</f>
        <v>1</v>
      </c>
      <c r="H203" s="3">
        <f>parking_demand_data_2024_ver0!G203</f>
        <v>0</v>
      </c>
      <c r="I203" s="3">
        <f>parking_demand_data_2024_ver0!H203</f>
        <v>0</v>
      </c>
      <c r="J203" s="3">
        <f>parking_demand_data_2024_ver0!I203</f>
        <v>1</v>
      </c>
      <c r="K203" s="3">
        <f>parking_demand_data_2024_ver0!J203</f>
        <v>0</v>
      </c>
      <c r="L203" s="3">
        <f>parking_demand_data_2024_ver0!K203</f>
        <v>0</v>
      </c>
      <c r="M203" s="3">
        <f>parking_demand_data_2024_ver0!L203</f>
        <v>0</v>
      </c>
      <c r="N203" s="3">
        <f>parking_demand_data_2024_ver0!M203</f>
        <v>25</v>
      </c>
      <c r="O203" s="3">
        <f>parking_demand_data_2024_ver0!N203</f>
        <v>0</v>
      </c>
      <c r="P203" s="3">
        <f>parking_demand_data_2024_ver0!O203</f>
        <v>0</v>
      </c>
      <c r="Q203" s="3">
        <f>parking_demand_data_2024_ver0!P203</f>
        <v>25</v>
      </c>
      <c r="R203" s="3">
        <f>parking_demand_data_2024_ver0!Q203</f>
        <v>0</v>
      </c>
      <c r="S203" s="3">
        <f>parking_demand_data_2024_ver0!R203</f>
        <v>0</v>
      </c>
      <c r="T203" s="3">
        <f>parking_demand_data_2024_ver0!S203</f>
        <v>0</v>
      </c>
    </row>
    <row r="204" spans="1:20" x14ac:dyDescent="0.25">
      <c r="A204">
        <v>18017</v>
      </c>
      <c r="B204" t="s">
        <v>37</v>
      </c>
      <c r="C204">
        <v>10</v>
      </c>
      <c r="D204" s="3">
        <f>parking_demand_data_2024_ver0!D204*calibration!$I$31</f>
        <v>10.1496604371863</v>
      </c>
      <c r="E204" s="3">
        <f>parking_demand_data_2024_ver0!E204*calibration!$I$31</f>
        <v>0.81197283497490702</v>
      </c>
      <c r="F204" s="3">
        <f t="shared" si="3"/>
        <v>10.961633272161208</v>
      </c>
      <c r="G204" s="3">
        <f>parking_demand_data_2024_ver0!F204</f>
        <v>1</v>
      </c>
      <c r="H204" s="3">
        <f>parking_demand_data_2024_ver0!G204</f>
        <v>0</v>
      </c>
      <c r="I204" s="3">
        <f>parking_demand_data_2024_ver0!H204</f>
        <v>0</v>
      </c>
      <c r="J204" s="3">
        <f>parking_demand_data_2024_ver0!I204</f>
        <v>1</v>
      </c>
      <c r="K204" s="3">
        <f>parking_demand_data_2024_ver0!J204</f>
        <v>0</v>
      </c>
      <c r="L204" s="3">
        <f>parking_demand_data_2024_ver0!K204</f>
        <v>0</v>
      </c>
      <c r="M204" s="3">
        <f>parking_demand_data_2024_ver0!L204</f>
        <v>0</v>
      </c>
      <c r="N204" s="3">
        <f>parking_demand_data_2024_ver0!M204</f>
        <v>25</v>
      </c>
      <c r="O204" s="3">
        <f>parking_demand_data_2024_ver0!N204</f>
        <v>0</v>
      </c>
      <c r="P204" s="3">
        <f>parking_demand_data_2024_ver0!O204</f>
        <v>0</v>
      </c>
      <c r="Q204" s="3">
        <f>parking_demand_data_2024_ver0!P204</f>
        <v>25</v>
      </c>
      <c r="R204" s="3">
        <f>parking_demand_data_2024_ver0!Q204</f>
        <v>0</v>
      </c>
      <c r="S204" s="3">
        <f>parking_demand_data_2024_ver0!R204</f>
        <v>0</v>
      </c>
      <c r="T204" s="3">
        <f>parking_demand_data_2024_ver0!S204</f>
        <v>0</v>
      </c>
    </row>
    <row r="205" spans="1:20" x14ac:dyDescent="0.25">
      <c r="A205">
        <v>18017</v>
      </c>
      <c r="B205" t="s">
        <v>37</v>
      </c>
      <c r="C205">
        <v>11</v>
      </c>
      <c r="D205" s="3">
        <f>parking_demand_data_2024_ver0!D205*calibration!$I$31</f>
        <v>10.0143316313571</v>
      </c>
      <c r="E205" s="3">
        <f>parking_demand_data_2024_ver0!E205*calibration!$I$31</f>
        <v>0.49620562137355401</v>
      </c>
      <c r="F205" s="3">
        <f t="shared" si="3"/>
        <v>10.510537252730654</v>
      </c>
      <c r="G205" s="3">
        <f>parking_demand_data_2024_ver0!F205</f>
        <v>1</v>
      </c>
      <c r="H205" s="3">
        <f>parking_demand_data_2024_ver0!G205</f>
        <v>0</v>
      </c>
      <c r="I205" s="3">
        <f>parking_demand_data_2024_ver0!H205</f>
        <v>0</v>
      </c>
      <c r="J205" s="3">
        <f>parking_demand_data_2024_ver0!I205</f>
        <v>1</v>
      </c>
      <c r="K205" s="3">
        <f>parking_demand_data_2024_ver0!J205</f>
        <v>0</v>
      </c>
      <c r="L205" s="3">
        <f>parking_demand_data_2024_ver0!K205</f>
        <v>0</v>
      </c>
      <c r="M205" s="3">
        <f>parking_demand_data_2024_ver0!L205</f>
        <v>0</v>
      </c>
      <c r="N205" s="3">
        <f>parking_demand_data_2024_ver0!M205</f>
        <v>25</v>
      </c>
      <c r="O205" s="3">
        <f>parking_demand_data_2024_ver0!N205</f>
        <v>0</v>
      </c>
      <c r="P205" s="3">
        <f>parking_demand_data_2024_ver0!O205</f>
        <v>0</v>
      </c>
      <c r="Q205" s="3">
        <f>parking_demand_data_2024_ver0!P205</f>
        <v>25</v>
      </c>
      <c r="R205" s="3">
        <f>parking_demand_data_2024_ver0!Q205</f>
        <v>0</v>
      </c>
      <c r="S205" s="3">
        <f>parking_demand_data_2024_ver0!R205</f>
        <v>0</v>
      </c>
      <c r="T205" s="3">
        <f>parking_demand_data_2024_ver0!S205</f>
        <v>0</v>
      </c>
    </row>
    <row r="206" spans="1:20" x14ac:dyDescent="0.25">
      <c r="A206">
        <v>18017</v>
      </c>
      <c r="B206" t="s">
        <v>37</v>
      </c>
      <c r="C206">
        <v>12</v>
      </c>
      <c r="D206" s="3">
        <f>parking_demand_data_2024_ver0!D206*calibration!$I$31</f>
        <v>10.3752084469015</v>
      </c>
      <c r="E206" s="3">
        <f>parking_demand_data_2024_ver0!E206*calibration!$I$31</f>
        <v>1.3532880582915101</v>
      </c>
      <c r="F206" s="3">
        <f t="shared" si="3"/>
        <v>11.728496505193009</v>
      </c>
      <c r="G206" s="3">
        <f>parking_demand_data_2024_ver0!F206</f>
        <v>1</v>
      </c>
      <c r="H206" s="3">
        <f>parking_demand_data_2024_ver0!G206</f>
        <v>0</v>
      </c>
      <c r="I206" s="3">
        <f>parking_demand_data_2024_ver0!H206</f>
        <v>0</v>
      </c>
      <c r="J206" s="3">
        <f>parking_demand_data_2024_ver0!I206</f>
        <v>1</v>
      </c>
      <c r="K206" s="3">
        <f>parking_demand_data_2024_ver0!J206</f>
        <v>0</v>
      </c>
      <c r="L206" s="3">
        <f>parking_demand_data_2024_ver0!K206</f>
        <v>0</v>
      </c>
      <c r="M206" s="3">
        <f>parking_demand_data_2024_ver0!L206</f>
        <v>0</v>
      </c>
      <c r="N206" s="3">
        <f>parking_demand_data_2024_ver0!M206</f>
        <v>25</v>
      </c>
      <c r="O206" s="3">
        <f>parking_demand_data_2024_ver0!N206</f>
        <v>0</v>
      </c>
      <c r="P206" s="3">
        <f>parking_demand_data_2024_ver0!O206</f>
        <v>0</v>
      </c>
      <c r="Q206" s="3">
        <f>parking_demand_data_2024_ver0!P206</f>
        <v>25</v>
      </c>
      <c r="R206" s="3">
        <f>parking_demand_data_2024_ver0!Q206</f>
        <v>0</v>
      </c>
      <c r="S206" s="3">
        <f>parking_demand_data_2024_ver0!R206</f>
        <v>0</v>
      </c>
      <c r="T206" s="3">
        <f>parking_demand_data_2024_ver0!S206</f>
        <v>0</v>
      </c>
    </row>
    <row r="207" spans="1:20" x14ac:dyDescent="0.25">
      <c r="A207">
        <v>18017</v>
      </c>
      <c r="B207" t="s">
        <v>37</v>
      </c>
      <c r="C207">
        <v>13</v>
      </c>
      <c r="D207" s="3">
        <f>parking_demand_data_2024_ver0!D207*calibration!$I$31</f>
        <v>11.096962077990399</v>
      </c>
      <c r="E207" s="3">
        <f>parking_demand_data_2024_ver0!E207*calibration!$I$31</f>
        <v>0.81197283497490702</v>
      </c>
      <c r="F207" s="3">
        <f t="shared" si="3"/>
        <v>11.908934912965307</v>
      </c>
      <c r="G207" s="3">
        <f>parking_demand_data_2024_ver0!F207</f>
        <v>1</v>
      </c>
      <c r="H207" s="3">
        <f>parking_demand_data_2024_ver0!G207</f>
        <v>0</v>
      </c>
      <c r="I207" s="3">
        <f>parking_demand_data_2024_ver0!H207</f>
        <v>0</v>
      </c>
      <c r="J207" s="3">
        <f>parking_demand_data_2024_ver0!I207</f>
        <v>1</v>
      </c>
      <c r="K207" s="3">
        <f>parking_demand_data_2024_ver0!J207</f>
        <v>0</v>
      </c>
      <c r="L207" s="3">
        <f>parking_demand_data_2024_ver0!K207</f>
        <v>0</v>
      </c>
      <c r="M207" s="3">
        <f>parking_demand_data_2024_ver0!L207</f>
        <v>0</v>
      </c>
      <c r="N207" s="3">
        <f>parking_demand_data_2024_ver0!M207</f>
        <v>25</v>
      </c>
      <c r="O207" s="3">
        <f>parking_demand_data_2024_ver0!N207</f>
        <v>0</v>
      </c>
      <c r="P207" s="3">
        <f>parking_demand_data_2024_ver0!O207</f>
        <v>0</v>
      </c>
      <c r="Q207" s="3">
        <f>parking_demand_data_2024_ver0!P207</f>
        <v>25</v>
      </c>
      <c r="R207" s="3">
        <f>parking_demand_data_2024_ver0!Q207</f>
        <v>0</v>
      </c>
      <c r="S207" s="3">
        <f>parking_demand_data_2024_ver0!R207</f>
        <v>0</v>
      </c>
      <c r="T207" s="3">
        <f>parking_demand_data_2024_ver0!S207</f>
        <v>0</v>
      </c>
    </row>
    <row r="208" spans="1:20" x14ac:dyDescent="0.25">
      <c r="A208">
        <v>18017</v>
      </c>
      <c r="B208" t="s">
        <v>37</v>
      </c>
      <c r="C208">
        <v>14</v>
      </c>
      <c r="D208" s="3">
        <f>parking_demand_data_2024_ver0!D208*calibration!$I$31</f>
        <v>11.2774004857626</v>
      </c>
      <c r="E208" s="3">
        <f>parking_demand_data_2024_ver0!E208*calibration!$I$31</f>
        <v>1.1277400485762601</v>
      </c>
      <c r="F208" s="3">
        <f t="shared" si="3"/>
        <v>12.405140534338861</v>
      </c>
      <c r="G208" s="3">
        <f>parking_demand_data_2024_ver0!F208</f>
        <v>1</v>
      </c>
      <c r="H208" s="3">
        <f>parking_demand_data_2024_ver0!G208</f>
        <v>0</v>
      </c>
      <c r="I208" s="3">
        <f>parking_demand_data_2024_ver0!H208</f>
        <v>0</v>
      </c>
      <c r="J208" s="3">
        <f>parking_demand_data_2024_ver0!I208</f>
        <v>1</v>
      </c>
      <c r="K208" s="3">
        <f>parking_demand_data_2024_ver0!J208</f>
        <v>0</v>
      </c>
      <c r="L208" s="3">
        <f>parking_demand_data_2024_ver0!K208</f>
        <v>0</v>
      </c>
      <c r="M208" s="3">
        <f>parking_demand_data_2024_ver0!L208</f>
        <v>0</v>
      </c>
      <c r="N208" s="3">
        <f>parking_demand_data_2024_ver0!M208</f>
        <v>25</v>
      </c>
      <c r="O208" s="3">
        <f>parking_demand_data_2024_ver0!N208</f>
        <v>0</v>
      </c>
      <c r="P208" s="3">
        <f>parking_demand_data_2024_ver0!O208</f>
        <v>0</v>
      </c>
      <c r="Q208" s="3">
        <f>parking_demand_data_2024_ver0!P208</f>
        <v>25</v>
      </c>
      <c r="R208" s="3">
        <f>parking_demand_data_2024_ver0!Q208</f>
        <v>0</v>
      </c>
      <c r="S208" s="3">
        <f>parking_demand_data_2024_ver0!R208</f>
        <v>0</v>
      </c>
      <c r="T208" s="3">
        <f>parking_demand_data_2024_ver0!S208</f>
        <v>0</v>
      </c>
    </row>
    <row r="209" spans="1:20" x14ac:dyDescent="0.25">
      <c r="A209">
        <v>18017</v>
      </c>
      <c r="B209" t="s">
        <v>37</v>
      </c>
      <c r="C209">
        <v>15</v>
      </c>
      <c r="D209" s="3">
        <f>parking_demand_data_2024_ver0!D209*calibration!$I$31</f>
        <v>11.8187157090792</v>
      </c>
      <c r="E209" s="3">
        <f>parking_demand_data_2024_ver0!E209*calibration!$I$31</f>
        <v>1.3532880582915101</v>
      </c>
      <c r="F209" s="3">
        <f t="shared" si="3"/>
        <v>13.172003767370709</v>
      </c>
      <c r="G209" s="3">
        <f>parking_demand_data_2024_ver0!F209</f>
        <v>1</v>
      </c>
      <c r="H209" s="3">
        <f>parking_demand_data_2024_ver0!G209</f>
        <v>0</v>
      </c>
      <c r="I209" s="3">
        <f>parking_demand_data_2024_ver0!H209</f>
        <v>0</v>
      </c>
      <c r="J209" s="3">
        <f>parking_demand_data_2024_ver0!I209</f>
        <v>1</v>
      </c>
      <c r="K209" s="3">
        <f>parking_demand_data_2024_ver0!J209</f>
        <v>0</v>
      </c>
      <c r="L209" s="3">
        <f>parking_demand_data_2024_ver0!K209</f>
        <v>0</v>
      </c>
      <c r="M209" s="3">
        <f>parking_demand_data_2024_ver0!L209</f>
        <v>0</v>
      </c>
      <c r="N209" s="3">
        <f>parking_demand_data_2024_ver0!M209</f>
        <v>25</v>
      </c>
      <c r="O209" s="3">
        <f>parking_demand_data_2024_ver0!N209</f>
        <v>0</v>
      </c>
      <c r="P209" s="3">
        <f>parking_demand_data_2024_ver0!O209</f>
        <v>0</v>
      </c>
      <c r="Q209" s="3">
        <f>parking_demand_data_2024_ver0!P209</f>
        <v>25</v>
      </c>
      <c r="R209" s="3">
        <f>parking_demand_data_2024_ver0!Q209</f>
        <v>0</v>
      </c>
      <c r="S209" s="3">
        <f>parking_demand_data_2024_ver0!R209</f>
        <v>0</v>
      </c>
      <c r="T209" s="3">
        <f>parking_demand_data_2024_ver0!S209</f>
        <v>0</v>
      </c>
    </row>
    <row r="210" spans="1:20" x14ac:dyDescent="0.25">
      <c r="A210">
        <v>18017</v>
      </c>
      <c r="B210" t="s">
        <v>37</v>
      </c>
      <c r="C210">
        <v>16</v>
      </c>
      <c r="D210" s="3">
        <f>parking_demand_data_2024_ver0!D210*calibration!$I$31</f>
        <v>13.6230997868012</v>
      </c>
      <c r="E210" s="3">
        <f>parking_demand_data_2024_ver0!E210*calibration!$I$31</f>
        <v>1.4435072621776099</v>
      </c>
      <c r="F210" s="3">
        <f t="shared" si="3"/>
        <v>15.06660704897881</v>
      </c>
      <c r="G210" s="3">
        <f>parking_demand_data_2024_ver0!F210</f>
        <v>1</v>
      </c>
      <c r="H210" s="3">
        <f>parking_demand_data_2024_ver0!G210</f>
        <v>0</v>
      </c>
      <c r="I210" s="3">
        <f>parking_demand_data_2024_ver0!H210</f>
        <v>0</v>
      </c>
      <c r="J210" s="3">
        <f>parking_demand_data_2024_ver0!I210</f>
        <v>1</v>
      </c>
      <c r="K210" s="3">
        <f>parking_demand_data_2024_ver0!J210</f>
        <v>0</v>
      </c>
      <c r="L210" s="3">
        <f>parking_demand_data_2024_ver0!K210</f>
        <v>0</v>
      </c>
      <c r="M210" s="3">
        <f>parking_demand_data_2024_ver0!L210</f>
        <v>0</v>
      </c>
      <c r="N210" s="3">
        <f>parking_demand_data_2024_ver0!M210</f>
        <v>25</v>
      </c>
      <c r="O210" s="3">
        <f>parking_demand_data_2024_ver0!N210</f>
        <v>0</v>
      </c>
      <c r="P210" s="3">
        <f>parking_demand_data_2024_ver0!O210</f>
        <v>0</v>
      </c>
      <c r="Q210" s="3">
        <f>parking_demand_data_2024_ver0!P210</f>
        <v>25</v>
      </c>
      <c r="R210" s="3">
        <f>parking_demand_data_2024_ver0!Q210</f>
        <v>0</v>
      </c>
      <c r="S210" s="3">
        <f>parking_demand_data_2024_ver0!R210</f>
        <v>0</v>
      </c>
      <c r="T210" s="3">
        <f>parking_demand_data_2024_ver0!S210</f>
        <v>0</v>
      </c>
    </row>
    <row r="211" spans="1:20" x14ac:dyDescent="0.25">
      <c r="A211">
        <v>18017</v>
      </c>
      <c r="B211" t="s">
        <v>37</v>
      </c>
      <c r="C211">
        <v>17</v>
      </c>
      <c r="D211" s="3">
        <f>parking_demand_data_2024_ver0!D211*calibration!$I$31</f>
        <v>15.8785798839537</v>
      </c>
      <c r="E211" s="3">
        <f>parking_demand_data_2024_ver0!E211*calibration!$I$31</f>
        <v>1.53372646606371</v>
      </c>
      <c r="F211" s="3">
        <f t="shared" si="3"/>
        <v>17.41230635001741</v>
      </c>
      <c r="G211" s="3">
        <f>parking_demand_data_2024_ver0!F211</f>
        <v>1</v>
      </c>
      <c r="H211" s="3">
        <f>parking_demand_data_2024_ver0!G211</f>
        <v>0</v>
      </c>
      <c r="I211" s="3">
        <f>parking_demand_data_2024_ver0!H211</f>
        <v>0</v>
      </c>
      <c r="J211" s="3">
        <f>parking_demand_data_2024_ver0!I211</f>
        <v>1</v>
      </c>
      <c r="K211" s="3">
        <f>parking_demand_data_2024_ver0!J211</f>
        <v>0</v>
      </c>
      <c r="L211" s="3">
        <f>parking_demand_data_2024_ver0!K211</f>
        <v>0</v>
      </c>
      <c r="M211" s="3">
        <f>parking_demand_data_2024_ver0!L211</f>
        <v>0</v>
      </c>
      <c r="N211" s="3">
        <f>parking_demand_data_2024_ver0!M211</f>
        <v>25</v>
      </c>
      <c r="O211" s="3">
        <f>parking_demand_data_2024_ver0!N211</f>
        <v>0</v>
      </c>
      <c r="P211" s="3">
        <f>parking_demand_data_2024_ver0!O211</f>
        <v>0</v>
      </c>
      <c r="Q211" s="3">
        <f>parking_demand_data_2024_ver0!P211</f>
        <v>25</v>
      </c>
      <c r="R211" s="3">
        <f>parking_demand_data_2024_ver0!Q211</f>
        <v>0</v>
      </c>
      <c r="S211" s="3">
        <f>parking_demand_data_2024_ver0!R211</f>
        <v>0</v>
      </c>
      <c r="T211" s="3">
        <f>parking_demand_data_2024_ver0!S211</f>
        <v>0</v>
      </c>
    </row>
    <row r="212" spans="1:20" x14ac:dyDescent="0.25">
      <c r="A212">
        <v>18017</v>
      </c>
      <c r="B212" t="s">
        <v>37</v>
      </c>
      <c r="C212">
        <v>18</v>
      </c>
      <c r="D212" s="3">
        <f>parking_demand_data_2024_ver0!D212*calibration!$I$31</f>
        <v>16.780771922814701</v>
      </c>
      <c r="E212" s="3">
        <f>parking_demand_data_2024_ver0!E212*calibration!$I$31</f>
        <v>2.0750416893803099</v>
      </c>
      <c r="F212" s="3">
        <f t="shared" si="3"/>
        <v>18.855813612195011</v>
      </c>
      <c r="G212" s="3">
        <f>parking_demand_data_2024_ver0!F212</f>
        <v>1</v>
      </c>
      <c r="H212" s="3">
        <f>parking_demand_data_2024_ver0!G212</f>
        <v>0</v>
      </c>
      <c r="I212" s="3">
        <f>parking_demand_data_2024_ver0!H212</f>
        <v>0</v>
      </c>
      <c r="J212" s="3">
        <f>parking_demand_data_2024_ver0!I212</f>
        <v>1</v>
      </c>
      <c r="K212" s="3">
        <f>parking_demand_data_2024_ver0!J212</f>
        <v>0</v>
      </c>
      <c r="L212" s="3">
        <f>parking_demand_data_2024_ver0!K212</f>
        <v>0</v>
      </c>
      <c r="M212" s="3">
        <f>parking_demand_data_2024_ver0!L212</f>
        <v>0</v>
      </c>
      <c r="N212" s="3">
        <f>parking_demand_data_2024_ver0!M212</f>
        <v>25</v>
      </c>
      <c r="O212" s="3">
        <f>parking_demand_data_2024_ver0!N212</f>
        <v>0</v>
      </c>
      <c r="P212" s="3">
        <f>parking_demand_data_2024_ver0!O212</f>
        <v>0</v>
      </c>
      <c r="Q212" s="3">
        <f>parking_demand_data_2024_ver0!P212</f>
        <v>25</v>
      </c>
      <c r="R212" s="3">
        <f>parking_demand_data_2024_ver0!Q212</f>
        <v>0</v>
      </c>
      <c r="S212" s="3">
        <f>parking_demand_data_2024_ver0!R212</f>
        <v>0</v>
      </c>
      <c r="T212" s="3">
        <f>parking_demand_data_2024_ver0!S212</f>
        <v>0</v>
      </c>
    </row>
    <row r="213" spans="1:20" x14ac:dyDescent="0.25">
      <c r="A213">
        <v>18017</v>
      </c>
      <c r="B213" t="s">
        <v>37</v>
      </c>
      <c r="C213">
        <v>19</v>
      </c>
      <c r="D213" s="3">
        <f>parking_demand_data_2024_ver0!D213*calibration!$I$31</f>
        <v>19.171580825796401</v>
      </c>
      <c r="E213" s="3">
        <f>parking_demand_data_2024_ver0!E213*calibration!$I$31</f>
        <v>2.3005896990955699</v>
      </c>
      <c r="F213" s="3">
        <f t="shared" si="3"/>
        <v>21.472170524891972</v>
      </c>
      <c r="G213" s="3">
        <f>parking_demand_data_2024_ver0!F213</f>
        <v>1</v>
      </c>
      <c r="H213" s="3">
        <f>parking_demand_data_2024_ver0!G213</f>
        <v>0</v>
      </c>
      <c r="I213" s="3">
        <f>parking_demand_data_2024_ver0!H213</f>
        <v>0</v>
      </c>
      <c r="J213" s="3">
        <f>parking_demand_data_2024_ver0!I213</f>
        <v>1</v>
      </c>
      <c r="K213" s="3">
        <f>parking_demand_data_2024_ver0!J213</f>
        <v>0</v>
      </c>
      <c r="L213" s="3">
        <f>parking_demand_data_2024_ver0!K213</f>
        <v>0</v>
      </c>
      <c r="M213" s="3">
        <f>parking_demand_data_2024_ver0!L213</f>
        <v>0</v>
      </c>
      <c r="N213" s="3">
        <f>parking_demand_data_2024_ver0!M213</f>
        <v>25</v>
      </c>
      <c r="O213" s="3">
        <f>parking_demand_data_2024_ver0!N213</f>
        <v>0</v>
      </c>
      <c r="P213" s="3">
        <f>parking_demand_data_2024_ver0!O213</f>
        <v>0</v>
      </c>
      <c r="Q213" s="3">
        <f>parking_demand_data_2024_ver0!P213</f>
        <v>25</v>
      </c>
      <c r="R213" s="3">
        <f>parking_demand_data_2024_ver0!Q213</f>
        <v>0</v>
      </c>
      <c r="S213" s="3">
        <f>parking_demand_data_2024_ver0!R213</f>
        <v>0</v>
      </c>
      <c r="T213" s="3">
        <f>parking_demand_data_2024_ver0!S213</f>
        <v>0</v>
      </c>
    </row>
    <row r="214" spans="1:20" x14ac:dyDescent="0.25">
      <c r="A214">
        <v>18017</v>
      </c>
      <c r="B214" t="s">
        <v>37</v>
      </c>
      <c r="C214">
        <v>20</v>
      </c>
      <c r="D214" s="3">
        <f>parking_demand_data_2024_ver0!D214*calibration!$I$31</f>
        <v>20.840636097689199</v>
      </c>
      <c r="E214" s="3">
        <f>parking_demand_data_2024_ver0!E214*calibration!$I$31</f>
        <v>2.48102810686777</v>
      </c>
      <c r="F214" s="3">
        <f t="shared" si="3"/>
        <v>23.321664204556967</v>
      </c>
      <c r="G214" s="3">
        <f>parking_demand_data_2024_ver0!F214</f>
        <v>1</v>
      </c>
      <c r="H214" s="3">
        <f>parking_demand_data_2024_ver0!G214</f>
        <v>0</v>
      </c>
      <c r="I214" s="3">
        <f>parking_demand_data_2024_ver0!H214</f>
        <v>0</v>
      </c>
      <c r="J214" s="3">
        <f>parking_demand_data_2024_ver0!I214</f>
        <v>1</v>
      </c>
      <c r="K214" s="3">
        <f>parking_demand_data_2024_ver0!J214</f>
        <v>0</v>
      </c>
      <c r="L214" s="3">
        <f>parking_demand_data_2024_ver0!K214</f>
        <v>0</v>
      </c>
      <c r="M214" s="3">
        <f>parking_demand_data_2024_ver0!L214</f>
        <v>0</v>
      </c>
      <c r="N214" s="3">
        <f>parking_demand_data_2024_ver0!M214</f>
        <v>25</v>
      </c>
      <c r="O214" s="3">
        <f>parking_demand_data_2024_ver0!N214</f>
        <v>0</v>
      </c>
      <c r="P214" s="3">
        <f>parking_demand_data_2024_ver0!O214</f>
        <v>0</v>
      </c>
      <c r="Q214" s="3">
        <f>parking_demand_data_2024_ver0!P214</f>
        <v>25</v>
      </c>
      <c r="R214" s="3">
        <f>parking_demand_data_2024_ver0!Q214</f>
        <v>0</v>
      </c>
      <c r="S214" s="3">
        <f>parking_demand_data_2024_ver0!R214</f>
        <v>0</v>
      </c>
      <c r="T214" s="3">
        <f>parking_demand_data_2024_ver0!S214</f>
        <v>0</v>
      </c>
    </row>
    <row r="215" spans="1:20" x14ac:dyDescent="0.25">
      <c r="A215">
        <v>18017</v>
      </c>
      <c r="B215" t="s">
        <v>37</v>
      </c>
      <c r="C215">
        <v>21</v>
      </c>
      <c r="D215" s="3">
        <f>parking_demand_data_2024_ver0!D215*calibration!$I$31</f>
        <v>22.148814554037699</v>
      </c>
      <c r="E215" s="3">
        <f>parking_demand_data_2024_ver0!E215*calibration!$I$31</f>
        <v>2.5261377088108201</v>
      </c>
      <c r="F215" s="3">
        <f t="shared" si="3"/>
        <v>24.674952262848521</v>
      </c>
      <c r="G215" s="3">
        <f>parking_demand_data_2024_ver0!F215</f>
        <v>1</v>
      </c>
      <c r="H215" s="3">
        <f>parking_demand_data_2024_ver0!G215</f>
        <v>0</v>
      </c>
      <c r="I215" s="3">
        <f>parking_demand_data_2024_ver0!H215</f>
        <v>0</v>
      </c>
      <c r="J215" s="3">
        <f>parking_demand_data_2024_ver0!I215</f>
        <v>1</v>
      </c>
      <c r="K215" s="3">
        <f>parking_demand_data_2024_ver0!J215</f>
        <v>0</v>
      </c>
      <c r="L215" s="3">
        <f>parking_demand_data_2024_ver0!K215</f>
        <v>0</v>
      </c>
      <c r="M215" s="3">
        <f>parking_demand_data_2024_ver0!L215</f>
        <v>0</v>
      </c>
      <c r="N215" s="3">
        <f>parking_demand_data_2024_ver0!M215</f>
        <v>25</v>
      </c>
      <c r="O215" s="3">
        <f>parking_demand_data_2024_ver0!N215</f>
        <v>0</v>
      </c>
      <c r="P215" s="3">
        <f>parking_demand_data_2024_ver0!O215</f>
        <v>0</v>
      </c>
      <c r="Q215" s="3">
        <f>parking_demand_data_2024_ver0!P215</f>
        <v>25</v>
      </c>
      <c r="R215" s="3">
        <f>parking_demand_data_2024_ver0!Q215</f>
        <v>0</v>
      </c>
      <c r="S215" s="3">
        <f>parking_demand_data_2024_ver0!R215</f>
        <v>0</v>
      </c>
      <c r="T215" s="3">
        <f>parking_demand_data_2024_ver0!S215</f>
        <v>0</v>
      </c>
    </row>
    <row r="216" spans="1:20" x14ac:dyDescent="0.25">
      <c r="A216">
        <v>18017</v>
      </c>
      <c r="B216" t="s">
        <v>37</v>
      </c>
      <c r="C216">
        <v>22</v>
      </c>
      <c r="D216" s="3">
        <f>parking_demand_data_2024_ver0!D216*calibration!$I$31</f>
        <v>23.456993010386199</v>
      </c>
      <c r="E216" s="3">
        <f>parking_demand_data_2024_ver0!E216*calibration!$I$31</f>
        <v>2.5261377088108201</v>
      </c>
      <c r="F216" s="3">
        <f t="shared" si="3"/>
        <v>25.983130719197021</v>
      </c>
      <c r="G216" s="3">
        <f>parking_demand_data_2024_ver0!F216</f>
        <v>1</v>
      </c>
      <c r="H216" s="3">
        <f>parking_demand_data_2024_ver0!G216</f>
        <v>0</v>
      </c>
      <c r="I216" s="3">
        <f>parking_demand_data_2024_ver0!H216</f>
        <v>0</v>
      </c>
      <c r="J216" s="3">
        <f>parking_demand_data_2024_ver0!I216</f>
        <v>1</v>
      </c>
      <c r="K216" s="3">
        <f>parking_demand_data_2024_ver0!J216</f>
        <v>0</v>
      </c>
      <c r="L216" s="3">
        <f>parking_demand_data_2024_ver0!K216</f>
        <v>0</v>
      </c>
      <c r="M216" s="3">
        <f>parking_demand_data_2024_ver0!L216</f>
        <v>0</v>
      </c>
      <c r="N216" s="3">
        <f>parking_demand_data_2024_ver0!M216</f>
        <v>25</v>
      </c>
      <c r="O216" s="3">
        <f>parking_demand_data_2024_ver0!N216</f>
        <v>0</v>
      </c>
      <c r="P216" s="3">
        <f>parking_demand_data_2024_ver0!O216</f>
        <v>0</v>
      </c>
      <c r="Q216" s="3">
        <f>parking_demand_data_2024_ver0!P216</f>
        <v>25</v>
      </c>
      <c r="R216" s="3">
        <f>parking_demand_data_2024_ver0!Q216</f>
        <v>0</v>
      </c>
      <c r="S216" s="3">
        <f>parking_demand_data_2024_ver0!R216</f>
        <v>0</v>
      </c>
      <c r="T216" s="3">
        <f>parking_demand_data_2024_ver0!S216</f>
        <v>0</v>
      </c>
    </row>
    <row r="217" spans="1:20" x14ac:dyDescent="0.25">
      <c r="A217">
        <v>18017</v>
      </c>
      <c r="B217" t="s">
        <v>37</v>
      </c>
      <c r="C217">
        <v>23</v>
      </c>
      <c r="D217" s="3">
        <f>parking_demand_data_2024_ver0!D217*calibration!$I$31</f>
        <v>24.404294651190199</v>
      </c>
      <c r="E217" s="3">
        <f>parking_demand_data_2024_ver0!E217*calibration!$I$31</f>
        <v>2.5261377088108201</v>
      </c>
      <c r="F217" s="3">
        <f t="shared" si="3"/>
        <v>26.930432360001021</v>
      </c>
      <c r="G217" s="3">
        <f>parking_demand_data_2024_ver0!F217</f>
        <v>1</v>
      </c>
      <c r="H217" s="3">
        <f>parking_demand_data_2024_ver0!G217</f>
        <v>0</v>
      </c>
      <c r="I217" s="3">
        <f>parking_demand_data_2024_ver0!H217</f>
        <v>0</v>
      </c>
      <c r="J217" s="3">
        <f>parking_demand_data_2024_ver0!I217</f>
        <v>1</v>
      </c>
      <c r="K217" s="3">
        <f>parking_demand_data_2024_ver0!J217</f>
        <v>0</v>
      </c>
      <c r="L217" s="3">
        <f>parking_demand_data_2024_ver0!K217</f>
        <v>0</v>
      </c>
      <c r="M217" s="3">
        <f>parking_demand_data_2024_ver0!L217</f>
        <v>0</v>
      </c>
      <c r="N217" s="3">
        <f>parking_demand_data_2024_ver0!M217</f>
        <v>25</v>
      </c>
      <c r="O217" s="3">
        <f>parking_demand_data_2024_ver0!N217</f>
        <v>0</v>
      </c>
      <c r="P217" s="3">
        <f>parking_demand_data_2024_ver0!O217</f>
        <v>0</v>
      </c>
      <c r="Q217" s="3">
        <f>parking_demand_data_2024_ver0!P217</f>
        <v>25</v>
      </c>
      <c r="R217" s="3">
        <f>parking_demand_data_2024_ver0!Q217</f>
        <v>0</v>
      </c>
      <c r="S217" s="3">
        <f>parking_demand_data_2024_ver0!R217</f>
        <v>0</v>
      </c>
      <c r="T217" s="3">
        <f>parking_demand_data_2024_ver0!S217</f>
        <v>0</v>
      </c>
    </row>
    <row r="218" spans="1:20" x14ac:dyDescent="0.25">
      <c r="A218">
        <v>18019</v>
      </c>
      <c r="B218" t="s">
        <v>38</v>
      </c>
      <c r="C218">
        <v>0</v>
      </c>
      <c r="D218" s="3">
        <f>parking_demand_data_2024_ver0!D218*calibration!$I$31</f>
        <v>418.33784204160702</v>
      </c>
      <c r="E218" s="3">
        <f>parking_demand_data_2024_ver0!E218*calibration!$I$31</f>
        <v>40.912011536082403</v>
      </c>
      <c r="F218" s="3">
        <f t="shared" si="3"/>
        <v>459.24985357768941</v>
      </c>
      <c r="G218" s="3">
        <f>parking_demand_data_2024_ver0!F218</f>
        <v>7</v>
      </c>
      <c r="H218" s="3">
        <f>parking_demand_data_2024_ver0!G218</f>
        <v>1</v>
      </c>
      <c r="I218" s="3">
        <f>parking_demand_data_2024_ver0!H218</f>
        <v>0</v>
      </c>
      <c r="J218" s="3">
        <f>parking_demand_data_2024_ver0!I218</f>
        <v>4</v>
      </c>
      <c r="K218" s="3">
        <f>parking_demand_data_2024_ver0!J218</f>
        <v>0</v>
      </c>
      <c r="L218" s="3">
        <f>parking_demand_data_2024_ver0!K218</f>
        <v>2</v>
      </c>
      <c r="M218" s="3">
        <f>parking_demand_data_2024_ver0!L218</f>
        <v>0</v>
      </c>
      <c r="N218" s="3">
        <f>parking_demand_data_2024_ver0!M218</f>
        <v>473</v>
      </c>
      <c r="O218" s="3">
        <f>parking_demand_data_2024_ver0!N218</f>
        <v>220</v>
      </c>
      <c r="P218" s="3">
        <f>parking_demand_data_2024_ver0!O218</f>
        <v>0</v>
      </c>
      <c r="Q218" s="3">
        <f>parking_demand_data_2024_ver0!P218</f>
        <v>137</v>
      </c>
      <c r="R218" s="3">
        <f>parking_demand_data_2024_ver0!Q218</f>
        <v>0</v>
      </c>
      <c r="S218" s="3">
        <f>parking_demand_data_2024_ver0!R218</f>
        <v>116</v>
      </c>
      <c r="T218" s="3">
        <f>parking_demand_data_2024_ver0!S218</f>
        <v>0</v>
      </c>
    </row>
    <row r="219" spans="1:20" x14ac:dyDescent="0.25">
      <c r="A219">
        <v>18019</v>
      </c>
      <c r="B219" t="s">
        <v>38</v>
      </c>
      <c r="C219">
        <v>1</v>
      </c>
      <c r="D219" s="3">
        <f>parking_demand_data_2024_ver0!D219*calibration!$I$31</f>
        <v>424.64998096431702</v>
      </c>
      <c r="E219" s="3">
        <f>parking_demand_data_2024_ver0!E219*calibration!$I$31</f>
        <v>43.350033448028597</v>
      </c>
      <c r="F219" s="3">
        <f t="shared" si="3"/>
        <v>468.00001441234565</v>
      </c>
      <c r="G219" s="3">
        <f>parking_demand_data_2024_ver0!F219</f>
        <v>7</v>
      </c>
      <c r="H219" s="3">
        <f>parking_demand_data_2024_ver0!G219</f>
        <v>1</v>
      </c>
      <c r="I219" s="3">
        <f>parking_demand_data_2024_ver0!H219</f>
        <v>0</v>
      </c>
      <c r="J219" s="3">
        <f>parking_demand_data_2024_ver0!I219</f>
        <v>4</v>
      </c>
      <c r="K219" s="3">
        <f>parking_demand_data_2024_ver0!J219</f>
        <v>0</v>
      </c>
      <c r="L219" s="3">
        <f>parking_demand_data_2024_ver0!K219</f>
        <v>2</v>
      </c>
      <c r="M219" s="3">
        <f>parking_demand_data_2024_ver0!L219</f>
        <v>0</v>
      </c>
      <c r="N219" s="3">
        <f>parking_demand_data_2024_ver0!M219</f>
        <v>473</v>
      </c>
      <c r="O219" s="3">
        <f>parking_demand_data_2024_ver0!N219</f>
        <v>220</v>
      </c>
      <c r="P219" s="3">
        <f>parking_demand_data_2024_ver0!O219</f>
        <v>0</v>
      </c>
      <c r="Q219" s="3">
        <f>parking_demand_data_2024_ver0!P219</f>
        <v>137</v>
      </c>
      <c r="R219" s="3">
        <f>parking_demand_data_2024_ver0!Q219</f>
        <v>0</v>
      </c>
      <c r="S219" s="3">
        <f>parking_demand_data_2024_ver0!R219</f>
        <v>116</v>
      </c>
      <c r="T219" s="3">
        <f>parking_demand_data_2024_ver0!S219</f>
        <v>0</v>
      </c>
    </row>
    <row r="220" spans="1:20" x14ac:dyDescent="0.25">
      <c r="A220">
        <v>18019</v>
      </c>
      <c r="B220" t="s">
        <v>38</v>
      </c>
      <c r="C220">
        <v>2</v>
      </c>
      <c r="D220" s="3">
        <f>parking_demand_data_2024_ver0!D220*calibration!$I$31</f>
        <v>425.21773949175599</v>
      </c>
      <c r="E220" s="3">
        <f>parking_demand_data_2024_ver0!E220*calibration!$I$31</f>
        <v>43.784201733717602</v>
      </c>
      <c r="F220" s="3">
        <f t="shared" si="3"/>
        <v>469.00194122547362</v>
      </c>
      <c r="G220" s="3">
        <f>parking_demand_data_2024_ver0!F220</f>
        <v>7</v>
      </c>
      <c r="H220" s="3">
        <f>parking_demand_data_2024_ver0!G220</f>
        <v>1</v>
      </c>
      <c r="I220" s="3">
        <f>parking_demand_data_2024_ver0!H220</f>
        <v>0</v>
      </c>
      <c r="J220" s="3">
        <f>parking_demand_data_2024_ver0!I220</f>
        <v>4</v>
      </c>
      <c r="K220" s="3">
        <f>parking_demand_data_2024_ver0!J220</f>
        <v>0</v>
      </c>
      <c r="L220" s="3">
        <f>parking_demand_data_2024_ver0!K220</f>
        <v>2</v>
      </c>
      <c r="M220" s="3">
        <f>parking_demand_data_2024_ver0!L220</f>
        <v>0</v>
      </c>
      <c r="N220" s="3">
        <f>parking_demand_data_2024_ver0!M220</f>
        <v>473</v>
      </c>
      <c r="O220" s="3">
        <f>parking_demand_data_2024_ver0!N220</f>
        <v>220</v>
      </c>
      <c r="P220" s="3">
        <f>parking_demand_data_2024_ver0!O220</f>
        <v>0</v>
      </c>
      <c r="Q220" s="3">
        <f>parking_demand_data_2024_ver0!P220</f>
        <v>137</v>
      </c>
      <c r="R220" s="3">
        <f>parking_demand_data_2024_ver0!Q220</f>
        <v>0</v>
      </c>
      <c r="S220" s="3">
        <f>parking_demand_data_2024_ver0!R220</f>
        <v>116</v>
      </c>
      <c r="T220" s="3">
        <f>parking_demand_data_2024_ver0!S220</f>
        <v>0</v>
      </c>
    </row>
    <row r="221" spans="1:20" x14ac:dyDescent="0.25">
      <c r="A221">
        <v>18019</v>
      </c>
      <c r="B221" t="s">
        <v>38</v>
      </c>
      <c r="C221">
        <v>3</v>
      </c>
      <c r="D221" s="3">
        <f>parking_demand_data_2024_ver0!D221*calibration!$I$31</f>
        <v>419.64034689867401</v>
      </c>
      <c r="E221" s="3">
        <f>parking_demand_data_2024_ver0!E221*calibration!$I$31</f>
        <v>43.5504188106543</v>
      </c>
      <c r="F221" s="3">
        <f t="shared" si="3"/>
        <v>463.19076570932833</v>
      </c>
      <c r="G221" s="3">
        <f>parking_demand_data_2024_ver0!F221</f>
        <v>7</v>
      </c>
      <c r="H221" s="3">
        <f>parking_demand_data_2024_ver0!G221</f>
        <v>1</v>
      </c>
      <c r="I221" s="3">
        <f>parking_demand_data_2024_ver0!H221</f>
        <v>0</v>
      </c>
      <c r="J221" s="3">
        <f>parking_demand_data_2024_ver0!I221</f>
        <v>4</v>
      </c>
      <c r="K221" s="3">
        <f>parking_demand_data_2024_ver0!J221</f>
        <v>0</v>
      </c>
      <c r="L221" s="3">
        <f>parking_demand_data_2024_ver0!K221</f>
        <v>2</v>
      </c>
      <c r="M221" s="3">
        <f>parking_demand_data_2024_ver0!L221</f>
        <v>0</v>
      </c>
      <c r="N221" s="3">
        <f>parking_demand_data_2024_ver0!M221</f>
        <v>473</v>
      </c>
      <c r="O221" s="3">
        <f>parking_demand_data_2024_ver0!N221</f>
        <v>220</v>
      </c>
      <c r="P221" s="3">
        <f>parking_demand_data_2024_ver0!O221</f>
        <v>0</v>
      </c>
      <c r="Q221" s="3">
        <f>parking_demand_data_2024_ver0!P221</f>
        <v>137</v>
      </c>
      <c r="R221" s="3">
        <f>parking_demand_data_2024_ver0!Q221</f>
        <v>0</v>
      </c>
      <c r="S221" s="3">
        <f>parking_demand_data_2024_ver0!R221</f>
        <v>116</v>
      </c>
      <c r="T221" s="3">
        <f>parking_demand_data_2024_ver0!S221</f>
        <v>0</v>
      </c>
    </row>
    <row r="222" spans="1:20" x14ac:dyDescent="0.25">
      <c r="A222">
        <v>18019</v>
      </c>
      <c r="B222" t="s">
        <v>38</v>
      </c>
      <c r="C222">
        <v>4</v>
      </c>
      <c r="D222" s="3">
        <f>parking_demand_data_2024_ver0!D222*calibration!$I$31</f>
        <v>405.412986152249</v>
      </c>
      <c r="E222" s="3">
        <f>parking_demand_data_2024_ver0!E222*calibration!$I$31</f>
        <v>44.752730986408501</v>
      </c>
      <c r="F222" s="3">
        <f t="shared" si="3"/>
        <v>450.1657171386575</v>
      </c>
      <c r="G222" s="3">
        <f>parking_demand_data_2024_ver0!F222</f>
        <v>7</v>
      </c>
      <c r="H222" s="3">
        <f>parking_demand_data_2024_ver0!G222</f>
        <v>1</v>
      </c>
      <c r="I222" s="3">
        <f>parking_demand_data_2024_ver0!H222</f>
        <v>0</v>
      </c>
      <c r="J222" s="3">
        <f>parking_demand_data_2024_ver0!I222</f>
        <v>4</v>
      </c>
      <c r="K222" s="3">
        <f>parking_demand_data_2024_ver0!J222</f>
        <v>0</v>
      </c>
      <c r="L222" s="3">
        <f>parking_demand_data_2024_ver0!K222</f>
        <v>2</v>
      </c>
      <c r="M222" s="3">
        <f>parking_demand_data_2024_ver0!L222</f>
        <v>0</v>
      </c>
      <c r="N222" s="3">
        <f>parking_demand_data_2024_ver0!M222</f>
        <v>473</v>
      </c>
      <c r="O222" s="3">
        <f>parking_demand_data_2024_ver0!N222</f>
        <v>220</v>
      </c>
      <c r="P222" s="3">
        <f>parking_demand_data_2024_ver0!O222</f>
        <v>0</v>
      </c>
      <c r="Q222" s="3">
        <f>parking_demand_data_2024_ver0!P222</f>
        <v>137</v>
      </c>
      <c r="R222" s="3">
        <f>parking_demand_data_2024_ver0!Q222</f>
        <v>0</v>
      </c>
      <c r="S222" s="3">
        <f>parking_demand_data_2024_ver0!R222</f>
        <v>116</v>
      </c>
      <c r="T222" s="3">
        <f>parking_demand_data_2024_ver0!S222</f>
        <v>0</v>
      </c>
    </row>
    <row r="223" spans="1:20" x14ac:dyDescent="0.25">
      <c r="A223">
        <v>18019</v>
      </c>
      <c r="B223" t="s">
        <v>38</v>
      </c>
      <c r="C223">
        <v>5</v>
      </c>
      <c r="D223" s="3">
        <f>parking_demand_data_2024_ver0!D223*calibration!$I$31</f>
        <v>384.97367916442602</v>
      </c>
      <c r="E223" s="3">
        <f>parking_demand_data_2024_ver0!E223*calibration!$I$31</f>
        <v>47.691716304918998</v>
      </c>
      <c r="F223" s="3">
        <f t="shared" si="3"/>
        <v>432.66539546934501</v>
      </c>
      <c r="G223" s="3">
        <f>parking_demand_data_2024_ver0!F223</f>
        <v>7</v>
      </c>
      <c r="H223" s="3">
        <f>parking_demand_data_2024_ver0!G223</f>
        <v>1</v>
      </c>
      <c r="I223" s="3">
        <f>parking_demand_data_2024_ver0!H223</f>
        <v>0</v>
      </c>
      <c r="J223" s="3">
        <f>parking_demand_data_2024_ver0!I223</f>
        <v>4</v>
      </c>
      <c r="K223" s="3">
        <f>parking_demand_data_2024_ver0!J223</f>
        <v>0</v>
      </c>
      <c r="L223" s="3">
        <f>parking_demand_data_2024_ver0!K223</f>
        <v>2</v>
      </c>
      <c r="M223" s="3">
        <f>parking_demand_data_2024_ver0!L223</f>
        <v>0</v>
      </c>
      <c r="N223" s="3">
        <f>parking_demand_data_2024_ver0!M223</f>
        <v>473</v>
      </c>
      <c r="O223" s="3">
        <f>parking_demand_data_2024_ver0!N223</f>
        <v>220</v>
      </c>
      <c r="P223" s="3">
        <f>parking_demand_data_2024_ver0!O223</f>
        <v>0</v>
      </c>
      <c r="Q223" s="3">
        <f>parking_demand_data_2024_ver0!P223</f>
        <v>137</v>
      </c>
      <c r="R223" s="3">
        <f>parking_demand_data_2024_ver0!Q223</f>
        <v>0</v>
      </c>
      <c r="S223" s="3">
        <f>parking_demand_data_2024_ver0!R223</f>
        <v>116</v>
      </c>
      <c r="T223" s="3">
        <f>parking_demand_data_2024_ver0!S223</f>
        <v>0</v>
      </c>
    </row>
    <row r="224" spans="1:20" x14ac:dyDescent="0.25">
      <c r="A224">
        <v>18019</v>
      </c>
      <c r="B224" t="s">
        <v>38</v>
      </c>
      <c r="C224">
        <v>6</v>
      </c>
      <c r="D224" s="3">
        <f>parking_demand_data_2024_ver0!D224*calibration!$I$31</f>
        <v>353.71356259481502</v>
      </c>
      <c r="E224" s="3">
        <f>parking_demand_data_2024_ver0!E224*calibration!$I$31</f>
        <v>45.955043162162802</v>
      </c>
      <c r="F224" s="3">
        <f t="shared" si="3"/>
        <v>399.6686057569778</v>
      </c>
      <c r="G224" s="3">
        <f>parking_demand_data_2024_ver0!F224</f>
        <v>7</v>
      </c>
      <c r="H224" s="3">
        <f>parking_demand_data_2024_ver0!G224</f>
        <v>1</v>
      </c>
      <c r="I224" s="3">
        <f>parking_demand_data_2024_ver0!H224</f>
        <v>0</v>
      </c>
      <c r="J224" s="3">
        <f>parking_demand_data_2024_ver0!I224</f>
        <v>4</v>
      </c>
      <c r="K224" s="3">
        <f>parking_demand_data_2024_ver0!J224</f>
        <v>0</v>
      </c>
      <c r="L224" s="3">
        <f>parking_demand_data_2024_ver0!K224</f>
        <v>2</v>
      </c>
      <c r="M224" s="3">
        <f>parking_demand_data_2024_ver0!L224</f>
        <v>0</v>
      </c>
      <c r="N224" s="3">
        <f>parking_demand_data_2024_ver0!M224</f>
        <v>473</v>
      </c>
      <c r="O224" s="3">
        <f>parking_demand_data_2024_ver0!N224</f>
        <v>220</v>
      </c>
      <c r="P224" s="3">
        <f>parking_demand_data_2024_ver0!O224</f>
        <v>0</v>
      </c>
      <c r="Q224" s="3">
        <f>parking_demand_data_2024_ver0!P224</f>
        <v>137</v>
      </c>
      <c r="R224" s="3">
        <f>parking_demand_data_2024_ver0!Q224</f>
        <v>0</v>
      </c>
      <c r="S224" s="3">
        <f>parking_demand_data_2024_ver0!R224</f>
        <v>116</v>
      </c>
      <c r="T224" s="3">
        <f>parking_demand_data_2024_ver0!S224</f>
        <v>0</v>
      </c>
    </row>
    <row r="225" spans="1:20" x14ac:dyDescent="0.25">
      <c r="A225">
        <v>18019</v>
      </c>
      <c r="B225" t="s">
        <v>38</v>
      </c>
      <c r="C225">
        <v>7</v>
      </c>
      <c r="D225" s="3">
        <f>parking_demand_data_2024_ver0!D225*calibration!$I$31</f>
        <v>290.69236604903</v>
      </c>
      <c r="E225" s="3">
        <f>parking_demand_data_2024_ver0!E225*calibration!$I$31</f>
        <v>35.768787228689199</v>
      </c>
      <c r="F225" s="3">
        <f t="shared" si="3"/>
        <v>326.46115327771918</v>
      </c>
      <c r="G225" s="3">
        <f>parking_demand_data_2024_ver0!F225</f>
        <v>7</v>
      </c>
      <c r="H225" s="3">
        <f>parking_demand_data_2024_ver0!G225</f>
        <v>1</v>
      </c>
      <c r="I225" s="3">
        <f>parking_demand_data_2024_ver0!H225</f>
        <v>0</v>
      </c>
      <c r="J225" s="3">
        <f>parking_demand_data_2024_ver0!I225</f>
        <v>4</v>
      </c>
      <c r="K225" s="3">
        <f>parking_demand_data_2024_ver0!J225</f>
        <v>0</v>
      </c>
      <c r="L225" s="3">
        <f>parking_demand_data_2024_ver0!K225</f>
        <v>2</v>
      </c>
      <c r="M225" s="3">
        <f>parking_demand_data_2024_ver0!L225</f>
        <v>0</v>
      </c>
      <c r="N225" s="3">
        <f>parking_demand_data_2024_ver0!M225</f>
        <v>473</v>
      </c>
      <c r="O225" s="3">
        <f>parking_demand_data_2024_ver0!N225</f>
        <v>220</v>
      </c>
      <c r="P225" s="3">
        <f>parking_demand_data_2024_ver0!O225</f>
        <v>0</v>
      </c>
      <c r="Q225" s="3">
        <f>parking_demand_data_2024_ver0!P225</f>
        <v>137</v>
      </c>
      <c r="R225" s="3">
        <f>parking_demand_data_2024_ver0!Q225</f>
        <v>0</v>
      </c>
      <c r="S225" s="3">
        <f>parking_demand_data_2024_ver0!R225</f>
        <v>116</v>
      </c>
      <c r="T225" s="3">
        <f>parking_demand_data_2024_ver0!S225</f>
        <v>0</v>
      </c>
    </row>
    <row r="226" spans="1:20" x14ac:dyDescent="0.25">
      <c r="A226">
        <v>18019</v>
      </c>
      <c r="B226" t="s">
        <v>38</v>
      </c>
      <c r="C226">
        <v>8</v>
      </c>
      <c r="D226" s="3">
        <f>parking_demand_data_2024_ver0!D226*calibration!$I$31</f>
        <v>238.69236444765801</v>
      </c>
      <c r="E226" s="3">
        <f>parking_demand_data_2024_ver0!E226*calibration!$I$31</f>
        <v>27.385999558847001</v>
      </c>
      <c r="F226" s="3">
        <f t="shared" si="3"/>
        <v>266.07836400650501</v>
      </c>
      <c r="G226" s="3">
        <f>parking_demand_data_2024_ver0!F226</f>
        <v>7</v>
      </c>
      <c r="H226" s="3">
        <f>parking_demand_data_2024_ver0!G226</f>
        <v>1</v>
      </c>
      <c r="I226" s="3">
        <f>parking_demand_data_2024_ver0!H226</f>
        <v>0</v>
      </c>
      <c r="J226" s="3">
        <f>parking_demand_data_2024_ver0!I226</f>
        <v>4</v>
      </c>
      <c r="K226" s="3">
        <f>parking_demand_data_2024_ver0!J226</f>
        <v>0</v>
      </c>
      <c r="L226" s="3">
        <f>parking_demand_data_2024_ver0!K226</f>
        <v>2</v>
      </c>
      <c r="M226" s="3">
        <f>parking_demand_data_2024_ver0!L226</f>
        <v>0</v>
      </c>
      <c r="N226" s="3">
        <f>parking_demand_data_2024_ver0!M226</f>
        <v>473</v>
      </c>
      <c r="O226" s="3">
        <f>parking_demand_data_2024_ver0!N226</f>
        <v>220</v>
      </c>
      <c r="P226" s="3">
        <f>parking_demand_data_2024_ver0!O226</f>
        <v>0</v>
      </c>
      <c r="Q226" s="3">
        <f>parking_demand_data_2024_ver0!P226</f>
        <v>137</v>
      </c>
      <c r="R226" s="3">
        <f>parking_demand_data_2024_ver0!Q226</f>
        <v>0</v>
      </c>
      <c r="S226" s="3">
        <f>parking_demand_data_2024_ver0!R226</f>
        <v>116</v>
      </c>
      <c r="T226" s="3">
        <f>parking_demand_data_2024_ver0!S226</f>
        <v>0</v>
      </c>
    </row>
    <row r="227" spans="1:20" x14ac:dyDescent="0.25">
      <c r="A227">
        <v>18019</v>
      </c>
      <c r="B227" t="s">
        <v>38</v>
      </c>
      <c r="C227">
        <v>9</v>
      </c>
      <c r="D227" s="3">
        <f>parking_demand_data_2024_ver0!D227*calibration!$I$31</f>
        <v>199.81760409827001</v>
      </c>
      <c r="E227" s="3">
        <f>parking_demand_data_2024_ver0!E227*calibration!$I$31</f>
        <v>21.4746313613886</v>
      </c>
      <c r="F227" s="3">
        <f t="shared" si="3"/>
        <v>221.2922354596586</v>
      </c>
      <c r="G227" s="3">
        <f>parking_demand_data_2024_ver0!F227</f>
        <v>7</v>
      </c>
      <c r="H227" s="3">
        <f>parking_demand_data_2024_ver0!G227</f>
        <v>1</v>
      </c>
      <c r="I227" s="3">
        <f>parking_demand_data_2024_ver0!H227</f>
        <v>0</v>
      </c>
      <c r="J227" s="3">
        <f>parking_demand_data_2024_ver0!I227</f>
        <v>4</v>
      </c>
      <c r="K227" s="3">
        <f>parking_demand_data_2024_ver0!J227</f>
        <v>0</v>
      </c>
      <c r="L227" s="3">
        <f>parking_demand_data_2024_ver0!K227</f>
        <v>2</v>
      </c>
      <c r="M227" s="3">
        <f>parking_demand_data_2024_ver0!L227</f>
        <v>0</v>
      </c>
      <c r="N227" s="3">
        <f>parking_demand_data_2024_ver0!M227</f>
        <v>473</v>
      </c>
      <c r="O227" s="3">
        <f>parking_demand_data_2024_ver0!N227</f>
        <v>220</v>
      </c>
      <c r="P227" s="3">
        <f>parking_demand_data_2024_ver0!O227</f>
        <v>0</v>
      </c>
      <c r="Q227" s="3">
        <f>parking_demand_data_2024_ver0!P227</f>
        <v>137</v>
      </c>
      <c r="R227" s="3">
        <f>parking_demand_data_2024_ver0!Q227</f>
        <v>0</v>
      </c>
      <c r="S227" s="3">
        <f>parking_demand_data_2024_ver0!R227</f>
        <v>116</v>
      </c>
      <c r="T227" s="3">
        <f>parking_demand_data_2024_ver0!S227</f>
        <v>0</v>
      </c>
    </row>
    <row r="228" spans="1:20" x14ac:dyDescent="0.25">
      <c r="A228">
        <v>18019</v>
      </c>
      <c r="B228" t="s">
        <v>38</v>
      </c>
      <c r="C228">
        <v>10</v>
      </c>
      <c r="D228" s="3">
        <f>parking_demand_data_2024_ver0!D228*calibration!$I$31</f>
        <v>177.97559957206801</v>
      </c>
      <c r="E228" s="3">
        <f>parking_demand_data_2024_ver0!E228*calibration!$I$31</f>
        <v>16.064226570494402</v>
      </c>
      <c r="F228" s="3">
        <f t="shared" si="3"/>
        <v>194.03982614256242</v>
      </c>
      <c r="G228" s="3">
        <f>parking_demand_data_2024_ver0!F228</f>
        <v>7</v>
      </c>
      <c r="H228" s="3">
        <f>parking_demand_data_2024_ver0!G228</f>
        <v>1</v>
      </c>
      <c r="I228" s="3">
        <f>parking_demand_data_2024_ver0!H228</f>
        <v>0</v>
      </c>
      <c r="J228" s="3">
        <f>parking_demand_data_2024_ver0!I228</f>
        <v>4</v>
      </c>
      <c r="K228" s="3">
        <f>parking_demand_data_2024_ver0!J228</f>
        <v>0</v>
      </c>
      <c r="L228" s="3">
        <f>parking_demand_data_2024_ver0!K228</f>
        <v>2</v>
      </c>
      <c r="M228" s="3">
        <f>parking_demand_data_2024_ver0!L228</f>
        <v>0</v>
      </c>
      <c r="N228" s="3">
        <f>parking_demand_data_2024_ver0!M228</f>
        <v>473</v>
      </c>
      <c r="O228" s="3">
        <f>parking_demand_data_2024_ver0!N228</f>
        <v>220</v>
      </c>
      <c r="P228" s="3">
        <f>parking_demand_data_2024_ver0!O228</f>
        <v>0</v>
      </c>
      <c r="Q228" s="3">
        <f>parking_demand_data_2024_ver0!P228</f>
        <v>137</v>
      </c>
      <c r="R228" s="3">
        <f>parking_demand_data_2024_ver0!Q228</f>
        <v>0</v>
      </c>
      <c r="S228" s="3">
        <f>parking_demand_data_2024_ver0!R228</f>
        <v>116</v>
      </c>
      <c r="T228" s="3">
        <f>parking_demand_data_2024_ver0!S228</f>
        <v>0</v>
      </c>
    </row>
    <row r="229" spans="1:20" x14ac:dyDescent="0.25">
      <c r="A229">
        <v>18019</v>
      </c>
      <c r="B229" t="s">
        <v>38</v>
      </c>
      <c r="C229">
        <v>11</v>
      </c>
      <c r="D229" s="3">
        <f>parking_demand_data_2024_ver0!D229*calibration!$I$31</f>
        <v>181.31535561582999</v>
      </c>
      <c r="E229" s="3">
        <f>parking_demand_data_2024_ver0!E229*calibration!$I$31</f>
        <v>13.659602218985899</v>
      </c>
      <c r="F229" s="3">
        <f t="shared" si="3"/>
        <v>194.97495783481588</v>
      </c>
      <c r="G229" s="3">
        <f>parking_demand_data_2024_ver0!F229</f>
        <v>7</v>
      </c>
      <c r="H229" s="3">
        <f>parking_demand_data_2024_ver0!G229</f>
        <v>1</v>
      </c>
      <c r="I229" s="3">
        <f>parking_demand_data_2024_ver0!H229</f>
        <v>0</v>
      </c>
      <c r="J229" s="3">
        <f>parking_demand_data_2024_ver0!I229</f>
        <v>4</v>
      </c>
      <c r="K229" s="3">
        <f>parking_demand_data_2024_ver0!J229</f>
        <v>0</v>
      </c>
      <c r="L229" s="3">
        <f>parking_demand_data_2024_ver0!K229</f>
        <v>2</v>
      </c>
      <c r="M229" s="3">
        <f>parking_demand_data_2024_ver0!L229</f>
        <v>0</v>
      </c>
      <c r="N229" s="3">
        <f>parking_demand_data_2024_ver0!M229</f>
        <v>473</v>
      </c>
      <c r="O229" s="3">
        <f>parking_demand_data_2024_ver0!N229</f>
        <v>220</v>
      </c>
      <c r="P229" s="3">
        <f>parking_demand_data_2024_ver0!O229</f>
        <v>0</v>
      </c>
      <c r="Q229" s="3">
        <f>parking_demand_data_2024_ver0!P229</f>
        <v>137</v>
      </c>
      <c r="R229" s="3">
        <f>parking_demand_data_2024_ver0!Q229</f>
        <v>0</v>
      </c>
      <c r="S229" s="3">
        <f>parking_demand_data_2024_ver0!R229</f>
        <v>116</v>
      </c>
      <c r="T229" s="3">
        <f>parking_demand_data_2024_ver0!S229</f>
        <v>0</v>
      </c>
    </row>
    <row r="230" spans="1:20" x14ac:dyDescent="0.25">
      <c r="A230">
        <v>18019</v>
      </c>
      <c r="B230" t="s">
        <v>38</v>
      </c>
      <c r="C230">
        <v>12</v>
      </c>
      <c r="D230" s="3">
        <f>parking_demand_data_2024_ver0!D230*calibration!$I$31</f>
        <v>182.718053154209</v>
      </c>
      <c r="E230" s="3">
        <f>parking_demand_data_2024_ver0!E230*calibration!$I$31</f>
        <v>15.229287559553899</v>
      </c>
      <c r="F230" s="3">
        <f t="shared" si="3"/>
        <v>197.94734071376291</v>
      </c>
      <c r="G230" s="3">
        <f>parking_demand_data_2024_ver0!F230</f>
        <v>7</v>
      </c>
      <c r="H230" s="3">
        <f>parking_demand_data_2024_ver0!G230</f>
        <v>1</v>
      </c>
      <c r="I230" s="3">
        <f>parking_demand_data_2024_ver0!H230</f>
        <v>0</v>
      </c>
      <c r="J230" s="3">
        <f>parking_demand_data_2024_ver0!I230</f>
        <v>4</v>
      </c>
      <c r="K230" s="3">
        <f>parking_demand_data_2024_ver0!J230</f>
        <v>0</v>
      </c>
      <c r="L230" s="3">
        <f>parking_demand_data_2024_ver0!K230</f>
        <v>2</v>
      </c>
      <c r="M230" s="3">
        <f>parking_demand_data_2024_ver0!L230</f>
        <v>0</v>
      </c>
      <c r="N230" s="3">
        <f>parking_demand_data_2024_ver0!M230</f>
        <v>473</v>
      </c>
      <c r="O230" s="3">
        <f>parking_demand_data_2024_ver0!N230</f>
        <v>220</v>
      </c>
      <c r="P230" s="3">
        <f>parking_demand_data_2024_ver0!O230</f>
        <v>0</v>
      </c>
      <c r="Q230" s="3">
        <f>parking_demand_data_2024_ver0!P230</f>
        <v>137</v>
      </c>
      <c r="R230" s="3">
        <f>parking_demand_data_2024_ver0!Q230</f>
        <v>0</v>
      </c>
      <c r="S230" s="3">
        <f>parking_demand_data_2024_ver0!R230</f>
        <v>116</v>
      </c>
      <c r="T230" s="3">
        <f>parking_demand_data_2024_ver0!S230</f>
        <v>0</v>
      </c>
    </row>
    <row r="231" spans="1:20" x14ac:dyDescent="0.25">
      <c r="A231">
        <v>18019</v>
      </c>
      <c r="B231" t="s">
        <v>38</v>
      </c>
      <c r="C231">
        <v>13</v>
      </c>
      <c r="D231" s="3">
        <f>parking_demand_data_2024_ver0!D231*calibration!$I$31</f>
        <v>183.15222143989899</v>
      </c>
      <c r="E231" s="3">
        <f>parking_demand_data_2024_ver0!E231*calibration!$I$31</f>
        <v>10.8876047026635</v>
      </c>
      <c r="F231" s="3">
        <f t="shared" si="3"/>
        <v>194.0398261425625</v>
      </c>
      <c r="G231" s="3">
        <f>parking_demand_data_2024_ver0!F231</f>
        <v>7</v>
      </c>
      <c r="H231" s="3">
        <f>parking_demand_data_2024_ver0!G231</f>
        <v>1</v>
      </c>
      <c r="I231" s="3">
        <f>parking_demand_data_2024_ver0!H231</f>
        <v>0</v>
      </c>
      <c r="J231" s="3">
        <f>parking_demand_data_2024_ver0!I231</f>
        <v>4</v>
      </c>
      <c r="K231" s="3">
        <f>parking_demand_data_2024_ver0!J231</f>
        <v>0</v>
      </c>
      <c r="L231" s="3">
        <f>parking_demand_data_2024_ver0!K231</f>
        <v>2</v>
      </c>
      <c r="M231" s="3">
        <f>parking_demand_data_2024_ver0!L231</f>
        <v>0</v>
      </c>
      <c r="N231" s="3">
        <f>parking_demand_data_2024_ver0!M231</f>
        <v>473</v>
      </c>
      <c r="O231" s="3">
        <f>parking_demand_data_2024_ver0!N231</f>
        <v>220</v>
      </c>
      <c r="P231" s="3">
        <f>parking_demand_data_2024_ver0!O231</f>
        <v>0</v>
      </c>
      <c r="Q231" s="3">
        <f>parking_demand_data_2024_ver0!P231</f>
        <v>137</v>
      </c>
      <c r="R231" s="3">
        <f>parking_demand_data_2024_ver0!Q231</f>
        <v>0</v>
      </c>
      <c r="S231" s="3">
        <f>parking_demand_data_2024_ver0!R231</f>
        <v>116</v>
      </c>
      <c r="T231" s="3">
        <f>parking_demand_data_2024_ver0!S231</f>
        <v>0</v>
      </c>
    </row>
    <row r="232" spans="1:20" x14ac:dyDescent="0.25">
      <c r="A232">
        <v>18019</v>
      </c>
      <c r="B232" t="s">
        <v>38</v>
      </c>
      <c r="C232">
        <v>14</v>
      </c>
      <c r="D232" s="3">
        <f>parking_demand_data_2024_ver0!D232*calibration!$I$31</f>
        <v>191.668599351491</v>
      </c>
      <c r="E232" s="3">
        <f>parking_demand_data_2024_ver0!E232*calibration!$I$31</f>
        <v>9.4849071642836105</v>
      </c>
      <c r="F232" s="3">
        <f t="shared" si="3"/>
        <v>201.15350651577461</v>
      </c>
      <c r="G232" s="3">
        <f>parking_demand_data_2024_ver0!F232</f>
        <v>7</v>
      </c>
      <c r="H232" s="3">
        <f>parking_demand_data_2024_ver0!G232</f>
        <v>1</v>
      </c>
      <c r="I232" s="3">
        <f>parking_demand_data_2024_ver0!H232</f>
        <v>0</v>
      </c>
      <c r="J232" s="3">
        <f>parking_demand_data_2024_ver0!I232</f>
        <v>4</v>
      </c>
      <c r="K232" s="3">
        <f>parking_demand_data_2024_ver0!J232</f>
        <v>0</v>
      </c>
      <c r="L232" s="3">
        <f>parking_demand_data_2024_ver0!K232</f>
        <v>2</v>
      </c>
      <c r="M232" s="3">
        <f>parking_demand_data_2024_ver0!L232</f>
        <v>0</v>
      </c>
      <c r="N232" s="3">
        <f>parking_demand_data_2024_ver0!M232</f>
        <v>473</v>
      </c>
      <c r="O232" s="3">
        <f>parking_demand_data_2024_ver0!N232</f>
        <v>220</v>
      </c>
      <c r="P232" s="3">
        <f>parking_demand_data_2024_ver0!O232</f>
        <v>0</v>
      </c>
      <c r="Q232" s="3">
        <f>parking_demand_data_2024_ver0!P232</f>
        <v>137</v>
      </c>
      <c r="R232" s="3">
        <f>parking_demand_data_2024_ver0!Q232</f>
        <v>0</v>
      </c>
      <c r="S232" s="3">
        <f>parking_demand_data_2024_ver0!R232</f>
        <v>116</v>
      </c>
      <c r="T232" s="3">
        <f>parking_demand_data_2024_ver0!S232</f>
        <v>0</v>
      </c>
    </row>
    <row r="233" spans="1:20" x14ac:dyDescent="0.25">
      <c r="A233">
        <v>18019</v>
      </c>
      <c r="B233" t="s">
        <v>38</v>
      </c>
      <c r="C233">
        <v>15</v>
      </c>
      <c r="D233" s="3">
        <f>parking_demand_data_2024_ver0!D233*calibration!$I$31</f>
        <v>208.166994207675</v>
      </c>
      <c r="E233" s="3">
        <f>parking_demand_data_2024_ver0!E233*calibration!$I$31</f>
        <v>9.8522803290974093</v>
      </c>
      <c r="F233" s="3">
        <f t="shared" si="3"/>
        <v>218.0192745367724</v>
      </c>
      <c r="G233" s="3">
        <f>parking_demand_data_2024_ver0!F233</f>
        <v>7</v>
      </c>
      <c r="H233" s="3">
        <f>parking_demand_data_2024_ver0!G233</f>
        <v>1</v>
      </c>
      <c r="I233" s="3">
        <f>parking_demand_data_2024_ver0!H233</f>
        <v>0</v>
      </c>
      <c r="J233" s="3">
        <f>parking_demand_data_2024_ver0!I233</f>
        <v>4</v>
      </c>
      <c r="K233" s="3">
        <f>parking_demand_data_2024_ver0!J233</f>
        <v>0</v>
      </c>
      <c r="L233" s="3">
        <f>parking_demand_data_2024_ver0!K233</f>
        <v>2</v>
      </c>
      <c r="M233" s="3">
        <f>parking_demand_data_2024_ver0!L233</f>
        <v>0</v>
      </c>
      <c r="N233" s="3">
        <f>parking_demand_data_2024_ver0!M233</f>
        <v>473</v>
      </c>
      <c r="O233" s="3">
        <f>parking_demand_data_2024_ver0!N233</f>
        <v>220</v>
      </c>
      <c r="P233" s="3">
        <f>parking_demand_data_2024_ver0!O233</f>
        <v>0</v>
      </c>
      <c r="Q233" s="3">
        <f>parking_demand_data_2024_ver0!P233</f>
        <v>137</v>
      </c>
      <c r="R233" s="3">
        <f>parking_demand_data_2024_ver0!Q233</f>
        <v>0</v>
      </c>
      <c r="S233" s="3">
        <f>parking_demand_data_2024_ver0!R233</f>
        <v>116</v>
      </c>
      <c r="T233" s="3">
        <f>parking_demand_data_2024_ver0!S233</f>
        <v>0</v>
      </c>
    </row>
    <row r="234" spans="1:20" x14ac:dyDescent="0.25">
      <c r="A234">
        <v>18019</v>
      </c>
      <c r="B234" t="s">
        <v>38</v>
      </c>
      <c r="C234">
        <v>16</v>
      </c>
      <c r="D234" s="3">
        <f>parking_demand_data_2024_ver0!D234*calibration!$I$31</f>
        <v>230.443167019566</v>
      </c>
      <c r="E234" s="3">
        <f>parking_demand_data_2024_ver0!E234*calibration!$I$31</f>
        <v>11.2215803070397</v>
      </c>
      <c r="F234" s="3">
        <f t="shared" si="3"/>
        <v>241.66474732660569</v>
      </c>
      <c r="G234" s="3">
        <f>parking_demand_data_2024_ver0!F234</f>
        <v>7</v>
      </c>
      <c r="H234" s="3">
        <f>parking_demand_data_2024_ver0!G234</f>
        <v>1</v>
      </c>
      <c r="I234" s="3">
        <f>parking_demand_data_2024_ver0!H234</f>
        <v>0</v>
      </c>
      <c r="J234" s="3">
        <f>parking_demand_data_2024_ver0!I234</f>
        <v>4</v>
      </c>
      <c r="K234" s="3">
        <f>parking_demand_data_2024_ver0!J234</f>
        <v>0</v>
      </c>
      <c r="L234" s="3">
        <f>parking_demand_data_2024_ver0!K234</f>
        <v>2</v>
      </c>
      <c r="M234" s="3">
        <f>parking_demand_data_2024_ver0!L234</f>
        <v>0</v>
      </c>
      <c r="N234" s="3">
        <f>parking_demand_data_2024_ver0!M234</f>
        <v>473</v>
      </c>
      <c r="O234" s="3">
        <f>parking_demand_data_2024_ver0!N234</f>
        <v>220</v>
      </c>
      <c r="P234" s="3">
        <f>parking_demand_data_2024_ver0!O234</f>
        <v>0</v>
      </c>
      <c r="Q234" s="3">
        <f>parking_demand_data_2024_ver0!P234</f>
        <v>137</v>
      </c>
      <c r="R234" s="3">
        <f>parking_demand_data_2024_ver0!Q234</f>
        <v>0</v>
      </c>
      <c r="S234" s="3">
        <f>parking_demand_data_2024_ver0!R234</f>
        <v>116</v>
      </c>
      <c r="T234" s="3">
        <f>parking_demand_data_2024_ver0!S234</f>
        <v>0</v>
      </c>
    </row>
    <row r="235" spans="1:20" x14ac:dyDescent="0.25">
      <c r="A235">
        <v>18019</v>
      </c>
      <c r="B235" t="s">
        <v>38</v>
      </c>
      <c r="C235">
        <v>17</v>
      </c>
      <c r="D235" s="3">
        <f>parking_demand_data_2024_ver0!D235*calibration!$I$31</f>
        <v>258.59731046847799</v>
      </c>
      <c r="E235" s="3">
        <f>parking_demand_data_2024_ver0!E235*calibration!$I$31</f>
        <v>13.058446131108701</v>
      </c>
      <c r="F235" s="3">
        <f t="shared" si="3"/>
        <v>271.65575659958671</v>
      </c>
      <c r="G235" s="3">
        <f>parking_demand_data_2024_ver0!F235</f>
        <v>7</v>
      </c>
      <c r="H235" s="3">
        <f>parking_demand_data_2024_ver0!G235</f>
        <v>1</v>
      </c>
      <c r="I235" s="3">
        <f>parking_demand_data_2024_ver0!H235</f>
        <v>0</v>
      </c>
      <c r="J235" s="3">
        <f>parking_demand_data_2024_ver0!I235</f>
        <v>4</v>
      </c>
      <c r="K235" s="3">
        <f>parking_demand_data_2024_ver0!J235</f>
        <v>0</v>
      </c>
      <c r="L235" s="3">
        <f>parking_demand_data_2024_ver0!K235</f>
        <v>2</v>
      </c>
      <c r="M235" s="3">
        <f>parking_demand_data_2024_ver0!L235</f>
        <v>0</v>
      </c>
      <c r="N235" s="3">
        <f>parking_demand_data_2024_ver0!M235</f>
        <v>473</v>
      </c>
      <c r="O235" s="3">
        <f>parking_demand_data_2024_ver0!N235</f>
        <v>220</v>
      </c>
      <c r="P235" s="3">
        <f>parking_demand_data_2024_ver0!O235</f>
        <v>0</v>
      </c>
      <c r="Q235" s="3">
        <f>parking_demand_data_2024_ver0!P235</f>
        <v>137</v>
      </c>
      <c r="R235" s="3">
        <f>parking_demand_data_2024_ver0!Q235</f>
        <v>0</v>
      </c>
      <c r="S235" s="3">
        <f>parking_demand_data_2024_ver0!R235</f>
        <v>116</v>
      </c>
      <c r="T235" s="3">
        <f>parking_demand_data_2024_ver0!S235</f>
        <v>0</v>
      </c>
    </row>
    <row r="236" spans="1:20" x14ac:dyDescent="0.25">
      <c r="A236">
        <v>18019</v>
      </c>
      <c r="B236" t="s">
        <v>38</v>
      </c>
      <c r="C236">
        <v>18</v>
      </c>
      <c r="D236" s="3">
        <f>parking_demand_data_2024_ver0!D236*calibration!$I$31</f>
        <v>287.98716365358302</v>
      </c>
      <c r="E236" s="3">
        <f>parking_demand_data_2024_ver0!E236*calibration!$I$31</f>
        <v>15.797046086993401</v>
      </c>
      <c r="F236" s="3">
        <f t="shared" si="3"/>
        <v>303.78420974057644</v>
      </c>
      <c r="G236" s="3">
        <f>parking_demand_data_2024_ver0!F236</f>
        <v>7</v>
      </c>
      <c r="H236" s="3">
        <f>parking_demand_data_2024_ver0!G236</f>
        <v>1</v>
      </c>
      <c r="I236" s="3">
        <f>parking_demand_data_2024_ver0!H236</f>
        <v>0</v>
      </c>
      <c r="J236" s="3">
        <f>parking_demand_data_2024_ver0!I236</f>
        <v>4</v>
      </c>
      <c r="K236" s="3">
        <f>parking_demand_data_2024_ver0!J236</f>
        <v>0</v>
      </c>
      <c r="L236" s="3">
        <f>parking_demand_data_2024_ver0!K236</f>
        <v>2</v>
      </c>
      <c r="M236" s="3">
        <f>parking_demand_data_2024_ver0!L236</f>
        <v>0</v>
      </c>
      <c r="N236" s="3">
        <f>parking_demand_data_2024_ver0!M236</f>
        <v>473</v>
      </c>
      <c r="O236" s="3">
        <f>parking_demand_data_2024_ver0!N236</f>
        <v>220</v>
      </c>
      <c r="P236" s="3">
        <f>parking_demand_data_2024_ver0!O236</f>
        <v>0</v>
      </c>
      <c r="Q236" s="3">
        <f>parking_demand_data_2024_ver0!P236</f>
        <v>137</v>
      </c>
      <c r="R236" s="3">
        <f>parking_demand_data_2024_ver0!Q236</f>
        <v>0</v>
      </c>
      <c r="S236" s="3">
        <f>parking_demand_data_2024_ver0!R236</f>
        <v>116</v>
      </c>
      <c r="T236" s="3">
        <f>parking_demand_data_2024_ver0!S236</f>
        <v>0</v>
      </c>
    </row>
    <row r="237" spans="1:20" x14ac:dyDescent="0.25">
      <c r="A237">
        <v>18019</v>
      </c>
      <c r="B237" t="s">
        <v>38</v>
      </c>
      <c r="C237">
        <v>19</v>
      </c>
      <c r="D237" s="3">
        <f>parking_demand_data_2024_ver0!D237*calibration!$I$31</f>
        <v>324.19011916796097</v>
      </c>
      <c r="E237" s="3">
        <f>parking_demand_data_2024_ver0!E237*calibration!$I$31</f>
        <v>18.9364167681296</v>
      </c>
      <c r="F237" s="3">
        <f t="shared" si="3"/>
        <v>343.12653593609059</v>
      </c>
      <c r="G237" s="3">
        <f>parking_demand_data_2024_ver0!F237</f>
        <v>7</v>
      </c>
      <c r="H237" s="3">
        <f>parking_demand_data_2024_ver0!G237</f>
        <v>1</v>
      </c>
      <c r="I237" s="3">
        <f>parking_demand_data_2024_ver0!H237</f>
        <v>0</v>
      </c>
      <c r="J237" s="3">
        <f>parking_demand_data_2024_ver0!I237</f>
        <v>4</v>
      </c>
      <c r="K237" s="3">
        <f>parking_demand_data_2024_ver0!J237</f>
        <v>0</v>
      </c>
      <c r="L237" s="3">
        <f>parking_demand_data_2024_ver0!K237</f>
        <v>2</v>
      </c>
      <c r="M237" s="3">
        <f>parking_demand_data_2024_ver0!L237</f>
        <v>0</v>
      </c>
      <c r="N237" s="3">
        <f>parking_demand_data_2024_ver0!M237</f>
        <v>473</v>
      </c>
      <c r="O237" s="3">
        <f>parking_demand_data_2024_ver0!N237</f>
        <v>220</v>
      </c>
      <c r="P237" s="3">
        <f>parking_demand_data_2024_ver0!O237</f>
        <v>0</v>
      </c>
      <c r="Q237" s="3">
        <f>parking_demand_data_2024_ver0!P237</f>
        <v>137</v>
      </c>
      <c r="R237" s="3">
        <f>parking_demand_data_2024_ver0!Q237</f>
        <v>0</v>
      </c>
      <c r="S237" s="3">
        <f>parking_demand_data_2024_ver0!R237</f>
        <v>116</v>
      </c>
      <c r="T237" s="3">
        <f>parking_demand_data_2024_ver0!S237</f>
        <v>0</v>
      </c>
    </row>
    <row r="238" spans="1:20" x14ac:dyDescent="0.25">
      <c r="A238">
        <v>18019</v>
      </c>
      <c r="B238" t="s">
        <v>38</v>
      </c>
      <c r="C238">
        <v>20</v>
      </c>
      <c r="D238" s="3">
        <f>parking_demand_data_2024_ver0!D238*calibration!$I$31</f>
        <v>356.41876499026301</v>
      </c>
      <c r="E238" s="3">
        <f>parking_demand_data_2024_ver0!E238*calibration!$I$31</f>
        <v>23.9794483942099</v>
      </c>
      <c r="F238" s="3">
        <f t="shared" si="3"/>
        <v>380.39821338447291</v>
      </c>
      <c r="G238" s="3">
        <f>parking_demand_data_2024_ver0!F238</f>
        <v>7</v>
      </c>
      <c r="H238" s="3">
        <f>parking_demand_data_2024_ver0!G238</f>
        <v>1</v>
      </c>
      <c r="I238" s="3">
        <f>parking_demand_data_2024_ver0!H238</f>
        <v>0</v>
      </c>
      <c r="J238" s="3">
        <f>parking_demand_data_2024_ver0!I238</f>
        <v>4</v>
      </c>
      <c r="K238" s="3">
        <f>parking_demand_data_2024_ver0!J238</f>
        <v>0</v>
      </c>
      <c r="L238" s="3">
        <f>parking_demand_data_2024_ver0!K238</f>
        <v>2</v>
      </c>
      <c r="M238" s="3">
        <f>parking_demand_data_2024_ver0!L238</f>
        <v>0</v>
      </c>
      <c r="N238" s="3">
        <f>parking_demand_data_2024_ver0!M238</f>
        <v>473</v>
      </c>
      <c r="O238" s="3">
        <f>parking_demand_data_2024_ver0!N238</f>
        <v>220</v>
      </c>
      <c r="P238" s="3">
        <f>parking_demand_data_2024_ver0!O238</f>
        <v>0</v>
      </c>
      <c r="Q238" s="3">
        <f>parking_demand_data_2024_ver0!P238</f>
        <v>137</v>
      </c>
      <c r="R238" s="3">
        <f>parking_demand_data_2024_ver0!Q238</f>
        <v>0</v>
      </c>
      <c r="S238" s="3">
        <f>parking_demand_data_2024_ver0!R238</f>
        <v>116</v>
      </c>
      <c r="T238" s="3">
        <f>parking_demand_data_2024_ver0!S238</f>
        <v>0</v>
      </c>
    </row>
    <row r="239" spans="1:20" x14ac:dyDescent="0.25">
      <c r="A239">
        <v>18019</v>
      </c>
      <c r="B239" t="s">
        <v>38</v>
      </c>
      <c r="C239">
        <v>21</v>
      </c>
      <c r="D239" s="3">
        <f>parking_demand_data_2024_ver0!D239*calibration!$I$31</f>
        <v>379.32949145046899</v>
      </c>
      <c r="E239" s="3">
        <f>parking_demand_data_2024_ver0!E239*calibration!$I$31</f>
        <v>27.452794679722199</v>
      </c>
      <c r="F239" s="3">
        <f t="shared" si="3"/>
        <v>406.78228613019121</v>
      </c>
      <c r="G239" s="3">
        <f>parking_demand_data_2024_ver0!F239</f>
        <v>7</v>
      </c>
      <c r="H239" s="3">
        <f>parking_demand_data_2024_ver0!G239</f>
        <v>1</v>
      </c>
      <c r="I239" s="3">
        <f>parking_demand_data_2024_ver0!H239</f>
        <v>0</v>
      </c>
      <c r="J239" s="3">
        <f>parking_demand_data_2024_ver0!I239</f>
        <v>4</v>
      </c>
      <c r="K239" s="3">
        <f>parking_demand_data_2024_ver0!J239</f>
        <v>0</v>
      </c>
      <c r="L239" s="3">
        <f>parking_demand_data_2024_ver0!K239</f>
        <v>2</v>
      </c>
      <c r="M239" s="3">
        <f>parking_demand_data_2024_ver0!L239</f>
        <v>0</v>
      </c>
      <c r="N239" s="3">
        <f>parking_demand_data_2024_ver0!M239</f>
        <v>473</v>
      </c>
      <c r="O239" s="3">
        <f>parking_demand_data_2024_ver0!N239</f>
        <v>220</v>
      </c>
      <c r="P239" s="3">
        <f>parking_demand_data_2024_ver0!O239</f>
        <v>0</v>
      </c>
      <c r="Q239" s="3">
        <f>parking_demand_data_2024_ver0!P239</f>
        <v>137</v>
      </c>
      <c r="R239" s="3">
        <f>parking_demand_data_2024_ver0!Q239</f>
        <v>0</v>
      </c>
      <c r="S239" s="3">
        <f>parking_demand_data_2024_ver0!R239</f>
        <v>116</v>
      </c>
      <c r="T239" s="3">
        <f>parking_demand_data_2024_ver0!S239</f>
        <v>0</v>
      </c>
    </row>
    <row r="240" spans="1:20" x14ac:dyDescent="0.25">
      <c r="A240">
        <v>18019</v>
      </c>
      <c r="B240" t="s">
        <v>38</v>
      </c>
      <c r="C240">
        <v>22</v>
      </c>
      <c r="D240" s="3">
        <f>parking_demand_data_2024_ver0!D240*calibration!$I$31</f>
        <v>396.76301799890598</v>
      </c>
      <c r="E240" s="3">
        <f>parking_demand_data_2024_ver0!E240*calibration!$I$31</f>
        <v>31.8278750970502</v>
      </c>
      <c r="F240" s="3">
        <f t="shared" si="3"/>
        <v>428.59089309595618</v>
      </c>
      <c r="G240" s="3">
        <f>parking_demand_data_2024_ver0!F240</f>
        <v>7</v>
      </c>
      <c r="H240" s="3">
        <f>parking_demand_data_2024_ver0!G240</f>
        <v>1</v>
      </c>
      <c r="I240" s="3">
        <f>parking_demand_data_2024_ver0!H240</f>
        <v>0</v>
      </c>
      <c r="J240" s="3">
        <f>parking_demand_data_2024_ver0!I240</f>
        <v>4</v>
      </c>
      <c r="K240" s="3">
        <f>parking_demand_data_2024_ver0!J240</f>
        <v>0</v>
      </c>
      <c r="L240" s="3">
        <f>parking_demand_data_2024_ver0!K240</f>
        <v>2</v>
      </c>
      <c r="M240" s="3">
        <f>parking_demand_data_2024_ver0!L240</f>
        <v>0</v>
      </c>
      <c r="N240" s="3">
        <f>parking_demand_data_2024_ver0!M240</f>
        <v>473</v>
      </c>
      <c r="O240" s="3">
        <f>parking_demand_data_2024_ver0!N240</f>
        <v>220</v>
      </c>
      <c r="P240" s="3">
        <f>parking_demand_data_2024_ver0!O240</f>
        <v>0</v>
      </c>
      <c r="Q240" s="3">
        <f>parking_demand_data_2024_ver0!P240</f>
        <v>137</v>
      </c>
      <c r="R240" s="3">
        <f>parking_demand_data_2024_ver0!Q240</f>
        <v>0</v>
      </c>
      <c r="S240" s="3">
        <f>parking_demand_data_2024_ver0!R240</f>
        <v>116</v>
      </c>
      <c r="T240" s="3">
        <f>parking_demand_data_2024_ver0!S240</f>
        <v>0</v>
      </c>
    </row>
    <row r="241" spans="1:20" x14ac:dyDescent="0.25">
      <c r="A241">
        <v>18019</v>
      </c>
      <c r="B241" t="s">
        <v>38</v>
      </c>
      <c r="C241">
        <v>23</v>
      </c>
      <c r="D241" s="3">
        <f>parking_demand_data_2024_ver0!D241*calibration!$I$31</f>
        <v>409.587681206951</v>
      </c>
      <c r="E241" s="3">
        <f>parking_demand_data_2024_ver0!E241*calibration!$I$31</f>
        <v>35.969172591314901</v>
      </c>
      <c r="F241" s="3">
        <f t="shared" si="3"/>
        <v>445.55685379826593</v>
      </c>
      <c r="G241" s="3">
        <f>parking_demand_data_2024_ver0!F241</f>
        <v>7</v>
      </c>
      <c r="H241" s="3">
        <f>parking_demand_data_2024_ver0!G241</f>
        <v>1</v>
      </c>
      <c r="I241" s="3">
        <f>parking_demand_data_2024_ver0!H241</f>
        <v>0</v>
      </c>
      <c r="J241" s="3">
        <f>parking_demand_data_2024_ver0!I241</f>
        <v>4</v>
      </c>
      <c r="K241" s="3">
        <f>parking_demand_data_2024_ver0!J241</f>
        <v>0</v>
      </c>
      <c r="L241" s="3">
        <f>parking_demand_data_2024_ver0!K241</f>
        <v>2</v>
      </c>
      <c r="M241" s="3">
        <f>parking_demand_data_2024_ver0!L241</f>
        <v>0</v>
      </c>
      <c r="N241" s="3">
        <f>parking_demand_data_2024_ver0!M241</f>
        <v>473</v>
      </c>
      <c r="O241" s="3">
        <f>parking_demand_data_2024_ver0!N241</f>
        <v>220</v>
      </c>
      <c r="P241" s="3">
        <f>parking_demand_data_2024_ver0!O241</f>
        <v>0</v>
      </c>
      <c r="Q241" s="3">
        <f>parking_demand_data_2024_ver0!P241</f>
        <v>137</v>
      </c>
      <c r="R241" s="3">
        <f>parking_demand_data_2024_ver0!Q241</f>
        <v>0</v>
      </c>
      <c r="S241" s="3">
        <f>parking_demand_data_2024_ver0!R241</f>
        <v>116</v>
      </c>
      <c r="T241" s="3">
        <f>parking_demand_data_2024_ver0!S241</f>
        <v>0</v>
      </c>
    </row>
    <row r="242" spans="1:20" x14ac:dyDescent="0.25">
      <c r="A242">
        <v>18021</v>
      </c>
      <c r="B242" t="s">
        <v>39</v>
      </c>
      <c r="C242">
        <v>0</v>
      </c>
      <c r="D242" s="3">
        <f>parking_demand_data_2024_ver0!D242*calibration!$I$31</f>
        <v>181.69999999999899</v>
      </c>
      <c r="E242" s="3">
        <f>parking_demand_data_2024_ver0!E242*calibration!$I$31</f>
        <v>12.192282624796301</v>
      </c>
      <c r="F242" s="3">
        <f t="shared" si="3"/>
        <v>193.89228262479529</v>
      </c>
      <c r="G242" s="3">
        <f>parking_demand_data_2024_ver0!F242</f>
        <v>4</v>
      </c>
      <c r="H242" s="3">
        <f>parking_demand_data_2024_ver0!G242</f>
        <v>0</v>
      </c>
      <c r="I242" s="3">
        <f>parking_demand_data_2024_ver0!H242</f>
        <v>2</v>
      </c>
      <c r="J242" s="3">
        <f>parking_demand_data_2024_ver0!I242</f>
        <v>2</v>
      </c>
      <c r="K242" s="3">
        <f>parking_demand_data_2024_ver0!J242</f>
        <v>0</v>
      </c>
      <c r="L242" s="3">
        <f>parking_demand_data_2024_ver0!K242</f>
        <v>0</v>
      </c>
      <c r="M242" s="3">
        <f>parking_demand_data_2024_ver0!L242</f>
        <v>0</v>
      </c>
      <c r="N242" s="3">
        <f>parking_demand_data_2024_ver0!M242</f>
        <v>158</v>
      </c>
      <c r="O242" s="3">
        <f>parking_demand_data_2024_ver0!N242</f>
        <v>0</v>
      </c>
      <c r="P242" s="3">
        <f>parking_demand_data_2024_ver0!O242</f>
        <v>130</v>
      </c>
      <c r="Q242" s="3">
        <f>parking_demand_data_2024_ver0!P242</f>
        <v>28</v>
      </c>
      <c r="R242" s="3">
        <f>parking_demand_data_2024_ver0!Q242</f>
        <v>0</v>
      </c>
      <c r="S242" s="3">
        <f>parking_demand_data_2024_ver0!R242</f>
        <v>0</v>
      </c>
      <c r="T242" s="3">
        <f>parking_demand_data_2024_ver0!S242</f>
        <v>0</v>
      </c>
    </row>
    <row r="243" spans="1:20" x14ac:dyDescent="0.25">
      <c r="A243">
        <v>18021</v>
      </c>
      <c r="B243" t="s">
        <v>39</v>
      </c>
      <c r="C243">
        <v>1</v>
      </c>
      <c r="D243" s="3">
        <f>parking_demand_data_2024_ver0!D243*calibration!$I$31</f>
        <v>167.75827284846599</v>
      </c>
      <c r="E243" s="3">
        <f>parking_demand_data_2024_ver0!E243*calibration!$I$31</f>
        <v>13.564923715005101</v>
      </c>
      <c r="F243" s="3">
        <f t="shared" si="3"/>
        <v>181.3231965634711</v>
      </c>
      <c r="G243" s="3">
        <f>parking_demand_data_2024_ver0!F243</f>
        <v>4</v>
      </c>
      <c r="H243" s="3">
        <f>parking_demand_data_2024_ver0!G243</f>
        <v>0</v>
      </c>
      <c r="I243" s="3">
        <f>parking_demand_data_2024_ver0!H243</f>
        <v>2</v>
      </c>
      <c r="J243" s="3">
        <f>parking_demand_data_2024_ver0!I243</f>
        <v>2</v>
      </c>
      <c r="K243" s="3">
        <f>parking_demand_data_2024_ver0!J243</f>
        <v>0</v>
      </c>
      <c r="L243" s="3">
        <f>parking_demand_data_2024_ver0!K243</f>
        <v>0</v>
      </c>
      <c r="M243" s="3">
        <f>parking_demand_data_2024_ver0!L243</f>
        <v>0</v>
      </c>
      <c r="N243" s="3">
        <f>parking_demand_data_2024_ver0!M243</f>
        <v>158</v>
      </c>
      <c r="O243" s="3">
        <f>parking_demand_data_2024_ver0!N243</f>
        <v>0</v>
      </c>
      <c r="P243" s="3">
        <f>parking_demand_data_2024_ver0!O243</f>
        <v>130</v>
      </c>
      <c r="Q243" s="3">
        <f>parking_demand_data_2024_ver0!P243</f>
        <v>28</v>
      </c>
      <c r="R243" s="3">
        <f>parking_demand_data_2024_ver0!Q243</f>
        <v>0</v>
      </c>
      <c r="S243" s="3">
        <f>parking_demand_data_2024_ver0!R243</f>
        <v>0</v>
      </c>
      <c r="T243" s="3">
        <f>parking_demand_data_2024_ver0!S243</f>
        <v>0</v>
      </c>
    </row>
    <row r="244" spans="1:20" x14ac:dyDescent="0.25">
      <c r="A244">
        <v>18021</v>
      </c>
      <c r="B244" t="s">
        <v>39</v>
      </c>
      <c r="C244">
        <v>2</v>
      </c>
      <c r="D244" s="3">
        <f>parking_demand_data_2024_ver0!D244*calibration!$I$31</f>
        <v>164.070982076729</v>
      </c>
      <c r="E244" s="3">
        <f>parking_demand_data_2024_ver0!E244*calibration!$I$31</f>
        <v>14.4800177751444</v>
      </c>
      <c r="F244" s="3">
        <f t="shared" si="3"/>
        <v>178.5509998518734</v>
      </c>
      <c r="G244" s="3">
        <f>parking_demand_data_2024_ver0!F244</f>
        <v>4</v>
      </c>
      <c r="H244" s="3">
        <f>parking_demand_data_2024_ver0!G244</f>
        <v>0</v>
      </c>
      <c r="I244" s="3">
        <f>parking_demand_data_2024_ver0!H244</f>
        <v>2</v>
      </c>
      <c r="J244" s="3">
        <f>parking_demand_data_2024_ver0!I244</f>
        <v>2</v>
      </c>
      <c r="K244" s="3">
        <f>parking_demand_data_2024_ver0!J244</f>
        <v>0</v>
      </c>
      <c r="L244" s="3">
        <f>parking_demand_data_2024_ver0!K244</f>
        <v>0</v>
      </c>
      <c r="M244" s="3">
        <f>parking_demand_data_2024_ver0!L244</f>
        <v>0</v>
      </c>
      <c r="N244" s="3">
        <f>parking_demand_data_2024_ver0!M244</f>
        <v>158</v>
      </c>
      <c r="O244" s="3">
        <f>parking_demand_data_2024_ver0!N244</f>
        <v>0</v>
      </c>
      <c r="P244" s="3">
        <f>parking_demand_data_2024_ver0!O244</f>
        <v>130</v>
      </c>
      <c r="Q244" s="3">
        <f>parking_demand_data_2024_ver0!P244</f>
        <v>28</v>
      </c>
      <c r="R244" s="3">
        <f>parking_demand_data_2024_ver0!Q244</f>
        <v>0</v>
      </c>
      <c r="S244" s="3">
        <f>parking_demand_data_2024_ver0!R244</f>
        <v>0</v>
      </c>
      <c r="T244" s="3">
        <f>parking_demand_data_2024_ver0!S244</f>
        <v>0</v>
      </c>
    </row>
    <row r="245" spans="1:20" x14ac:dyDescent="0.25">
      <c r="A245">
        <v>18021</v>
      </c>
      <c r="B245" t="s">
        <v>39</v>
      </c>
      <c r="C245">
        <v>3</v>
      </c>
      <c r="D245" s="3">
        <f>parking_demand_data_2024_ver0!D245*calibration!$I$31</f>
        <v>161.621759739297</v>
      </c>
      <c r="E245" s="3">
        <f>parking_demand_data_2024_ver0!E245*calibration!$I$31</f>
        <v>14.8299066804917</v>
      </c>
      <c r="F245" s="3">
        <f t="shared" si="3"/>
        <v>176.45166641978869</v>
      </c>
      <c r="G245" s="3">
        <f>parking_demand_data_2024_ver0!F245</f>
        <v>4</v>
      </c>
      <c r="H245" s="3">
        <f>parking_demand_data_2024_ver0!G245</f>
        <v>0</v>
      </c>
      <c r="I245" s="3">
        <f>parking_demand_data_2024_ver0!H245</f>
        <v>2</v>
      </c>
      <c r="J245" s="3">
        <f>parking_demand_data_2024_ver0!I245</f>
        <v>2</v>
      </c>
      <c r="K245" s="3">
        <f>parking_demand_data_2024_ver0!J245</f>
        <v>0</v>
      </c>
      <c r="L245" s="3">
        <f>parking_demand_data_2024_ver0!K245</f>
        <v>0</v>
      </c>
      <c r="M245" s="3">
        <f>parking_demand_data_2024_ver0!L245</f>
        <v>0</v>
      </c>
      <c r="N245" s="3">
        <f>parking_demand_data_2024_ver0!M245</f>
        <v>158</v>
      </c>
      <c r="O245" s="3">
        <f>parking_demand_data_2024_ver0!N245</f>
        <v>0</v>
      </c>
      <c r="P245" s="3">
        <f>parking_demand_data_2024_ver0!O245</f>
        <v>130</v>
      </c>
      <c r="Q245" s="3">
        <f>parking_demand_data_2024_ver0!P245</f>
        <v>28</v>
      </c>
      <c r="R245" s="3">
        <f>parking_demand_data_2024_ver0!Q245</f>
        <v>0</v>
      </c>
      <c r="S245" s="3">
        <f>parking_demand_data_2024_ver0!R245</f>
        <v>0</v>
      </c>
      <c r="T245" s="3">
        <f>parking_demand_data_2024_ver0!S245</f>
        <v>0</v>
      </c>
    </row>
    <row r="246" spans="1:20" x14ac:dyDescent="0.25">
      <c r="A246">
        <v>18021</v>
      </c>
      <c r="B246" t="s">
        <v>39</v>
      </c>
      <c r="C246">
        <v>4</v>
      </c>
      <c r="D246" s="3">
        <f>parking_demand_data_2024_ver0!D246*calibration!$I$31</f>
        <v>156.669486002073</v>
      </c>
      <c r="E246" s="3">
        <f>parking_demand_data_2024_ver0!E246*calibration!$I$31</f>
        <v>15.2067101170196</v>
      </c>
      <c r="F246" s="3">
        <f t="shared" si="3"/>
        <v>171.87619611909261</v>
      </c>
      <c r="G246" s="3">
        <f>parking_demand_data_2024_ver0!F246</f>
        <v>4</v>
      </c>
      <c r="H246" s="3">
        <f>parking_demand_data_2024_ver0!G246</f>
        <v>0</v>
      </c>
      <c r="I246" s="3">
        <f>parking_demand_data_2024_ver0!H246</f>
        <v>2</v>
      </c>
      <c r="J246" s="3">
        <f>parking_demand_data_2024_ver0!I246</f>
        <v>2</v>
      </c>
      <c r="K246" s="3">
        <f>parking_demand_data_2024_ver0!J246</f>
        <v>0</v>
      </c>
      <c r="L246" s="3">
        <f>parking_demand_data_2024_ver0!K246</f>
        <v>0</v>
      </c>
      <c r="M246" s="3">
        <f>parking_demand_data_2024_ver0!L246</f>
        <v>0</v>
      </c>
      <c r="N246" s="3">
        <f>parking_demand_data_2024_ver0!M246</f>
        <v>158</v>
      </c>
      <c r="O246" s="3">
        <f>parking_demand_data_2024_ver0!N246</f>
        <v>0</v>
      </c>
      <c r="P246" s="3">
        <f>parking_demand_data_2024_ver0!O246</f>
        <v>130</v>
      </c>
      <c r="Q246" s="3">
        <f>parking_demand_data_2024_ver0!P246</f>
        <v>28</v>
      </c>
      <c r="R246" s="3">
        <f>parking_demand_data_2024_ver0!Q246</f>
        <v>0</v>
      </c>
      <c r="S246" s="3">
        <f>parking_demand_data_2024_ver0!R246</f>
        <v>0</v>
      </c>
      <c r="T246" s="3">
        <f>parking_demand_data_2024_ver0!S246</f>
        <v>0</v>
      </c>
    </row>
    <row r="247" spans="1:20" x14ac:dyDescent="0.25">
      <c r="A247">
        <v>18021</v>
      </c>
      <c r="B247" t="s">
        <v>39</v>
      </c>
      <c r="C247">
        <v>5</v>
      </c>
      <c r="D247" s="3">
        <f>parking_demand_data_2024_ver0!D247*calibration!$I$31</f>
        <v>151.42115242186301</v>
      </c>
      <c r="E247" s="3">
        <f>parking_demand_data_2024_ver0!E247*calibration!$I$31</f>
        <v>17.198385424381499</v>
      </c>
      <c r="F247" s="3">
        <f t="shared" si="3"/>
        <v>168.6195378462445</v>
      </c>
      <c r="G247" s="3">
        <f>parking_demand_data_2024_ver0!F247</f>
        <v>4</v>
      </c>
      <c r="H247" s="3">
        <f>parking_demand_data_2024_ver0!G247</f>
        <v>0</v>
      </c>
      <c r="I247" s="3">
        <f>parking_demand_data_2024_ver0!H247</f>
        <v>2</v>
      </c>
      <c r="J247" s="3">
        <f>parking_demand_data_2024_ver0!I247</f>
        <v>2</v>
      </c>
      <c r="K247" s="3">
        <f>parking_demand_data_2024_ver0!J247</f>
        <v>0</v>
      </c>
      <c r="L247" s="3">
        <f>parking_demand_data_2024_ver0!K247</f>
        <v>0</v>
      </c>
      <c r="M247" s="3">
        <f>parking_demand_data_2024_ver0!L247</f>
        <v>0</v>
      </c>
      <c r="N247" s="3">
        <f>parking_demand_data_2024_ver0!M247</f>
        <v>158</v>
      </c>
      <c r="O247" s="3">
        <f>parking_demand_data_2024_ver0!N247</f>
        <v>0</v>
      </c>
      <c r="P247" s="3">
        <f>parking_demand_data_2024_ver0!O247</f>
        <v>130</v>
      </c>
      <c r="Q247" s="3">
        <f>parking_demand_data_2024_ver0!P247</f>
        <v>28</v>
      </c>
      <c r="R247" s="3">
        <f>parking_demand_data_2024_ver0!Q247</f>
        <v>0</v>
      </c>
      <c r="S247" s="3">
        <f>parking_demand_data_2024_ver0!R247</f>
        <v>0</v>
      </c>
      <c r="T247" s="3">
        <f>parking_demand_data_2024_ver0!S247</f>
        <v>0</v>
      </c>
    </row>
    <row r="248" spans="1:20" x14ac:dyDescent="0.25">
      <c r="A248">
        <v>18021</v>
      </c>
      <c r="B248" t="s">
        <v>39</v>
      </c>
      <c r="C248">
        <v>6</v>
      </c>
      <c r="D248" s="3">
        <f>parking_demand_data_2024_ver0!D248*calibration!$I$31</f>
        <v>141.57043400977599</v>
      </c>
      <c r="E248" s="3">
        <f>parking_demand_data_2024_ver0!E248*calibration!$I$31</f>
        <v>17.009983706117598</v>
      </c>
      <c r="F248" s="3">
        <f t="shared" si="3"/>
        <v>158.58041771589359</v>
      </c>
      <c r="G248" s="3">
        <f>parking_demand_data_2024_ver0!F248</f>
        <v>4</v>
      </c>
      <c r="H248" s="3">
        <f>parking_demand_data_2024_ver0!G248</f>
        <v>0</v>
      </c>
      <c r="I248" s="3">
        <f>parking_demand_data_2024_ver0!H248</f>
        <v>2</v>
      </c>
      <c r="J248" s="3">
        <f>parking_demand_data_2024_ver0!I248</f>
        <v>2</v>
      </c>
      <c r="K248" s="3">
        <f>parking_demand_data_2024_ver0!J248</f>
        <v>0</v>
      </c>
      <c r="L248" s="3">
        <f>parking_demand_data_2024_ver0!K248</f>
        <v>0</v>
      </c>
      <c r="M248" s="3">
        <f>parking_demand_data_2024_ver0!L248</f>
        <v>0</v>
      </c>
      <c r="N248" s="3">
        <f>parking_demand_data_2024_ver0!M248</f>
        <v>158</v>
      </c>
      <c r="O248" s="3">
        <f>parking_demand_data_2024_ver0!N248</f>
        <v>0</v>
      </c>
      <c r="P248" s="3">
        <f>parking_demand_data_2024_ver0!O248</f>
        <v>130</v>
      </c>
      <c r="Q248" s="3">
        <f>parking_demand_data_2024_ver0!P248</f>
        <v>28</v>
      </c>
      <c r="R248" s="3">
        <f>parking_demand_data_2024_ver0!Q248</f>
        <v>0</v>
      </c>
      <c r="S248" s="3">
        <f>parking_demand_data_2024_ver0!R248</f>
        <v>0</v>
      </c>
      <c r="T248" s="3">
        <f>parking_demand_data_2024_ver0!S248</f>
        <v>0</v>
      </c>
    </row>
    <row r="249" spans="1:20" x14ac:dyDescent="0.25">
      <c r="A249">
        <v>18021</v>
      </c>
      <c r="B249" t="s">
        <v>39</v>
      </c>
      <c r="C249">
        <v>7</v>
      </c>
      <c r="D249" s="3">
        <f>parking_demand_data_2024_ver0!D249*calibration!$I$31</f>
        <v>123.887587024144</v>
      </c>
      <c r="E249" s="3">
        <f>parking_demand_data_2024_ver0!E249*calibration!$I$31</f>
        <v>13.268863872018899</v>
      </c>
      <c r="F249" s="3">
        <f t="shared" si="3"/>
        <v>137.15645089616291</v>
      </c>
      <c r="G249" s="3">
        <f>parking_demand_data_2024_ver0!F249</f>
        <v>4</v>
      </c>
      <c r="H249" s="3">
        <f>parking_demand_data_2024_ver0!G249</f>
        <v>0</v>
      </c>
      <c r="I249" s="3">
        <f>parking_demand_data_2024_ver0!H249</f>
        <v>2</v>
      </c>
      <c r="J249" s="3">
        <f>parking_demand_data_2024_ver0!I249</f>
        <v>2</v>
      </c>
      <c r="K249" s="3">
        <f>parking_demand_data_2024_ver0!J249</f>
        <v>0</v>
      </c>
      <c r="L249" s="3">
        <f>parking_demand_data_2024_ver0!K249</f>
        <v>0</v>
      </c>
      <c r="M249" s="3">
        <f>parking_demand_data_2024_ver0!L249</f>
        <v>0</v>
      </c>
      <c r="N249" s="3">
        <f>parking_demand_data_2024_ver0!M249</f>
        <v>158</v>
      </c>
      <c r="O249" s="3">
        <f>parking_demand_data_2024_ver0!N249</f>
        <v>0</v>
      </c>
      <c r="P249" s="3">
        <f>parking_demand_data_2024_ver0!O249</f>
        <v>130</v>
      </c>
      <c r="Q249" s="3">
        <f>parking_demand_data_2024_ver0!P249</f>
        <v>28</v>
      </c>
      <c r="R249" s="3">
        <f>parking_demand_data_2024_ver0!Q249</f>
        <v>0</v>
      </c>
      <c r="S249" s="3">
        <f>parking_demand_data_2024_ver0!R249</f>
        <v>0</v>
      </c>
      <c r="T249" s="3">
        <f>parking_demand_data_2024_ver0!S249</f>
        <v>0</v>
      </c>
    </row>
    <row r="250" spans="1:20" x14ac:dyDescent="0.25">
      <c r="A250">
        <v>18021</v>
      </c>
      <c r="B250" t="s">
        <v>39</v>
      </c>
      <c r="C250">
        <v>8</v>
      </c>
      <c r="D250" s="3">
        <f>parking_demand_data_2024_ver0!D250*calibration!$I$31</f>
        <v>98.157295215523604</v>
      </c>
      <c r="E250" s="3">
        <f>parking_demand_data_2024_ver0!E250*calibration!$I$31</f>
        <v>11.950051844171201</v>
      </c>
      <c r="F250" s="3">
        <f t="shared" si="3"/>
        <v>110.1073470596948</v>
      </c>
      <c r="G250" s="3">
        <f>parking_demand_data_2024_ver0!F250</f>
        <v>4</v>
      </c>
      <c r="H250" s="3">
        <f>parking_demand_data_2024_ver0!G250</f>
        <v>0</v>
      </c>
      <c r="I250" s="3">
        <f>parking_demand_data_2024_ver0!H250</f>
        <v>2</v>
      </c>
      <c r="J250" s="3">
        <f>parking_demand_data_2024_ver0!I250</f>
        <v>2</v>
      </c>
      <c r="K250" s="3">
        <f>parking_demand_data_2024_ver0!J250</f>
        <v>0</v>
      </c>
      <c r="L250" s="3">
        <f>parking_demand_data_2024_ver0!K250</f>
        <v>0</v>
      </c>
      <c r="M250" s="3">
        <f>parking_demand_data_2024_ver0!L250</f>
        <v>0</v>
      </c>
      <c r="N250" s="3">
        <f>parking_demand_data_2024_ver0!M250</f>
        <v>158</v>
      </c>
      <c r="O250" s="3">
        <f>parking_demand_data_2024_ver0!N250</f>
        <v>0</v>
      </c>
      <c r="P250" s="3">
        <f>parking_demand_data_2024_ver0!O250</f>
        <v>130</v>
      </c>
      <c r="Q250" s="3">
        <f>parking_demand_data_2024_ver0!P250</f>
        <v>28</v>
      </c>
      <c r="R250" s="3">
        <f>parking_demand_data_2024_ver0!Q250</f>
        <v>0</v>
      </c>
      <c r="S250" s="3">
        <f>parking_demand_data_2024_ver0!R250</f>
        <v>0</v>
      </c>
      <c r="T250" s="3">
        <f>parking_demand_data_2024_ver0!S250</f>
        <v>0</v>
      </c>
    </row>
    <row r="251" spans="1:20" x14ac:dyDescent="0.25">
      <c r="A251">
        <v>18021</v>
      </c>
      <c r="B251" t="s">
        <v>39</v>
      </c>
      <c r="C251">
        <v>9</v>
      </c>
      <c r="D251" s="3">
        <f>parking_demand_data_2024_ver0!D251*calibration!$I$31</f>
        <v>83.381217597392904</v>
      </c>
      <c r="E251" s="3">
        <f>parking_demand_data_2024_ver0!E251*calibration!$I$31</f>
        <v>11.7885646570878</v>
      </c>
      <c r="F251" s="3">
        <f t="shared" si="3"/>
        <v>95.169782254480708</v>
      </c>
      <c r="G251" s="3">
        <f>parking_demand_data_2024_ver0!F251</f>
        <v>4</v>
      </c>
      <c r="H251" s="3">
        <f>parking_demand_data_2024_ver0!G251</f>
        <v>0</v>
      </c>
      <c r="I251" s="3">
        <f>parking_demand_data_2024_ver0!H251</f>
        <v>2</v>
      </c>
      <c r="J251" s="3">
        <f>parking_demand_data_2024_ver0!I251</f>
        <v>2</v>
      </c>
      <c r="K251" s="3">
        <f>parking_demand_data_2024_ver0!J251</f>
        <v>0</v>
      </c>
      <c r="L251" s="3">
        <f>parking_demand_data_2024_ver0!K251</f>
        <v>0</v>
      </c>
      <c r="M251" s="3">
        <f>parking_demand_data_2024_ver0!L251</f>
        <v>0</v>
      </c>
      <c r="N251" s="3">
        <f>parking_demand_data_2024_ver0!M251</f>
        <v>158</v>
      </c>
      <c r="O251" s="3">
        <f>parking_demand_data_2024_ver0!N251</f>
        <v>0</v>
      </c>
      <c r="P251" s="3">
        <f>parking_demand_data_2024_ver0!O251</f>
        <v>130</v>
      </c>
      <c r="Q251" s="3">
        <f>parking_demand_data_2024_ver0!P251</f>
        <v>28</v>
      </c>
      <c r="R251" s="3">
        <f>parking_demand_data_2024_ver0!Q251</f>
        <v>0</v>
      </c>
      <c r="S251" s="3">
        <f>parking_demand_data_2024_ver0!R251</f>
        <v>0</v>
      </c>
      <c r="T251" s="3">
        <f>parking_demand_data_2024_ver0!S251</f>
        <v>0</v>
      </c>
    </row>
    <row r="252" spans="1:20" x14ac:dyDescent="0.25">
      <c r="A252">
        <v>18021</v>
      </c>
      <c r="B252" t="s">
        <v>39</v>
      </c>
      <c r="C252">
        <v>10</v>
      </c>
      <c r="D252" s="3">
        <f>parking_demand_data_2024_ver0!D252*calibration!$I$31</f>
        <v>75.064627462598096</v>
      </c>
      <c r="E252" s="3">
        <f>parking_demand_data_2024_ver0!E252*calibration!$I$31</f>
        <v>9.0432824766701199</v>
      </c>
      <c r="F252" s="3">
        <f t="shared" si="3"/>
        <v>84.107909939268211</v>
      </c>
      <c r="G252" s="3">
        <f>parking_demand_data_2024_ver0!F252</f>
        <v>4</v>
      </c>
      <c r="H252" s="3">
        <f>parking_demand_data_2024_ver0!G252</f>
        <v>0</v>
      </c>
      <c r="I252" s="3">
        <f>parking_demand_data_2024_ver0!H252</f>
        <v>2</v>
      </c>
      <c r="J252" s="3">
        <f>parking_demand_data_2024_ver0!I252</f>
        <v>2</v>
      </c>
      <c r="K252" s="3">
        <f>parking_demand_data_2024_ver0!J252</f>
        <v>0</v>
      </c>
      <c r="L252" s="3">
        <f>parking_demand_data_2024_ver0!K252</f>
        <v>0</v>
      </c>
      <c r="M252" s="3">
        <f>parking_demand_data_2024_ver0!L252</f>
        <v>0</v>
      </c>
      <c r="N252" s="3">
        <f>parking_demand_data_2024_ver0!M252</f>
        <v>158</v>
      </c>
      <c r="O252" s="3">
        <f>parking_demand_data_2024_ver0!N252</f>
        <v>0</v>
      </c>
      <c r="P252" s="3">
        <f>parking_demand_data_2024_ver0!O252</f>
        <v>130</v>
      </c>
      <c r="Q252" s="3">
        <f>parking_demand_data_2024_ver0!P252</f>
        <v>28</v>
      </c>
      <c r="R252" s="3">
        <f>parking_demand_data_2024_ver0!Q252</f>
        <v>0</v>
      </c>
      <c r="S252" s="3">
        <f>parking_demand_data_2024_ver0!R252</f>
        <v>0</v>
      </c>
      <c r="T252" s="3">
        <f>parking_demand_data_2024_ver0!S252</f>
        <v>0</v>
      </c>
    </row>
    <row r="253" spans="1:20" x14ac:dyDescent="0.25">
      <c r="A253">
        <v>18021</v>
      </c>
      <c r="B253" t="s">
        <v>39</v>
      </c>
      <c r="C253">
        <v>11</v>
      </c>
      <c r="D253" s="3">
        <f>parking_demand_data_2024_ver0!D253*calibration!$I$31</f>
        <v>76.383439490445795</v>
      </c>
      <c r="E253" s="3">
        <f>parking_demand_data_2024_ver0!E253*calibration!$I$31</f>
        <v>4.76387201896015</v>
      </c>
      <c r="F253" s="3">
        <f t="shared" si="3"/>
        <v>81.147311509405938</v>
      </c>
      <c r="G253" s="3">
        <f>parking_demand_data_2024_ver0!F253</f>
        <v>4</v>
      </c>
      <c r="H253" s="3">
        <f>parking_demand_data_2024_ver0!G253</f>
        <v>0</v>
      </c>
      <c r="I253" s="3">
        <f>parking_demand_data_2024_ver0!H253</f>
        <v>2</v>
      </c>
      <c r="J253" s="3">
        <f>parking_demand_data_2024_ver0!I253</f>
        <v>2</v>
      </c>
      <c r="K253" s="3">
        <f>parking_demand_data_2024_ver0!J253</f>
        <v>0</v>
      </c>
      <c r="L253" s="3">
        <f>parking_demand_data_2024_ver0!K253</f>
        <v>0</v>
      </c>
      <c r="M253" s="3">
        <f>parking_demand_data_2024_ver0!L253</f>
        <v>0</v>
      </c>
      <c r="N253" s="3">
        <f>parking_demand_data_2024_ver0!M253</f>
        <v>158</v>
      </c>
      <c r="O253" s="3">
        <f>parking_demand_data_2024_ver0!N253</f>
        <v>0</v>
      </c>
      <c r="P253" s="3">
        <f>parking_demand_data_2024_ver0!O253</f>
        <v>130</v>
      </c>
      <c r="Q253" s="3">
        <f>parking_demand_data_2024_ver0!P253</f>
        <v>28</v>
      </c>
      <c r="R253" s="3">
        <f>parking_demand_data_2024_ver0!Q253</f>
        <v>0</v>
      </c>
      <c r="S253" s="3">
        <f>parking_demand_data_2024_ver0!R253</f>
        <v>0</v>
      </c>
      <c r="T253" s="3">
        <f>parking_demand_data_2024_ver0!S253</f>
        <v>0</v>
      </c>
    </row>
    <row r="254" spans="1:20" x14ac:dyDescent="0.25">
      <c r="A254">
        <v>18021</v>
      </c>
      <c r="B254" t="s">
        <v>39</v>
      </c>
      <c r="C254">
        <v>12</v>
      </c>
      <c r="D254" s="3">
        <f>parking_demand_data_2024_ver0!D254*calibration!$I$31</f>
        <v>80.9858243223226</v>
      </c>
      <c r="E254" s="3">
        <f>parking_demand_data_2024_ver0!E254*calibration!$I$31</f>
        <v>3.4719745222929901</v>
      </c>
      <c r="F254" s="3">
        <f t="shared" si="3"/>
        <v>84.457798844615596</v>
      </c>
      <c r="G254" s="3">
        <f>parking_demand_data_2024_ver0!F254</f>
        <v>4</v>
      </c>
      <c r="H254" s="3">
        <f>parking_demand_data_2024_ver0!G254</f>
        <v>0</v>
      </c>
      <c r="I254" s="3">
        <f>parking_demand_data_2024_ver0!H254</f>
        <v>2</v>
      </c>
      <c r="J254" s="3">
        <f>parking_demand_data_2024_ver0!I254</f>
        <v>2</v>
      </c>
      <c r="K254" s="3">
        <f>parking_demand_data_2024_ver0!J254</f>
        <v>0</v>
      </c>
      <c r="L254" s="3">
        <f>parking_demand_data_2024_ver0!K254</f>
        <v>0</v>
      </c>
      <c r="M254" s="3">
        <f>parking_demand_data_2024_ver0!L254</f>
        <v>0</v>
      </c>
      <c r="N254" s="3">
        <f>parking_demand_data_2024_ver0!M254</f>
        <v>158</v>
      </c>
      <c r="O254" s="3">
        <f>parking_demand_data_2024_ver0!N254</f>
        <v>0</v>
      </c>
      <c r="P254" s="3">
        <f>parking_demand_data_2024_ver0!O254</f>
        <v>130</v>
      </c>
      <c r="Q254" s="3">
        <f>parking_demand_data_2024_ver0!P254</f>
        <v>28</v>
      </c>
      <c r="R254" s="3">
        <f>parking_demand_data_2024_ver0!Q254</f>
        <v>0</v>
      </c>
      <c r="S254" s="3">
        <f>parking_demand_data_2024_ver0!R254</f>
        <v>0</v>
      </c>
      <c r="T254" s="3">
        <f>parking_demand_data_2024_ver0!S254</f>
        <v>0</v>
      </c>
    </row>
    <row r="255" spans="1:20" x14ac:dyDescent="0.25">
      <c r="A255">
        <v>18021</v>
      </c>
      <c r="B255" t="s">
        <v>39</v>
      </c>
      <c r="C255">
        <v>13</v>
      </c>
      <c r="D255" s="3">
        <f>parking_demand_data_2024_ver0!D255*calibration!$I$31</f>
        <v>69.627892164123807</v>
      </c>
      <c r="E255" s="3">
        <f>parking_demand_data_2024_ver0!E255*calibration!$I$31</f>
        <v>3.0413420234039301</v>
      </c>
      <c r="F255" s="3">
        <f t="shared" si="3"/>
        <v>72.669234187527735</v>
      </c>
      <c r="G255" s="3">
        <f>parking_demand_data_2024_ver0!F255</f>
        <v>4</v>
      </c>
      <c r="H255" s="3">
        <f>parking_demand_data_2024_ver0!G255</f>
        <v>0</v>
      </c>
      <c r="I255" s="3">
        <f>parking_demand_data_2024_ver0!H255</f>
        <v>2</v>
      </c>
      <c r="J255" s="3">
        <f>parking_demand_data_2024_ver0!I255</f>
        <v>2</v>
      </c>
      <c r="K255" s="3">
        <f>parking_demand_data_2024_ver0!J255</f>
        <v>0</v>
      </c>
      <c r="L255" s="3">
        <f>parking_demand_data_2024_ver0!K255</f>
        <v>0</v>
      </c>
      <c r="M255" s="3">
        <f>parking_demand_data_2024_ver0!L255</f>
        <v>0</v>
      </c>
      <c r="N255" s="3">
        <f>parking_demand_data_2024_ver0!M255</f>
        <v>158</v>
      </c>
      <c r="O255" s="3">
        <f>parking_demand_data_2024_ver0!N255</f>
        <v>0</v>
      </c>
      <c r="P255" s="3">
        <f>parking_demand_data_2024_ver0!O255</f>
        <v>130</v>
      </c>
      <c r="Q255" s="3">
        <f>parking_demand_data_2024_ver0!P255</f>
        <v>28</v>
      </c>
      <c r="R255" s="3">
        <f>parking_demand_data_2024_ver0!Q255</f>
        <v>0</v>
      </c>
      <c r="S255" s="3">
        <f>parking_demand_data_2024_ver0!R255</f>
        <v>0</v>
      </c>
      <c r="T255" s="3">
        <f>parking_demand_data_2024_ver0!S255</f>
        <v>0</v>
      </c>
    </row>
    <row r="256" spans="1:20" x14ac:dyDescent="0.25">
      <c r="A256">
        <v>18021</v>
      </c>
      <c r="B256" t="s">
        <v>39</v>
      </c>
      <c r="C256">
        <v>14</v>
      </c>
      <c r="D256" s="3">
        <f>parking_demand_data_2024_ver0!D256*calibration!$I$31</f>
        <v>67.7977040438453</v>
      </c>
      <c r="E256" s="3">
        <f>parking_demand_data_2024_ver0!E256*calibration!$I$31</f>
        <v>2.2877351503480901</v>
      </c>
      <c r="F256" s="3">
        <f t="shared" si="3"/>
        <v>70.085439194193384</v>
      </c>
      <c r="G256" s="3">
        <f>parking_demand_data_2024_ver0!F256</f>
        <v>4</v>
      </c>
      <c r="H256" s="3">
        <f>parking_demand_data_2024_ver0!G256</f>
        <v>0</v>
      </c>
      <c r="I256" s="3">
        <f>parking_demand_data_2024_ver0!H256</f>
        <v>2</v>
      </c>
      <c r="J256" s="3">
        <f>parking_demand_data_2024_ver0!I256</f>
        <v>2</v>
      </c>
      <c r="K256" s="3">
        <f>parking_demand_data_2024_ver0!J256</f>
        <v>0</v>
      </c>
      <c r="L256" s="3">
        <f>parking_demand_data_2024_ver0!K256</f>
        <v>0</v>
      </c>
      <c r="M256" s="3">
        <f>parking_demand_data_2024_ver0!L256</f>
        <v>0</v>
      </c>
      <c r="N256" s="3">
        <f>parking_demand_data_2024_ver0!M256</f>
        <v>158</v>
      </c>
      <c r="O256" s="3">
        <f>parking_demand_data_2024_ver0!N256</f>
        <v>0</v>
      </c>
      <c r="P256" s="3">
        <f>parking_demand_data_2024_ver0!O256</f>
        <v>130</v>
      </c>
      <c r="Q256" s="3">
        <f>parking_demand_data_2024_ver0!P256</f>
        <v>28</v>
      </c>
      <c r="R256" s="3">
        <f>parking_demand_data_2024_ver0!Q256</f>
        <v>0</v>
      </c>
      <c r="S256" s="3">
        <f>parking_demand_data_2024_ver0!R256</f>
        <v>0</v>
      </c>
      <c r="T256" s="3">
        <f>parking_demand_data_2024_ver0!S256</f>
        <v>0</v>
      </c>
    </row>
    <row r="257" spans="1:20" x14ac:dyDescent="0.25">
      <c r="A257">
        <v>18021</v>
      </c>
      <c r="B257" t="s">
        <v>39</v>
      </c>
      <c r="C257">
        <v>15</v>
      </c>
      <c r="D257" s="3">
        <f>parking_demand_data_2024_ver0!D257*calibration!$I$31</f>
        <v>72.669234187527707</v>
      </c>
      <c r="E257" s="3">
        <f>parking_demand_data_2024_ver0!E257*calibration!$I$31</f>
        <v>2.045504369723</v>
      </c>
      <c r="F257" s="3">
        <f t="shared" si="3"/>
        <v>74.714738557250712</v>
      </c>
      <c r="G257" s="3">
        <f>parking_demand_data_2024_ver0!F257</f>
        <v>4</v>
      </c>
      <c r="H257" s="3">
        <f>parking_demand_data_2024_ver0!G257</f>
        <v>0</v>
      </c>
      <c r="I257" s="3">
        <f>parking_demand_data_2024_ver0!H257</f>
        <v>2</v>
      </c>
      <c r="J257" s="3">
        <f>parking_demand_data_2024_ver0!I257</f>
        <v>2</v>
      </c>
      <c r="K257" s="3">
        <f>parking_demand_data_2024_ver0!J257</f>
        <v>0</v>
      </c>
      <c r="L257" s="3">
        <f>parking_demand_data_2024_ver0!K257</f>
        <v>0</v>
      </c>
      <c r="M257" s="3">
        <f>parking_demand_data_2024_ver0!L257</f>
        <v>0</v>
      </c>
      <c r="N257" s="3">
        <f>parking_demand_data_2024_ver0!M257</f>
        <v>158</v>
      </c>
      <c r="O257" s="3">
        <f>parking_demand_data_2024_ver0!N257</f>
        <v>0</v>
      </c>
      <c r="P257" s="3">
        <f>parking_demand_data_2024_ver0!O257</f>
        <v>130</v>
      </c>
      <c r="Q257" s="3">
        <f>parking_demand_data_2024_ver0!P257</f>
        <v>28</v>
      </c>
      <c r="R257" s="3">
        <f>parking_demand_data_2024_ver0!Q257</f>
        <v>0</v>
      </c>
      <c r="S257" s="3">
        <f>parking_demand_data_2024_ver0!R257</f>
        <v>0</v>
      </c>
      <c r="T257" s="3">
        <f>parking_demand_data_2024_ver0!S257</f>
        <v>0</v>
      </c>
    </row>
    <row r="258" spans="1:20" x14ac:dyDescent="0.25">
      <c r="A258">
        <v>18021</v>
      </c>
      <c r="B258" t="s">
        <v>39</v>
      </c>
      <c r="C258">
        <v>16</v>
      </c>
      <c r="D258" s="3">
        <f>parking_demand_data_2024_ver0!D258*calibration!$I$31</f>
        <v>83.461961190934602</v>
      </c>
      <c r="E258" s="3">
        <f>parking_demand_data_2024_ver0!E258*calibration!$I$31</f>
        <v>2.0185898385424301</v>
      </c>
      <c r="F258" s="3">
        <f t="shared" si="3"/>
        <v>85.480551029477027</v>
      </c>
      <c r="G258" s="3">
        <f>parking_demand_data_2024_ver0!F258</f>
        <v>4</v>
      </c>
      <c r="H258" s="3">
        <f>parking_demand_data_2024_ver0!G258</f>
        <v>0</v>
      </c>
      <c r="I258" s="3">
        <f>parking_demand_data_2024_ver0!H258</f>
        <v>2</v>
      </c>
      <c r="J258" s="3">
        <f>parking_demand_data_2024_ver0!I258</f>
        <v>2</v>
      </c>
      <c r="K258" s="3">
        <f>parking_demand_data_2024_ver0!J258</f>
        <v>0</v>
      </c>
      <c r="L258" s="3">
        <f>parking_demand_data_2024_ver0!K258</f>
        <v>0</v>
      </c>
      <c r="M258" s="3">
        <f>parking_demand_data_2024_ver0!L258</f>
        <v>0</v>
      </c>
      <c r="N258" s="3">
        <f>parking_demand_data_2024_ver0!M258</f>
        <v>158</v>
      </c>
      <c r="O258" s="3">
        <f>parking_demand_data_2024_ver0!N258</f>
        <v>0</v>
      </c>
      <c r="P258" s="3">
        <f>parking_demand_data_2024_ver0!O258</f>
        <v>130</v>
      </c>
      <c r="Q258" s="3">
        <f>parking_demand_data_2024_ver0!P258</f>
        <v>28</v>
      </c>
      <c r="R258" s="3">
        <f>parking_demand_data_2024_ver0!Q258</f>
        <v>0</v>
      </c>
      <c r="S258" s="3">
        <f>parking_demand_data_2024_ver0!R258</f>
        <v>0</v>
      </c>
      <c r="T258" s="3">
        <f>parking_demand_data_2024_ver0!S258</f>
        <v>0</v>
      </c>
    </row>
    <row r="259" spans="1:20" x14ac:dyDescent="0.25">
      <c r="A259">
        <v>18021</v>
      </c>
      <c r="B259" t="s">
        <v>39</v>
      </c>
      <c r="C259">
        <v>17</v>
      </c>
      <c r="D259" s="3">
        <f>parking_demand_data_2024_ver0!D259*calibration!$I$31</f>
        <v>93.554910383646799</v>
      </c>
      <c r="E259" s="3">
        <f>parking_demand_data_2024_ver0!E259*calibration!$I$31</f>
        <v>2.1800770256258302</v>
      </c>
      <c r="F259" s="3">
        <f t="shared" ref="F259:F322" si="4">SUM(D259:E259)</f>
        <v>95.734987409272634</v>
      </c>
      <c r="G259" s="3">
        <f>parking_demand_data_2024_ver0!F259</f>
        <v>4</v>
      </c>
      <c r="H259" s="3">
        <f>parking_demand_data_2024_ver0!G259</f>
        <v>0</v>
      </c>
      <c r="I259" s="3">
        <f>parking_demand_data_2024_ver0!H259</f>
        <v>2</v>
      </c>
      <c r="J259" s="3">
        <f>parking_demand_data_2024_ver0!I259</f>
        <v>2</v>
      </c>
      <c r="K259" s="3">
        <f>parking_demand_data_2024_ver0!J259</f>
        <v>0</v>
      </c>
      <c r="L259" s="3">
        <f>parking_demand_data_2024_ver0!K259</f>
        <v>0</v>
      </c>
      <c r="M259" s="3">
        <f>parking_demand_data_2024_ver0!L259</f>
        <v>0</v>
      </c>
      <c r="N259" s="3">
        <f>parking_demand_data_2024_ver0!M259</f>
        <v>158</v>
      </c>
      <c r="O259" s="3">
        <f>parking_demand_data_2024_ver0!N259</f>
        <v>0</v>
      </c>
      <c r="P259" s="3">
        <f>parking_demand_data_2024_ver0!O259</f>
        <v>130</v>
      </c>
      <c r="Q259" s="3">
        <f>parking_demand_data_2024_ver0!P259</f>
        <v>28</v>
      </c>
      <c r="R259" s="3">
        <f>parking_demand_data_2024_ver0!Q259</f>
        <v>0</v>
      </c>
      <c r="S259" s="3">
        <f>parking_demand_data_2024_ver0!R259</f>
        <v>0</v>
      </c>
      <c r="T259" s="3">
        <f>parking_demand_data_2024_ver0!S259</f>
        <v>0</v>
      </c>
    </row>
    <row r="260" spans="1:20" x14ac:dyDescent="0.25">
      <c r="A260">
        <v>18021</v>
      </c>
      <c r="B260" t="s">
        <v>39</v>
      </c>
      <c r="C260">
        <v>18</v>
      </c>
      <c r="D260" s="3">
        <f>parking_demand_data_2024_ver0!D260*calibration!$I$31</f>
        <v>108.061842689971</v>
      </c>
      <c r="E260" s="3">
        <f>parking_demand_data_2024_ver0!E260*calibration!$I$31</f>
        <v>2.4223078062509198</v>
      </c>
      <c r="F260" s="3">
        <f t="shared" si="4"/>
        <v>110.48415049622191</v>
      </c>
      <c r="G260" s="3">
        <f>parking_demand_data_2024_ver0!F260</f>
        <v>4</v>
      </c>
      <c r="H260" s="3">
        <f>parking_demand_data_2024_ver0!G260</f>
        <v>0</v>
      </c>
      <c r="I260" s="3">
        <f>parking_demand_data_2024_ver0!H260</f>
        <v>2</v>
      </c>
      <c r="J260" s="3">
        <f>parking_demand_data_2024_ver0!I260</f>
        <v>2</v>
      </c>
      <c r="K260" s="3">
        <f>parking_demand_data_2024_ver0!J260</f>
        <v>0</v>
      </c>
      <c r="L260" s="3">
        <f>parking_demand_data_2024_ver0!K260</f>
        <v>0</v>
      </c>
      <c r="M260" s="3">
        <f>parking_demand_data_2024_ver0!L260</f>
        <v>0</v>
      </c>
      <c r="N260" s="3">
        <f>parking_demand_data_2024_ver0!M260</f>
        <v>158</v>
      </c>
      <c r="O260" s="3">
        <f>parking_demand_data_2024_ver0!N260</f>
        <v>0</v>
      </c>
      <c r="P260" s="3">
        <f>parking_demand_data_2024_ver0!O260</f>
        <v>130</v>
      </c>
      <c r="Q260" s="3">
        <f>parking_demand_data_2024_ver0!P260</f>
        <v>28</v>
      </c>
      <c r="R260" s="3">
        <f>parking_demand_data_2024_ver0!Q260</f>
        <v>0</v>
      </c>
      <c r="S260" s="3">
        <f>parking_demand_data_2024_ver0!R260</f>
        <v>0</v>
      </c>
      <c r="T260" s="3">
        <f>parking_demand_data_2024_ver0!S260</f>
        <v>0</v>
      </c>
    </row>
    <row r="261" spans="1:20" x14ac:dyDescent="0.25">
      <c r="A261">
        <v>18021</v>
      </c>
      <c r="B261" t="s">
        <v>39</v>
      </c>
      <c r="C261">
        <v>19</v>
      </c>
      <c r="D261" s="3">
        <f>parking_demand_data_2024_ver0!D261*calibration!$I$31</f>
        <v>121.249962968449</v>
      </c>
      <c r="E261" s="3">
        <f>parking_demand_data_2024_ver0!E261*calibration!$I$31</f>
        <v>2.9875129610428002</v>
      </c>
      <c r="F261" s="3">
        <f t="shared" si="4"/>
        <v>124.23747592949179</v>
      </c>
      <c r="G261" s="3">
        <f>parking_demand_data_2024_ver0!F261</f>
        <v>4</v>
      </c>
      <c r="H261" s="3">
        <f>parking_demand_data_2024_ver0!G261</f>
        <v>0</v>
      </c>
      <c r="I261" s="3">
        <f>parking_demand_data_2024_ver0!H261</f>
        <v>2</v>
      </c>
      <c r="J261" s="3">
        <f>parking_demand_data_2024_ver0!I261</f>
        <v>2</v>
      </c>
      <c r="K261" s="3">
        <f>parking_demand_data_2024_ver0!J261</f>
        <v>0</v>
      </c>
      <c r="L261" s="3">
        <f>parking_demand_data_2024_ver0!K261</f>
        <v>0</v>
      </c>
      <c r="M261" s="3">
        <f>parking_demand_data_2024_ver0!L261</f>
        <v>0</v>
      </c>
      <c r="N261" s="3">
        <f>parking_demand_data_2024_ver0!M261</f>
        <v>158</v>
      </c>
      <c r="O261" s="3">
        <f>parking_demand_data_2024_ver0!N261</f>
        <v>0</v>
      </c>
      <c r="P261" s="3">
        <f>parking_demand_data_2024_ver0!O261</f>
        <v>130</v>
      </c>
      <c r="Q261" s="3">
        <f>parking_demand_data_2024_ver0!P261</f>
        <v>28</v>
      </c>
      <c r="R261" s="3">
        <f>parking_demand_data_2024_ver0!Q261</f>
        <v>0</v>
      </c>
      <c r="S261" s="3">
        <f>parking_demand_data_2024_ver0!R261</f>
        <v>0</v>
      </c>
      <c r="T261" s="3">
        <f>parking_demand_data_2024_ver0!S261</f>
        <v>0</v>
      </c>
    </row>
    <row r="262" spans="1:20" x14ac:dyDescent="0.25">
      <c r="A262">
        <v>18021</v>
      </c>
      <c r="B262" t="s">
        <v>39</v>
      </c>
      <c r="C262">
        <v>20</v>
      </c>
      <c r="D262" s="3">
        <f>parking_demand_data_2024_ver0!D262*calibration!$I$31</f>
        <v>134.868715745815</v>
      </c>
      <c r="E262" s="3">
        <f>parking_demand_data_2024_ver0!E262*calibration!$I$31</f>
        <v>3.7680343652792101</v>
      </c>
      <c r="F262" s="3">
        <f t="shared" si="4"/>
        <v>138.63675011109422</v>
      </c>
      <c r="G262" s="3">
        <f>parking_demand_data_2024_ver0!F262</f>
        <v>4</v>
      </c>
      <c r="H262" s="3">
        <f>parking_demand_data_2024_ver0!G262</f>
        <v>0</v>
      </c>
      <c r="I262" s="3">
        <f>parking_demand_data_2024_ver0!H262</f>
        <v>2</v>
      </c>
      <c r="J262" s="3">
        <f>parking_demand_data_2024_ver0!I262</f>
        <v>2</v>
      </c>
      <c r="K262" s="3">
        <f>parking_demand_data_2024_ver0!J262</f>
        <v>0</v>
      </c>
      <c r="L262" s="3">
        <f>parking_demand_data_2024_ver0!K262</f>
        <v>0</v>
      </c>
      <c r="M262" s="3">
        <f>parking_demand_data_2024_ver0!L262</f>
        <v>0</v>
      </c>
      <c r="N262" s="3">
        <f>parking_demand_data_2024_ver0!M262</f>
        <v>158</v>
      </c>
      <c r="O262" s="3">
        <f>parking_demand_data_2024_ver0!N262</f>
        <v>0</v>
      </c>
      <c r="P262" s="3">
        <f>parking_demand_data_2024_ver0!O262</f>
        <v>130</v>
      </c>
      <c r="Q262" s="3">
        <f>parking_demand_data_2024_ver0!P262</f>
        <v>28</v>
      </c>
      <c r="R262" s="3">
        <f>parking_demand_data_2024_ver0!Q262</f>
        <v>0</v>
      </c>
      <c r="S262" s="3">
        <f>parking_demand_data_2024_ver0!R262</f>
        <v>0</v>
      </c>
      <c r="T262" s="3">
        <f>parking_demand_data_2024_ver0!S262</f>
        <v>0</v>
      </c>
    </row>
    <row r="263" spans="1:20" x14ac:dyDescent="0.25">
      <c r="A263">
        <v>18021</v>
      </c>
      <c r="B263" t="s">
        <v>39</v>
      </c>
      <c r="C263">
        <v>21</v>
      </c>
      <c r="D263" s="3">
        <f>parking_demand_data_2024_ver0!D263*calibration!$I$31</f>
        <v>145.84984446748601</v>
      </c>
      <c r="E263" s="3">
        <f>parking_demand_data_2024_ver0!E263*calibration!$I$31</f>
        <v>5.7058806102799497</v>
      </c>
      <c r="F263" s="3">
        <f t="shared" si="4"/>
        <v>151.55572507776597</v>
      </c>
      <c r="G263" s="3">
        <f>parking_demand_data_2024_ver0!F263</f>
        <v>4</v>
      </c>
      <c r="H263" s="3">
        <f>parking_demand_data_2024_ver0!G263</f>
        <v>0</v>
      </c>
      <c r="I263" s="3">
        <f>parking_demand_data_2024_ver0!H263</f>
        <v>2</v>
      </c>
      <c r="J263" s="3">
        <f>parking_demand_data_2024_ver0!I263</f>
        <v>2</v>
      </c>
      <c r="K263" s="3">
        <f>parking_demand_data_2024_ver0!J263</f>
        <v>0</v>
      </c>
      <c r="L263" s="3">
        <f>parking_demand_data_2024_ver0!K263</f>
        <v>0</v>
      </c>
      <c r="M263" s="3">
        <f>parking_demand_data_2024_ver0!L263</f>
        <v>0</v>
      </c>
      <c r="N263" s="3">
        <f>parking_demand_data_2024_ver0!M263</f>
        <v>158</v>
      </c>
      <c r="O263" s="3">
        <f>parking_demand_data_2024_ver0!N263</f>
        <v>0</v>
      </c>
      <c r="P263" s="3">
        <f>parking_demand_data_2024_ver0!O263</f>
        <v>130</v>
      </c>
      <c r="Q263" s="3">
        <f>parking_demand_data_2024_ver0!P263</f>
        <v>28</v>
      </c>
      <c r="R263" s="3">
        <f>parking_demand_data_2024_ver0!Q263</f>
        <v>0</v>
      </c>
      <c r="S263" s="3">
        <f>parking_demand_data_2024_ver0!R263</f>
        <v>0</v>
      </c>
      <c r="T263" s="3">
        <f>parking_demand_data_2024_ver0!S263</f>
        <v>0</v>
      </c>
    </row>
    <row r="264" spans="1:20" x14ac:dyDescent="0.25">
      <c r="A264">
        <v>18021</v>
      </c>
      <c r="B264" t="s">
        <v>39</v>
      </c>
      <c r="C264">
        <v>22</v>
      </c>
      <c r="D264" s="3">
        <f>parking_demand_data_2024_ver0!D264*calibration!$I$31</f>
        <v>155.29684491186401</v>
      </c>
      <c r="E264" s="3">
        <f>parking_demand_data_2024_ver0!E264*calibration!$I$31</f>
        <v>7.6437268552806898</v>
      </c>
      <c r="F264" s="3">
        <f t="shared" si="4"/>
        <v>162.94057176714472</v>
      </c>
      <c r="G264" s="3">
        <f>parking_demand_data_2024_ver0!F264</f>
        <v>4</v>
      </c>
      <c r="H264" s="3">
        <f>parking_demand_data_2024_ver0!G264</f>
        <v>0</v>
      </c>
      <c r="I264" s="3">
        <f>parking_demand_data_2024_ver0!H264</f>
        <v>2</v>
      </c>
      <c r="J264" s="3">
        <f>parking_demand_data_2024_ver0!I264</f>
        <v>2</v>
      </c>
      <c r="K264" s="3">
        <f>parking_demand_data_2024_ver0!J264</f>
        <v>0</v>
      </c>
      <c r="L264" s="3">
        <f>parking_demand_data_2024_ver0!K264</f>
        <v>0</v>
      </c>
      <c r="M264" s="3">
        <f>parking_demand_data_2024_ver0!L264</f>
        <v>0</v>
      </c>
      <c r="N264" s="3">
        <f>parking_demand_data_2024_ver0!M264</f>
        <v>158</v>
      </c>
      <c r="O264" s="3">
        <f>parking_demand_data_2024_ver0!N264</f>
        <v>0</v>
      </c>
      <c r="P264" s="3">
        <f>parking_demand_data_2024_ver0!O264</f>
        <v>130</v>
      </c>
      <c r="Q264" s="3">
        <f>parking_demand_data_2024_ver0!P264</f>
        <v>28</v>
      </c>
      <c r="R264" s="3">
        <f>parking_demand_data_2024_ver0!Q264</f>
        <v>0</v>
      </c>
      <c r="S264" s="3">
        <f>parking_demand_data_2024_ver0!R264</f>
        <v>0</v>
      </c>
      <c r="T264" s="3">
        <f>parking_demand_data_2024_ver0!S264</f>
        <v>0</v>
      </c>
    </row>
    <row r="265" spans="1:20" x14ac:dyDescent="0.25">
      <c r="A265">
        <v>18021</v>
      </c>
      <c r="B265" t="s">
        <v>39</v>
      </c>
      <c r="C265">
        <v>23</v>
      </c>
      <c r="D265" s="3">
        <f>parking_demand_data_2024_ver0!D265*calibration!$I$31</f>
        <v>172.14534143089901</v>
      </c>
      <c r="E265" s="3">
        <f>parking_demand_data_2024_ver0!E265*calibration!$I$31</f>
        <v>10.2813509109761</v>
      </c>
      <c r="F265" s="3">
        <f t="shared" si="4"/>
        <v>182.42669234187511</v>
      </c>
      <c r="G265" s="3">
        <f>parking_demand_data_2024_ver0!F265</f>
        <v>4</v>
      </c>
      <c r="H265" s="3">
        <f>parking_demand_data_2024_ver0!G265</f>
        <v>0</v>
      </c>
      <c r="I265" s="3">
        <f>parking_demand_data_2024_ver0!H265</f>
        <v>2</v>
      </c>
      <c r="J265" s="3">
        <f>parking_demand_data_2024_ver0!I265</f>
        <v>2</v>
      </c>
      <c r="K265" s="3">
        <f>parking_demand_data_2024_ver0!J265</f>
        <v>0</v>
      </c>
      <c r="L265" s="3">
        <f>parking_demand_data_2024_ver0!K265</f>
        <v>0</v>
      </c>
      <c r="M265" s="3">
        <f>parking_demand_data_2024_ver0!L265</f>
        <v>0</v>
      </c>
      <c r="N265" s="3">
        <f>parking_demand_data_2024_ver0!M265</f>
        <v>158</v>
      </c>
      <c r="O265" s="3">
        <f>parking_demand_data_2024_ver0!N265</f>
        <v>0</v>
      </c>
      <c r="P265" s="3">
        <f>parking_demand_data_2024_ver0!O265</f>
        <v>130</v>
      </c>
      <c r="Q265" s="3">
        <f>parking_demand_data_2024_ver0!P265</f>
        <v>28</v>
      </c>
      <c r="R265" s="3">
        <f>parking_demand_data_2024_ver0!Q265</f>
        <v>0</v>
      </c>
      <c r="S265" s="3">
        <f>parking_demand_data_2024_ver0!R265</f>
        <v>0</v>
      </c>
      <c r="T265" s="3">
        <f>parking_demand_data_2024_ver0!S265</f>
        <v>0</v>
      </c>
    </row>
    <row r="266" spans="1:20" x14ac:dyDescent="0.25">
      <c r="A266">
        <v>18023</v>
      </c>
      <c r="B266" t="s">
        <v>40</v>
      </c>
      <c r="C266">
        <v>0</v>
      </c>
      <c r="D266" s="3">
        <f>parking_demand_data_2024_ver0!D266*calibration!$I$31</f>
        <v>56.154346210995499</v>
      </c>
      <c r="E266" s="3">
        <f>parking_demand_data_2024_ver0!E266*calibration!$I$31</f>
        <v>6.5360326894502201</v>
      </c>
      <c r="F266" s="3">
        <f t="shared" si="4"/>
        <v>62.690378900445722</v>
      </c>
      <c r="G266" s="3">
        <f>parking_demand_data_2024_ver0!F266</f>
        <v>1</v>
      </c>
      <c r="H266" s="3">
        <f>parking_demand_data_2024_ver0!G266</f>
        <v>0</v>
      </c>
      <c r="I266" s="3">
        <f>parking_demand_data_2024_ver0!H266</f>
        <v>1</v>
      </c>
      <c r="J266" s="3">
        <f>parking_demand_data_2024_ver0!I266</f>
        <v>0</v>
      </c>
      <c r="K266" s="3">
        <f>parking_demand_data_2024_ver0!J266</f>
        <v>0</v>
      </c>
      <c r="L266" s="3">
        <f>parking_demand_data_2024_ver0!K266</f>
        <v>0</v>
      </c>
      <c r="M266" s="3">
        <f>parking_demand_data_2024_ver0!L266</f>
        <v>0</v>
      </c>
      <c r="N266" s="3">
        <f>parking_demand_data_2024_ver0!M266</f>
        <v>50</v>
      </c>
      <c r="O266" s="3">
        <f>parking_demand_data_2024_ver0!N266</f>
        <v>0</v>
      </c>
      <c r="P266" s="3">
        <f>parking_demand_data_2024_ver0!O266</f>
        <v>50</v>
      </c>
      <c r="Q266" s="3">
        <f>parking_demand_data_2024_ver0!P266</f>
        <v>0</v>
      </c>
      <c r="R266" s="3">
        <f>parking_demand_data_2024_ver0!Q266</f>
        <v>0</v>
      </c>
      <c r="S266" s="3">
        <f>parking_demand_data_2024_ver0!R266</f>
        <v>0</v>
      </c>
      <c r="T266" s="3">
        <f>parking_demand_data_2024_ver0!S266</f>
        <v>0</v>
      </c>
    </row>
    <row r="267" spans="1:20" x14ac:dyDescent="0.25">
      <c r="A267">
        <v>18023</v>
      </c>
      <c r="B267" t="s">
        <v>40</v>
      </c>
      <c r="C267">
        <v>1</v>
      </c>
      <c r="D267" s="3">
        <f>parking_demand_data_2024_ver0!D267*calibration!$I$31</f>
        <v>57.1368870728083</v>
      </c>
      <c r="E267" s="3">
        <f>parking_demand_data_2024_ver0!E267*calibration!$I$31</f>
        <v>7.8816864784546699</v>
      </c>
      <c r="F267" s="3">
        <f t="shared" si="4"/>
        <v>65.018573551262975</v>
      </c>
      <c r="G267" s="3">
        <f>parking_demand_data_2024_ver0!F267</f>
        <v>1</v>
      </c>
      <c r="H267" s="3">
        <f>parking_demand_data_2024_ver0!G267</f>
        <v>0</v>
      </c>
      <c r="I267" s="3">
        <f>parking_demand_data_2024_ver0!H267</f>
        <v>1</v>
      </c>
      <c r="J267" s="3">
        <f>parking_demand_data_2024_ver0!I267</f>
        <v>0</v>
      </c>
      <c r="K267" s="3">
        <f>parking_demand_data_2024_ver0!J267</f>
        <v>0</v>
      </c>
      <c r="L267" s="3">
        <f>parking_demand_data_2024_ver0!K267</f>
        <v>0</v>
      </c>
      <c r="M267" s="3">
        <f>parking_demand_data_2024_ver0!L267</f>
        <v>0</v>
      </c>
      <c r="N267" s="3">
        <f>parking_demand_data_2024_ver0!M267</f>
        <v>50</v>
      </c>
      <c r="O267" s="3">
        <f>parking_demand_data_2024_ver0!N267</f>
        <v>0</v>
      </c>
      <c r="P267" s="3">
        <f>parking_demand_data_2024_ver0!O267</f>
        <v>50</v>
      </c>
      <c r="Q267" s="3">
        <f>parking_demand_data_2024_ver0!P267</f>
        <v>0</v>
      </c>
      <c r="R267" s="3">
        <f>parking_demand_data_2024_ver0!Q267</f>
        <v>0</v>
      </c>
      <c r="S267" s="3">
        <f>parking_demand_data_2024_ver0!R267</f>
        <v>0</v>
      </c>
      <c r="T267" s="3">
        <f>parking_demand_data_2024_ver0!S267</f>
        <v>0</v>
      </c>
    </row>
    <row r="268" spans="1:20" x14ac:dyDescent="0.25">
      <c r="A268">
        <v>18023</v>
      </c>
      <c r="B268" t="s">
        <v>40</v>
      </c>
      <c r="C268">
        <v>2</v>
      </c>
      <c r="D268" s="3">
        <f>parking_demand_data_2024_ver0!D268*calibration!$I$31</f>
        <v>57.499999999999901</v>
      </c>
      <c r="E268" s="3">
        <f>parking_demand_data_2024_ver0!E268*calibration!$I$31</f>
        <v>10.1244427934621</v>
      </c>
      <c r="F268" s="3">
        <f t="shared" si="4"/>
        <v>67.624442793461995</v>
      </c>
      <c r="G268" s="3">
        <f>parking_demand_data_2024_ver0!F268</f>
        <v>1</v>
      </c>
      <c r="H268" s="3">
        <f>parking_demand_data_2024_ver0!G268</f>
        <v>0</v>
      </c>
      <c r="I268" s="3">
        <f>parking_demand_data_2024_ver0!H268</f>
        <v>1</v>
      </c>
      <c r="J268" s="3">
        <f>parking_demand_data_2024_ver0!I268</f>
        <v>0</v>
      </c>
      <c r="K268" s="3">
        <f>parking_demand_data_2024_ver0!J268</f>
        <v>0</v>
      </c>
      <c r="L268" s="3">
        <f>parking_demand_data_2024_ver0!K268</f>
        <v>0</v>
      </c>
      <c r="M268" s="3">
        <f>parking_demand_data_2024_ver0!L268</f>
        <v>0</v>
      </c>
      <c r="N268" s="3">
        <f>parking_demand_data_2024_ver0!M268</f>
        <v>50</v>
      </c>
      <c r="O268" s="3">
        <f>parking_demand_data_2024_ver0!N268</f>
        <v>0</v>
      </c>
      <c r="P268" s="3">
        <f>parking_demand_data_2024_ver0!O268</f>
        <v>50</v>
      </c>
      <c r="Q268" s="3">
        <f>parking_demand_data_2024_ver0!P268</f>
        <v>0</v>
      </c>
      <c r="R268" s="3">
        <f>parking_demand_data_2024_ver0!Q268</f>
        <v>0</v>
      </c>
      <c r="S268" s="3">
        <f>parking_demand_data_2024_ver0!R268</f>
        <v>0</v>
      </c>
      <c r="T268" s="3">
        <f>parking_demand_data_2024_ver0!S268</f>
        <v>0</v>
      </c>
    </row>
    <row r="269" spans="1:20" x14ac:dyDescent="0.25">
      <c r="A269">
        <v>18023</v>
      </c>
      <c r="B269" t="s">
        <v>40</v>
      </c>
      <c r="C269">
        <v>3</v>
      </c>
      <c r="D269" s="3">
        <f>parking_demand_data_2024_ver0!D269*calibration!$I$31</f>
        <v>56.901931649331303</v>
      </c>
      <c r="E269" s="3">
        <f>parking_demand_data_2024_ver0!E269*calibration!$I$31</f>
        <v>10.4448365527488</v>
      </c>
      <c r="F269" s="3">
        <f t="shared" si="4"/>
        <v>67.346768202080099</v>
      </c>
      <c r="G269" s="3">
        <f>parking_demand_data_2024_ver0!F269</f>
        <v>1</v>
      </c>
      <c r="H269" s="3">
        <f>parking_demand_data_2024_ver0!G269</f>
        <v>0</v>
      </c>
      <c r="I269" s="3">
        <f>parking_demand_data_2024_ver0!H269</f>
        <v>1</v>
      </c>
      <c r="J269" s="3">
        <f>parking_demand_data_2024_ver0!I269</f>
        <v>0</v>
      </c>
      <c r="K269" s="3">
        <f>parking_demand_data_2024_ver0!J269</f>
        <v>0</v>
      </c>
      <c r="L269" s="3">
        <f>parking_demand_data_2024_ver0!K269</f>
        <v>0</v>
      </c>
      <c r="M269" s="3">
        <f>parking_demand_data_2024_ver0!L269</f>
        <v>0</v>
      </c>
      <c r="N269" s="3">
        <f>parking_demand_data_2024_ver0!M269</f>
        <v>50</v>
      </c>
      <c r="O269" s="3">
        <f>parking_demand_data_2024_ver0!N269</f>
        <v>0</v>
      </c>
      <c r="P269" s="3">
        <f>parking_demand_data_2024_ver0!O269</f>
        <v>50</v>
      </c>
      <c r="Q269" s="3">
        <f>parking_demand_data_2024_ver0!P269</f>
        <v>0</v>
      </c>
      <c r="R269" s="3">
        <f>parking_demand_data_2024_ver0!Q269</f>
        <v>0</v>
      </c>
      <c r="S269" s="3">
        <f>parking_demand_data_2024_ver0!R269</f>
        <v>0</v>
      </c>
      <c r="T269" s="3">
        <f>parking_demand_data_2024_ver0!S269</f>
        <v>0</v>
      </c>
    </row>
    <row r="270" spans="1:20" x14ac:dyDescent="0.25">
      <c r="A270">
        <v>18023</v>
      </c>
      <c r="B270" t="s">
        <v>40</v>
      </c>
      <c r="C270">
        <v>4</v>
      </c>
      <c r="D270" s="3">
        <f>parking_demand_data_2024_ver0!D270*calibration!$I$31</f>
        <v>54.915490341753298</v>
      </c>
      <c r="E270" s="3">
        <f>parking_demand_data_2024_ver0!E270*calibration!$I$31</f>
        <v>9.6118127786032694</v>
      </c>
      <c r="F270" s="3">
        <f t="shared" si="4"/>
        <v>64.527303120356564</v>
      </c>
      <c r="G270" s="3">
        <f>parking_demand_data_2024_ver0!F270</f>
        <v>1</v>
      </c>
      <c r="H270" s="3">
        <f>parking_demand_data_2024_ver0!G270</f>
        <v>0</v>
      </c>
      <c r="I270" s="3">
        <f>parking_demand_data_2024_ver0!H270</f>
        <v>1</v>
      </c>
      <c r="J270" s="3">
        <f>parking_demand_data_2024_ver0!I270</f>
        <v>0</v>
      </c>
      <c r="K270" s="3">
        <f>parking_demand_data_2024_ver0!J270</f>
        <v>0</v>
      </c>
      <c r="L270" s="3">
        <f>parking_demand_data_2024_ver0!K270</f>
        <v>0</v>
      </c>
      <c r="M270" s="3">
        <f>parking_demand_data_2024_ver0!L270</f>
        <v>0</v>
      </c>
      <c r="N270" s="3">
        <f>parking_demand_data_2024_ver0!M270</f>
        <v>50</v>
      </c>
      <c r="O270" s="3">
        <f>parking_demand_data_2024_ver0!N270</f>
        <v>0</v>
      </c>
      <c r="P270" s="3">
        <f>parking_demand_data_2024_ver0!O270</f>
        <v>50</v>
      </c>
      <c r="Q270" s="3">
        <f>parking_demand_data_2024_ver0!P270</f>
        <v>0</v>
      </c>
      <c r="R270" s="3">
        <f>parking_demand_data_2024_ver0!Q270</f>
        <v>0</v>
      </c>
      <c r="S270" s="3">
        <f>parking_demand_data_2024_ver0!R270</f>
        <v>0</v>
      </c>
      <c r="T270" s="3">
        <f>parking_demand_data_2024_ver0!S270</f>
        <v>0</v>
      </c>
    </row>
    <row r="271" spans="1:20" x14ac:dyDescent="0.25">
      <c r="A271">
        <v>18023</v>
      </c>
      <c r="B271" t="s">
        <v>40</v>
      </c>
      <c r="C271">
        <v>5</v>
      </c>
      <c r="D271" s="3">
        <f>parking_demand_data_2024_ver0!D271*calibration!$I$31</f>
        <v>52.843610698365502</v>
      </c>
      <c r="E271" s="3">
        <f>parking_demand_data_2024_ver0!E271*calibration!$I$31</f>
        <v>10.530274888558599</v>
      </c>
      <c r="F271" s="3">
        <f t="shared" si="4"/>
        <v>63.373885586924104</v>
      </c>
      <c r="G271" s="3">
        <f>parking_demand_data_2024_ver0!F271</f>
        <v>1</v>
      </c>
      <c r="H271" s="3">
        <f>parking_demand_data_2024_ver0!G271</f>
        <v>0</v>
      </c>
      <c r="I271" s="3">
        <f>parking_demand_data_2024_ver0!H271</f>
        <v>1</v>
      </c>
      <c r="J271" s="3">
        <f>parking_demand_data_2024_ver0!I271</f>
        <v>0</v>
      </c>
      <c r="K271" s="3">
        <f>parking_demand_data_2024_ver0!J271</f>
        <v>0</v>
      </c>
      <c r="L271" s="3">
        <f>parking_demand_data_2024_ver0!K271</f>
        <v>0</v>
      </c>
      <c r="M271" s="3">
        <f>parking_demand_data_2024_ver0!L271</f>
        <v>0</v>
      </c>
      <c r="N271" s="3">
        <f>parking_demand_data_2024_ver0!M271</f>
        <v>50</v>
      </c>
      <c r="O271" s="3">
        <f>parking_demand_data_2024_ver0!N271</f>
        <v>0</v>
      </c>
      <c r="P271" s="3">
        <f>parking_demand_data_2024_ver0!O271</f>
        <v>50</v>
      </c>
      <c r="Q271" s="3">
        <f>parking_demand_data_2024_ver0!P271</f>
        <v>0</v>
      </c>
      <c r="R271" s="3">
        <f>parking_demand_data_2024_ver0!Q271</f>
        <v>0</v>
      </c>
      <c r="S271" s="3">
        <f>parking_demand_data_2024_ver0!R271</f>
        <v>0</v>
      </c>
      <c r="T271" s="3">
        <f>parking_demand_data_2024_ver0!S271</f>
        <v>0</v>
      </c>
    </row>
    <row r="272" spans="1:20" x14ac:dyDescent="0.25">
      <c r="A272">
        <v>18023</v>
      </c>
      <c r="B272" t="s">
        <v>40</v>
      </c>
      <c r="C272">
        <v>6</v>
      </c>
      <c r="D272" s="3">
        <f>parking_demand_data_2024_ver0!D272*calibration!$I$31</f>
        <v>48.315378900445701</v>
      </c>
      <c r="E272" s="3">
        <f>parking_demand_data_2024_ver0!E272*calibration!$I$31</f>
        <v>10.4448365527488</v>
      </c>
      <c r="F272" s="3">
        <f t="shared" si="4"/>
        <v>58.760215453194505</v>
      </c>
      <c r="G272" s="3">
        <f>parking_demand_data_2024_ver0!F272</f>
        <v>1</v>
      </c>
      <c r="H272" s="3">
        <f>parking_demand_data_2024_ver0!G272</f>
        <v>0</v>
      </c>
      <c r="I272" s="3">
        <f>parking_demand_data_2024_ver0!H272</f>
        <v>1</v>
      </c>
      <c r="J272" s="3">
        <f>parking_demand_data_2024_ver0!I272</f>
        <v>0</v>
      </c>
      <c r="K272" s="3">
        <f>parking_demand_data_2024_ver0!J272</f>
        <v>0</v>
      </c>
      <c r="L272" s="3">
        <f>parking_demand_data_2024_ver0!K272</f>
        <v>0</v>
      </c>
      <c r="M272" s="3">
        <f>parking_demand_data_2024_ver0!L272</f>
        <v>0</v>
      </c>
      <c r="N272" s="3">
        <f>parking_demand_data_2024_ver0!M272</f>
        <v>50</v>
      </c>
      <c r="O272" s="3">
        <f>parking_demand_data_2024_ver0!N272</f>
        <v>0</v>
      </c>
      <c r="P272" s="3">
        <f>parking_demand_data_2024_ver0!O272</f>
        <v>50</v>
      </c>
      <c r="Q272" s="3">
        <f>parking_demand_data_2024_ver0!P272</f>
        <v>0</v>
      </c>
      <c r="R272" s="3">
        <f>parking_demand_data_2024_ver0!Q272</f>
        <v>0</v>
      </c>
      <c r="S272" s="3">
        <f>parking_demand_data_2024_ver0!R272</f>
        <v>0</v>
      </c>
      <c r="T272" s="3">
        <f>parking_demand_data_2024_ver0!S272</f>
        <v>0</v>
      </c>
    </row>
    <row r="273" spans="1:20" x14ac:dyDescent="0.25">
      <c r="A273">
        <v>18023</v>
      </c>
      <c r="B273" t="s">
        <v>40</v>
      </c>
      <c r="C273">
        <v>7</v>
      </c>
      <c r="D273" s="3">
        <f>parking_demand_data_2024_ver0!D273*calibration!$I$31</f>
        <v>41.608469539375903</v>
      </c>
      <c r="E273" s="3">
        <f>parking_demand_data_2024_ver0!E273*calibration!$I$31</f>
        <v>8.3088781575037096</v>
      </c>
      <c r="F273" s="3">
        <f t="shared" si="4"/>
        <v>49.917347696879617</v>
      </c>
      <c r="G273" s="3">
        <f>parking_demand_data_2024_ver0!F273</f>
        <v>1</v>
      </c>
      <c r="H273" s="3">
        <f>parking_demand_data_2024_ver0!G273</f>
        <v>0</v>
      </c>
      <c r="I273" s="3">
        <f>parking_demand_data_2024_ver0!H273</f>
        <v>1</v>
      </c>
      <c r="J273" s="3">
        <f>parking_demand_data_2024_ver0!I273</f>
        <v>0</v>
      </c>
      <c r="K273" s="3">
        <f>parking_demand_data_2024_ver0!J273</f>
        <v>0</v>
      </c>
      <c r="L273" s="3">
        <f>parking_demand_data_2024_ver0!K273</f>
        <v>0</v>
      </c>
      <c r="M273" s="3">
        <f>parking_demand_data_2024_ver0!L273</f>
        <v>0</v>
      </c>
      <c r="N273" s="3">
        <f>parking_demand_data_2024_ver0!M273</f>
        <v>50</v>
      </c>
      <c r="O273" s="3">
        <f>parking_demand_data_2024_ver0!N273</f>
        <v>0</v>
      </c>
      <c r="P273" s="3">
        <f>parking_demand_data_2024_ver0!O273</f>
        <v>50</v>
      </c>
      <c r="Q273" s="3">
        <f>parking_demand_data_2024_ver0!P273</f>
        <v>0</v>
      </c>
      <c r="R273" s="3">
        <f>parking_demand_data_2024_ver0!Q273</f>
        <v>0</v>
      </c>
      <c r="S273" s="3">
        <f>parking_demand_data_2024_ver0!R273</f>
        <v>0</v>
      </c>
      <c r="T273" s="3">
        <f>parking_demand_data_2024_ver0!S273</f>
        <v>0</v>
      </c>
    </row>
    <row r="274" spans="1:20" x14ac:dyDescent="0.25">
      <c r="A274">
        <v>18023</v>
      </c>
      <c r="B274" t="s">
        <v>40</v>
      </c>
      <c r="C274">
        <v>8</v>
      </c>
      <c r="D274" s="3">
        <f>parking_demand_data_2024_ver0!D274*calibration!$I$31</f>
        <v>32.765601783060902</v>
      </c>
      <c r="E274" s="3">
        <f>parking_demand_data_2024_ver0!E274*calibration!$I$31</f>
        <v>5.9806835066864696</v>
      </c>
      <c r="F274" s="3">
        <f t="shared" si="4"/>
        <v>38.74628528974737</v>
      </c>
      <c r="G274" s="3">
        <f>parking_demand_data_2024_ver0!F274</f>
        <v>1</v>
      </c>
      <c r="H274" s="3">
        <f>parking_demand_data_2024_ver0!G274</f>
        <v>0</v>
      </c>
      <c r="I274" s="3">
        <f>parking_demand_data_2024_ver0!H274</f>
        <v>1</v>
      </c>
      <c r="J274" s="3">
        <f>parking_demand_data_2024_ver0!I274</f>
        <v>0</v>
      </c>
      <c r="K274" s="3">
        <f>parking_demand_data_2024_ver0!J274</f>
        <v>0</v>
      </c>
      <c r="L274" s="3">
        <f>parking_demand_data_2024_ver0!K274</f>
        <v>0</v>
      </c>
      <c r="M274" s="3">
        <f>parking_demand_data_2024_ver0!L274</f>
        <v>0</v>
      </c>
      <c r="N274" s="3">
        <f>parking_demand_data_2024_ver0!M274</f>
        <v>50</v>
      </c>
      <c r="O274" s="3">
        <f>parking_demand_data_2024_ver0!N274</f>
        <v>0</v>
      </c>
      <c r="P274" s="3">
        <f>parking_demand_data_2024_ver0!O274</f>
        <v>50</v>
      </c>
      <c r="Q274" s="3">
        <f>parking_demand_data_2024_ver0!P274</f>
        <v>0</v>
      </c>
      <c r="R274" s="3">
        <f>parking_demand_data_2024_ver0!Q274</f>
        <v>0</v>
      </c>
      <c r="S274" s="3">
        <f>parking_demand_data_2024_ver0!R274</f>
        <v>0</v>
      </c>
      <c r="T274" s="3">
        <f>parking_demand_data_2024_ver0!S274</f>
        <v>0</v>
      </c>
    </row>
    <row r="275" spans="1:20" x14ac:dyDescent="0.25">
      <c r="A275">
        <v>18023</v>
      </c>
      <c r="B275" t="s">
        <v>40</v>
      </c>
      <c r="C275">
        <v>9</v>
      </c>
      <c r="D275" s="3">
        <f>parking_demand_data_2024_ver0!D275*calibration!$I$31</f>
        <v>25.247028231797898</v>
      </c>
      <c r="E275" s="3">
        <f>parking_demand_data_2024_ver0!E275*calibration!$I$31</f>
        <v>4.6350297176820199</v>
      </c>
      <c r="F275" s="3">
        <f t="shared" si="4"/>
        <v>29.882057949479918</v>
      </c>
      <c r="G275" s="3">
        <f>parking_demand_data_2024_ver0!F275</f>
        <v>1</v>
      </c>
      <c r="H275" s="3">
        <f>parking_demand_data_2024_ver0!G275</f>
        <v>0</v>
      </c>
      <c r="I275" s="3">
        <f>parking_demand_data_2024_ver0!H275</f>
        <v>1</v>
      </c>
      <c r="J275" s="3">
        <f>parking_demand_data_2024_ver0!I275</f>
        <v>0</v>
      </c>
      <c r="K275" s="3">
        <f>parking_demand_data_2024_ver0!J275</f>
        <v>0</v>
      </c>
      <c r="L275" s="3">
        <f>parking_demand_data_2024_ver0!K275</f>
        <v>0</v>
      </c>
      <c r="M275" s="3">
        <f>parking_demand_data_2024_ver0!L275</f>
        <v>0</v>
      </c>
      <c r="N275" s="3">
        <f>parking_demand_data_2024_ver0!M275</f>
        <v>50</v>
      </c>
      <c r="O275" s="3">
        <f>parking_demand_data_2024_ver0!N275</f>
        <v>0</v>
      </c>
      <c r="P275" s="3">
        <f>parking_demand_data_2024_ver0!O275</f>
        <v>50</v>
      </c>
      <c r="Q275" s="3">
        <f>parking_demand_data_2024_ver0!P275</f>
        <v>0</v>
      </c>
      <c r="R275" s="3">
        <f>parking_demand_data_2024_ver0!Q275</f>
        <v>0</v>
      </c>
      <c r="S275" s="3">
        <f>parking_demand_data_2024_ver0!R275</f>
        <v>0</v>
      </c>
      <c r="T275" s="3">
        <f>parking_demand_data_2024_ver0!S275</f>
        <v>0</v>
      </c>
    </row>
    <row r="276" spans="1:20" x14ac:dyDescent="0.25">
      <c r="A276">
        <v>18023</v>
      </c>
      <c r="B276" t="s">
        <v>40</v>
      </c>
      <c r="C276">
        <v>10</v>
      </c>
      <c r="D276" s="3">
        <f>parking_demand_data_2024_ver0!D276*calibration!$I$31</f>
        <v>21.0178306092124</v>
      </c>
      <c r="E276" s="3">
        <f>parking_demand_data_2024_ver0!E276*calibration!$I$31</f>
        <v>3.5029717682020798</v>
      </c>
      <c r="F276" s="3">
        <f t="shared" si="4"/>
        <v>24.52080237741448</v>
      </c>
      <c r="G276" s="3">
        <f>parking_demand_data_2024_ver0!F276</f>
        <v>1</v>
      </c>
      <c r="H276" s="3">
        <f>parking_demand_data_2024_ver0!G276</f>
        <v>0</v>
      </c>
      <c r="I276" s="3">
        <f>parking_demand_data_2024_ver0!H276</f>
        <v>1</v>
      </c>
      <c r="J276" s="3">
        <f>parking_demand_data_2024_ver0!I276</f>
        <v>0</v>
      </c>
      <c r="K276" s="3">
        <f>parking_demand_data_2024_ver0!J276</f>
        <v>0</v>
      </c>
      <c r="L276" s="3">
        <f>parking_demand_data_2024_ver0!K276</f>
        <v>0</v>
      </c>
      <c r="M276" s="3">
        <f>parking_demand_data_2024_ver0!L276</f>
        <v>0</v>
      </c>
      <c r="N276" s="3">
        <f>parking_demand_data_2024_ver0!M276</f>
        <v>50</v>
      </c>
      <c r="O276" s="3">
        <f>parking_demand_data_2024_ver0!N276</f>
        <v>0</v>
      </c>
      <c r="P276" s="3">
        <f>parking_demand_data_2024_ver0!O276</f>
        <v>50</v>
      </c>
      <c r="Q276" s="3">
        <f>parking_demand_data_2024_ver0!P276</f>
        <v>0</v>
      </c>
      <c r="R276" s="3">
        <f>parking_demand_data_2024_ver0!Q276</f>
        <v>0</v>
      </c>
      <c r="S276" s="3">
        <f>parking_demand_data_2024_ver0!R276</f>
        <v>0</v>
      </c>
      <c r="T276" s="3">
        <f>parking_demand_data_2024_ver0!S276</f>
        <v>0</v>
      </c>
    </row>
    <row r="277" spans="1:20" x14ac:dyDescent="0.25">
      <c r="A277">
        <v>18023</v>
      </c>
      <c r="B277" t="s">
        <v>40</v>
      </c>
      <c r="C277">
        <v>11</v>
      </c>
      <c r="D277" s="3">
        <f>parking_demand_data_2024_ver0!D277*calibration!$I$31</f>
        <v>19.116827637444199</v>
      </c>
      <c r="E277" s="3">
        <f>parking_demand_data_2024_ver0!E277*calibration!$I$31</f>
        <v>3.1612184249628501</v>
      </c>
      <c r="F277" s="3">
        <f t="shared" si="4"/>
        <v>22.27804606240705</v>
      </c>
      <c r="G277" s="3">
        <f>parking_demand_data_2024_ver0!F277</f>
        <v>1</v>
      </c>
      <c r="H277" s="3">
        <f>parking_demand_data_2024_ver0!G277</f>
        <v>0</v>
      </c>
      <c r="I277" s="3">
        <f>parking_demand_data_2024_ver0!H277</f>
        <v>1</v>
      </c>
      <c r="J277" s="3">
        <f>parking_demand_data_2024_ver0!I277</f>
        <v>0</v>
      </c>
      <c r="K277" s="3">
        <f>parking_demand_data_2024_ver0!J277</f>
        <v>0</v>
      </c>
      <c r="L277" s="3">
        <f>parking_demand_data_2024_ver0!K277</f>
        <v>0</v>
      </c>
      <c r="M277" s="3">
        <f>parking_demand_data_2024_ver0!L277</f>
        <v>0</v>
      </c>
      <c r="N277" s="3">
        <f>parking_demand_data_2024_ver0!M277</f>
        <v>50</v>
      </c>
      <c r="O277" s="3">
        <f>parking_demand_data_2024_ver0!N277</f>
        <v>0</v>
      </c>
      <c r="P277" s="3">
        <f>parking_demand_data_2024_ver0!O277</f>
        <v>50</v>
      </c>
      <c r="Q277" s="3">
        <f>parking_demand_data_2024_ver0!P277</f>
        <v>0</v>
      </c>
      <c r="R277" s="3">
        <f>parking_demand_data_2024_ver0!Q277</f>
        <v>0</v>
      </c>
      <c r="S277" s="3">
        <f>parking_demand_data_2024_ver0!R277</f>
        <v>0</v>
      </c>
      <c r="T277" s="3">
        <f>parking_demand_data_2024_ver0!S277</f>
        <v>0</v>
      </c>
    </row>
    <row r="278" spans="1:20" x14ac:dyDescent="0.25">
      <c r="A278">
        <v>18023</v>
      </c>
      <c r="B278" t="s">
        <v>40</v>
      </c>
      <c r="C278">
        <v>12</v>
      </c>
      <c r="D278" s="3">
        <f>parking_demand_data_2024_ver0!D278*calibration!$I$31</f>
        <v>17.749814264487298</v>
      </c>
      <c r="E278" s="3">
        <f>parking_demand_data_2024_ver0!E278*calibration!$I$31</f>
        <v>3.26801634472511</v>
      </c>
      <c r="F278" s="3">
        <f t="shared" si="4"/>
        <v>21.01783060921241</v>
      </c>
      <c r="G278" s="3">
        <f>parking_demand_data_2024_ver0!F278</f>
        <v>1</v>
      </c>
      <c r="H278" s="3">
        <f>parking_demand_data_2024_ver0!G278</f>
        <v>0</v>
      </c>
      <c r="I278" s="3">
        <f>parking_demand_data_2024_ver0!H278</f>
        <v>1</v>
      </c>
      <c r="J278" s="3">
        <f>parking_demand_data_2024_ver0!I278</f>
        <v>0</v>
      </c>
      <c r="K278" s="3">
        <f>parking_demand_data_2024_ver0!J278</f>
        <v>0</v>
      </c>
      <c r="L278" s="3">
        <f>parking_demand_data_2024_ver0!K278</f>
        <v>0</v>
      </c>
      <c r="M278" s="3">
        <f>parking_demand_data_2024_ver0!L278</f>
        <v>0</v>
      </c>
      <c r="N278" s="3">
        <f>parking_demand_data_2024_ver0!M278</f>
        <v>50</v>
      </c>
      <c r="O278" s="3">
        <f>parking_demand_data_2024_ver0!N278</f>
        <v>0</v>
      </c>
      <c r="P278" s="3">
        <f>parking_demand_data_2024_ver0!O278</f>
        <v>50</v>
      </c>
      <c r="Q278" s="3">
        <f>parking_demand_data_2024_ver0!P278</f>
        <v>0</v>
      </c>
      <c r="R278" s="3">
        <f>parking_demand_data_2024_ver0!Q278</f>
        <v>0</v>
      </c>
      <c r="S278" s="3">
        <f>parking_demand_data_2024_ver0!R278</f>
        <v>0</v>
      </c>
      <c r="T278" s="3">
        <f>parking_demand_data_2024_ver0!S278</f>
        <v>0</v>
      </c>
    </row>
    <row r="279" spans="1:20" x14ac:dyDescent="0.25">
      <c r="A279">
        <v>18023</v>
      </c>
      <c r="B279" t="s">
        <v>40</v>
      </c>
      <c r="C279">
        <v>13</v>
      </c>
      <c r="D279" s="3">
        <f>parking_demand_data_2024_ver0!D279*calibration!$I$31</f>
        <v>17.899331352154501</v>
      </c>
      <c r="E279" s="3">
        <f>parking_demand_data_2024_ver0!E279*calibration!$I$31</f>
        <v>2.7340267459138099</v>
      </c>
      <c r="F279" s="3">
        <f t="shared" si="4"/>
        <v>20.63335809806831</v>
      </c>
      <c r="G279" s="3">
        <f>parking_demand_data_2024_ver0!F279</f>
        <v>1</v>
      </c>
      <c r="H279" s="3">
        <f>parking_demand_data_2024_ver0!G279</f>
        <v>0</v>
      </c>
      <c r="I279" s="3">
        <f>parking_demand_data_2024_ver0!H279</f>
        <v>1</v>
      </c>
      <c r="J279" s="3">
        <f>parking_demand_data_2024_ver0!I279</f>
        <v>0</v>
      </c>
      <c r="K279" s="3">
        <f>parking_demand_data_2024_ver0!J279</f>
        <v>0</v>
      </c>
      <c r="L279" s="3">
        <f>parking_demand_data_2024_ver0!K279</f>
        <v>0</v>
      </c>
      <c r="M279" s="3">
        <f>parking_demand_data_2024_ver0!L279</f>
        <v>0</v>
      </c>
      <c r="N279" s="3">
        <f>parking_demand_data_2024_ver0!M279</f>
        <v>50</v>
      </c>
      <c r="O279" s="3">
        <f>parking_demand_data_2024_ver0!N279</f>
        <v>0</v>
      </c>
      <c r="P279" s="3">
        <f>parking_demand_data_2024_ver0!O279</f>
        <v>50</v>
      </c>
      <c r="Q279" s="3">
        <f>parking_demand_data_2024_ver0!P279</f>
        <v>0</v>
      </c>
      <c r="R279" s="3">
        <f>parking_demand_data_2024_ver0!Q279</f>
        <v>0</v>
      </c>
      <c r="S279" s="3">
        <f>parking_demand_data_2024_ver0!R279</f>
        <v>0</v>
      </c>
      <c r="T279" s="3">
        <f>parking_demand_data_2024_ver0!S279</f>
        <v>0</v>
      </c>
    </row>
    <row r="280" spans="1:20" x14ac:dyDescent="0.25">
      <c r="A280">
        <v>18023</v>
      </c>
      <c r="B280" t="s">
        <v>40</v>
      </c>
      <c r="C280">
        <v>14</v>
      </c>
      <c r="D280" s="3">
        <f>parking_demand_data_2024_ver0!D280*calibration!$I$31</f>
        <v>17.8352526002971</v>
      </c>
      <c r="E280" s="3">
        <f>parking_demand_data_2024_ver0!E280*calibration!$I$31</f>
        <v>2.2213967310549698</v>
      </c>
      <c r="F280" s="3">
        <f t="shared" si="4"/>
        <v>20.05664933135207</v>
      </c>
      <c r="G280" s="3">
        <f>parking_demand_data_2024_ver0!F280</f>
        <v>1</v>
      </c>
      <c r="H280" s="3">
        <f>parking_demand_data_2024_ver0!G280</f>
        <v>0</v>
      </c>
      <c r="I280" s="3">
        <f>parking_demand_data_2024_ver0!H280</f>
        <v>1</v>
      </c>
      <c r="J280" s="3">
        <f>parking_demand_data_2024_ver0!I280</f>
        <v>0</v>
      </c>
      <c r="K280" s="3">
        <f>parking_demand_data_2024_ver0!J280</f>
        <v>0</v>
      </c>
      <c r="L280" s="3">
        <f>parking_demand_data_2024_ver0!K280</f>
        <v>0</v>
      </c>
      <c r="M280" s="3">
        <f>parking_demand_data_2024_ver0!L280</f>
        <v>0</v>
      </c>
      <c r="N280" s="3">
        <f>parking_demand_data_2024_ver0!M280</f>
        <v>50</v>
      </c>
      <c r="O280" s="3">
        <f>parking_demand_data_2024_ver0!N280</f>
        <v>0</v>
      </c>
      <c r="P280" s="3">
        <f>parking_demand_data_2024_ver0!O280</f>
        <v>50</v>
      </c>
      <c r="Q280" s="3">
        <f>parking_demand_data_2024_ver0!P280</f>
        <v>0</v>
      </c>
      <c r="R280" s="3">
        <f>parking_demand_data_2024_ver0!Q280</f>
        <v>0</v>
      </c>
      <c r="S280" s="3">
        <f>parking_demand_data_2024_ver0!R280</f>
        <v>0</v>
      </c>
      <c r="T280" s="3">
        <f>parking_demand_data_2024_ver0!S280</f>
        <v>0</v>
      </c>
    </row>
    <row r="281" spans="1:20" x14ac:dyDescent="0.25">
      <c r="A281">
        <v>18023</v>
      </c>
      <c r="B281" t="s">
        <v>40</v>
      </c>
      <c r="C281">
        <v>15</v>
      </c>
      <c r="D281" s="3">
        <f>parking_demand_data_2024_ver0!D281*calibration!$I$31</f>
        <v>18.903231797919702</v>
      </c>
      <c r="E281" s="3">
        <f>parking_demand_data_2024_ver0!E281*calibration!$I$31</f>
        <v>2.02916047548291</v>
      </c>
      <c r="F281" s="3">
        <f t="shared" si="4"/>
        <v>20.932392273402613</v>
      </c>
      <c r="G281" s="3">
        <f>parking_demand_data_2024_ver0!F281</f>
        <v>1</v>
      </c>
      <c r="H281" s="3">
        <f>parking_demand_data_2024_ver0!G281</f>
        <v>0</v>
      </c>
      <c r="I281" s="3">
        <f>parking_demand_data_2024_ver0!H281</f>
        <v>1</v>
      </c>
      <c r="J281" s="3">
        <f>parking_demand_data_2024_ver0!I281</f>
        <v>0</v>
      </c>
      <c r="K281" s="3">
        <f>parking_demand_data_2024_ver0!J281</f>
        <v>0</v>
      </c>
      <c r="L281" s="3">
        <f>parking_demand_data_2024_ver0!K281</f>
        <v>0</v>
      </c>
      <c r="M281" s="3">
        <f>parking_demand_data_2024_ver0!L281</f>
        <v>0</v>
      </c>
      <c r="N281" s="3">
        <f>parking_demand_data_2024_ver0!M281</f>
        <v>50</v>
      </c>
      <c r="O281" s="3">
        <f>parking_demand_data_2024_ver0!N281</f>
        <v>0</v>
      </c>
      <c r="P281" s="3">
        <f>parking_demand_data_2024_ver0!O281</f>
        <v>50</v>
      </c>
      <c r="Q281" s="3">
        <f>parking_demand_data_2024_ver0!P281</f>
        <v>0</v>
      </c>
      <c r="R281" s="3">
        <f>parking_demand_data_2024_ver0!Q281</f>
        <v>0</v>
      </c>
      <c r="S281" s="3">
        <f>parking_demand_data_2024_ver0!R281</f>
        <v>0</v>
      </c>
      <c r="T281" s="3">
        <f>parking_demand_data_2024_ver0!S281</f>
        <v>0</v>
      </c>
    </row>
    <row r="282" spans="1:20" x14ac:dyDescent="0.25">
      <c r="A282">
        <v>18023</v>
      </c>
      <c r="B282" t="s">
        <v>40</v>
      </c>
      <c r="C282">
        <v>16</v>
      </c>
      <c r="D282" s="3">
        <f>parking_demand_data_2024_ver0!D282*calibration!$I$31</f>
        <v>20.99647102526</v>
      </c>
      <c r="E282" s="3">
        <f>parking_demand_data_2024_ver0!E282*calibration!$I$31</f>
        <v>1.73012630014858</v>
      </c>
      <c r="F282" s="3">
        <f t="shared" si="4"/>
        <v>22.72659732540858</v>
      </c>
      <c r="G282" s="3">
        <f>parking_demand_data_2024_ver0!F282</f>
        <v>1</v>
      </c>
      <c r="H282" s="3">
        <f>parking_demand_data_2024_ver0!G282</f>
        <v>0</v>
      </c>
      <c r="I282" s="3">
        <f>parking_demand_data_2024_ver0!H282</f>
        <v>1</v>
      </c>
      <c r="J282" s="3">
        <f>parking_demand_data_2024_ver0!I282</f>
        <v>0</v>
      </c>
      <c r="K282" s="3">
        <f>parking_demand_data_2024_ver0!J282</f>
        <v>0</v>
      </c>
      <c r="L282" s="3">
        <f>parking_demand_data_2024_ver0!K282</f>
        <v>0</v>
      </c>
      <c r="M282" s="3">
        <f>parking_demand_data_2024_ver0!L282</f>
        <v>0</v>
      </c>
      <c r="N282" s="3">
        <f>parking_demand_data_2024_ver0!M282</f>
        <v>50</v>
      </c>
      <c r="O282" s="3">
        <f>parking_demand_data_2024_ver0!N282</f>
        <v>0</v>
      </c>
      <c r="P282" s="3">
        <f>parking_demand_data_2024_ver0!O282</f>
        <v>50</v>
      </c>
      <c r="Q282" s="3">
        <f>parking_demand_data_2024_ver0!P282</f>
        <v>0</v>
      </c>
      <c r="R282" s="3">
        <f>parking_demand_data_2024_ver0!Q282</f>
        <v>0</v>
      </c>
      <c r="S282" s="3">
        <f>parking_demand_data_2024_ver0!R282</f>
        <v>0</v>
      </c>
      <c r="T282" s="3">
        <f>parking_demand_data_2024_ver0!S282</f>
        <v>0</v>
      </c>
    </row>
    <row r="283" spans="1:20" x14ac:dyDescent="0.25">
      <c r="A283">
        <v>18023</v>
      </c>
      <c r="B283" t="s">
        <v>40</v>
      </c>
      <c r="C283">
        <v>17</v>
      </c>
      <c r="D283" s="3">
        <f>parking_demand_data_2024_ver0!D283*calibration!$I$31</f>
        <v>24.862555720653699</v>
      </c>
      <c r="E283" s="3">
        <f>parking_demand_data_2024_ver0!E283*calibration!$I$31</f>
        <v>1.3670133729569001</v>
      </c>
      <c r="F283" s="3">
        <f t="shared" si="4"/>
        <v>26.2295690936106</v>
      </c>
      <c r="G283" s="3">
        <f>parking_demand_data_2024_ver0!F283</f>
        <v>1</v>
      </c>
      <c r="H283" s="3">
        <f>parking_demand_data_2024_ver0!G283</f>
        <v>0</v>
      </c>
      <c r="I283" s="3">
        <f>parking_demand_data_2024_ver0!H283</f>
        <v>1</v>
      </c>
      <c r="J283" s="3">
        <f>parking_demand_data_2024_ver0!I283</f>
        <v>0</v>
      </c>
      <c r="K283" s="3">
        <f>parking_demand_data_2024_ver0!J283</f>
        <v>0</v>
      </c>
      <c r="L283" s="3">
        <f>parking_demand_data_2024_ver0!K283</f>
        <v>0</v>
      </c>
      <c r="M283" s="3">
        <f>parking_demand_data_2024_ver0!L283</f>
        <v>0</v>
      </c>
      <c r="N283" s="3">
        <f>parking_demand_data_2024_ver0!M283</f>
        <v>50</v>
      </c>
      <c r="O283" s="3">
        <f>parking_demand_data_2024_ver0!N283</f>
        <v>0</v>
      </c>
      <c r="P283" s="3">
        <f>parking_demand_data_2024_ver0!O283</f>
        <v>50</v>
      </c>
      <c r="Q283" s="3">
        <f>parking_demand_data_2024_ver0!P283</f>
        <v>0</v>
      </c>
      <c r="R283" s="3">
        <f>parking_demand_data_2024_ver0!Q283</f>
        <v>0</v>
      </c>
      <c r="S283" s="3">
        <f>parking_demand_data_2024_ver0!R283</f>
        <v>0</v>
      </c>
      <c r="T283" s="3">
        <f>parking_demand_data_2024_ver0!S283</f>
        <v>0</v>
      </c>
    </row>
    <row r="284" spans="1:20" x14ac:dyDescent="0.25">
      <c r="A284">
        <v>18023</v>
      </c>
      <c r="B284" t="s">
        <v>40</v>
      </c>
      <c r="C284">
        <v>18</v>
      </c>
      <c r="D284" s="3">
        <f>parking_demand_data_2024_ver0!D284*calibration!$I$31</f>
        <v>29.988855869242101</v>
      </c>
      <c r="E284" s="3">
        <f>parking_demand_data_2024_ver0!E284*calibration!$I$31</f>
        <v>1.5165304606240699</v>
      </c>
      <c r="F284" s="3">
        <f t="shared" si="4"/>
        <v>31.50538632986617</v>
      </c>
      <c r="G284" s="3">
        <f>parking_demand_data_2024_ver0!F284</f>
        <v>1</v>
      </c>
      <c r="H284" s="3">
        <f>parking_demand_data_2024_ver0!G284</f>
        <v>0</v>
      </c>
      <c r="I284" s="3">
        <f>parking_demand_data_2024_ver0!H284</f>
        <v>1</v>
      </c>
      <c r="J284" s="3">
        <f>parking_demand_data_2024_ver0!I284</f>
        <v>0</v>
      </c>
      <c r="K284" s="3">
        <f>parking_demand_data_2024_ver0!J284</f>
        <v>0</v>
      </c>
      <c r="L284" s="3">
        <f>parking_demand_data_2024_ver0!K284</f>
        <v>0</v>
      </c>
      <c r="M284" s="3">
        <f>parking_demand_data_2024_ver0!L284</f>
        <v>0</v>
      </c>
      <c r="N284" s="3">
        <f>parking_demand_data_2024_ver0!M284</f>
        <v>50</v>
      </c>
      <c r="O284" s="3">
        <f>parking_demand_data_2024_ver0!N284</f>
        <v>0</v>
      </c>
      <c r="P284" s="3">
        <f>parking_demand_data_2024_ver0!O284</f>
        <v>50</v>
      </c>
      <c r="Q284" s="3">
        <f>parking_demand_data_2024_ver0!P284</f>
        <v>0</v>
      </c>
      <c r="R284" s="3">
        <f>parking_demand_data_2024_ver0!Q284</f>
        <v>0</v>
      </c>
      <c r="S284" s="3">
        <f>parking_demand_data_2024_ver0!R284</f>
        <v>0</v>
      </c>
      <c r="T284" s="3">
        <f>parking_demand_data_2024_ver0!S284</f>
        <v>0</v>
      </c>
    </row>
    <row r="285" spans="1:20" x14ac:dyDescent="0.25">
      <c r="A285">
        <v>18023</v>
      </c>
      <c r="B285" t="s">
        <v>40</v>
      </c>
      <c r="C285">
        <v>19</v>
      </c>
      <c r="D285" s="3">
        <f>parking_demand_data_2024_ver0!D285*calibration!$I$31</f>
        <v>35.820022288261498</v>
      </c>
      <c r="E285" s="3">
        <f>parking_demand_data_2024_ver0!E285*calibration!$I$31</f>
        <v>1.64468796433878</v>
      </c>
      <c r="F285" s="3">
        <f t="shared" si="4"/>
        <v>37.464710252600277</v>
      </c>
      <c r="G285" s="3">
        <f>parking_demand_data_2024_ver0!F285</f>
        <v>1</v>
      </c>
      <c r="H285" s="3">
        <f>parking_demand_data_2024_ver0!G285</f>
        <v>0</v>
      </c>
      <c r="I285" s="3">
        <f>parking_demand_data_2024_ver0!H285</f>
        <v>1</v>
      </c>
      <c r="J285" s="3">
        <f>parking_demand_data_2024_ver0!I285</f>
        <v>0</v>
      </c>
      <c r="K285" s="3">
        <f>parking_demand_data_2024_ver0!J285</f>
        <v>0</v>
      </c>
      <c r="L285" s="3">
        <f>parking_demand_data_2024_ver0!K285</f>
        <v>0</v>
      </c>
      <c r="M285" s="3">
        <f>parking_demand_data_2024_ver0!L285</f>
        <v>0</v>
      </c>
      <c r="N285" s="3">
        <f>parking_demand_data_2024_ver0!M285</f>
        <v>50</v>
      </c>
      <c r="O285" s="3">
        <f>parking_demand_data_2024_ver0!N285</f>
        <v>0</v>
      </c>
      <c r="P285" s="3">
        <f>parking_demand_data_2024_ver0!O285</f>
        <v>50</v>
      </c>
      <c r="Q285" s="3">
        <f>parking_demand_data_2024_ver0!P285</f>
        <v>0</v>
      </c>
      <c r="R285" s="3">
        <f>parking_demand_data_2024_ver0!Q285</f>
        <v>0</v>
      </c>
      <c r="S285" s="3">
        <f>parking_demand_data_2024_ver0!R285</f>
        <v>0</v>
      </c>
      <c r="T285" s="3">
        <f>parking_demand_data_2024_ver0!S285</f>
        <v>0</v>
      </c>
    </row>
    <row r="286" spans="1:20" x14ac:dyDescent="0.25">
      <c r="A286">
        <v>18023</v>
      </c>
      <c r="B286" t="s">
        <v>40</v>
      </c>
      <c r="C286">
        <v>20</v>
      </c>
      <c r="D286" s="3">
        <f>parking_demand_data_2024_ver0!D286*calibration!$I$31</f>
        <v>42.057020802377401</v>
      </c>
      <c r="E286" s="3">
        <f>parking_demand_data_2024_ver0!E286*calibration!$I$31</f>
        <v>1.79420505200594</v>
      </c>
      <c r="F286" s="3">
        <f t="shared" si="4"/>
        <v>43.851225854383344</v>
      </c>
      <c r="G286" s="3">
        <f>parking_demand_data_2024_ver0!F286</f>
        <v>1</v>
      </c>
      <c r="H286" s="3">
        <f>parking_demand_data_2024_ver0!G286</f>
        <v>0</v>
      </c>
      <c r="I286" s="3">
        <f>parking_demand_data_2024_ver0!H286</f>
        <v>1</v>
      </c>
      <c r="J286" s="3">
        <f>parking_demand_data_2024_ver0!I286</f>
        <v>0</v>
      </c>
      <c r="K286" s="3">
        <f>parking_demand_data_2024_ver0!J286</f>
        <v>0</v>
      </c>
      <c r="L286" s="3">
        <f>parking_demand_data_2024_ver0!K286</f>
        <v>0</v>
      </c>
      <c r="M286" s="3">
        <f>parking_demand_data_2024_ver0!L286</f>
        <v>0</v>
      </c>
      <c r="N286" s="3">
        <f>parking_demand_data_2024_ver0!M286</f>
        <v>50</v>
      </c>
      <c r="O286" s="3">
        <f>parking_demand_data_2024_ver0!N286</f>
        <v>0</v>
      </c>
      <c r="P286" s="3">
        <f>parking_demand_data_2024_ver0!O286</f>
        <v>50</v>
      </c>
      <c r="Q286" s="3">
        <f>parking_demand_data_2024_ver0!P286</f>
        <v>0</v>
      </c>
      <c r="R286" s="3">
        <f>parking_demand_data_2024_ver0!Q286</f>
        <v>0</v>
      </c>
      <c r="S286" s="3">
        <f>parking_demand_data_2024_ver0!R286</f>
        <v>0</v>
      </c>
      <c r="T286" s="3">
        <f>parking_demand_data_2024_ver0!S286</f>
        <v>0</v>
      </c>
    </row>
    <row r="287" spans="1:20" x14ac:dyDescent="0.25">
      <c r="A287">
        <v>18023</v>
      </c>
      <c r="B287" t="s">
        <v>40</v>
      </c>
      <c r="C287">
        <v>21</v>
      </c>
      <c r="D287" s="3">
        <f>parking_demand_data_2024_ver0!D287*calibration!$I$31</f>
        <v>47.418276374442797</v>
      </c>
      <c r="E287" s="3">
        <f>parking_demand_data_2024_ver0!E287*calibration!$I$31</f>
        <v>3.01170133729569</v>
      </c>
      <c r="F287" s="3">
        <f t="shared" si="4"/>
        <v>50.429977711738488</v>
      </c>
      <c r="G287" s="3">
        <f>parking_demand_data_2024_ver0!F287</f>
        <v>1</v>
      </c>
      <c r="H287" s="3">
        <f>parking_demand_data_2024_ver0!G287</f>
        <v>0</v>
      </c>
      <c r="I287" s="3">
        <f>parking_demand_data_2024_ver0!H287</f>
        <v>1</v>
      </c>
      <c r="J287" s="3">
        <f>parking_demand_data_2024_ver0!I287</f>
        <v>0</v>
      </c>
      <c r="K287" s="3">
        <f>parking_demand_data_2024_ver0!J287</f>
        <v>0</v>
      </c>
      <c r="L287" s="3">
        <f>parking_demand_data_2024_ver0!K287</f>
        <v>0</v>
      </c>
      <c r="M287" s="3">
        <f>parking_demand_data_2024_ver0!L287</f>
        <v>0</v>
      </c>
      <c r="N287" s="3">
        <f>parking_demand_data_2024_ver0!M287</f>
        <v>50</v>
      </c>
      <c r="O287" s="3">
        <f>parking_demand_data_2024_ver0!N287</f>
        <v>0</v>
      </c>
      <c r="P287" s="3">
        <f>parking_demand_data_2024_ver0!O287</f>
        <v>50</v>
      </c>
      <c r="Q287" s="3">
        <f>parking_demand_data_2024_ver0!P287</f>
        <v>0</v>
      </c>
      <c r="R287" s="3">
        <f>parking_demand_data_2024_ver0!Q287</f>
        <v>0</v>
      </c>
      <c r="S287" s="3">
        <f>parking_demand_data_2024_ver0!R287</f>
        <v>0</v>
      </c>
      <c r="T287" s="3">
        <f>parking_demand_data_2024_ver0!S287</f>
        <v>0</v>
      </c>
    </row>
    <row r="288" spans="1:20" x14ac:dyDescent="0.25">
      <c r="A288">
        <v>18023</v>
      </c>
      <c r="B288" t="s">
        <v>40</v>
      </c>
      <c r="C288">
        <v>22</v>
      </c>
      <c r="D288" s="3">
        <f>parking_demand_data_2024_ver0!D288*calibration!$I$31</f>
        <v>51.412518573551203</v>
      </c>
      <c r="E288" s="3">
        <f>parking_demand_data_2024_ver0!E288*calibration!$I$31</f>
        <v>4.6563893016344702</v>
      </c>
      <c r="F288" s="3">
        <f t="shared" si="4"/>
        <v>56.068907875185673</v>
      </c>
      <c r="G288" s="3">
        <f>parking_demand_data_2024_ver0!F288</f>
        <v>1</v>
      </c>
      <c r="H288" s="3">
        <f>parking_demand_data_2024_ver0!G288</f>
        <v>0</v>
      </c>
      <c r="I288" s="3">
        <f>parking_demand_data_2024_ver0!H288</f>
        <v>1</v>
      </c>
      <c r="J288" s="3">
        <f>parking_demand_data_2024_ver0!I288</f>
        <v>0</v>
      </c>
      <c r="K288" s="3">
        <f>parking_demand_data_2024_ver0!J288</f>
        <v>0</v>
      </c>
      <c r="L288" s="3">
        <f>parking_demand_data_2024_ver0!K288</f>
        <v>0</v>
      </c>
      <c r="M288" s="3">
        <f>parking_demand_data_2024_ver0!L288</f>
        <v>0</v>
      </c>
      <c r="N288" s="3">
        <f>parking_demand_data_2024_ver0!M288</f>
        <v>50</v>
      </c>
      <c r="O288" s="3">
        <f>parking_demand_data_2024_ver0!N288</f>
        <v>0</v>
      </c>
      <c r="P288" s="3">
        <f>parking_demand_data_2024_ver0!O288</f>
        <v>50</v>
      </c>
      <c r="Q288" s="3">
        <f>parking_demand_data_2024_ver0!P288</f>
        <v>0</v>
      </c>
      <c r="R288" s="3">
        <f>parking_demand_data_2024_ver0!Q288</f>
        <v>0</v>
      </c>
      <c r="S288" s="3">
        <f>parking_demand_data_2024_ver0!R288</f>
        <v>0</v>
      </c>
      <c r="T288" s="3">
        <f>parking_demand_data_2024_ver0!S288</f>
        <v>0</v>
      </c>
    </row>
    <row r="289" spans="1:20" x14ac:dyDescent="0.25">
      <c r="A289">
        <v>18023</v>
      </c>
      <c r="B289" t="s">
        <v>40</v>
      </c>
      <c r="C289">
        <v>23</v>
      </c>
      <c r="D289" s="3">
        <f>parking_demand_data_2024_ver0!D289*calibration!$I$31</f>
        <v>54.445579494799397</v>
      </c>
      <c r="E289" s="3">
        <f>parking_demand_data_2024_ver0!E289*calibration!$I$31</f>
        <v>5.4466939078751802</v>
      </c>
      <c r="F289" s="3">
        <f t="shared" si="4"/>
        <v>59.892273402674576</v>
      </c>
      <c r="G289" s="3">
        <f>parking_demand_data_2024_ver0!F289</f>
        <v>1</v>
      </c>
      <c r="H289" s="3">
        <f>parking_demand_data_2024_ver0!G289</f>
        <v>0</v>
      </c>
      <c r="I289" s="3">
        <f>parking_demand_data_2024_ver0!H289</f>
        <v>1</v>
      </c>
      <c r="J289" s="3">
        <f>parking_demand_data_2024_ver0!I289</f>
        <v>0</v>
      </c>
      <c r="K289" s="3">
        <f>parking_demand_data_2024_ver0!J289</f>
        <v>0</v>
      </c>
      <c r="L289" s="3">
        <f>parking_demand_data_2024_ver0!K289</f>
        <v>0</v>
      </c>
      <c r="M289" s="3">
        <f>parking_demand_data_2024_ver0!L289</f>
        <v>0</v>
      </c>
      <c r="N289" s="3">
        <f>parking_demand_data_2024_ver0!M289</f>
        <v>50</v>
      </c>
      <c r="O289" s="3">
        <f>parking_demand_data_2024_ver0!N289</f>
        <v>0</v>
      </c>
      <c r="P289" s="3">
        <f>parking_demand_data_2024_ver0!O289</f>
        <v>50</v>
      </c>
      <c r="Q289" s="3">
        <f>parking_demand_data_2024_ver0!P289</f>
        <v>0</v>
      </c>
      <c r="R289" s="3">
        <f>parking_demand_data_2024_ver0!Q289</f>
        <v>0</v>
      </c>
      <c r="S289" s="3">
        <f>parking_demand_data_2024_ver0!R289</f>
        <v>0</v>
      </c>
      <c r="T289" s="3">
        <f>parking_demand_data_2024_ver0!S289</f>
        <v>0</v>
      </c>
    </row>
    <row r="290" spans="1:20" x14ac:dyDescent="0.25">
      <c r="A290">
        <v>18025</v>
      </c>
      <c r="B290" t="s">
        <v>41</v>
      </c>
      <c r="C290">
        <v>0</v>
      </c>
      <c r="D290" s="3">
        <f>parking_demand_data_2024_ver0!D290*calibration!$I$31</f>
        <v>85.974675462864397</v>
      </c>
      <c r="E290" s="3">
        <f>parking_demand_data_2024_ver0!E290*calibration!$I$31</f>
        <v>5.7818152798467697</v>
      </c>
      <c r="F290" s="3">
        <f t="shared" si="4"/>
        <v>91.756490742711165</v>
      </c>
      <c r="G290" s="3">
        <f>parking_demand_data_2024_ver0!F290</f>
        <v>2</v>
      </c>
      <c r="H290" s="3">
        <f>parking_demand_data_2024_ver0!G290</f>
        <v>0</v>
      </c>
      <c r="I290" s="3">
        <f>parking_demand_data_2024_ver0!H290</f>
        <v>1</v>
      </c>
      <c r="J290" s="3">
        <f>parking_demand_data_2024_ver0!I290</f>
        <v>1</v>
      </c>
      <c r="K290" s="3">
        <f>parking_demand_data_2024_ver0!J290</f>
        <v>0</v>
      </c>
      <c r="L290" s="3">
        <f>parking_demand_data_2024_ver0!K290</f>
        <v>0</v>
      </c>
      <c r="M290" s="3">
        <f>parking_demand_data_2024_ver0!L290</f>
        <v>0</v>
      </c>
      <c r="N290" s="3">
        <f>parking_demand_data_2024_ver0!M290</f>
        <v>75</v>
      </c>
      <c r="O290" s="3">
        <f>parking_demand_data_2024_ver0!N290</f>
        <v>0</v>
      </c>
      <c r="P290" s="3">
        <f>parking_demand_data_2024_ver0!O290</f>
        <v>50</v>
      </c>
      <c r="Q290" s="3">
        <f>parking_demand_data_2024_ver0!P290</f>
        <v>25</v>
      </c>
      <c r="R290" s="3">
        <f>parking_demand_data_2024_ver0!Q290</f>
        <v>0</v>
      </c>
      <c r="S290" s="3">
        <f>parking_demand_data_2024_ver0!R290</f>
        <v>0</v>
      </c>
      <c r="T290" s="3">
        <f>parking_demand_data_2024_ver0!S290</f>
        <v>0</v>
      </c>
    </row>
    <row r="291" spans="1:20" x14ac:dyDescent="0.25">
      <c r="A291">
        <v>18025</v>
      </c>
      <c r="B291" t="s">
        <v>41</v>
      </c>
      <c r="C291">
        <v>1</v>
      </c>
      <c r="D291" s="3">
        <f>parking_demand_data_2024_ver0!D291*calibration!$I$31</f>
        <v>86.249999999999901</v>
      </c>
      <c r="E291" s="3">
        <f>parking_demand_data_2024_ver0!E291*calibration!$I$31</f>
        <v>6.4425941689721196</v>
      </c>
      <c r="F291" s="3">
        <f t="shared" si="4"/>
        <v>92.692594168972022</v>
      </c>
      <c r="G291" s="3">
        <f>parking_demand_data_2024_ver0!F291</f>
        <v>2</v>
      </c>
      <c r="H291" s="3">
        <f>parking_demand_data_2024_ver0!G291</f>
        <v>0</v>
      </c>
      <c r="I291" s="3">
        <f>parking_demand_data_2024_ver0!H291</f>
        <v>1</v>
      </c>
      <c r="J291" s="3">
        <f>parking_demand_data_2024_ver0!I291</f>
        <v>1</v>
      </c>
      <c r="K291" s="3">
        <f>parking_demand_data_2024_ver0!J291</f>
        <v>0</v>
      </c>
      <c r="L291" s="3">
        <f>parking_demand_data_2024_ver0!K291</f>
        <v>0</v>
      </c>
      <c r="M291" s="3">
        <f>parking_demand_data_2024_ver0!L291</f>
        <v>0</v>
      </c>
      <c r="N291" s="3">
        <f>parking_demand_data_2024_ver0!M291</f>
        <v>75</v>
      </c>
      <c r="O291" s="3">
        <f>parking_demand_data_2024_ver0!N291</f>
        <v>0</v>
      </c>
      <c r="P291" s="3">
        <f>parking_demand_data_2024_ver0!O291</f>
        <v>50</v>
      </c>
      <c r="Q291" s="3">
        <f>parking_demand_data_2024_ver0!P291</f>
        <v>25</v>
      </c>
      <c r="R291" s="3">
        <f>parking_demand_data_2024_ver0!Q291</f>
        <v>0</v>
      </c>
      <c r="S291" s="3">
        <f>parking_demand_data_2024_ver0!R291</f>
        <v>0</v>
      </c>
      <c r="T291" s="3">
        <f>parking_demand_data_2024_ver0!S291</f>
        <v>0</v>
      </c>
    </row>
    <row r="292" spans="1:20" x14ac:dyDescent="0.25">
      <c r="A292">
        <v>18025</v>
      </c>
      <c r="B292" t="s">
        <v>41</v>
      </c>
      <c r="C292">
        <v>2</v>
      </c>
      <c r="D292" s="3">
        <f>parking_demand_data_2024_ver0!D292*calibration!$I$31</f>
        <v>86.158225154288104</v>
      </c>
      <c r="E292" s="3">
        <f>parking_demand_data_2024_ver0!E292*calibration!$I$31</f>
        <v>6.9932432432432403</v>
      </c>
      <c r="F292" s="3">
        <f t="shared" si="4"/>
        <v>93.151468397531346</v>
      </c>
      <c r="G292" s="3">
        <f>parking_demand_data_2024_ver0!F292</f>
        <v>2</v>
      </c>
      <c r="H292" s="3">
        <f>parking_demand_data_2024_ver0!G292</f>
        <v>0</v>
      </c>
      <c r="I292" s="3">
        <f>parking_demand_data_2024_ver0!H292</f>
        <v>1</v>
      </c>
      <c r="J292" s="3">
        <f>parking_demand_data_2024_ver0!I292</f>
        <v>1</v>
      </c>
      <c r="K292" s="3">
        <f>parking_demand_data_2024_ver0!J292</f>
        <v>0</v>
      </c>
      <c r="L292" s="3">
        <f>parking_demand_data_2024_ver0!K292</f>
        <v>0</v>
      </c>
      <c r="M292" s="3">
        <f>parking_demand_data_2024_ver0!L292</f>
        <v>0</v>
      </c>
      <c r="N292" s="3">
        <f>parking_demand_data_2024_ver0!M292</f>
        <v>75</v>
      </c>
      <c r="O292" s="3">
        <f>parking_demand_data_2024_ver0!N292</f>
        <v>0</v>
      </c>
      <c r="P292" s="3">
        <f>parking_demand_data_2024_ver0!O292</f>
        <v>50</v>
      </c>
      <c r="Q292" s="3">
        <f>parking_demand_data_2024_ver0!P292</f>
        <v>25</v>
      </c>
      <c r="R292" s="3">
        <f>parking_demand_data_2024_ver0!Q292</f>
        <v>0</v>
      </c>
      <c r="S292" s="3">
        <f>parking_demand_data_2024_ver0!R292</f>
        <v>0</v>
      </c>
      <c r="T292" s="3">
        <f>parking_demand_data_2024_ver0!S292</f>
        <v>0</v>
      </c>
    </row>
    <row r="293" spans="1:20" x14ac:dyDescent="0.25">
      <c r="A293">
        <v>18025</v>
      </c>
      <c r="B293" t="s">
        <v>41</v>
      </c>
      <c r="C293">
        <v>3</v>
      </c>
      <c r="D293" s="3">
        <f>parking_demand_data_2024_ver0!D293*calibration!$I$31</f>
        <v>84.799957437752695</v>
      </c>
      <c r="E293" s="3">
        <f>parking_demand_data_2024_ver0!E293*calibration!$I$31</f>
        <v>6.97488827410087</v>
      </c>
      <c r="F293" s="3">
        <f t="shared" si="4"/>
        <v>91.774845711853573</v>
      </c>
      <c r="G293" s="3">
        <f>parking_demand_data_2024_ver0!F293</f>
        <v>2</v>
      </c>
      <c r="H293" s="3">
        <f>parking_demand_data_2024_ver0!G293</f>
        <v>0</v>
      </c>
      <c r="I293" s="3">
        <f>parking_demand_data_2024_ver0!H293</f>
        <v>1</v>
      </c>
      <c r="J293" s="3">
        <f>parking_demand_data_2024_ver0!I293</f>
        <v>1</v>
      </c>
      <c r="K293" s="3">
        <f>parking_demand_data_2024_ver0!J293</f>
        <v>0</v>
      </c>
      <c r="L293" s="3">
        <f>parking_demand_data_2024_ver0!K293</f>
        <v>0</v>
      </c>
      <c r="M293" s="3">
        <f>parking_demand_data_2024_ver0!L293</f>
        <v>0</v>
      </c>
      <c r="N293" s="3">
        <f>parking_demand_data_2024_ver0!M293</f>
        <v>75</v>
      </c>
      <c r="O293" s="3">
        <f>parking_demand_data_2024_ver0!N293</f>
        <v>0</v>
      </c>
      <c r="P293" s="3">
        <f>parking_demand_data_2024_ver0!O293</f>
        <v>50</v>
      </c>
      <c r="Q293" s="3">
        <f>parking_demand_data_2024_ver0!P293</f>
        <v>25</v>
      </c>
      <c r="R293" s="3">
        <f>parking_demand_data_2024_ver0!Q293</f>
        <v>0</v>
      </c>
      <c r="S293" s="3">
        <f>parking_demand_data_2024_ver0!R293</f>
        <v>0</v>
      </c>
      <c r="T293" s="3">
        <f>parking_demand_data_2024_ver0!S293</f>
        <v>0</v>
      </c>
    </row>
    <row r="294" spans="1:20" x14ac:dyDescent="0.25">
      <c r="A294">
        <v>18025</v>
      </c>
      <c r="B294" t="s">
        <v>41</v>
      </c>
      <c r="C294">
        <v>4</v>
      </c>
      <c r="D294" s="3">
        <f>parking_demand_data_2024_ver0!D294*calibration!$I$31</f>
        <v>83.423334752074794</v>
      </c>
      <c r="E294" s="3">
        <f>parking_demand_data_2024_ver0!E294*calibration!$I$31</f>
        <v>7.4337625026601399</v>
      </c>
      <c r="F294" s="3">
        <f t="shared" si="4"/>
        <v>90.857097254734938</v>
      </c>
      <c r="G294" s="3">
        <f>parking_demand_data_2024_ver0!F294</f>
        <v>2</v>
      </c>
      <c r="H294" s="3">
        <f>parking_demand_data_2024_ver0!G294</f>
        <v>0</v>
      </c>
      <c r="I294" s="3">
        <f>parking_demand_data_2024_ver0!H294</f>
        <v>1</v>
      </c>
      <c r="J294" s="3">
        <f>parking_demand_data_2024_ver0!I294</f>
        <v>1</v>
      </c>
      <c r="K294" s="3">
        <f>parking_demand_data_2024_ver0!J294</f>
        <v>0</v>
      </c>
      <c r="L294" s="3">
        <f>parking_demand_data_2024_ver0!K294</f>
        <v>0</v>
      </c>
      <c r="M294" s="3">
        <f>parking_demand_data_2024_ver0!L294</f>
        <v>0</v>
      </c>
      <c r="N294" s="3">
        <f>parking_demand_data_2024_ver0!M294</f>
        <v>75</v>
      </c>
      <c r="O294" s="3">
        <f>parking_demand_data_2024_ver0!N294</f>
        <v>0</v>
      </c>
      <c r="P294" s="3">
        <f>parking_demand_data_2024_ver0!O294</f>
        <v>50</v>
      </c>
      <c r="Q294" s="3">
        <f>parking_demand_data_2024_ver0!P294</f>
        <v>25</v>
      </c>
      <c r="R294" s="3">
        <f>parking_demand_data_2024_ver0!Q294</f>
        <v>0</v>
      </c>
      <c r="S294" s="3">
        <f>parking_demand_data_2024_ver0!R294</f>
        <v>0</v>
      </c>
      <c r="T294" s="3">
        <f>parking_demand_data_2024_ver0!S294</f>
        <v>0</v>
      </c>
    </row>
    <row r="295" spans="1:20" x14ac:dyDescent="0.25">
      <c r="A295">
        <v>18025</v>
      </c>
      <c r="B295" t="s">
        <v>41</v>
      </c>
      <c r="C295">
        <v>5</v>
      </c>
      <c r="D295" s="3">
        <f>parking_demand_data_2024_ver0!D295*calibration!$I$31</f>
        <v>79.421951479038</v>
      </c>
      <c r="E295" s="3">
        <f>parking_demand_data_2024_ver0!E295*calibration!$I$31</f>
        <v>7.8559267929346603</v>
      </c>
      <c r="F295" s="3">
        <f t="shared" si="4"/>
        <v>87.277878271972668</v>
      </c>
      <c r="G295" s="3">
        <f>parking_demand_data_2024_ver0!F295</f>
        <v>2</v>
      </c>
      <c r="H295" s="3">
        <f>parking_demand_data_2024_ver0!G295</f>
        <v>0</v>
      </c>
      <c r="I295" s="3">
        <f>parking_demand_data_2024_ver0!H295</f>
        <v>1</v>
      </c>
      <c r="J295" s="3">
        <f>parking_demand_data_2024_ver0!I295</f>
        <v>1</v>
      </c>
      <c r="K295" s="3">
        <f>parking_demand_data_2024_ver0!J295</f>
        <v>0</v>
      </c>
      <c r="L295" s="3">
        <f>parking_demand_data_2024_ver0!K295</f>
        <v>0</v>
      </c>
      <c r="M295" s="3">
        <f>parking_demand_data_2024_ver0!L295</f>
        <v>0</v>
      </c>
      <c r="N295" s="3">
        <f>parking_demand_data_2024_ver0!M295</f>
        <v>75</v>
      </c>
      <c r="O295" s="3">
        <f>parking_demand_data_2024_ver0!N295</f>
        <v>0</v>
      </c>
      <c r="P295" s="3">
        <f>parking_demand_data_2024_ver0!O295</f>
        <v>50</v>
      </c>
      <c r="Q295" s="3">
        <f>parking_demand_data_2024_ver0!P295</f>
        <v>25</v>
      </c>
      <c r="R295" s="3">
        <f>parking_demand_data_2024_ver0!Q295</f>
        <v>0</v>
      </c>
      <c r="S295" s="3">
        <f>parking_demand_data_2024_ver0!R295</f>
        <v>0</v>
      </c>
      <c r="T295" s="3">
        <f>parking_demand_data_2024_ver0!S295</f>
        <v>0</v>
      </c>
    </row>
    <row r="296" spans="1:20" x14ac:dyDescent="0.25">
      <c r="A296">
        <v>18025</v>
      </c>
      <c r="B296" t="s">
        <v>41</v>
      </c>
      <c r="C296">
        <v>6</v>
      </c>
      <c r="D296" s="3">
        <f>parking_demand_data_2024_ver0!D296*calibration!$I$31</f>
        <v>71.584379655245698</v>
      </c>
      <c r="E296" s="3">
        <f>parking_demand_data_2024_ver0!E296*calibration!$I$31</f>
        <v>7.3419876569482803</v>
      </c>
      <c r="F296" s="3">
        <f t="shared" si="4"/>
        <v>78.926367312193975</v>
      </c>
      <c r="G296" s="3">
        <f>parking_demand_data_2024_ver0!F296</f>
        <v>2</v>
      </c>
      <c r="H296" s="3">
        <f>parking_demand_data_2024_ver0!G296</f>
        <v>0</v>
      </c>
      <c r="I296" s="3">
        <f>parking_demand_data_2024_ver0!H296</f>
        <v>1</v>
      </c>
      <c r="J296" s="3">
        <f>parking_demand_data_2024_ver0!I296</f>
        <v>1</v>
      </c>
      <c r="K296" s="3">
        <f>parking_demand_data_2024_ver0!J296</f>
        <v>0</v>
      </c>
      <c r="L296" s="3">
        <f>parking_demand_data_2024_ver0!K296</f>
        <v>0</v>
      </c>
      <c r="M296" s="3">
        <f>parking_demand_data_2024_ver0!L296</f>
        <v>0</v>
      </c>
      <c r="N296" s="3">
        <f>parking_demand_data_2024_ver0!M296</f>
        <v>75</v>
      </c>
      <c r="O296" s="3">
        <f>parking_demand_data_2024_ver0!N296</f>
        <v>0</v>
      </c>
      <c r="P296" s="3">
        <f>parking_demand_data_2024_ver0!O296</f>
        <v>50</v>
      </c>
      <c r="Q296" s="3">
        <f>parking_demand_data_2024_ver0!P296</f>
        <v>25</v>
      </c>
      <c r="R296" s="3">
        <f>parking_demand_data_2024_ver0!Q296</f>
        <v>0</v>
      </c>
      <c r="S296" s="3">
        <f>parking_demand_data_2024_ver0!R296</f>
        <v>0</v>
      </c>
      <c r="T296" s="3">
        <f>parking_demand_data_2024_ver0!S296</f>
        <v>0</v>
      </c>
    </row>
    <row r="297" spans="1:20" x14ac:dyDescent="0.25">
      <c r="A297">
        <v>18025</v>
      </c>
      <c r="B297" t="s">
        <v>41</v>
      </c>
      <c r="C297">
        <v>7</v>
      </c>
      <c r="D297" s="3">
        <f>parking_demand_data_2024_ver0!D297*calibration!$I$31</f>
        <v>57.120663971057603</v>
      </c>
      <c r="E297" s="3">
        <f>parking_demand_data_2024_ver0!E297*calibration!$I$31</f>
        <v>6.5160140455416</v>
      </c>
      <c r="F297" s="3">
        <f t="shared" si="4"/>
        <v>63.636678016599205</v>
      </c>
      <c r="G297" s="3">
        <f>parking_demand_data_2024_ver0!F297</f>
        <v>2</v>
      </c>
      <c r="H297" s="3">
        <f>parking_demand_data_2024_ver0!G297</f>
        <v>0</v>
      </c>
      <c r="I297" s="3">
        <f>parking_demand_data_2024_ver0!H297</f>
        <v>1</v>
      </c>
      <c r="J297" s="3">
        <f>parking_demand_data_2024_ver0!I297</f>
        <v>1</v>
      </c>
      <c r="K297" s="3">
        <f>parking_demand_data_2024_ver0!J297</f>
        <v>0</v>
      </c>
      <c r="L297" s="3">
        <f>parking_demand_data_2024_ver0!K297</f>
        <v>0</v>
      </c>
      <c r="M297" s="3">
        <f>parking_demand_data_2024_ver0!L297</f>
        <v>0</v>
      </c>
      <c r="N297" s="3">
        <f>parking_demand_data_2024_ver0!M297</f>
        <v>75</v>
      </c>
      <c r="O297" s="3">
        <f>parking_demand_data_2024_ver0!N297</f>
        <v>0</v>
      </c>
      <c r="P297" s="3">
        <f>parking_demand_data_2024_ver0!O297</f>
        <v>50</v>
      </c>
      <c r="Q297" s="3">
        <f>parking_demand_data_2024_ver0!P297</f>
        <v>25</v>
      </c>
      <c r="R297" s="3">
        <f>parking_demand_data_2024_ver0!Q297</f>
        <v>0</v>
      </c>
      <c r="S297" s="3">
        <f>parking_demand_data_2024_ver0!R297</f>
        <v>0</v>
      </c>
      <c r="T297" s="3">
        <f>parking_demand_data_2024_ver0!S297</f>
        <v>0</v>
      </c>
    </row>
    <row r="298" spans="1:20" x14ac:dyDescent="0.25">
      <c r="A298">
        <v>18025</v>
      </c>
      <c r="B298" t="s">
        <v>41</v>
      </c>
      <c r="C298">
        <v>8</v>
      </c>
      <c r="D298" s="3">
        <f>parking_demand_data_2024_ver0!D298*calibration!$I$31</f>
        <v>45.079804213662399</v>
      </c>
      <c r="E298" s="3">
        <f>parking_demand_data_2024_ver0!E298*calibration!$I$31</f>
        <v>4.4602575015960797</v>
      </c>
      <c r="F298" s="3">
        <f t="shared" si="4"/>
        <v>49.540061715258481</v>
      </c>
      <c r="G298" s="3">
        <f>parking_demand_data_2024_ver0!F298</f>
        <v>2</v>
      </c>
      <c r="H298" s="3">
        <f>parking_demand_data_2024_ver0!G298</f>
        <v>0</v>
      </c>
      <c r="I298" s="3">
        <f>parking_demand_data_2024_ver0!H298</f>
        <v>1</v>
      </c>
      <c r="J298" s="3">
        <f>parking_demand_data_2024_ver0!I298</f>
        <v>1</v>
      </c>
      <c r="K298" s="3">
        <f>parking_demand_data_2024_ver0!J298</f>
        <v>0</v>
      </c>
      <c r="L298" s="3">
        <f>parking_demand_data_2024_ver0!K298</f>
        <v>0</v>
      </c>
      <c r="M298" s="3">
        <f>parking_demand_data_2024_ver0!L298</f>
        <v>0</v>
      </c>
      <c r="N298" s="3">
        <f>parking_demand_data_2024_ver0!M298</f>
        <v>75</v>
      </c>
      <c r="O298" s="3">
        <f>parking_demand_data_2024_ver0!N298</f>
        <v>0</v>
      </c>
      <c r="P298" s="3">
        <f>parking_demand_data_2024_ver0!O298</f>
        <v>50</v>
      </c>
      <c r="Q298" s="3">
        <f>parking_demand_data_2024_ver0!P298</f>
        <v>25</v>
      </c>
      <c r="R298" s="3">
        <f>parking_demand_data_2024_ver0!Q298</f>
        <v>0</v>
      </c>
      <c r="S298" s="3">
        <f>parking_demand_data_2024_ver0!R298</f>
        <v>0</v>
      </c>
      <c r="T298" s="3">
        <f>parking_demand_data_2024_ver0!S298</f>
        <v>0</v>
      </c>
    </row>
    <row r="299" spans="1:20" x14ac:dyDescent="0.25">
      <c r="A299">
        <v>18025</v>
      </c>
      <c r="B299" t="s">
        <v>41</v>
      </c>
      <c r="C299">
        <v>9</v>
      </c>
      <c r="D299" s="3">
        <f>parking_demand_data_2024_ver0!D299*calibration!$I$31</f>
        <v>39.132794211534303</v>
      </c>
      <c r="E299" s="3">
        <f>parking_demand_data_2024_ver0!E299*calibration!$I$31</f>
        <v>2.9551500319216801</v>
      </c>
      <c r="F299" s="3">
        <f t="shared" si="4"/>
        <v>42.087944243455986</v>
      </c>
      <c r="G299" s="3">
        <f>parking_demand_data_2024_ver0!F299</f>
        <v>2</v>
      </c>
      <c r="H299" s="3">
        <f>parking_demand_data_2024_ver0!G299</f>
        <v>0</v>
      </c>
      <c r="I299" s="3">
        <f>parking_demand_data_2024_ver0!H299</f>
        <v>1</v>
      </c>
      <c r="J299" s="3">
        <f>parking_demand_data_2024_ver0!I299</f>
        <v>1</v>
      </c>
      <c r="K299" s="3">
        <f>parking_demand_data_2024_ver0!J299</f>
        <v>0</v>
      </c>
      <c r="L299" s="3">
        <f>parking_demand_data_2024_ver0!K299</f>
        <v>0</v>
      </c>
      <c r="M299" s="3">
        <f>parking_demand_data_2024_ver0!L299</f>
        <v>0</v>
      </c>
      <c r="N299" s="3">
        <f>parking_demand_data_2024_ver0!M299</f>
        <v>75</v>
      </c>
      <c r="O299" s="3">
        <f>parking_demand_data_2024_ver0!N299</f>
        <v>0</v>
      </c>
      <c r="P299" s="3">
        <f>parking_demand_data_2024_ver0!O299</f>
        <v>50</v>
      </c>
      <c r="Q299" s="3">
        <f>parking_demand_data_2024_ver0!P299</f>
        <v>25</v>
      </c>
      <c r="R299" s="3">
        <f>parking_demand_data_2024_ver0!Q299</f>
        <v>0</v>
      </c>
      <c r="S299" s="3">
        <f>parking_demand_data_2024_ver0!R299</f>
        <v>0</v>
      </c>
      <c r="T299" s="3">
        <f>parking_demand_data_2024_ver0!S299</f>
        <v>0</v>
      </c>
    </row>
    <row r="300" spans="1:20" x14ac:dyDescent="0.25">
      <c r="A300">
        <v>18025</v>
      </c>
      <c r="B300" t="s">
        <v>41</v>
      </c>
      <c r="C300">
        <v>10</v>
      </c>
      <c r="D300" s="3">
        <f>parking_demand_data_2024_ver0!D300*calibration!$I$31</f>
        <v>35.314960629921202</v>
      </c>
      <c r="E300" s="3">
        <f>parking_demand_data_2024_ver0!E300*calibration!$I$31</f>
        <v>2.25766120451159</v>
      </c>
      <c r="F300" s="3">
        <f t="shared" si="4"/>
        <v>37.572621834432795</v>
      </c>
      <c r="G300" s="3">
        <f>parking_demand_data_2024_ver0!F300</f>
        <v>2</v>
      </c>
      <c r="H300" s="3">
        <f>parking_demand_data_2024_ver0!G300</f>
        <v>0</v>
      </c>
      <c r="I300" s="3">
        <f>parking_demand_data_2024_ver0!H300</f>
        <v>1</v>
      </c>
      <c r="J300" s="3">
        <f>parking_demand_data_2024_ver0!I300</f>
        <v>1</v>
      </c>
      <c r="K300" s="3">
        <f>parking_demand_data_2024_ver0!J300</f>
        <v>0</v>
      </c>
      <c r="L300" s="3">
        <f>parking_demand_data_2024_ver0!K300</f>
        <v>0</v>
      </c>
      <c r="M300" s="3">
        <f>parking_demand_data_2024_ver0!L300</f>
        <v>0</v>
      </c>
      <c r="N300" s="3">
        <f>parking_demand_data_2024_ver0!M300</f>
        <v>75</v>
      </c>
      <c r="O300" s="3">
        <f>parking_demand_data_2024_ver0!N300</f>
        <v>0</v>
      </c>
      <c r="P300" s="3">
        <f>parking_demand_data_2024_ver0!O300</f>
        <v>50</v>
      </c>
      <c r="Q300" s="3">
        <f>parking_demand_data_2024_ver0!P300</f>
        <v>25</v>
      </c>
      <c r="R300" s="3">
        <f>parking_demand_data_2024_ver0!Q300</f>
        <v>0</v>
      </c>
      <c r="S300" s="3">
        <f>parking_demand_data_2024_ver0!R300</f>
        <v>0</v>
      </c>
      <c r="T300" s="3">
        <f>parking_demand_data_2024_ver0!S300</f>
        <v>0</v>
      </c>
    </row>
    <row r="301" spans="1:20" x14ac:dyDescent="0.25">
      <c r="A301">
        <v>18025</v>
      </c>
      <c r="B301" t="s">
        <v>41</v>
      </c>
      <c r="C301">
        <v>11</v>
      </c>
      <c r="D301" s="3">
        <f>parking_demand_data_2024_ver0!D301*calibration!$I$31</f>
        <v>34.654181740795899</v>
      </c>
      <c r="E301" s="3">
        <f>parking_demand_data_2024_ver0!E301*calibration!$I$31</f>
        <v>2.5513407107895199</v>
      </c>
      <c r="F301" s="3">
        <f t="shared" si="4"/>
        <v>37.205522451585416</v>
      </c>
      <c r="G301" s="3">
        <f>parking_demand_data_2024_ver0!F301</f>
        <v>2</v>
      </c>
      <c r="H301" s="3">
        <f>parking_demand_data_2024_ver0!G301</f>
        <v>0</v>
      </c>
      <c r="I301" s="3">
        <f>parking_demand_data_2024_ver0!H301</f>
        <v>1</v>
      </c>
      <c r="J301" s="3">
        <f>parking_demand_data_2024_ver0!I301</f>
        <v>1</v>
      </c>
      <c r="K301" s="3">
        <f>parking_demand_data_2024_ver0!J301</f>
        <v>0</v>
      </c>
      <c r="L301" s="3">
        <f>parking_demand_data_2024_ver0!K301</f>
        <v>0</v>
      </c>
      <c r="M301" s="3">
        <f>parking_demand_data_2024_ver0!L301</f>
        <v>0</v>
      </c>
      <c r="N301" s="3">
        <f>parking_demand_data_2024_ver0!M301</f>
        <v>75</v>
      </c>
      <c r="O301" s="3">
        <f>parking_demand_data_2024_ver0!N301</f>
        <v>0</v>
      </c>
      <c r="P301" s="3">
        <f>parking_demand_data_2024_ver0!O301</f>
        <v>50</v>
      </c>
      <c r="Q301" s="3">
        <f>parking_demand_data_2024_ver0!P301</f>
        <v>25</v>
      </c>
      <c r="R301" s="3">
        <f>parking_demand_data_2024_ver0!Q301</f>
        <v>0</v>
      </c>
      <c r="S301" s="3">
        <f>parking_demand_data_2024_ver0!R301</f>
        <v>0</v>
      </c>
      <c r="T301" s="3">
        <f>parking_demand_data_2024_ver0!S301</f>
        <v>0</v>
      </c>
    </row>
    <row r="302" spans="1:20" x14ac:dyDescent="0.25">
      <c r="A302">
        <v>18025</v>
      </c>
      <c r="B302" t="s">
        <v>41</v>
      </c>
      <c r="C302">
        <v>12</v>
      </c>
      <c r="D302" s="3">
        <f>parking_demand_data_2024_ver0!D302*calibration!$I$31</f>
        <v>35.535220259629703</v>
      </c>
      <c r="E302" s="3">
        <f>parking_demand_data_2024_ver0!E302*calibration!$I$31</f>
        <v>2.53298574164715</v>
      </c>
      <c r="F302" s="3">
        <f t="shared" si="4"/>
        <v>38.068206001276856</v>
      </c>
      <c r="G302" s="3">
        <f>parking_demand_data_2024_ver0!F302</f>
        <v>2</v>
      </c>
      <c r="H302" s="3">
        <f>parking_demand_data_2024_ver0!G302</f>
        <v>0</v>
      </c>
      <c r="I302" s="3">
        <f>parking_demand_data_2024_ver0!H302</f>
        <v>1</v>
      </c>
      <c r="J302" s="3">
        <f>parking_demand_data_2024_ver0!I302</f>
        <v>1</v>
      </c>
      <c r="K302" s="3">
        <f>parking_demand_data_2024_ver0!J302</f>
        <v>0</v>
      </c>
      <c r="L302" s="3">
        <f>parking_demand_data_2024_ver0!K302</f>
        <v>0</v>
      </c>
      <c r="M302" s="3">
        <f>parking_demand_data_2024_ver0!L302</f>
        <v>0</v>
      </c>
      <c r="N302" s="3">
        <f>parking_demand_data_2024_ver0!M302</f>
        <v>75</v>
      </c>
      <c r="O302" s="3">
        <f>parking_demand_data_2024_ver0!N302</f>
        <v>0</v>
      </c>
      <c r="P302" s="3">
        <f>parking_demand_data_2024_ver0!O302</f>
        <v>50</v>
      </c>
      <c r="Q302" s="3">
        <f>parking_demand_data_2024_ver0!P302</f>
        <v>25</v>
      </c>
      <c r="R302" s="3">
        <f>parking_demand_data_2024_ver0!Q302</f>
        <v>0</v>
      </c>
      <c r="S302" s="3">
        <f>parking_demand_data_2024_ver0!R302</f>
        <v>0</v>
      </c>
      <c r="T302" s="3">
        <f>parking_demand_data_2024_ver0!S302</f>
        <v>0</v>
      </c>
    </row>
    <row r="303" spans="1:20" x14ac:dyDescent="0.25">
      <c r="A303">
        <v>18025</v>
      </c>
      <c r="B303" t="s">
        <v>41</v>
      </c>
      <c r="C303">
        <v>13</v>
      </c>
      <c r="D303" s="3">
        <f>parking_demand_data_2024_ver0!D303*calibration!$I$31</f>
        <v>37.205522451585402</v>
      </c>
      <c r="E303" s="3">
        <f>parking_demand_data_2024_ver0!E303*calibration!$I$31</f>
        <v>2.0190466056607699</v>
      </c>
      <c r="F303" s="3">
        <f t="shared" si="4"/>
        <v>39.224569057246171</v>
      </c>
      <c r="G303" s="3">
        <f>parking_demand_data_2024_ver0!F303</f>
        <v>2</v>
      </c>
      <c r="H303" s="3">
        <f>parking_demand_data_2024_ver0!G303</f>
        <v>0</v>
      </c>
      <c r="I303" s="3">
        <f>parking_demand_data_2024_ver0!H303</f>
        <v>1</v>
      </c>
      <c r="J303" s="3">
        <f>parking_demand_data_2024_ver0!I303</f>
        <v>1</v>
      </c>
      <c r="K303" s="3">
        <f>parking_demand_data_2024_ver0!J303</f>
        <v>0</v>
      </c>
      <c r="L303" s="3">
        <f>parking_demand_data_2024_ver0!K303</f>
        <v>0</v>
      </c>
      <c r="M303" s="3">
        <f>parking_demand_data_2024_ver0!L303</f>
        <v>0</v>
      </c>
      <c r="N303" s="3">
        <f>parking_demand_data_2024_ver0!M303</f>
        <v>75</v>
      </c>
      <c r="O303" s="3">
        <f>parking_demand_data_2024_ver0!N303</f>
        <v>0</v>
      </c>
      <c r="P303" s="3">
        <f>parking_demand_data_2024_ver0!O303</f>
        <v>50</v>
      </c>
      <c r="Q303" s="3">
        <f>parking_demand_data_2024_ver0!P303</f>
        <v>25</v>
      </c>
      <c r="R303" s="3">
        <f>parking_demand_data_2024_ver0!Q303</f>
        <v>0</v>
      </c>
      <c r="S303" s="3">
        <f>parking_demand_data_2024_ver0!R303</f>
        <v>0</v>
      </c>
      <c r="T303" s="3">
        <f>parking_demand_data_2024_ver0!S303</f>
        <v>0</v>
      </c>
    </row>
    <row r="304" spans="1:20" x14ac:dyDescent="0.25">
      <c r="A304">
        <v>18025</v>
      </c>
      <c r="B304" t="s">
        <v>41</v>
      </c>
      <c r="C304">
        <v>14</v>
      </c>
      <c r="D304" s="3">
        <f>parking_demand_data_2024_ver0!D304*calibration!$I$31</f>
        <v>40.509416897212098</v>
      </c>
      <c r="E304" s="3">
        <f>parking_demand_data_2024_ver0!E304*calibration!$I$31</f>
        <v>1.78043200680995</v>
      </c>
      <c r="F304" s="3">
        <f t="shared" si="4"/>
        <v>42.289848904022051</v>
      </c>
      <c r="G304" s="3">
        <f>parking_demand_data_2024_ver0!F304</f>
        <v>2</v>
      </c>
      <c r="H304" s="3">
        <f>parking_demand_data_2024_ver0!G304</f>
        <v>0</v>
      </c>
      <c r="I304" s="3">
        <f>parking_demand_data_2024_ver0!H304</f>
        <v>1</v>
      </c>
      <c r="J304" s="3">
        <f>parking_demand_data_2024_ver0!I304</f>
        <v>1</v>
      </c>
      <c r="K304" s="3">
        <f>parking_demand_data_2024_ver0!J304</f>
        <v>0</v>
      </c>
      <c r="L304" s="3">
        <f>parking_demand_data_2024_ver0!K304</f>
        <v>0</v>
      </c>
      <c r="M304" s="3">
        <f>parking_demand_data_2024_ver0!L304</f>
        <v>0</v>
      </c>
      <c r="N304" s="3">
        <f>parking_demand_data_2024_ver0!M304</f>
        <v>75</v>
      </c>
      <c r="O304" s="3">
        <f>parking_demand_data_2024_ver0!N304</f>
        <v>0</v>
      </c>
      <c r="P304" s="3">
        <f>parking_demand_data_2024_ver0!O304</f>
        <v>50</v>
      </c>
      <c r="Q304" s="3">
        <f>parking_demand_data_2024_ver0!P304</f>
        <v>25</v>
      </c>
      <c r="R304" s="3">
        <f>parking_demand_data_2024_ver0!Q304</f>
        <v>0</v>
      </c>
      <c r="S304" s="3">
        <f>parking_demand_data_2024_ver0!R304</f>
        <v>0</v>
      </c>
      <c r="T304" s="3">
        <f>parking_demand_data_2024_ver0!S304</f>
        <v>0</v>
      </c>
    </row>
    <row r="305" spans="1:20" x14ac:dyDescent="0.25">
      <c r="A305">
        <v>18025</v>
      </c>
      <c r="B305" t="s">
        <v>41</v>
      </c>
      <c r="C305">
        <v>15</v>
      </c>
      <c r="D305" s="3">
        <f>parking_demand_data_2024_ver0!D305*calibration!$I$31</f>
        <v>45.777293041072497</v>
      </c>
      <c r="E305" s="3">
        <f>parking_demand_data_2024_ver0!E305*calibration!$I$31</f>
        <v>1.57852734624388</v>
      </c>
      <c r="F305" s="3">
        <f t="shared" si="4"/>
        <v>47.355820387316378</v>
      </c>
      <c r="G305" s="3">
        <f>parking_demand_data_2024_ver0!F305</f>
        <v>2</v>
      </c>
      <c r="H305" s="3">
        <f>parking_demand_data_2024_ver0!G305</f>
        <v>0</v>
      </c>
      <c r="I305" s="3">
        <f>parking_demand_data_2024_ver0!H305</f>
        <v>1</v>
      </c>
      <c r="J305" s="3">
        <f>parking_demand_data_2024_ver0!I305</f>
        <v>1</v>
      </c>
      <c r="K305" s="3">
        <f>parking_demand_data_2024_ver0!J305</f>
        <v>0</v>
      </c>
      <c r="L305" s="3">
        <f>parking_demand_data_2024_ver0!K305</f>
        <v>0</v>
      </c>
      <c r="M305" s="3">
        <f>parking_demand_data_2024_ver0!L305</f>
        <v>0</v>
      </c>
      <c r="N305" s="3">
        <f>parking_demand_data_2024_ver0!M305</f>
        <v>75</v>
      </c>
      <c r="O305" s="3">
        <f>parking_demand_data_2024_ver0!N305</f>
        <v>0</v>
      </c>
      <c r="P305" s="3">
        <f>parking_demand_data_2024_ver0!O305</f>
        <v>50</v>
      </c>
      <c r="Q305" s="3">
        <f>parking_demand_data_2024_ver0!P305</f>
        <v>25</v>
      </c>
      <c r="R305" s="3">
        <f>parking_demand_data_2024_ver0!Q305</f>
        <v>0</v>
      </c>
      <c r="S305" s="3">
        <f>parking_demand_data_2024_ver0!R305</f>
        <v>0</v>
      </c>
      <c r="T305" s="3">
        <f>parking_demand_data_2024_ver0!S305</f>
        <v>0</v>
      </c>
    </row>
    <row r="306" spans="1:20" x14ac:dyDescent="0.25">
      <c r="A306">
        <v>18025</v>
      </c>
      <c r="B306" t="s">
        <v>41</v>
      </c>
      <c r="C306">
        <v>16</v>
      </c>
      <c r="D306" s="3">
        <f>parking_demand_data_2024_ver0!D306*calibration!$I$31</f>
        <v>52.531921685464901</v>
      </c>
      <c r="E306" s="3">
        <f>parking_demand_data_2024_ver0!E306*calibration!$I$31</f>
        <v>0.97281336454564704</v>
      </c>
      <c r="F306" s="3">
        <f t="shared" si="4"/>
        <v>53.504735050010545</v>
      </c>
      <c r="G306" s="3">
        <f>parking_demand_data_2024_ver0!F306</f>
        <v>2</v>
      </c>
      <c r="H306" s="3">
        <f>parking_demand_data_2024_ver0!G306</f>
        <v>0</v>
      </c>
      <c r="I306" s="3">
        <f>parking_demand_data_2024_ver0!H306</f>
        <v>1</v>
      </c>
      <c r="J306" s="3">
        <f>parking_demand_data_2024_ver0!I306</f>
        <v>1</v>
      </c>
      <c r="K306" s="3">
        <f>parking_demand_data_2024_ver0!J306</f>
        <v>0</v>
      </c>
      <c r="L306" s="3">
        <f>parking_demand_data_2024_ver0!K306</f>
        <v>0</v>
      </c>
      <c r="M306" s="3">
        <f>parking_demand_data_2024_ver0!L306</f>
        <v>0</v>
      </c>
      <c r="N306" s="3">
        <f>parking_demand_data_2024_ver0!M306</f>
        <v>75</v>
      </c>
      <c r="O306" s="3">
        <f>parking_demand_data_2024_ver0!N306</f>
        <v>0</v>
      </c>
      <c r="P306" s="3">
        <f>parking_demand_data_2024_ver0!O306</f>
        <v>50</v>
      </c>
      <c r="Q306" s="3">
        <f>parking_demand_data_2024_ver0!P306</f>
        <v>25</v>
      </c>
      <c r="R306" s="3">
        <f>parking_demand_data_2024_ver0!Q306</f>
        <v>0</v>
      </c>
      <c r="S306" s="3">
        <f>parking_demand_data_2024_ver0!R306</f>
        <v>0</v>
      </c>
      <c r="T306" s="3">
        <f>parking_demand_data_2024_ver0!S306</f>
        <v>0</v>
      </c>
    </row>
    <row r="307" spans="1:20" x14ac:dyDescent="0.25">
      <c r="A307">
        <v>18025</v>
      </c>
      <c r="B307" t="s">
        <v>41</v>
      </c>
      <c r="C307">
        <v>17</v>
      </c>
      <c r="D307" s="3">
        <f>parking_demand_data_2024_ver0!D307*calibration!$I$31</f>
        <v>58.919450947009899</v>
      </c>
      <c r="E307" s="3">
        <f>parking_demand_data_2024_ver0!E307*calibration!$I$31</f>
        <v>1.0645882102574999</v>
      </c>
      <c r="F307" s="3">
        <f t="shared" si="4"/>
        <v>59.984039157267397</v>
      </c>
      <c r="G307" s="3">
        <f>parking_demand_data_2024_ver0!F307</f>
        <v>2</v>
      </c>
      <c r="H307" s="3">
        <f>parking_demand_data_2024_ver0!G307</f>
        <v>0</v>
      </c>
      <c r="I307" s="3">
        <f>parking_demand_data_2024_ver0!H307</f>
        <v>1</v>
      </c>
      <c r="J307" s="3">
        <f>parking_demand_data_2024_ver0!I307</f>
        <v>1</v>
      </c>
      <c r="K307" s="3">
        <f>parking_demand_data_2024_ver0!J307</f>
        <v>0</v>
      </c>
      <c r="L307" s="3">
        <f>parking_demand_data_2024_ver0!K307</f>
        <v>0</v>
      </c>
      <c r="M307" s="3">
        <f>parking_demand_data_2024_ver0!L307</f>
        <v>0</v>
      </c>
      <c r="N307" s="3">
        <f>parking_demand_data_2024_ver0!M307</f>
        <v>75</v>
      </c>
      <c r="O307" s="3">
        <f>parking_demand_data_2024_ver0!N307</f>
        <v>0</v>
      </c>
      <c r="P307" s="3">
        <f>parking_demand_data_2024_ver0!O307</f>
        <v>50</v>
      </c>
      <c r="Q307" s="3">
        <f>parking_demand_data_2024_ver0!P307</f>
        <v>25</v>
      </c>
      <c r="R307" s="3">
        <f>parking_demand_data_2024_ver0!Q307</f>
        <v>0</v>
      </c>
      <c r="S307" s="3">
        <f>parking_demand_data_2024_ver0!R307</f>
        <v>0</v>
      </c>
      <c r="T307" s="3">
        <f>parking_demand_data_2024_ver0!S307</f>
        <v>0</v>
      </c>
    </row>
    <row r="308" spans="1:20" x14ac:dyDescent="0.25">
      <c r="A308">
        <v>18025</v>
      </c>
      <c r="B308" t="s">
        <v>41</v>
      </c>
      <c r="C308">
        <v>18</v>
      </c>
      <c r="D308" s="3">
        <f>parking_demand_data_2024_ver0!D308*calibration!$I$31</f>
        <v>66.353213449670093</v>
      </c>
      <c r="E308" s="3">
        <f>parking_demand_data_2024_ver0!E308*calibration!$I$31</f>
        <v>1.57852734624388</v>
      </c>
      <c r="F308" s="3">
        <f t="shared" si="4"/>
        <v>67.931740795913967</v>
      </c>
      <c r="G308" s="3">
        <f>parking_demand_data_2024_ver0!F308</f>
        <v>2</v>
      </c>
      <c r="H308" s="3">
        <f>parking_demand_data_2024_ver0!G308</f>
        <v>0</v>
      </c>
      <c r="I308" s="3">
        <f>parking_demand_data_2024_ver0!H308</f>
        <v>1</v>
      </c>
      <c r="J308" s="3">
        <f>parking_demand_data_2024_ver0!I308</f>
        <v>1</v>
      </c>
      <c r="K308" s="3">
        <f>parking_demand_data_2024_ver0!J308</f>
        <v>0</v>
      </c>
      <c r="L308" s="3">
        <f>parking_demand_data_2024_ver0!K308</f>
        <v>0</v>
      </c>
      <c r="M308" s="3">
        <f>parking_demand_data_2024_ver0!L308</f>
        <v>0</v>
      </c>
      <c r="N308" s="3">
        <f>parking_demand_data_2024_ver0!M308</f>
        <v>75</v>
      </c>
      <c r="O308" s="3">
        <f>parking_demand_data_2024_ver0!N308</f>
        <v>0</v>
      </c>
      <c r="P308" s="3">
        <f>parking_demand_data_2024_ver0!O308</f>
        <v>50</v>
      </c>
      <c r="Q308" s="3">
        <f>parking_demand_data_2024_ver0!P308</f>
        <v>25</v>
      </c>
      <c r="R308" s="3">
        <f>parking_demand_data_2024_ver0!Q308</f>
        <v>0</v>
      </c>
      <c r="S308" s="3">
        <f>parking_demand_data_2024_ver0!R308</f>
        <v>0</v>
      </c>
      <c r="T308" s="3">
        <f>parking_demand_data_2024_ver0!S308</f>
        <v>0</v>
      </c>
    </row>
    <row r="309" spans="1:20" x14ac:dyDescent="0.25">
      <c r="A309">
        <v>18025</v>
      </c>
      <c r="B309" t="s">
        <v>41</v>
      </c>
      <c r="C309">
        <v>19</v>
      </c>
      <c r="D309" s="3">
        <f>parking_demand_data_2024_ver0!D309*calibration!$I$31</f>
        <v>71.639444562672793</v>
      </c>
      <c r="E309" s="3">
        <f>parking_demand_data_2024_ver0!E309*calibration!$I$31</f>
        <v>2.11082145137263</v>
      </c>
      <c r="F309" s="3">
        <f t="shared" si="4"/>
        <v>73.750266014045422</v>
      </c>
      <c r="G309" s="3">
        <f>parking_demand_data_2024_ver0!F309</f>
        <v>2</v>
      </c>
      <c r="H309" s="3">
        <f>parking_demand_data_2024_ver0!G309</f>
        <v>0</v>
      </c>
      <c r="I309" s="3">
        <f>parking_demand_data_2024_ver0!H309</f>
        <v>1</v>
      </c>
      <c r="J309" s="3">
        <f>parking_demand_data_2024_ver0!I309</f>
        <v>1</v>
      </c>
      <c r="K309" s="3">
        <f>parking_demand_data_2024_ver0!J309</f>
        <v>0</v>
      </c>
      <c r="L309" s="3">
        <f>parking_demand_data_2024_ver0!K309</f>
        <v>0</v>
      </c>
      <c r="M309" s="3">
        <f>parking_demand_data_2024_ver0!L309</f>
        <v>0</v>
      </c>
      <c r="N309" s="3">
        <f>parking_demand_data_2024_ver0!M309</f>
        <v>75</v>
      </c>
      <c r="O309" s="3">
        <f>parking_demand_data_2024_ver0!N309</f>
        <v>0</v>
      </c>
      <c r="P309" s="3">
        <f>parking_demand_data_2024_ver0!O309</f>
        <v>50</v>
      </c>
      <c r="Q309" s="3">
        <f>parking_demand_data_2024_ver0!P309</f>
        <v>25</v>
      </c>
      <c r="R309" s="3">
        <f>parking_demand_data_2024_ver0!Q309</f>
        <v>0</v>
      </c>
      <c r="S309" s="3">
        <f>parking_demand_data_2024_ver0!R309</f>
        <v>0</v>
      </c>
      <c r="T309" s="3">
        <f>parking_demand_data_2024_ver0!S309</f>
        <v>0</v>
      </c>
    </row>
    <row r="310" spans="1:20" x14ac:dyDescent="0.25">
      <c r="A310">
        <v>18025</v>
      </c>
      <c r="B310" t="s">
        <v>41</v>
      </c>
      <c r="C310">
        <v>20</v>
      </c>
      <c r="D310" s="3">
        <f>parking_demand_data_2024_ver0!D310*calibration!$I$31</f>
        <v>79.330176633326204</v>
      </c>
      <c r="E310" s="3">
        <f>parking_demand_data_2024_ver0!E310*calibration!$I$31</f>
        <v>2.90008512449457</v>
      </c>
      <c r="F310" s="3">
        <f t="shared" si="4"/>
        <v>82.23026175782077</v>
      </c>
      <c r="G310" s="3">
        <f>parking_demand_data_2024_ver0!F310</f>
        <v>2</v>
      </c>
      <c r="H310" s="3">
        <f>parking_demand_data_2024_ver0!G310</f>
        <v>0</v>
      </c>
      <c r="I310" s="3">
        <f>parking_demand_data_2024_ver0!H310</f>
        <v>1</v>
      </c>
      <c r="J310" s="3">
        <f>parking_demand_data_2024_ver0!I310</f>
        <v>1</v>
      </c>
      <c r="K310" s="3">
        <f>parking_demand_data_2024_ver0!J310</f>
        <v>0</v>
      </c>
      <c r="L310" s="3">
        <f>parking_demand_data_2024_ver0!K310</f>
        <v>0</v>
      </c>
      <c r="M310" s="3">
        <f>parking_demand_data_2024_ver0!L310</f>
        <v>0</v>
      </c>
      <c r="N310" s="3">
        <f>parking_demand_data_2024_ver0!M310</f>
        <v>75</v>
      </c>
      <c r="O310" s="3">
        <f>parking_demand_data_2024_ver0!N310</f>
        <v>0</v>
      </c>
      <c r="P310" s="3">
        <f>parking_demand_data_2024_ver0!O310</f>
        <v>50</v>
      </c>
      <c r="Q310" s="3">
        <f>parking_demand_data_2024_ver0!P310</f>
        <v>25</v>
      </c>
      <c r="R310" s="3">
        <f>parking_demand_data_2024_ver0!Q310</f>
        <v>0</v>
      </c>
      <c r="S310" s="3">
        <f>parking_demand_data_2024_ver0!R310</f>
        <v>0</v>
      </c>
      <c r="T310" s="3">
        <f>parking_demand_data_2024_ver0!S310</f>
        <v>0</v>
      </c>
    </row>
    <row r="311" spans="1:20" x14ac:dyDescent="0.25">
      <c r="A311">
        <v>18025</v>
      </c>
      <c r="B311" t="s">
        <v>41</v>
      </c>
      <c r="C311">
        <v>21</v>
      </c>
      <c r="D311" s="3">
        <f>parking_demand_data_2024_ver0!D311*calibration!$I$31</f>
        <v>82.377101510959704</v>
      </c>
      <c r="E311" s="3">
        <f>parking_demand_data_2024_ver0!E311*calibration!$I$31</f>
        <v>3.6709938284741401</v>
      </c>
      <c r="F311" s="3">
        <f t="shared" si="4"/>
        <v>86.048095339433843</v>
      </c>
      <c r="G311" s="3">
        <f>parking_demand_data_2024_ver0!F311</f>
        <v>2</v>
      </c>
      <c r="H311" s="3">
        <f>parking_demand_data_2024_ver0!G311</f>
        <v>0</v>
      </c>
      <c r="I311" s="3">
        <f>parking_demand_data_2024_ver0!H311</f>
        <v>1</v>
      </c>
      <c r="J311" s="3">
        <f>parking_demand_data_2024_ver0!I311</f>
        <v>1</v>
      </c>
      <c r="K311" s="3">
        <f>parking_demand_data_2024_ver0!J311</f>
        <v>0</v>
      </c>
      <c r="L311" s="3">
        <f>parking_demand_data_2024_ver0!K311</f>
        <v>0</v>
      </c>
      <c r="M311" s="3">
        <f>parking_demand_data_2024_ver0!L311</f>
        <v>0</v>
      </c>
      <c r="N311" s="3">
        <f>parking_demand_data_2024_ver0!M311</f>
        <v>75</v>
      </c>
      <c r="O311" s="3">
        <f>parking_demand_data_2024_ver0!N311</f>
        <v>0</v>
      </c>
      <c r="P311" s="3">
        <f>parking_demand_data_2024_ver0!O311</f>
        <v>50</v>
      </c>
      <c r="Q311" s="3">
        <f>parking_demand_data_2024_ver0!P311</f>
        <v>25</v>
      </c>
      <c r="R311" s="3">
        <f>parking_demand_data_2024_ver0!Q311</f>
        <v>0</v>
      </c>
      <c r="S311" s="3">
        <f>parking_demand_data_2024_ver0!R311</f>
        <v>0</v>
      </c>
      <c r="T311" s="3">
        <f>parking_demand_data_2024_ver0!S311</f>
        <v>0</v>
      </c>
    </row>
    <row r="312" spans="1:20" x14ac:dyDescent="0.25">
      <c r="A312">
        <v>18025</v>
      </c>
      <c r="B312" t="s">
        <v>41</v>
      </c>
      <c r="C312">
        <v>22</v>
      </c>
      <c r="D312" s="3">
        <f>parking_demand_data_2024_ver0!D312*calibration!$I$31</f>
        <v>84.304373270908599</v>
      </c>
      <c r="E312" s="3">
        <f>parking_demand_data_2024_ver0!E312*calibration!$I$31</f>
        <v>4.22164290274526</v>
      </c>
      <c r="F312" s="3">
        <f t="shared" si="4"/>
        <v>88.526016173653858</v>
      </c>
      <c r="G312" s="3">
        <f>parking_demand_data_2024_ver0!F312</f>
        <v>2</v>
      </c>
      <c r="H312" s="3">
        <f>parking_demand_data_2024_ver0!G312</f>
        <v>0</v>
      </c>
      <c r="I312" s="3">
        <f>parking_demand_data_2024_ver0!H312</f>
        <v>1</v>
      </c>
      <c r="J312" s="3">
        <f>parking_demand_data_2024_ver0!I312</f>
        <v>1</v>
      </c>
      <c r="K312" s="3">
        <f>parking_demand_data_2024_ver0!J312</f>
        <v>0</v>
      </c>
      <c r="L312" s="3">
        <f>parking_demand_data_2024_ver0!K312</f>
        <v>0</v>
      </c>
      <c r="M312" s="3">
        <f>parking_demand_data_2024_ver0!L312</f>
        <v>0</v>
      </c>
      <c r="N312" s="3">
        <f>parking_demand_data_2024_ver0!M312</f>
        <v>75</v>
      </c>
      <c r="O312" s="3">
        <f>parking_demand_data_2024_ver0!N312</f>
        <v>0</v>
      </c>
      <c r="P312" s="3">
        <f>parking_demand_data_2024_ver0!O312</f>
        <v>50</v>
      </c>
      <c r="Q312" s="3">
        <f>parking_demand_data_2024_ver0!P312</f>
        <v>25</v>
      </c>
      <c r="R312" s="3">
        <f>parking_demand_data_2024_ver0!Q312</f>
        <v>0</v>
      </c>
      <c r="S312" s="3">
        <f>parking_demand_data_2024_ver0!R312</f>
        <v>0</v>
      </c>
      <c r="T312" s="3">
        <f>parking_demand_data_2024_ver0!S312</f>
        <v>0</v>
      </c>
    </row>
    <row r="313" spans="1:20" x14ac:dyDescent="0.25">
      <c r="A313">
        <v>18025</v>
      </c>
      <c r="B313" t="s">
        <v>41</v>
      </c>
      <c r="C313">
        <v>23</v>
      </c>
      <c r="D313" s="3">
        <f>parking_demand_data_2024_ver0!D313*calibration!$I$31</f>
        <v>85.809480740583098</v>
      </c>
      <c r="E313" s="3">
        <f>parking_demand_data_2024_ver0!E313*calibration!$I$31</f>
        <v>4.9191317301553497</v>
      </c>
      <c r="F313" s="3">
        <f t="shared" si="4"/>
        <v>90.728612470738454</v>
      </c>
      <c r="G313" s="3">
        <f>parking_demand_data_2024_ver0!F313</f>
        <v>2</v>
      </c>
      <c r="H313" s="3">
        <f>parking_demand_data_2024_ver0!G313</f>
        <v>0</v>
      </c>
      <c r="I313" s="3">
        <f>parking_demand_data_2024_ver0!H313</f>
        <v>1</v>
      </c>
      <c r="J313" s="3">
        <f>parking_demand_data_2024_ver0!I313</f>
        <v>1</v>
      </c>
      <c r="K313" s="3">
        <f>parking_demand_data_2024_ver0!J313</f>
        <v>0</v>
      </c>
      <c r="L313" s="3">
        <f>parking_demand_data_2024_ver0!K313</f>
        <v>0</v>
      </c>
      <c r="M313" s="3">
        <f>parking_demand_data_2024_ver0!L313</f>
        <v>0</v>
      </c>
      <c r="N313" s="3">
        <f>parking_demand_data_2024_ver0!M313</f>
        <v>75</v>
      </c>
      <c r="O313" s="3">
        <f>parking_demand_data_2024_ver0!N313</f>
        <v>0</v>
      </c>
      <c r="P313" s="3">
        <f>parking_demand_data_2024_ver0!O313</f>
        <v>50</v>
      </c>
      <c r="Q313" s="3">
        <f>parking_demand_data_2024_ver0!P313</f>
        <v>25</v>
      </c>
      <c r="R313" s="3">
        <f>parking_demand_data_2024_ver0!Q313</f>
        <v>0</v>
      </c>
      <c r="S313" s="3">
        <f>parking_demand_data_2024_ver0!R313</f>
        <v>0</v>
      </c>
      <c r="T313" s="3">
        <f>parking_demand_data_2024_ver0!S313</f>
        <v>0</v>
      </c>
    </row>
    <row r="314" spans="1:20" x14ac:dyDescent="0.25">
      <c r="A314">
        <v>18027</v>
      </c>
      <c r="B314" t="s">
        <v>42</v>
      </c>
      <c r="C314">
        <v>0</v>
      </c>
      <c r="D314" s="3">
        <f>parking_demand_data_2024_ver0!D314*calibration!$I$31</f>
        <v>22.5474060822898</v>
      </c>
      <c r="E314" s="3">
        <f>parking_demand_data_2024_ver0!E314*calibration!$I$31</f>
        <v>2.3864042933810299</v>
      </c>
      <c r="F314" s="3">
        <f t="shared" si="4"/>
        <v>24.933810375670831</v>
      </c>
      <c r="G314" s="3">
        <f>parking_demand_data_2024_ver0!F314</f>
        <v>2</v>
      </c>
      <c r="H314" s="3">
        <f>parking_demand_data_2024_ver0!G314</f>
        <v>0</v>
      </c>
      <c r="I314" s="3">
        <f>parking_demand_data_2024_ver0!H314</f>
        <v>0</v>
      </c>
      <c r="J314" s="3">
        <f>parking_demand_data_2024_ver0!I314</f>
        <v>2</v>
      </c>
      <c r="K314" s="3">
        <f>parking_demand_data_2024_ver0!J314</f>
        <v>0</v>
      </c>
      <c r="L314" s="3">
        <f>parking_demand_data_2024_ver0!K314</f>
        <v>0</v>
      </c>
      <c r="M314" s="3">
        <f>parking_demand_data_2024_ver0!L314</f>
        <v>0</v>
      </c>
      <c r="N314" s="3">
        <f>parking_demand_data_2024_ver0!M314</f>
        <v>20</v>
      </c>
      <c r="O314" s="3">
        <f>parking_demand_data_2024_ver0!N314</f>
        <v>0</v>
      </c>
      <c r="P314" s="3">
        <f>parking_demand_data_2024_ver0!O314</f>
        <v>0</v>
      </c>
      <c r="Q314" s="3">
        <f>parking_demand_data_2024_ver0!P314</f>
        <v>20</v>
      </c>
      <c r="R314" s="3">
        <f>parking_demand_data_2024_ver0!Q314</f>
        <v>0</v>
      </c>
      <c r="S314" s="3">
        <f>parking_demand_data_2024_ver0!R314</f>
        <v>0</v>
      </c>
      <c r="T314" s="3">
        <f>parking_demand_data_2024_ver0!S314</f>
        <v>0</v>
      </c>
    </row>
    <row r="315" spans="1:20" x14ac:dyDescent="0.25">
      <c r="A315">
        <v>18027</v>
      </c>
      <c r="B315" t="s">
        <v>42</v>
      </c>
      <c r="C315">
        <v>1</v>
      </c>
      <c r="D315" s="3">
        <f>parking_demand_data_2024_ver0!D315*calibration!$I$31</f>
        <v>18.1860465116279</v>
      </c>
      <c r="E315" s="3">
        <f>parking_demand_data_2024_ver0!E315*calibration!$I$31</f>
        <v>2.7567084078711899</v>
      </c>
      <c r="F315" s="3">
        <f t="shared" si="4"/>
        <v>20.942754919499091</v>
      </c>
      <c r="G315" s="3">
        <f>parking_demand_data_2024_ver0!F315</f>
        <v>2</v>
      </c>
      <c r="H315" s="3">
        <f>parking_demand_data_2024_ver0!G315</f>
        <v>0</v>
      </c>
      <c r="I315" s="3">
        <f>parking_demand_data_2024_ver0!H315</f>
        <v>0</v>
      </c>
      <c r="J315" s="3">
        <f>parking_demand_data_2024_ver0!I315</f>
        <v>2</v>
      </c>
      <c r="K315" s="3">
        <f>parking_demand_data_2024_ver0!J315</f>
        <v>0</v>
      </c>
      <c r="L315" s="3">
        <f>parking_demand_data_2024_ver0!K315</f>
        <v>0</v>
      </c>
      <c r="M315" s="3">
        <f>parking_demand_data_2024_ver0!L315</f>
        <v>0</v>
      </c>
      <c r="N315" s="3">
        <f>parking_demand_data_2024_ver0!M315</f>
        <v>20</v>
      </c>
      <c r="O315" s="3">
        <f>parking_demand_data_2024_ver0!N315</f>
        <v>0</v>
      </c>
      <c r="P315" s="3">
        <f>parking_demand_data_2024_ver0!O315</f>
        <v>0</v>
      </c>
      <c r="Q315" s="3">
        <f>parking_demand_data_2024_ver0!P315</f>
        <v>20</v>
      </c>
      <c r="R315" s="3">
        <f>parking_demand_data_2024_ver0!Q315</f>
        <v>0</v>
      </c>
      <c r="S315" s="3">
        <f>parking_demand_data_2024_ver0!R315</f>
        <v>0</v>
      </c>
      <c r="T315" s="3">
        <f>parking_demand_data_2024_ver0!S315</f>
        <v>0</v>
      </c>
    </row>
    <row r="316" spans="1:20" x14ac:dyDescent="0.25">
      <c r="A316">
        <v>18027</v>
      </c>
      <c r="B316" t="s">
        <v>42</v>
      </c>
      <c r="C316">
        <v>2</v>
      </c>
      <c r="D316" s="3">
        <f>parking_demand_data_2024_ver0!D316*calibration!$I$31</f>
        <v>17.9391771019678</v>
      </c>
      <c r="E316" s="3">
        <f>parking_demand_data_2024_ver0!E316*calibration!$I$31</f>
        <v>3.0035778175312999</v>
      </c>
      <c r="F316" s="3">
        <f t="shared" si="4"/>
        <v>20.942754919499102</v>
      </c>
      <c r="G316" s="3">
        <f>parking_demand_data_2024_ver0!F316</f>
        <v>2</v>
      </c>
      <c r="H316" s="3">
        <f>parking_demand_data_2024_ver0!G316</f>
        <v>0</v>
      </c>
      <c r="I316" s="3">
        <f>parking_demand_data_2024_ver0!H316</f>
        <v>0</v>
      </c>
      <c r="J316" s="3">
        <f>parking_demand_data_2024_ver0!I316</f>
        <v>2</v>
      </c>
      <c r="K316" s="3">
        <f>parking_demand_data_2024_ver0!J316</f>
        <v>0</v>
      </c>
      <c r="L316" s="3">
        <f>parking_demand_data_2024_ver0!K316</f>
        <v>0</v>
      </c>
      <c r="M316" s="3">
        <f>parking_demand_data_2024_ver0!L316</f>
        <v>0</v>
      </c>
      <c r="N316" s="3">
        <f>parking_demand_data_2024_ver0!M316</f>
        <v>20</v>
      </c>
      <c r="O316" s="3">
        <f>parking_demand_data_2024_ver0!N316</f>
        <v>0</v>
      </c>
      <c r="P316" s="3">
        <f>parking_demand_data_2024_ver0!O316</f>
        <v>0</v>
      </c>
      <c r="Q316" s="3">
        <f>parking_demand_data_2024_ver0!P316</f>
        <v>20</v>
      </c>
      <c r="R316" s="3">
        <f>parking_demand_data_2024_ver0!Q316</f>
        <v>0</v>
      </c>
      <c r="S316" s="3">
        <f>parking_demand_data_2024_ver0!R316</f>
        <v>0</v>
      </c>
      <c r="T316" s="3">
        <f>parking_demand_data_2024_ver0!S316</f>
        <v>0</v>
      </c>
    </row>
    <row r="317" spans="1:20" x14ac:dyDescent="0.25">
      <c r="A317">
        <v>18027</v>
      </c>
      <c r="B317" t="s">
        <v>42</v>
      </c>
      <c r="C317">
        <v>3</v>
      </c>
      <c r="D317" s="3">
        <f>parking_demand_data_2024_ver0!D317*calibration!$I$31</f>
        <v>18.3094812164579</v>
      </c>
      <c r="E317" s="3">
        <f>parking_demand_data_2024_ver0!E317*calibration!$I$31</f>
        <v>3.2093023255813899</v>
      </c>
      <c r="F317" s="3">
        <f t="shared" si="4"/>
        <v>21.518783542039291</v>
      </c>
      <c r="G317" s="3">
        <f>parking_demand_data_2024_ver0!F317</f>
        <v>2</v>
      </c>
      <c r="H317" s="3">
        <f>parking_demand_data_2024_ver0!G317</f>
        <v>0</v>
      </c>
      <c r="I317" s="3">
        <f>parking_demand_data_2024_ver0!H317</f>
        <v>0</v>
      </c>
      <c r="J317" s="3">
        <f>parking_demand_data_2024_ver0!I317</f>
        <v>2</v>
      </c>
      <c r="K317" s="3">
        <f>parking_demand_data_2024_ver0!J317</f>
        <v>0</v>
      </c>
      <c r="L317" s="3">
        <f>parking_demand_data_2024_ver0!K317</f>
        <v>0</v>
      </c>
      <c r="M317" s="3">
        <f>parking_demand_data_2024_ver0!L317</f>
        <v>0</v>
      </c>
      <c r="N317" s="3">
        <f>parking_demand_data_2024_ver0!M317</f>
        <v>20</v>
      </c>
      <c r="O317" s="3">
        <f>parking_demand_data_2024_ver0!N317</f>
        <v>0</v>
      </c>
      <c r="P317" s="3">
        <f>parking_demand_data_2024_ver0!O317</f>
        <v>0</v>
      </c>
      <c r="Q317" s="3">
        <f>parking_demand_data_2024_ver0!P317</f>
        <v>20</v>
      </c>
      <c r="R317" s="3">
        <f>parking_demand_data_2024_ver0!Q317</f>
        <v>0</v>
      </c>
      <c r="S317" s="3">
        <f>parking_demand_data_2024_ver0!R317</f>
        <v>0</v>
      </c>
      <c r="T317" s="3">
        <f>parking_demand_data_2024_ver0!S317</f>
        <v>0</v>
      </c>
    </row>
    <row r="318" spans="1:20" x14ac:dyDescent="0.25">
      <c r="A318">
        <v>18027</v>
      </c>
      <c r="B318" t="s">
        <v>42</v>
      </c>
      <c r="C318">
        <v>4</v>
      </c>
      <c r="D318" s="3">
        <f>parking_demand_data_2024_ver0!D318*calibration!$I$31</f>
        <v>17.9391771019678</v>
      </c>
      <c r="E318" s="3">
        <f>parking_demand_data_2024_ver0!E318*calibration!$I$31</f>
        <v>3.82647584973166</v>
      </c>
      <c r="F318" s="3">
        <f t="shared" si="4"/>
        <v>21.765652951699462</v>
      </c>
      <c r="G318" s="3">
        <f>parking_demand_data_2024_ver0!F318</f>
        <v>2</v>
      </c>
      <c r="H318" s="3">
        <f>parking_demand_data_2024_ver0!G318</f>
        <v>0</v>
      </c>
      <c r="I318" s="3">
        <f>parking_demand_data_2024_ver0!H318</f>
        <v>0</v>
      </c>
      <c r="J318" s="3">
        <f>parking_demand_data_2024_ver0!I318</f>
        <v>2</v>
      </c>
      <c r="K318" s="3">
        <f>parking_demand_data_2024_ver0!J318</f>
        <v>0</v>
      </c>
      <c r="L318" s="3">
        <f>parking_demand_data_2024_ver0!K318</f>
        <v>0</v>
      </c>
      <c r="M318" s="3">
        <f>parking_demand_data_2024_ver0!L318</f>
        <v>0</v>
      </c>
      <c r="N318" s="3">
        <f>parking_demand_data_2024_ver0!M318</f>
        <v>20</v>
      </c>
      <c r="O318" s="3">
        <f>parking_demand_data_2024_ver0!N318</f>
        <v>0</v>
      </c>
      <c r="P318" s="3">
        <f>parking_demand_data_2024_ver0!O318</f>
        <v>0</v>
      </c>
      <c r="Q318" s="3">
        <f>parking_demand_data_2024_ver0!P318</f>
        <v>20</v>
      </c>
      <c r="R318" s="3">
        <f>parking_demand_data_2024_ver0!Q318</f>
        <v>0</v>
      </c>
      <c r="S318" s="3">
        <f>parking_demand_data_2024_ver0!R318</f>
        <v>0</v>
      </c>
      <c r="T318" s="3">
        <f>parking_demand_data_2024_ver0!S318</f>
        <v>0</v>
      </c>
    </row>
    <row r="319" spans="1:20" x14ac:dyDescent="0.25">
      <c r="A319">
        <v>18027</v>
      </c>
      <c r="B319" t="s">
        <v>42</v>
      </c>
      <c r="C319">
        <v>5</v>
      </c>
      <c r="D319" s="3">
        <f>parking_demand_data_2024_ver0!D319*calibration!$I$31</f>
        <v>16.910554561717301</v>
      </c>
      <c r="E319" s="3">
        <f>parking_demand_data_2024_ver0!E319*calibration!$I$31</f>
        <v>4.2790697674418601</v>
      </c>
      <c r="F319" s="3">
        <f t="shared" si="4"/>
        <v>21.189624329159162</v>
      </c>
      <c r="G319" s="3">
        <f>parking_demand_data_2024_ver0!F319</f>
        <v>2</v>
      </c>
      <c r="H319" s="3">
        <f>parking_demand_data_2024_ver0!G319</f>
        <v>0</v>
      </c>
      <c r="I319" s="3">
        <f>parking_demand_data_2024_ver0!H319</f>
        <v>0</v>
      </c>
      <c r="J319" s="3">
        <f>parking_demand_data_2024_ver0!I319</f>
        <v>2</v>
      </c>
      <c r="K319" s="3">
        <f>parking_demand_data_2024_ver0!J319</f>
        <v>0</v>
      </c>
      <c r="L319" s="3">
        <f>parking_demand_data_2024_ver0!K319</f>
        <v>0</v>
      </c>
      <c r="M319" s="3">
        <f>parking_demand_data_2024_ver0!L319</f>
        <v>0</v>
      </c>
      <c r="N319" s="3">
        <f>parking_demand_data_2024_ver0!M319</f>
        <v>20</v>
      </c>
      <c r="O319" s="3">
        <f>parking_demand_data_2024_ver0!N319</f>
        <v>0</v>
      </c>
      <c r="P319" s="3">
        <f>parking_demand_data_2024_ver0!O319</f>
        <v>0</v>
      </c>
      <c r="Q319" s="3">
        <f>parking_demand_data_2024_ver0!P319</f>
        <v>20</v>
      </c>
      <c r="R319" s="3">
        <f>parking_demand_data_2024_ver0!Q319</f>
        <v>0</v>
      </c>
      <c r="S319" s="3">
        <f>parking_demand_data_2024_ver0!R319</f>
        <v>0</v>
      </c>
      <c r="T319" s="3">
        <f>parking_demand_data_2024_ver0!S319</f>
        <v>0</v>
      </c>
    </row>
    <row r="320" spans="1:20" x14ac:dyDescent="0.25">
      <c r="A320">
        <v>18027</v>
      </c>
      <c r="B320" t="s">
        <v>42</v>
      </c>
      <c r="C320">
        <v>6</v>
      </c>
      <c r="D320" s="3">
        <f>parking_demand_data_2024_ver0!D320*calibration!$I$31</f>
        <v>17.486583184257601</v>
      </c>
      <c r="E320" s="3">
        <f>parking_demand_data_2024_ver0!E320*calibration!$I$31</f>
        <v>4.19677996422182</v>
      </c>
      <c r="F320" s="3">
        <f t="shared" si="4"/>
        <v>21.683363148479422</v>
      </c>
      <c r="G320" s="3">
        <f>parking_demand_data_2024_ver0!F320</f>
        <v>2</v>
      </c>
      <c r="H320" s="3">
        <f>parking_demand_data_2024_ver0!G320</f>
        <v>0</v>
      </c>
      <c r="I320" s="3">
        <f>parking_demand_data_2024_ver0!H320</f>
        <v>0</v>
      </c>
      <c r="J320" s="3">
        <f>parking_demand_data_2024_ver0!I320</f>
        <v>2</v>
      </c>
      <c r="K320" s="3">
        <f>parking_demand_data_2024_ver0!J320</f>
        <v>0</v>
      </c>
      <c r="L320" s="3">
        <f>parking_demand_data_2024_ver0!K320</f>
        <v>0</v>
      </c>
      <c r="M320" s="3">
        <f>parking_demand_data_2024_ver0!L320</f>
        <v>0</v>
      </c>
      <c r="N320" s="3">
        <f>parking_demand_data_2024_ver0!M320</f>
        <v>20</v>
      </c>
      <c r="O320" s="3">
        <f>parking_demand_data_2024_ver0!N320</f>
        <v>0</v>
      </c>
      <c r="P320" s="3">
        <f>parking_demand_data_2024_ver0!O320</f>
        <v>0</v>
      </c>
      <c r="Q320" s="3">
        <f>parking_demand_data_2024_ver0!P320</f>
        <v>20</v>
      </c>
      <c r="R320" s="3">
        <f>parking_demand_data_2024_ver0!Q320</f>
        <v>0</v>
      </c>
      <c r="S320" s="3">
        <f>parking_demand_data_2024_ver0!R320</f>
        <v>0</v>
      </c>
      <c r="T320" s="3">
        <f>parking_demand_data_2024_ver0!S320</f>
        <v>0</v>
      </c>
    </row>
    <row r="321" spans="1:20" x14ac:dyDescent="0.25">
      <c r="A321">
        <v>18027</v>
      </c>
      <c r="B321" t="s">
        <v>42</v>
      </c>
      <c r="C321">
        <v>7</v>
      </c>
      <c r="D321" s="3">
        <f>parking_demand_data_2024_ver0!D321*calibration!$I$31</f>
        <v>18.9677996422182</v>
      </c>
      <c r="E321" s="3">
        <f>parking_demand_data_2024_ver0!E321*calibration!$I$31</f>
        <v>4.1144901610017799</v>
      </c>
      <c r="F321" s="3">
        <f t="shared" si="4"/>
        <v>23.082289803219979</v>
      </c>
      <c r="G321" s="3">
        <f>parking_demand_data_2024_ver0!F321</f>
        <v>2</v>
      </c>
      <c r="H321" s="3">
        <f>parking_demand_data_2024_ver0!G321</f>
        <v>0</v>
      </c>
      <c r="I321" s="3">
        <f>parking_demand_data_2024_ver0!H321</f>
        <v>0</v>
      </c>
      <c r="J321" s="3">
        <f>parking_demand_data_2024_ver0!I321</f>
        <v>2</v>
      </c>
      <c r="K321" s="3">
        <f>parking_demand_data_2024_ver0!J321</f>
        <v>0</v>
      </c>
      <c r="L321" s="3">
        <f>parking_demand_data_2024_ver0!K321</f>
        <v>0</v>
      </c>
      <c r="M321" s="3">
        <f>parking_demand_data_2024_ver0!L321</f>
        <v>0</v>
      </c>
      <c r="N321" s="3">
        <f>parking_demand_data_2024_ver0!M321</f>
        <v>20</v>
      </c>
      <c r="O321" s="3">
        <f>parking_demand_data_2024_ver0!N321</f>
        <v>0</v>
      </c>
      <c r="P321" s="3">
        <f>parking_demand_data_2024_ver0!O321</f>
        <v>0</v>
      </c>
      <c r="Q321" s="3">
        <f>parking_demand_data_2024_ver0!P321</f>
        <v>20</v>
      </c>
      <c r="R321" s="3">
        <f>parking_demand_data_2024_ver0!Q321</f>
        <v>0</v>
      </c>
      <c r="S321" s="3">
        <f>parking_demand_data_2024_ver0!R321</f>
        <v>0</v>
      </c>
      <c r="T321" s="3">
        <f>parking_demand_data_2024_ver0!S321</f>
        <v>0</v>
      </c>
    </row>
    <row r="322" spans="1:20" x14ac:dyDescent="0.25">
      <c r="A322">
        <v>18027</v>
      </c>
      <c r="B322" t="s">
        <v>42</v>
      </c>
      <c r="C322">
        <v>8</v>
      </c>
      <c r="D322" s="3">
        <f>parking_demand_data_2024_ver0!D322*calibration!$I$31</f>
        <v>17.033989266547401</v>
      </c>
      <c r="E322" s="3">
        <f>parking_demand_data_2024_ver0!E322*calibration!$I$31</f>
        <v>4.81395348837209</v>
      </c>
      <c r="F322" s="3">
        <f t="shared" si="4"/>
        <v>21.84794275491949</v>
      </c>
      <c r="G322" s="3">
        <f>parking_demand_data_2024_ver0!F322</f>
        <v>2</v>
      </c>
      <c r="H322" s="3">
        <f>parking_demand_data_2024_ver0!G322</f>
        <v>0</v>
      </c>
      <c r="I322" s="3">
        <f>parking_demand_data_2024_ver0!H322</f>
        <v>0</v>
      </c>
      <c r="J322" s="3">
        <f>parking_demand_data_2024_ver0!I322</f>
        <v>2</v>
      </c>
      <c r="K322" s="3">
        <f>parking_demand_data_2024_ver0!J322</f>
        <v>0</v>
      </c>
      <c r="L322" s="3">
        <f>parking_demand_data_2024_ver0!K322</f>
        <v>0</v>
      </c>
      <c r="M322" s="3">
        <f>parking_demand_data_2024_ver0!L322</f>
        <v>0</v>
      </c>
      <c r="N322" s="3">
        <f>parking_demand_data_2024_ver0!M322</f>
        <v>20</v>
      </c>
      <c r="O322" s="3">
        <f>parking_demand_data_2024_ver0!N322</f>
        <v>0</v>
      </c>
      <c r="P322" s="3">
        <f>parking_demand_data_2024_ver0!O322</f>
        <v>0</v>
      </c>
      <c r="Q322" s="3">
        <f>parking_demand_data_2024_ver0!P322</f>
        <v>20</v>
      </c>
      <c r="R322" s="3">
        <f>parking_demand_data_2024_ver0!Q322</f>
        <v>0</v>
      </c>
      <c r="S322" s="3">
        <f>parking_demand_data_2024_ver0!R322</f>
        <v>0</v>
      </c>
      <c r="T322" s="3">
        <f>parking_demand_data_2024_ver0!S322</f>
        <v>0</v>
      </c>
    </row>
    <row r="323" spans="1:20" x14ac:dyDescent="0.25">
      <c r="A323">
        <v>18027</v>
      </c>
      <c r="B323" t="s">
        <v>42</v>
      </c>
      <c r="C323">
        <v>9</v>
      </c>
      <c r="D323" s="3">
        <f>parking_demand_data_2024_ver0!D323*calibration!$I$31</f>
        <v>14.1127012522361</v>
      </c>
      <c r="E323" s="3">
        <f>parking_demand_data_2024_ver0!E323*calibration!$I$31</f>
        <v>3.1270125223613499</v>
      </c>
      <c r="F323" s="3">
        <f t="shared" ref="F323:F386" si="5">SUM(D323:E323)</f>
        <v>17.239713774597451</v>
      </c>
      <c r="G323" s="3">
        <f>parking_demand_data_2024_ver0!F323</f>
        <v>2</v>
      </c>
      <c r="H323" s="3">
        <f>parking_demand_data_2024_ver0!G323</f>
        <v>0</v>
      </c>
      <c r="I323" s="3">
        <f>parking_demand_data_2024_ver0!H323</f>
        <v>0</v>
      </c>
      <c r="J323" s="3">
        <f>parking_demand_data_2024_ver0!I323</f>
        <v>2</v>
      </c>
      <c r="K323" s="3">
        <f>parking_demand_data_2024_ver0!J323</f>
        <v>0</v>
      </c>
      <c r="L323" s="3">
        <f>parking_demand_data_2024_ver0!K323</f>
        <v>0</v>
      </c>
      <c r="M323" s="3">
        <f>parking_demand_data_2024_ver0!L323</f>
        <v>0</v>
      </c>
      <c r="N323" s="3">
        <f>parking_demand_data_2024_ver0!M323</f>
        <v>20</v>
      </c>
      <c r="O323" s="3">
        <f>parking_demand_data_2024_ver0!N323</f>
        <v>0</v>
      </c>
      <c r="P323" s="3">
        <f>parking_demand_data_2024_ver0!O323</f>
        <v>0</v>
      </c>
      <c r="Q323" s="3">
        <f>parking_demand_data_2024_ver0!P323</f>
        <v>20</v>
      </c>
      <c r="R323" s="3">
        <f>parking_demand_data_2024_ver0!Q323</f>
        <v>0</v>
      </c>
      <c r="S323" s="3">
        <f>parking_demand_data_2024_ver0!R323</f>
        <v>0</v>
      </c>
      <c r="T323" s="3">
        <f>parking_demand_data_2024_ver0!S323</f>
        <v>0</v>
      </c>
    </row>
    <row r="324" spans="1:20" x14ac:dyDescent="0.25">
      <c r="A324">
        <v>18027</v>
      </c>
      <c r="B324" t="s">
        <v>42</v>
      </c>
      <c r="C324">
        <v>10</v>
      </c>
      <c r="D324" s="3">
        <f>parking_demand_data_2024_ver0!D324*calibration!$I$31</f>
        <v>13.330948121645701</v>
      </c>
      <c r="E324" s="3">
        <f>parking_demand_data_2024_ver0!E324*calibration!$I$31</f>
        <v>2.7567084078711899</v>
      </c>
      <c r="F324" s="3">
        <f t="shared" si="5"/>
        <v>16.087656529516892</v>
      </c>
      <c r="G324" s="3">
        <f>parking_demand_data_2024_ver0!F324</f>
        <v>2</v>
      </c>
      <c r="H324" s="3">
        <f>parking_demand_data_2024_ver0!G324</f>
        <v>0</v>
      </c>
      <c r="I324" s="3">
        <f>parking_demand_data_2024_ver0!H324</f>
        <v>0</v>
      </c>
      <c r="J324" s="3">
        <f>parking_demand_data_2024_ver0!I324</f>
        <v>2</v>
      </c>
      <c r="K324" s="3">
        <f>parking_demand_data_2024_ver0!J324</f>
        <v>0</v>
      </c>
      <c r="L324" s="3">
        <f>parking_demand_data_2024_ver0!K324</f>
        <v>0</v>
      </c>
      <c r="M324" s="3">
        <f>parking_demand_data_2024_ver0!L324</f>
        <v>0</v>
      </c>
      <c r="N324" s="3">
        <f>parking_demand_data_2024_ver0!M324</f>
        <v>20</v>
      </c>
      <c r="O324" s="3">
        <f>parking_demand_data_2024_ver0!N324</f>
        <v>0</v>
      </c>
      <c r="P324" s="3">
        <f>parking_demand_data_2024_ver0!O324</f>
        <v>0</v>
      </c>
      <c r="Q324" s="3">
        <f>parking_demand_data_2024_ver0!P324</f>
        <v>20</v>
      </c>
      <c r="R324" s="3">
        <f>parking_demand_data_2024_ver0!Q324</f>
        <v>0</v>
      </c>
      <c r="S324" s="3">
        <f>parking_demand_data_2024_ver0!R324</f>
        <v>0</v>
      </c>
      <c r="T324" s="3">
        <f>parking_demand_data_2024_ver0!S324</f>
        <v>0</v>
      </c>
    </row>
    <row r="325" spans="1:20" x14ac:dyDescent="0.25">
      <c r="A325">
        <v>18027</v>
      </c>
      <c r="B325" t="s">
        <v>42</v>
      </c>
      <c r="C325">
        <v>11</v>
      </c>
      <c r="D325" s="3">
        <f>parking_demand_data_2024_ver0!D325*calibration!$I$31</f>
        <v>13.001788908765599</v>
      </c>
      <c r="E325" s="3">
        <f>parking_demand_data_2024_ver0!E325*calibration!$I$31</f>
        <v>3.4561717352415</v>
      </c>
      <c r="F325" s="3">
        <f t="shared" si="5"/>
        <v>16.457960644007098</v>
      </c>
      <c r="G325" s="3">
        <f>parking_demand_data_2024_ver0!F325</f>
        <v>2</v>
      </c>
      <c r="H325" s="3">
        <f>parking_demand_data_2024_ver0!G325</f>
        <v>0</v>
      </c>
      <c r="I325" s="3">
        <f>parking_demand_data_2024_ver0!H325</f>
        <v>0</v>
      </c>
      <c r="J325" s="3">
        <f>parking_demand_data_2024_ver0!I325</f>
        <v>2</v>
      </c>
      <c r="K325" s="3">
        <f>parking_demand_data_2024_ver0!J325</f>
        <v>0</v>
      </c>
      <c r="L325" s="3">
        <f>parking_demand_data_2024_ver0!K325</f>
        <v>0</v>
      </c>
      <c r="M325" s="3">
        <f>parking_demand_data_2024_ver0!L325</f>
        <v>0</v>
      </c>
      <c r="N325" s="3">
        <f>parking_demand_data_2024_ver0!M325</f>
        <v>20</v>
      </c>
      <c r="O325" s="3">
        <f>parking_demand_data_2024_ver0!N325</f>
        <v>0</v>
      </c>
      <c r="P325" s="3">
        <f>parking_demand_data_2024_ver0!O325</f>
        <v>0</v>
      </c>
      <c r="Q325" s="3">
        <f>parking_demand_data_2024_ver0!P325</f>
        <v>20</v>
      </c>
      <c r="R325" s="3">
        <f>parking_demand_data_2024_ver0!Q325</f>
        <v>0</v>
      </c>
      <c r="S325" s="3">
        <f>parking_demand_data_2024_ver0!R325</f>
        <v>0</v>
      </c>
      <c r="T325" s="3">
        <f>parking_demand_data_2024_ver0!S325</f>
        <v>0</v>
      </c>
    </row>
    <row r="326" spans="1:20" x14ac:dyDescent="0.25">
      <c r="A326">
        <v>18027</v>
      </c>
      <c r="B326" t="s">
        <v>42</v>
      </c>
      <c r="C326">
        <v>12</v>
      </c>
      <c r="D326" s="3">
        <f>parking_demand_data_2024_ver0!D326*calibration!$I$31</f>
        <v>13.906976744186</v>
      </c>
      <c r="E326" s="3">
        <f>parking_demand_data_2024_ver0!E326*calibration!$I$31</f>
        <v>3.25044722719141</v>
      </c>
      <c r="F326" s="3">
        <f t="shared" si="5"/>
        <v>17.157423971377412</v>
      </c>
      <c r="G326" s="3">
        <f>parking_demand_data_2024_ver0!F326</f>
        <v>2</v>
      </c>
      <c r="H326" s="3">
        <f>parking_demand_data_2024_ver0!G326</f>
        <v>0</v>
      </c>
      <c r="I326" s="3">
        <f>parking_demand_data_2024_ver0!H326</f>
        <v>0</v>
      </c>
      <c r="J326" s="3">
        <f>parking_demand_data_2024_ver0!I326</f>
        <v>2</v>
      </c>
      <c r="K326" s="3">
        <f>parking_demand_data_2024_ver0!J326</f>
        <v>0</v>
      </c>
      <c r="L326" s="3">
        <f>parking_demand_data_2024_ver0!K326</f>
        <v>0</v>
      </c>
      <c r="M326" s="3">
        <f>parking_demand_data_2024_ver0!L326</f>
        <v>0</v>
      </c>
      <c r="N326" s="3">
        <f>parking_demand_data_2024_ver0!M326</f>
        <v>20</v>
      </c>
      <c r="O326" s="3">
        <f>parking_demand_data_2024_ver0!N326</f>
        <v>0</v>
      </c>
      <c r="P326" s="3">
        <f>parking_demand_data_2024_ver0!O326</f>
        <v>0</v>
      </c>
      <c r="Q326" s="3">
        <f>parking_demand_data_2024_ver0!P326</f>
        <v>20</v>
      </c>
      <c r="R326" s="3">
        <f>parking_demand_data_2024_ver0!Q326</f>
        <v>0</v>
      </c>
      <c r="S326" s="3">
        <f>parking_demand_data_2024_ver0!R326</f>
        <v>0</v>
      </c>
      <c r="T326" s="3">
        <f>parking_demand_data_2024_ver0!S326</f>
        <v>0</v>
      </c>
    </row>
    <row r="327" spans="1:20" x14ac:dyDescent="0.25">
      <c r="A327">
        <v>18027</v>
      </c>
      <c r="B327" t="s">
        <v>42</v>
      </c>
      <c r="C327">
        <v>13</v>
      </c>
      <c r="D327" s="3">
        <f>parking_demand_data_2024_ver0!D327*calibration!$I$31</f>
        <v>14.4418604651162</v>
      </c>
      <c r="E327" s="3">
        <f>parking_demand_data_2024_ver0!E327*calibration!$I$31</f>
        <v>3.1270125223613499</v>
      </c>
      <c r="F327" s="3">
        <f t="shared" si="5"/>
        <v>17.568872987477551</v>
      </c>
      <c r="G327" s="3">
        <f>parking_demand_data_2024_ver0!F327</f>
        <v>2</v>
      </c>
      <c r="H327" s="3">
        <f>parking_demand_data_2024_ver0!G327</f>
        <v>0</v>
      </c>
      <c r="I327" s="3">
        <f>parking_demand_data_2024_ver0!H327</f>
        <v>0</v>
      </c>
      <c r="J327" s="3">
        <f>parking_demand_data_2024_ver0!I327</f>
        <v>2</v>
      </c>
      <c r="K327" s="3">
        <f>parking_demand_data_2024_ver0!J327</f>
        <v>0</v>
      </c>
      <c r="L327" s="3">
        <f>parking_demand_data_2024_ver0!K327</f>
        <v>0</v>
      </c>
      <c r="M327" s="3">
        <f>parking_demand_data_2024_ver0!L327</f>
        <v>0</v>
      </c>
      <c r="N327" s="3">
        <f>parking_demand_data_2024_ver0!M327</f>
        <v>20</v>
      </c>
      <c r="O327" s="3">
        <f>parking_demand_data_2024_ver0!N327</f>
        <v>0</v>
      </c>
      <c r="P327" s="3">
        <f>parking_demand_data_2024_ver0!O327</f>
        <v>0</v>
      </c>
      <c r="Q327" s="3">
        <f>parking_demand_data_2024_ver0!P327</f>
        <v>20</v>
      </c>
      <c r="R327" s="3">
        <f>parking_demand_data_2024_ver0!Q327</f>
        <v>0</v>
      </c>
      <c r="S327" s="3">
        <f>parking_demand_data_2024_ver0!R327</f>
        <v>0</v>
      </c>
      <c r="T327" s="3">
        <f>parking_demand_data_2024_ver0!S327</f>
        <v>0</v>
      </c>
    </row>
    <row r="328" spans="1:20" x14ac:dyDescent="0.25">
      <c r="A328">
        <v>18027</v>
      </c>
      <c r="B328" t="s">
        <v>42</v>
      </c>
      <c r="C328">
        <v>14</v>
      </c>
      <c r="D328" s="3">
        <f>parking_demand_data_2024_ver0!D328*calibration!$I$31</f>
        <v>13.536672629695801</v>
      </c>
      <c r="E328" s="3">
        <f>parking_demand_data_2024_ver0!E328*calibration!$I$31</f>
        <v>2.0572450805008899</v>
      </c>
      <c r="F328" s="3">
        <f t="shared" si="5"/>
        <v>15.59391771019669</v>
      </c>
      <c r="G328" s="3">
        <f>parking_demand_data_2024_ver0!F328</f>
        <v>2</v>
      </c>
      <c r="H328" s="3">
        <f>parking_demand_data_2024_ver0!G328</f>
        <v>0</v>
      </c>
      <c r="I328" s="3">
        <f>parking_demand_data_2024_ver0!H328</f>
        <v>0</v>
      </c>
      <c r="J328" s="3">
        <f>parking_demand_data_2024_ver0!I328</f>
        <v>2</v>
      </c>
      <c r="K328" s="3">
        <f>parking_demand_data_2024_ver0!J328</f>
        <v>0</v>
      </c>
      <c r="L328" s="3">
        <f>parking_demand_data_2024_ver0!K328</f>
        <v>0</v>
      </c>
      <c r="M328" s="3">
        <f>parking_demand_data_2024_ver0!L328</f>
        <v>0</v>
      </c>
      <c r="N328" s="3">
        <f>parking_demand_data_2024_ver0!M328</f>
        <v>20</v>
      </c>
      <c r="O328" s="3">
        <f>parking_demand_data_2024_ver0!N328</f>
        <v>0</v>
      </c>
      <c r="P328" s="3">
        <f>parking_demand_data_2024_ver0!O328</f>
        <v>0</v>
      </c>
      <c r="Q328" s="3">
        <f>parking_demand_data_2024_ver0!P328</f>
        <v>20</v>
      </c>
      <c r="R328" s="3">
        <f>parking_demand_data_2024_ver0!Q328</f>
        <v>0</v>
      </c>
      <c r="S328" s="3">
        <f>parking_demand_data_2024_ver0!R328</f>
        <v>0</v>
      </c>
      <c r="T328" s="3">
        <f>parking_demand_data_2024_ver0!S328</f>
        <v>0</v>
      </c>
    </row>
    <row r="329" spans="1:20" x14ac:dyDescent="0.25">
      <c r="A329">
        <v>18027</v>
      </c>
      <c r="B329" t="s">
        <v>42</v>
      </c>
      <c r="C329">
        <v>15</v>
      </c>
      <c r="D329" s="3">
        <f>parking_demand_data_2024_ver0!D329*calibration!$I$31</f>
        <v>13.6189624329159</v>
      </c>
      <c r="E329" s="3">
        <f>parking_demand_data_2024_ver0!E329*calibration!$I$31</f>
        <v>1.4400715563506199</v>
      </c>
      <c r="F329" s="3">
        <f t="shared" si="5"/>
        <v>15.059033989266521</v>
      </c>
      <c r="G329" s="3">
        <f>parking_demand_data_2024_ver0!F329</f>
        <v>2</v>
      </c>
      <c r="H329" s="3">
        <f>parking_demand_data_2024_ver0!G329</f>
        <v>0</v>
      </c>
      <c r="I329" s="3">
        <f>parking_demand_data_2024_ver0!H329</f>
        <v>0</v>
      </c>
      <c r="J329" s="3">
        <f>parking_demand_data_2024_ver0!I329</f>
        <v>2</v>
      </c>
      <c r="K329" s="3">
        <f>parking_demand_data_2024_ver0!J329</f>
        <v>0</v>
      </c>
      <c r="L329" s="3">
        <f>parking_demand_data_2024_ver0!K329</f>
        <v>0</v>
      </c>
      <c r="M329" s="3">
        <f>parking_demand_data_2024_ver0!L329</f>
        <v>0</v>
      </c>
      <c r="N329" s="3">
        <f>parking_demand_data_2024_ver0!M329</f>
        <v>20</v>
      </c>
      <c r="O329" s="3">
        <f>parking_demand_data_2024_ver0!N329</f>
        <v>0</v>
      </c>
      <c r="P329" s="3">
        <f>parking_demand_data_2024_ver0!O329</f>
        <v>0</v>
      </c>
      <c r="Q329" s="3">
        <f>parking_demand_data_2024_ver0!P329</f>
        <v>20</v>
      </c>
      <c r="R329" s="3">
        <f>parking_demand_data_2024_ver0!Q329</f>
        <v>0</v>
      </c>
      <c r="S329" s="3">
        <f>parking_demand_data_2024_ver0!R329</f>
        <v>0</v>
      </c>
      <c r="T329" s="3">
        <f>parking_demand_data_2024_ver0!S329</f>
        <v>0</v>
      </c>
    </row>
    <row r="330" spans="1:20" x14ac:dyDescent="0.25">
      <c r="A330">
        <v>18027</v>
      </c>
      <c r="B330" t="s">
        <v>42</v>
      </c>
      <c r="C330">
        <v>16</v>
      </c>
      <c r="D330" s="3">
        <f>parking_demand_data_2024_ver0!D330*calibration!$I$31</f>
        <v>13.824686940966</v>
      </c>
      <c r="E330" s="3">
        <f>parking_demand_data_2024_ver0!E330*calibration!$I$31</f>
        <v>1.68694096601073</v>
      </c>
      <c r="F330" s="3">
        <f t="shared" si="5"/>
        <v>15.511627906976731</v>
      </c>
      <c r="G330" s="3">
        <f>parking_demand_data_2024_ver0!F330</f>
        <v>2</v>
      </c>
      <c r="H330" s="3">
        <f>parking_demand_data_2024_ver0!G330</f>
        <v>0</v>
      </c>
      <c r="I330" s="3">
        <f>parking_demand_data_2024_ver0!H330</f>
        <v>0</v>
      </c>
      <c r="J330" s="3">
        <f>parking_demand_data_2024_ver0!I330</f>
        <v>2</v>
      </c>
      <c r="K330" s="3">
        <f>parking_demand_data_2024_ver0!J330</f>
        <v>0</v>
      </c>
      <c r="L330" s="3">
        <f>parking_demand_data_2024_ver0!K330</f>
        <v>0</v>
      </c>
      <c r="M330" s="3">
        <f>parking_demand_data_2024_ver0!L330</f>
        <v>0</v>
      </c>
      <c r="N330" s="3">
        <f>parking_demand_data_2024_ver0!M330</f>
        <v>20</v>
      </c>
      <c r="O330" s="3">
        <f>parking_demand_data_2024_ver0!N330</f>
        <v>0</v>
      </c>
      <c r="P330" s="3">
        <f>parking_demand_data_2024_ver0!O330</f>
        <v>0</v>
      </c>
      <c r="Q330" s="3">
        <f>parking_demand_data_2024_ver0!P330</f>
        <v>20</v>
      </c>
      <c r="R330" s="3">
        <f>parking_demand_data_2024_ver0!Q330</f>
        <v>0</v>
      </c>
      <c r="S330" s="3">
        <f>parking_demand_data_2024_ver0!R330</f>
        <v>0</v>
      </c>
      <c r="T330" s="3">
        <f>parking_demand_data_2024_ver0!S330</f>
        <v>0</v>
      </c>
    </row>
    <row r="331" spans="1:20" x14ac:dyDescent="0.25">
      <c r="A331">
        <v>18027</v>
      </c>
      <c r="B331" t="s">
        <v>42</v>
      </c>
      <c r="C331">
        <v>17</v>
      </c>
      <c r="D331" s="3">
        <f>parking_demand_data_2024_ver0!D331*calibration!$I$31</f>
        <v>15.017889087656499</v>
      </c>
      <c r="E331" s="3">
        <f>parking_demand_data_2024_ver0!E331*calibration!$I$31</f>
        <v>1.2754919499105499</v>
      </c>
      <c r="F331" s="3">
        <f t="shared" si="5"/>
        <v>16.293381037567048</v>
      </c>
      <c r="G331" s="3">
        <f>parking_demand_data_2024_ver0!F331</f>
        <v>2</v>
      </c>
      <c r="H331" s="3">
        <f>parking_demand_data_2024_ver0!G331</f>
        <v>0</v>
      </c>
      <c r="I331" s="3">
        <f>parking_demand_data_2024_ver0!H331</f>
        <v>0</v>
      </c>
      <c r="J331" s="3">
        <f>parking_demand_data_2024_ver0!I331</f>
        <v>2</v>
      </c>
      <c r="K331" s="3">
        <f>parking_demand_data_2024_ver0!J331</f>
        <v>0</v>
      </c>
      <c r="L331" s="3">
        <f>parking_demand_data_2024_ver0!K331</f>
        <v>0</v>
      </c>
      <c r="M331" s="3">
        <f>parking_demand_data_2024_ver0!L331</f>
        <v>0</v>
      </c>
      <c r="N331" s="3">
        <f>parking_demand_data_2024_ver0!M331</f>
        <v>20</v>
      </c>
      <c r="O331" s="3">
        <f>parking_demand_data_2024_ver0!N331</f>
        <v>0</v>
      </c>
      <c r="P331" s="3">
        <f>parking_demand_data_2024_ver0!O331</f>
        <v>0</v>
      </c>
      <c r="Q331" s="3">
        <f>parking_demand_data_2024_ver0!P331</f>
        <v>20</v>
      </c>
      <c r="R331" s="3">
        <f>parking_demand_data_2024_ver0!Q331</f>
        <v>0</v>
      </c>
      <c r="S331" s="3">
        <f>parking_demand_data_2024_ver0!R331</f>
        <v>0</v>
      </c>
      <c r="T331" s="3">
        <f>parking_demand_data_2024_ver0!S331</f>
        <v>0</v>
      </c>
    </row>
    <row r="332" spans="1:20" x14ac:dyDescent="0.25">
      <c r="A332">
        <v>18027</v>
      </c>
      <c r="B332" t="s">
        <v>42</v>
      </c>
      <c r="C332">
        <v>18</v>
      </c>
      <c r="D332" s="3">
        <f>parking_demand_data_2024_ver0!D332*calibration!$I$31</f>
        <v>16.005366726296899</v>
      </c>
      <c r="E332" s="3">
        <f>parking_demand_data_2024_ver0!E332*calibration!$I$31</f>
        <v>1.0697674418604599</v>
      </c>
      <c r="F332" s="3">
        <f t="shared" si="5"/>
        <v>17.075134168157359</v>
      </c>
      <c r="G332" s="3">
        <f>parking_demand_data_2024_ver0!F332</f>
        <v>2</v>
      </c>
      <c r="H332" s="3">
        <f>parking_demand_data_2024_ver0!G332</f>
        <v>0</v>
      </c>
      <c r="I332" s="3">
        <f>parking_demand_data_2024_ver0!H332</f>
        <v>0</v>
      </c>
      <c r="J332" s="3">
        <f>parking_demand_data_2024_ver0!I332</f>
        <v>2</v>
      </c>
      <c r="K332" s="3">
        <f>parking_demand_data_2024_ver0!J332</f>
        <v>0</v>
      </c>
      <c r="L332" s="3">
        <f>parking_demand_data_2024_ver0!K332</f>
        <v>0</v>
      </c>
      <c r="M332" s="3">
        <f>parking_demand_data_2024_ver0!L332</f>
        <v>0</v>
      </c>
      <c r="N332" s="3">
        <f>parking_demand_data_2024_ver0!M332</f>
        <v>20</v>
      </c>
      <c r="O332" s="3">
        <f>parking_demand_data_2024_ver0!N332</f>
        <v>0</v>
      </c>
      <c r="P332" s="3">
        <f>parking_demand_data_2024_ver0!O332</f>
        <v>0</v>
      </c>
      <c r="Q332" s="3">
        <f>parking_demand_data_2024_ver0!P332</f>
        <v>20</v>
      </c>
      <c r="R332" s="3">
        <f>parking_demand_data_2024_ver0!Q332</f>
        <v>0</v>
      </c>
      <c r="S332" s="3">
        <f>parking_demand_data_2024_ver0!R332</f>
        <v>0</v>
      </c>
      <c r="T332" s="3">
        <f>parking_demand_data_2024_ver0!S332</f>
        <v>0</v>
      </c>
    </row>
    <row r="333" spans="1:20" x14ac:dyDescent="0.25">
      <c r="A333">
        <v>18027</v>
      </c>
      <c r="B333" t="s">
        <v>42</v>
      </c>
      <c r="C333">
        <v>19</v>
      </c>
      <c r="D333" s="3">
        <f>parking_demand_data_2024_ver0!D333*calibration!$I$31</f>
        <v>17.075134168157401</v>
      </c>
      <c r="E333" s="3">
        <f>parking_demand_data_2024_ver0!E333*calibration!$I$31</f>
        <v>1.2343470483005301</v>
      </c>
      <c r="F333" s="3">
        <f t="shared" si="5"/>
        <v>18.309481216457932</v>
      </c>
      <c r="G333" s="3">
        <f>parking_demand_data_2024_ver0!F333</f>
        <v>2</v>
      </c>
      <c r="H333" s="3">
        <f>parking_demand_data_2024_ver0!G333</f>
        <v>0</v>
      </c>
      <c r="I333" s="3">
        <f>parking_demand_data_2024_ver0!H333</f>
        <v>0</v>
      </c>
      <c r="J333" s="3">
        <f>parking_demand_data_2024_ver0!I333</f>
        <v>2</v>
      </c>
      <c r="K333" s="3">
        <f>parking_demand_data_2024_ver0!J333</f>
        <v>0</v>
      </c>
      <c r="L333" s="3">
        <f>parking_demand_data_2024_ver0!K333</f>
        <v>0</v>
      </c>
      <c r="M333" s="3">
        <f>parking_demand_data_2024_ver0!L333</f>
        <v>0</v>
      </c>
      <c r="N333" s="3">
        <f>parking_demand_data_2024_ver0!M333</f>
        <v>20</v>
      </c>
      <c r="O333" s="3">
        <f>parking_demand_data_2024_ver0!N333</f>
        <v>0</v>
      </c>
      <c r="P333" s="3">
        <f>parking_demand_data_2024_ver0!O333</f>
        <v>0</v>
      </c>
      <c r="Q333" s="3">
        <f>parking_demand_data_2024_ver0!P333</f>
        <v>20</v>
      </c>
      <c r="R333" s="3">
        <f>parking_demand_data_2024_ver0!Q333</f>
        <v>0</v>
      </c>
      <c r="S333" s="3">
        <f>parking_demand_data_2024_ver0!R333</f>
        <v>0</v>
      </c>
      <c r="T333" s="3">
        <f>parking_demand_data_2024_ver0!S333</f>
        <v>0</v>
      </c>
    </row>
    <row r="334" spans="1:20" x14ac:dyDescent="0.25">
      <c r="A334">
        <v>18027</v>
      </c>
      <c r="B334" t="s">
        <v>42</v>
      </c>
      <c r="C334">
        <v>20</v>
      </c>
      <c r="D334" s="3">
        <f>parking_demand_data_2024_ver0!D334*calibration!$I$31</f>
        <v>18.2271914132379</v>
      </c>
      <c r="E334" s="3">
        <f>parking_demand_data_2024_ver0!E334*calibration!$I$31</f>
        <v>1.31663685152057</v>
      </c>
      <c r="F334" s="3">
        <f t="shared" si="5"/>
        <v>19.543828264758471</v>
      </c>
      <c r="G334" s="3">
        <f>parking_demand_data_2024_ver0!F334</f>
        <v>2</v>
      </c>
      <c r="H334" s="3">
        <f>parking_demand_data_2024_ver0!G334</f>
        <v>0</v>
      </c>
      <c r="I334" s="3">
        <f>parking_demand_data_2024_ver0!H334</f>
        <v>0</v>
      </c>
      <c r="J334" s="3">
        <f>parking_demand_data_2024_ver0!I334</f>
        <v>2</v>
      </c>
      <c r="K334" s="3">
        <f>parking_demand_data_2024_ver0!J334</f>
        <v>0</v>
      </c>
      <c r="L334" s="3">
        <f>parking_demand_data_2024_ver0!K334</f>
        <v>0</v>
      </c>
      <c r="M334" s="3">
        <f>parking_demand_data_2024_ver0!L334</f>
        <v>0</v>
      </c>
      <c r="N334" s="3">
        <f>parking_demand_data_2024_ver0!M334</f>
        <v>20</v>
      </c>
      <c r="O334" s="3">
        <f>parking_demand_data_2024_ver0!N334</f>
        <v>0</v>
      </c>
      <c r="P334" s="3">
        <f>parking_demand_data_2024_ver0!O334</f>
        <v>0</v>
      </c>
      <c r="Q334" s="3">
        <f>parking_demand_data_2024_ver0!P334</f>
        <v>20</v>
      </c>
      <c r="R334" s="3">
        <f>parking_demand_data_2024_ver0!Q334</f>
        <v>0</v>
      </c>
      <c r="S334" s="3">
        <f>parking_demand_data_2024_ver0!R334</f>
        <v>0</v>
      </c>
      <c r="T334" s="3">
        <f>parking_demand_data_2024_ver0!S334</f>
        <v>0</v>
      </c>
    </row>
    <row r="335" spans="1:20" x14ac:dyDescent="0.25">
      <c r="A335">
        <v>18027</v>
      </c>
      <c r="B335" t="s">
        <v>42</v>
      </c>
      <c r="C335">
        <v>21</v>
      </c>
      <c r="D335" s="3">
        <f>parking_demand_data_2024_ver0!D335*calibration!$I$31</f>
        <v>18.2683363148479</v>
      </c>
      <c r="E335" s="3">
        <f>parking_demand_data_2024_ver0!E335*calibration!$I$31</f>
        <v>1.6457960644007099</v>
      </c>
      <c r="F335" s="3">
        <f t="shared" si="5"/>
        <v>19.91413237924861</v>
      </c>
      <c r="G335" s="3">
        <f>parking_demand_data_2024_ver0!F335</f>
        <v>2</v>
      </c>
      <c r="H335" s="3">
        <f>parking_demand_data_2024_ver0!G335</f>
        <v>0</v>
      </c>
      <c r="I335" s="3">
        <f>parking_demand_data_2024_ver0!H335</f>
        <v>0</v>
      </c>
      <c r="J335" s="3">
        <f>parking_demand_data_2024_ver0!I335</f>
        <v>2</v>
      </c>
      <c r="K335" s="3">
        <f>parking_demand_data_2024_ver0!J335</f>
        <v>0</v>
      </c>
      <c r="L335" s="3">
        <f>parking_demand_data_2024_ver0!K335</f>
        <v>0</v>
      </c>
      <c r="M335" s="3">
        <f>parking_demand_data_2024_ver0!L335</f>
        <v>0</v>
      </c>
      <c r="N335" s="3">
        <f>parking_demand_data_2024_ver0!M335</f>
        <v>20</v>
      </c>
      <c r="O335" s="3">
        <f>parking_demand_data_2024_ver0!N335</f>
        <v>0</v>
      </c>
      <c r="P335" s="3">
        <f>parking_demand_data_2024_ver0!O335</f>
        <v>0</v>
      </c>
      <c r="Q335" s="3">
        <f>parking_demand_data_2024_ver0!P335</f>
        <v>20</v>
      </c>
      <c r="R335" s="3">
        <f>parking_demand_data_2024_ver0!Q335</f>
        <v>0</v>
      </c>
      <c r="S335" s="3">
        <f>parking_demand_data_2024_ver0!R335</f>
        <v>0</v>
      </c>
      <c r="T335" s="3">
        <f>parking_demand_data_2024_ver0!S335</f>
        <v>0</v>
      </c>
    </row>
    <row r="336" spans="1:20" x14ac:dyDescent="0.25">
      <c r="A336">
        <v>18027</v>
      </c>
      <c r="B336" t="s">
        <v>42</v>
      </c>
      <c r="C336">
        <v>22</v>
      </c>
      <c r="D336" s="3">
        <f>parking_demand_data_2024_ver0!D336*calibration!$I$31</f>
        <v>18.8032200357781</v>
      </c>
      <c r="E336" s="3">
        <f>parking_demand_data_2024_ver0!E336*calibration!$I$31</f>
        <v>1.8103756708407801</v>
      </c>
      <c r="F336" s="3">
        <f t="shared" si="5"/>
        <v>20.613595706618881</v>
      </c>
      <c r="G336" s="3">
        <f>parking_demand_data_2024_ver0!F336</f>
        <v>2</v>
      </c>
      <c r="H336" s="3">
        <f>parking_demand_data_2024_ver0!G336</f>
        <v>0</v>
      </c>
      <c r="I336" s="3">
        <f>parking_demand_data_2024_ver0!H336</f>
        <v>0</v>
      </c>
      <c r="J336" s="3">
        <f>parking_demand_data_2024_ver0!I336</f>
        <v>2</v>
      </c>
      <c r="K336" s="3">
        <f>parking_demand_data_2024_ver0!J336</f>
        <v>0</v>
      </c>
      <c r="L336" s="3">
        <f>parking_demand_data_2024_ver0!K336</f>
        <v>0</v>
      </c>
      <c r="M336" s="3">
        <f>parking_demand_data_2024_ver0!L336</f>
        <v>0</v>
      </c>
      <c r="N336" s="3">
        <f>parking_demand_data_2024_ver0!M336</f>
        <v>20</v>
      </c>
      <c r="O336" s="3">
        <f>parking_demand_data_2024_ver0!N336</f>
        <v>0</v>
      </c>
      <c r="P336" s="3">
        <f>parking_demand_data_2024_ver0!O336</f>
        <v>0</v>
      </c>
      <c r="Q336" s="3">
        <f>parking_demand_data_2024_ver0!P336</f>
        <v>20</v>
      </c>
      <c r="R336" s="3">
        <f>parking_demand_data_2024_ver0!Q336</f>
        <v>0</v>
      </c>
      <c r="S336" s="3">
        <f>parking_demand_data_2024_ver0!R336</f>
        <v>0</v>
      </c>
      <c r="T336" s="3">
        <f>parking_demand_data_2024_ver0!S336</f>
        <v>0</v>
      </c>
    </row>
    <row r="337" spans="1:20" x14ac:dyDescent="0.25">
      <c r="A337">
        <v>18027</v>
      </c>
      <c r="B337" t="s">
        <v>42</v>
      </c>
      <c r="C337">
        <v>23</v>
      </c>
      <c r="D337" s="3">
        <f>parking_demand_data_2024_ver0!D337*calibration!$I$31</f>
        <v>23</v>
      </c>
      <c r="E337" s="3">
        <f>parking_demand_data_2024_ver0!E337*calibration!$I$31</f>
        <v>2.3452593917710098</v>
      </c>
      <c r="F337" s="3">
        <f t="shared" si="5"/>
        <v>25.345259391771009</v>
      </c>
      <c r="G337" s="3">
        <f>parking_demand_data_2024_ver0!F337</f>
        <v>2</v>
      </c>
      <c r="H337" s="3">
        <f>parking_demand_data_2024_ver0!G337</f>
        <v>0</v>
      </c>
      <c r="I337" s="3">
        <f>parking_demand_data_2024_ver0!H337</f>
        <v>0</v>
      </c>
      <c r="J337" s="3">
        <f>parking_demand_data_2024_ver0!I337</f>
        <v>2</v>
      </c>
      <c r="K337" s="3">
        <f>parking_demand_data_2024_ver0!J337</f>
        <v>0</v>
      </c>
      <c r="L337" s="3">
        <f>parking_demand_data_2024_ver0!K337</f>
        <v>0</v>
      </c>
      <c r="M337" s="3">
        <f>parking_demand_data_2024_ver0!L337</f>
        <v>0</v>
      </c>
      <c r="N337" s="3">
        <f>parking_demand_data_2024_ver0!M337</f>
        <v>20</v>
      </c>
      <c r="O337" s="3">
        <f>parking_demand_data_2024_ver0!N337</f>
        <v>0</v>
      </c>
      <c r="P337" s="3">
        <f>parking_demand_data_2024_ver0!O337</f>
        <v>0</v>
      </c>
      <c r="Q337" s="3">
        <f>parking_demand_data_2024_ver0!P337</f>
        <v>20</v>
      </c>
      <c r="R337" s="3">
        <f>parking_demand_data_2024_ver0!Q337</f>
        <v>0</v>
      </c>
      <c r="S337" s="3">
        <f>parking_demand_data_2024_ver0!R337</f>
        <v>0</v>
      </c>
      <c r="T337" s="3">
        <f>parking_demand_data_2024_ver0!S337</f>
        <v>0</v>
      </c>
    </row>
    <row r="338" spans="1:20" x14ac:dyDescent="0.25">
      <c r="A338">
        <v>18029</v>
      </c>
      <c r="B338" t="s">
        <v>43</v>
      </c>
      <c r="C338">
        <v>0</v>
      </c>
      <c r="D338" s="3">
        <f>parking_demand_data_2024_ver0!D338*calibration!$I$31</f>
        <v>37.843210137808803</v>
      </c>
      <c r="E338" s="3">
        <f>parking_demand_data_2024_ver0!E338*calibration!$I$31</f>
        <v>3.6485606186676698</v>
      </c>
      <c r="F338" s="3">
        <f t="shared" si="5"/>
        <v>41.49177075647647</v>
      </c>
      <c r="G338" s="3">
        <f>parking_demand_data_2024_ver0!F338</f>
        <v>2</v>
      </c>
      <c r="H338" s="3">
        <f>parking_demand_data_2024_ver0!G338</f>
        <v>0</v>
      </c>
      <c r="I338" s="3">
        <f>parking_demand_data_2024_ver0!H338</f>
        <v>1</v>
      </c>
      <c r="J338" s="3">
        <f>parking_demand_data_2024_ver0!I338</f>
        <v>1</v>
      </c>
      <c r="K338" s="3">
        <f>parking_demand_data_2024_ver0!J338</f>
        <v>0</v>
      </c>
      <c r="L338" s="3">
        <f>parking_demand_data_2024_ver0!K338</f>
        <v>0</v>
      </c>
      <c r="M338" s="3">
        <f>parking_demand_data_2024_ver0!L338</f>
        <v>0</v>
      </c>
      <c r="N338" s="3">
        <f>parking_demand_data_2024_ver0!M338</f>
        <v>85</v>
      </c>
      <c r="O338" s="3">
        <f>parking_demand_data_2024_ver0!N338</f>
        <v>0</v>
      </c>
      <c r="P338" s="3">
        <f>parking_demand_data_2024_ver0!O338</f>
        <v>75</v>
      </c>
      <c r="Q338" s="3">
        <f>parking_demand_data_2024_ver0!P338</f>
        <v>10</v>
      </c>
      <c r="R338" s="3">
        <f>parking_demand_data_2024_ver0!Q338</f>
        <v>0</v>
      </c>
      <c r="S338" s="3">
        <f>parking_demand_data_2024_ver0!R338</f>
        <v>0</v>
      </c>
      <c r="T338" s="3">
        <f>parking_demand_data_2024_ver0!S338</f>
        <v>0</v>
      </c>
    </row>
    <row r="339" spans="1:20" x14ac:dyDescent="0.25">
      <c r="A339">
        <v>18029</v>
      </c>
      <c r="B339" t="s">
        <v>43</v>
      </c>
      <c r="C339">
        <v>1</v>
      </c>
      <c r="D339" s="3">
        <f>parking_demand_data_2024_ver0!D339*calibration!$I$31</f>
        <v>38.734137730739299</v>
      </c>
      <c r="E339" s="3">
        <f>parking_demand_data_2024_ver0!E339*calibration!$I$31</f>
        <v>4.4546379646523899</v>
      </c>
      <c r="F339" s="3">
        <f t="shared" si="5"/>
        <v>43.188775695391691</v>
      </c>
      <c r="G339" s="3">
        <f>parking_demand_data_2024_ver0!F339</f>
        <v>2</v>
      </c>
      <c r="H339" s="3">
        <f>parking_demand_data_2024_ver0!G339</f>
        <v>0</v>
      </c>
      <c r="I339" s="3">
        <f>parking_demand_data_2024_ver0!H339</f>
        <v>1</v>
      </c>
      <c r="J339" s="3">
        <f>parking_demand_data_2024_ver0!I339</f>
        <v>1</v>
      </c>
      <c r="K339" s="3">
        <f>parking_demand_data_2024_ver0!J339</f>
        <v>0</v>
      </c>
      <c r="L339" s="3">
        <f>parking_demand_data_2024_ver0!K339</f>
        <v>0</v>
      </c>
      <c r="M339" s="3">
        <f>parking_demand_data_2024_ver0!L339</f>
        <v>0</v>
      </c>
      <c r="N339" s="3">
        <f>parking_demand_data_2024_ver0!M339</f>
        <v>85</v>
      </c>
      <c r="O339" s="3">
        <f>parking_demand_data_2024_ver0!N339</f>
        <v>0</v>
      </c>
      <c r="P339" s="3">
        <f>parking_demand_data_2024_ver0!O339</f>
        <v>75</v>
      </c>
      <c r="Q339" s="3">
        <f>parking_demand_data_2024_ver0!P339</f>
        <v>10</v>
      </c>
      <c r="R339" s="3">
        <f>parking_demand_data_2024_ver0!Q339</f>
        <v>0</v>
      </c>
      <c r="S339" s="3">
        <f>parking_demand_data_2024_ver0!R339</f>
        <v>0</v>
      </c>
      <c r="T339" s="3">
        <f>parking_demand_data_2024_ver0!S339</f>
        <v>0</v>
      </c>
    </row>
    <row r="340" spans="1:20" x14ac:dyDescent="0.25">
      <c r="A340">
        <v>18029</v>
      </c>
      <c r="B340" t="s">
        <v>43</v>
      </c>
      <c r="C340">
        <v>2</v>
      </c>
      <c r="D340" s="3">
        <f>parking_demand_data_2024_ver0!D340*calibration!$I$31</f>
        <v>39.115963841995203</v>
      </c>
      <c r="E340" s="3">
        <f>parking_demand_data_2024_ver0!E340*calibration!$I$31</f>
        <v>4.5394882115981501</v>
      </c>
      <c r="F340" s="3">
        <f t="shared" si="5"/>
        <v>43.655452053593351</v>
      </c>
      <c r="G340" s="3">
        <f>parking_demand_data_2024_ver0!F340</f>
        <v>2</v>
      </c>
      <c r="H340" s="3">
        <f>parking_demand_data_2024_ver0!G340</f>
        <v>0</v>
      </c>
      <c r="I340" s="3">
        <f>parking_demand_data_2024_ver0!H340</f>
        <v>1</v>
      </c>
      <c r="J340" s="3">
        <f>parking_demand_data_2024_ver0!I340</f>
        <v>1</v>
      </c>
      <c r="K340" s="3">
        <f>parking_demand_data_2024_ver0!J340</f>
        <v>0</v>
      </c>
      <c r="L340" s="3">
        <f>parking_demand_data_2024_ver0!K340</f>
        <v>0</v>
      </c>
      <c r="M340" s="3">
        <f>parking_demand_data_2024_ver0!L340</f>
        <v>0</v>
      </c>
      <c r="N340" s="3">
        <f>parking_demand_data_2024_ver0!M340</f>
        <v>85</v>
      </c>
      <c r="O340" s="3">
        <f>parking_demand_data_2024_ver0!N340</f>
        <v>0</v>
      </c>
      <c r="P340" s="3">
        <f>parking_demand_data_2024_ver0!O340</f>
        <v>75</v>
      </c>
      <c r="Q340" s="3">
        <f>parking_demand_data_2024_ver0!P340</f>
        <v>10</v>
      </c>
      <c r="R340" s="3">
        <f>parking_demand_data_2024_ver0!Q340</f>
        <v>0</v>
      </c>
      <c r="S340" s="3">
        <f>parking_demand_data_2024_ver0!R340</f>
        <v>0</v>
      </c>
      <c r="T340" s="3">
        <f>parking_demand_data_2024_ver0!S340</f>
        <v>0</v>
      </c>
    </row>
    <row r="341" spans="1:20" x14ac:dyDescent="0.25">
      <c r="A341">
        <v>18029</v>
      </c>
      <c r="B341" t="s">
        <v>43</v>
      </c>
      <c r="C341">
        <v>3</v>
      </c>
      <c r="D341" s="3">
        <f>parking_demand_data_2024_ver0!D341*calibration!$I$31</f>
        <v>39.158388965468099</v>
      </c>
      <c r="E341" s="3">
        <f>parking_demand_data_2024_ver0!E341*calibration!$I$31</f>
        <v>4.8364640759083004</v>
      </c>
      <c r="F341" s="3">
        <f t="shared" si="5"/>
        <v>43.994853041376402</v>
      </c>
      <c r="G341" s="3">
        <f>parking_demand_data_2024_ver0!F341</f>
        <v>2</v>
      </c>
      <c r="H341" s="3">
        <f>parking_demand_data_2024_ver0!G341</f>
        <v>0</v>
      </c>
      <c r="I341" s="3">
        <f>parking_demand_data_2024_ver0!H341</f>
        <v>1</v>
      </c>
      <c r="J341" s="3">
        <f>parking_demand_data_2024_ver0!I341</f>
        <v>1</v>
      </c>
      <c r="K341" s="3">
        <f>parking_demand_data_2024_ver0!J341</f>
        <v>0</v>
      </c>
      <c r="L341" s="3">
        <f>parking_demand_data_2024_ver0!K341</f>
        <v>0</v>
      </c>
      <c r="M341" s="3">
        <f>parking_demand_data_2024_ver0!L341</f>
        <v>0</v>
      </c>
      <c r="N341" s="3">
        <f>parking_demand_data_2024_ver0!M341</f>
        <v>85</v>
      </c>
      <c r="O341" s="3">
        <f>parking_demand_data_2024_ver0!N341</f>
        <v>0</v>
      </c>
      <c r="P341" s="3">
        <f>parking_demand_data_2024_ver0!O341</f>
        <v>75</v>
      </c>
      <c r="Q341" s="3">
        <f>parking_demand_data_2024_ver0!P341</f>
        <v>10</v>
      </c>
      <c r="R341" s="3">
        <f>parking_demand_data_2024_ver0!Q341</f>
        <v>0</v>
      </c>
      <c r="S341" s="3">
        <f>parking_demand_data_2024_ver0!R341</f>
        <v>0</v>
      </c>
      <c r="T341" s="3">
        <f>parking_demand_data_2024_ver0!S341</f>
        <v>0</v>
      </c>
    </row>
    <row r="342" spans="1:20" x14ac:dyDescent="0.25">
      <c r="A342">
        <v>18029</v>
      </c>
      <c r="B342" t="s">
        <v>43</v>
      </c>
      <c r="C342">
        <v>4</v>
      </c>
      <c r="D342" s="3">
        <f>parking_demand_data_2024_ver0!D342*calibration!$I$31</f>
        <v>39.243239212413897</v>
      </c>
      <c r="E342" s="3">
        <f>parking_demand_data_2024_ver0!E342*calibration!$I$31</f>
        <v>5.4728409280015002</v>
      </c>
      <c r="F342" s="3">
        <f t="shared" si="5"/>
        <v>44.7160801404154</v>
      </c>
      <c r="G342" s="3">
        <f>parking_demand_data_2024_ver0!F342</f>
        <v>2</v>
      </c>
      <c r="H342" s="3">
        <f>parking_demand_data_2024_ver0!G342</f>
        <v>0</v>
      </c>
      <c r="I342" s="3">
        <f>parking_demand_data_2024_ver0!H342</f>
        <v>1</v>
      </c>
      <c r="J342" s="3">
        <f>parking_demand_data_2024_ver0!I342</f>
        <v>1</v>
      </c>
      <c r="K342" s="3">
        <f>parking_demand_data_2024_ver0!J342</f>
        <v>0</v>
      </c>
      <c r="L342" s="3">
        <f>parking_demand_data_2024_ver0!K342</f>
        <v>0</v>
      </c>
      <c r="M342" s="3">
        <f>parking_demand_data_2024_ver0!L342</f>
        <v>0</v>
      </c>
      <c r="N342" s="3">
        <f>parking_demand_data_2024_ver0!M342</f>
        <v>85</v>
      </c>
      <c r="O342" s="3">
        <f>parking_demand_data_2024_ver0!N342</f>
        <v>0</v>
      </c>
      <c r="P342" s="3">
        <f>parking_demand_data_2024_ver0!O342</f>
        <v>75</v>
      </c>
      <c r="Q342" s="3">
        <f>parking_demand_data_2024_ver0!P342</f>
        <v>10</v>
      </c>
      <c r="R342" s="3">
        <f>parking_demand_data_2024_ver0!Q342</f>
        <v>0</v>
      </c>
      <c r="S342" s="3">
        <f>parking_demand_data_2024_ver0!R342</f>
        <v>0</v>
      </c>
      <c r="T342" s="3">
        <f>parking_demand_data_2024_ver0!S342</f>
        <v>0</v>
      </c>
    </row>
    <row r="343" spans="1:20" x14ac:dyDescent="0.25">
      <c r="A343">
        <v>18029</v>
      </c>
      <c r="B343" t="s">
        <v>43</v>
      </c>
      <c r="C343">
        <v>5</v>
      </c>
      <c r="D343" s="3">
        <f>parking_demand_data_2024_ver0!D343*calibration!$I$31</f>
        <v>40.091741681871497</v>
      </c>
      <c r="E343" s="3">
        <f>parking_demand_data_2024_ver0!E343*calibration!$I$31</f>
        <v>6.9577202495522998</v>
      </c>
      <c r="F343" s="3">
        <f t="shared" si="5"/>
        <v>47.049461931423799</v>
      </c>
      <c r="G343" s="3">
        <f>parking_demand_data_2024_ver0!F343</f>
        <v>2</v>
      </c>
      <c r="H343" s="3">
        <f>parking_demand_data_2024_ver0!G343</f>
        <v>0</v>
      </c>
      <c r="I343" s="3">
        <f>parking_demand_data_2024_ver0!H343</f>
        <v>1</v>
      </c>
      <c r="J343" s="3">
        <f>parking_demand_data_2024_ver0!I343</f>
        <v>1</v>
      </c>
      <c r="K343" s="3">
        <f>parking_demand_data_2024_ver0!J343</f>
        <v>0</v>
      </c>
      <c r="L343" s="3">
        <f>parking_demand_data_2024_ver0!K343</f>
        <v>0</v>
      </c>
      <c r="M343" s="3">
        <f>parking_demand_data_2024_ver0!L343</f>
        <v>0</v>
      </c>
      <c r="N343" s="3">
        <f>parking_demand_data_2024_ver0!M343</f>
        <v>85</v>
      </c>
      <c r="O343" s="3">
        <f>parking_demand_data_2024_ver0!N343</f>
        <v>0</v>
      </c>
      <c r="P343" s="3">
        <f>parking_demand_data_2024_ver0!O343</f>
        <v>75</v>
      </c>
      <c r="Q343" s="3">
        <f>parking_demand_data_2024_ver0!P343</f>
        <v>10</v>
      </c>
      <c r="R343" s="3">
        <f>parking_demand_data_2024_ver0!Q343</f>
        <v>0</v>
      </c>
      <c r="S343" s="3">
        <f>parking_demand_data_2024_ver0!R343</f>
        <v>0</v>
      </c>
      <c r="T343" s="3">
        <f>parking_demand_data_2024_ver0!S343</f>
        <v>0</v>
      </c>
    </row>
    <row r="344" spans="1:20" x14ac:dyDescent="0.25">
      <c r="A344">
        <v>18029</v>
      </c>
      <c r="B344" t="s">
        <v>43</v>
      </c>
      <c r="C344">
        <v>6</v>
      </c>
      <c r="D344" s="3">
        <f>parking_demand_data_2024_ver0!D344*calibration!$I$31</f>
        <v>40.091741681871497</v>
      </c>
      <c r="E344" s="3">
        <f>parking_demand_data_2024_ver0!E344*calibration!$I$31</f>
        <v>11.751759201987699</v>
      </c>
      <c r="F344" s="3">
        <f t="shared" si="5"/>
        <v>51.843500883859193</v>
      </c>
      <c r="G344" s="3">
        <f>parking_demand_data_2024_ver0!F344</f>
        <v>2</v>
      </c>
      <c r="H344" s="3">
        <f>parking_demand_data_2024_ver0!G344</f>
        <v>0</v>
      </c>
      <c r="I344" s="3">
        <f>parking_demand_data_2024_ver0!H344</f>
        <v>1</v>
      </c>
      <c r="J344" s="3">
        <f>parking_demand_data_2024_ver0!I344</f>
        <v>1</v>
      </c>
      <c r="K344" s="3">
        <f>parking_demand_data_2024_ver0!J344</f>
        <v>0</v>
      </c>
      <c r="L344" s="3">
        <f>parking_demand_data_2024_ver0!K344</f>
        <v>0</v>
      </c>
      <c r="M344" s="3">
        <f>parking_demand_data_2024_ver0!L344</f>
        <v>0</v>
      </c>
      <c r="N344" s="3">
        <f>parking_demand_data_2024_ver0!M344</f>
        <v>85</v>
      </c>
      <c r="O344" s="3">
        <f>parking_demand_data_2024_ver0!N344</f>
        <v>0</v>
      </c>
      <c r="P344" s="3">
        <f>parking_demand_data_2024_ver0!O344</f>
        <v>75</v>
      </c>
      <c r="Q344" s="3">
        <f>parking_demand_data_2024_ver0!P344</f>
        <v>10</v>
      </c>
      <c r="R344" s="3">
        <f>parking_demand_data_2024_ver0!Q344</f>
        <v>0</v>
      </c>
      <c r="S344" s="3">
        <f>parking_demand_data_2024_ver0!R344</f>
        <v>0</v>
      </c>
      <c r="T344" s="3">
        <f>parking_demand_data_2024_ver0!S344</f>
        <v>0</v>
      </c>
    </row>
    <row r="345" spans="1:20" x14ac:dyDescent="0.25">
      <c r="A345">
        <v>18029</v>
      </c>
      <c r="B345" t="s">
        <v>43</v>
      </c>
      <c r="C345">
        <v>7</v>
      </c>
      <c r="D345" s="3">
        <f>parking_demand_data_2024_ver0!D345*calibration!$I$31</f>
        <v>37.334108656134298</v>
      </c>
      <c r="E345" s="3">
        <f>parking_demand_data_2024_ver0!E345*calibration!$I$31</f>
        <v>13.660889758267301</v>
      </c>
      <c r="F345" s="3">
        <f t="shared" si="5"/>
        <v>50.9949984144016</v>
      </c>
      <c r="G345" s="3">
        <f>parking_demand_data_2024_ver0!F345</f>
        <v>2</v>
      </c>
      <c r="H345" s="3">
        <f>parking_demand_data_2024_ver0!G345</f>
        <v>0</v>
      </c>
      <c r="I345" s="3">
        <f>parking_demand_data_2024_ver0!H345</f>
        <v>1</v>
      </c>
      <c r="J345" s="3">
        <f>parking_demand_data_2024_ver0!I345</f>
        <v>1</v>
      </c>
      <c r="K345" s="3">
        <f>parking_demand_data_2024_ver0!J345</f>
        <v>0</v>
      </c>
      <c r="L345" s="3">
        <f>parking_demand_data_2024_ver0!K345</f>
        <v>0</v>
      </c>
      <c r="M345" s="3">
        <f>parking_demand_data_2024_ver0!L345</f>
        <v>0</v>
      </c>
      <c r="N345" s="3">
        <f>parking_demand_data_2024_ver0!M345</f>
        <v>85</v>
      </c>
      <c r="O345" s="3">
        <f>parking_demand_data_2024_ver0!N345</f>
        <v>0</v>
      </c>
      <c r="P345" s="3">
        <f>parking_demand_data_2024_ver0!O345</f>
        <v>75</v>
      </c>
      <c r="Q345" s="3">
        <f>parking_demand_data_2024_ver0!P345</f>
        <v>10</v>
      </c>
      <c r="R345" s="3">
        <f>parking_demand_data_2024_ver0!Q345</f>
        <v>0</v>
      </c>
      <c r="S345" s="3">
        <f>parking_demand_data_2024_ver0!R345</f>
        <v>0</v>
      </c>
      <c r="T345" s="3">
        <f>parking_demand_data_2024_ver0!S345</f>
        <v>0</v>
      </c>
    </row>
    <row r="346" spans="1:20" x14ac:dyDescent="0.25">
      <c r="A346">
        <v>18029</v>
      </c>
      <c r="B346" t="s">
        <v>43</v>
      </c>
      <c r="C346">
        <v>8</v>
      </c>
      <c r="D346" s="3">
        <f>parking_demand_data_2024_ver0!D346*calibration!$I$31</f>
        <v>29.9097120483803</v>
      </c>
      <c r="E346" s="3">
        <f>parking_demand_data_2024_ver0!E346*calibration!$I$31</f>
        <v>10.309305003909801</v>
      </c>
      <c r="F346" s="3">
        <f t="shared" si="5"/>
        <v>40.219017052290098</v>
      </c>
      <c r="G346" s="3">
        <f>parking_demand_data_2024_ver0!F346</f>
        <v>2</v>
      </c>
      <c r="H346" s="3">
        <f>parking_demand_data_2024_ver0!G346</f>
        <v>0</v>
      </c>
      <c r="I346" s="3">
        <f>parking_demand_data_2024_ver0!H346</f>
        <v>1</v>
      </c>
      <c r="J346" s="3">
        <f>parking_demand_data_2024_ver0!I346</f>
        <v>1</v>
      </c>
      <c r="K346" s="3">
        <f>parking_demand_data_2024_ver0!J346</f>
        <v>0</v>
      </c>
      <c r="L346" s="3">
        <f>parking_demand_data_2024_ver0!K346</f>
        <v>0</v>
      </c>
      <c r="M346" s="3">
        <f>parking_demand_data_2024_ver0!L346</f>
        <v>0</v>
      </c>
      <c r="N346" s="3">
        <f>parking_demand_data_2024_ver0!M346</f>
        <v>85</v>
      </c>
      <c r="O346" s="3">
        <f>parking_demand_data_2024_ver0!N346</f>
        <v>0</v>
      </c>
      <c r="P346" s="3">
        <f>parking_demand_data_2024_ver0!O346</f>
        <v>75</v>
      </c>
      <c r="Q346" s="3">
        <f>parking_demand_data_2024_ver0!P346</f>
        <v>10</v>
      </c>
      <c r="R346" s="3">
        <f>parking_demand_data_2024_ver0!Q346</f>
        <v>0</v>
      </c>
      <c r="S346" s="3">
        <f>parking_demand_data_2024_ver0!R346</f>
        <v>0</v>
      </c>
      <c r="T346" s="3">
        <f>parking_demand_data_2024_ver0!S346</f>
        <v>0</v>
      </c>
    </row>
    <row r="347" spans="1:20" x14ac:dyDescent="0.25">
      <c r="A347">
        <v>18029</v>
      </c>
      <c r="B347" t="s">
        <v>43</v>
      </c>
      <c r="C347">
        <v>9</v>
      </c>
      <c r="D347" s="3">
        <f>parking_demand_data_2024_ver0!D347*calibration!$I$31</f>
        <v>25.158098219417699</v>
      </c>
      <c r="E347" s="3">
        <f>parking_demand_data_2024_ver0!E347*calibration!$I$31</f>
        <v>8.2304739537387004</v>
      </c>
      <c r="F347" s="3">
        <f t="shared" si="5"/>
        <v>33.388572173156398</v>
      </c>
      <c r="G347" s="3">
        <f>parking_demand_data_2024_ver0!F347</f>
        <v>2</v>
      </c>
      <c r="H347" s="3">
        <f>parking_demand_data_2024_ver0!G347</f>
        <v>0</v>
      </c>
      <c r="I347" s="3">
        <f>parking_demand_data_2024_ver0!H347</f>
        <v>1</v>
      </c>
      <c r="J347" s="3">
        <f>parking_demand_data_2024_ver0!I347</f>
        <v>1</v>
      </c>
      <c r="K347" s="3">
        <f>parking_demand_data_2024_ver0!J347</f>
        <v>0</v>
      </c>
      <c r="L347" s="3">
        <f>parking_demand_data_2024_ver0!K347</f>
        <v>0</v>
      </c>
      <c r="M347" s="3">
        <f>parking_demand_data_2024_ver0!L347</f>
        <v>0</v>
      </c>
      <c r="N347" s="3">
        <f>parking_demand_data_2024_ver0!M347</f>
        <v>85</v>
      </c>
      <c r="O347" s="3">
        <f>parking_demand_data_2024_ver0!N347</f>
        <v>0</v>
      </c>
      <c r="P347" s="3">
        <f>parking_demand_data_2024_ver0!O347</f>
        <v>75</v>
      </c>
      <c r="Q347" s="3">
        <f>parking_demand_data_2024_ver0!P347</f>
        <v>10</v>
      </c>
      <c r="R347" s="3">
        <f>parking_demand_data_2024_ver0!Q347</f>
        <v>0</v>
      </c>
      <c r="S347" s="3">
        <f>parking_demand_data_2024_ver0!R347</f>
        <v>0</v>
      </c>
      <c r="T347" s="3">
        <f>parking_demand_data_2024_ver0!S347</f>
        <v>0</v>
      </c>
    </row>
    <row r="348" spans="1:20" x14ac:dyDescent="0.25">
      <c r="A348">
        <v>18029</v>
      </c>
      <c r="B348" t="s">
        <v>43</v>
      </c>
      <c r="C348">
        <v>10</v>
      </c>
      <c r="D348" s="3">
        <f>parking_demand_data_2024_ver0!D348*calibration!$I$31</f>
        <v>23.758069144812701</v>
      </c>
      <c r="E348" s="3">
        <f>parking_demand_data_2024_ver0!E348*calibration!$I$31</f>
        <v>6.9152951260794202</v>
      </c>
      <c r="F348" s="3">
        <f t="shared" si="5"/>
        <v>30.673364270892122</v>
      </c>
      <c r="G348" s="3">
        <f>parking_demand_data_2024_ver0!F348</f>
        <v>2</v>
      </c>
      <c r="H348" s="3">
        <f>parking_demand_data_2024_ver0!G348</f>
        <v>0</v>
      </c>
      <c r="I348" s="3">
        <f>parking_demand_data_2024_ver0!H348</f>
        <v>1</v>
      </c>
      <c r="J348" s="3">
        <f>parking_demand_data_2024_ver0!I348</f>
        <v>1</v>
      </c>
      <c r="K348" s="3">
        <f>parking_demand_data_2024_ver0!J348</f>
        <v>0</v>
      </c>
      <c r="L348" s="3">
        <f>parking_demand_data_2024_ver0!K348</f>
        <v>0</v>
      </c>
      <c r="M348" s="3">
        <f>parking_demand_data_2024_ver0!L348</f>
        <v>0</v>
      </c>
      <c r="N348" s="3">
        <f>parking_demand_data_2024_ver0!M348</f>
        <v>85</v>
      </c>
      <c r="O348" s="3">
        <f>parking_demand_data_2024_ver0!N348</f>
        <v>0</v>
      </c>
      <c r="P348" s="3">
        <f>parking_demand_data_2024_ver0!O348</f>
        <v>75</v>
      </c>
      <c r="Q348" s="3">
        <f>parking_demand_data_2024_ver0!P348</f>
        <v>10</v>
      </c>
      <c r="R348" s="3">
        <f>parking_demand_data_2024_ver0!Q348</f>
        <v>0</v>
      </c>
      <c r="S348" s="3">
        <f>parking_demand_data_2024_ver0!R348</f>
        <v>0</v>
      </c>
      <c r="T348" s="3">
        <f>parking_demand_data_2024_ver0!S348</f>
        <v>0</v>
      </c>
    </row>
    <row r="349" spans="1:20" x14ac:dyDescent="0.25">
      <c r="A349">
        <v>18029</v>
      </c>
      <c r="B349" t="s">
        <v>43</v>
      </c>
      <c r="C349">
        <v>11</v>
      </c>
      <c r="D349" s="3">
        <f>parking_demand_data_2024_ver0!D349*calibration!$I$31</f>
        <v>22.739866181463601</v>
      </c>
      <c r="E349" s="3">
        <f>parking_demand_data_2024_ver0!E349*calibration!$I$31</f>
        <v>6.9577202495522998</v>
      </c>
      <c r="F349" s="3">
        <f t="shared" si="5"/>
        <v>29.6975864310159</v>
      </c>
      <c r="G349" s="3">
        <f>parking_demand_data_2024_ver0!F349</f>
        <v>2</v>
      </c>
      <c r="H349" s="3">
        <f>parking_demand_data_2024_ver0!G349</f>
        <v>0</v>
      </c>
      <c r="I349" s="3">
        <f>parking_demand_data_2024_ver0!H349</f>
        <v>1</v>
      </c>
      <c r="J349" s="3">
        <f>parking_demand_data_2024_ver0!I349</f>
        <v>1</v>
      </c>
      <c r="K349" s="3">
        <f>parking_demand_data_2024_ver0!J349</f>
        <v>0</v>
      </c>
      <c r="L349" s="3">
        <f>parking_demand_data_2024_ver0!K349</f>
        <v>0</v>
      </c>
      <c r="M349" s="3">
        <f>parking_demand_data_2024_ver0!L349</f>
        <v>0</v>
      </c>
      <c r="N349" s="3">
        <f>parking_demand_data_2024_ver0!M349</f>
        <v>85</v>
      </c>
      <c r="O349" s="3">
        <f>parking_demand_data_2024_ver0!N349</f>
        <v>0</v>
      </c>
      <c r="P349" s="3">
        <f>parking_demand_data_2024_ver0!O349</f>
        <v>75</v>
      </c>
      <c r="Q349" s="3">
        <f>parking_demand_data_2024_ver0!P349</f>
        <v>10</v>
      </c>
      <c r="R349" s="3">
        <f>parking_demand_data_2024_ver0!Q349</f>
        <v>0</v>
      </c>
      <c r="S349" s="3">
        <f>parking_demand_data_2024_ver0!R349</f>
        <v>0</v>
      </c>
      <c r="T349" s="3">
        <f>parking_demand_data_2024_ver0!S349</f>
        <v>0</v>
      </c>
    </row>
    <row r="350" spans="1:20" x14ac:dyDescent="0.25">
      <c r="A350">
        <v>18029</v>
      </c>
      <c r="B350" t="s">
        <v>43</v>
      </c>
      <c r="C350">
        <v>12</v>
      </c>
      <c r="D350" s="3">
        <f>parking_demand_data_2024_ver0!D350*calibration!$I$31</f>
        <v>21.170136612966999</v>
      </c>
      <c r="E350" s="3">
        <f>parking_demand_data_2024_ver0!E350*calibration!$I$31</f>
        <v>6.3213433974591</v>
      </c>
      <c r="F350" s="3">
        <f t="shared" si="5"/>
        <v>27.491480010426098</v>
      </c>
      <c r="G350" s="3">
        <f>parking_demand_data_2024_ver0!F350</f>
        <v>2</v>
      </c>
      <c r="H350" s="3">
        <f>parking_demand_data_2024_ver0!G350</f>
        <v>0</v>
      </c>
      <c r="I350" s="3">
        <f>parking_demand_data_2024_ver0!H350</f>
        <v>1</v>
      </c>
      <c r="J350" s="3">
        <f>parking_demand_data_2024_ver0!I350</f>
        <v>1</v>
      </c>
      <c r="K350" s="3">
        <f>parking_demand_data_2024_ver0!J350</f>
        <v>0</v>
      </c>
      <c r="L350" s="3">
        <f>parking_demand_data_2024_ver0!K350</f>
        <v>0</v>
      </c>
      <c r="M350" s="3">
        <f>parking_demand_data_2024_ver0!L350</f>
        <v>0</v>
      </c>
      <c r="N350" s="3">
        <f>parking_demand_data_2024_ver0!M350</f>
        <v>85</v>
      </c>
      <c r="O350" s="3">
        <f>parking_demand_data_2024_ver0!N350</f>
        <v>0</v>
      </c>
      <c r="P350" s="3">
        <f>parking_demand_data_2024_ver0!O350</f>
        <v>75</v>
      </c>
      <c r="Q350" s="3">
        <f>parking_demand_data_2024_ver0!P350</f>
        <v>10</v>
      </c>
      <c r="R350" s="3">
        <f>parking_demand_data_2024_ver0!Q350</f>
        <v>0</v>
      </c>
      <c r="S350" s="3">
        <f>parking_demand_data_2024_ver0!R350</f>
        <v>0</v>
      </c>
      <c r="T350" s="3">
        <f>parking_demand_data_2024_ver0!S350</f>
        <v>0</v>
      </c>
    </row>
    <row r="351" spans="1:20" x14ac:dyDescent="0.25">
      <c r="A351">
        <v>18029</v>
      </c>
      <c r="B351" t="s">
        <v>43</v>
      </c>
      <c r="C351">
        <v>13</v>
      </c>
      <c r="D351" s="3">
        <f>parking_demand_data_2024_ver0!D351*calibration!$I$31</f>
        <v>20.745885378238199</v>
      </c>
      <c r="E351" s="3">
        <f>parking_demand_data_2024_ver0!E351*calibration!$I$31</f>
        <v>4.4546379646523899</v>
      </c>
      <c r="F351" s="3">
        <f t="shared" si="5"/>
        <v>25.200523342890591</v>
      </c>
      <c r="G351" s="3">
        <f>parking_demand_data_2024_ver0!F351</f>
        <v>2</v>
      </c>
      <c r="H351" s="3">
        <f>parking_demand_data_2024_ver0!G351</f>
        <v>0</v>
      </c>
      <c r="I351" s="3">
        <f>parking_demand_data_2024_ver0!H351</f>
        <v>1</v>
      </c>
      <c r="J351" s="3">
        <f>parking_demand_data_2024_ver0!I351</f>
        <v>1</v>
      </c>
      <c r="K351" s="3">
        <f>parking_demand_data_2024_ver0!J351</f>
        <v>0</v>
      </c>
      <c r="L351" s="3">
        <f>parking_demand_data_2024_ver0!K351</f>
        <v>0</v>
      </c>
      <c r="M351" s="3">
        <f>parking_demand_data_2024_ver0!L351</f>
        <v>0</v>
      </c>
      <c r="N351" s="3">
        <f>parking_demand_data_2024_ver0!M351</f>
        <v>85</v>
      </c>
      <c r="O351" s="3">
        <f>parking_demand_data_2024_ver0!N351</f>
        <v>0</v>
      </c>
      <c r="P351" s="3">
        <f>parking_demand_data_2024_ver0!O351</f>
        <v>75</v>
      </c>
      <c r="Q351" s="3">
        <f>parking_demand_data_2024_ver0!P351</f>
        <v>10</v>
      </c>
      <c r="R351" s="3">
        <f>parking_demand_data_2024_ver0!Q351</f>
        <v>0</v>
      </c>
      <c r="S351" s="3">
        <f>parking_demand_data_2024_ver0!R351</f>
        <v>0</v>
      </c>
      <c r="T351" s="3">
        <f>parking_demand_data_2024_ver0!S351</f>
        <v>0</v>
      </c>
    </row>
    <row r="352" spans="1:20" x14ac:dyDescent="0.25">
      <c r="A352">
        <v>18029</v>
      </c>
      <c r="B352" t="s">
        <v>43</v>
      </c>
      <c r="C352">
        <v>14</v>
      </c>
      <c r="D352" s="3">
        <f>parking_demand_data_2024_ver0!D352*calibration!$I$31</f>
        <v>20.0670834026721</v>
      </c>
      <c r="E352" s="3">
        <f>parking_demand_data_2024_ver0!E352*calibration!$I$31</f>
        <v>2.9273335196287098</v>
      </c>
      <c r="F352" s="3">
        <f t="shared" si="5"/>
        <v>22.994416922300811</v>
      </c>
      <c r="G352" s="3">
        <f>parking_demand_data_2024_ver0!F352</f>
        <v>2</v>
      </c>
      <c r="H352" s="3">
        <f>parking_demand_data_2024_ver0!G352</f>
        <v>0</v>
      </c>
      <c r="I352" s="3">
        <f>parking_demand_data_2024_ver0!H352</f>
        <v>1</v>
      </c>
      <c r="J352" s="3">
        <f>parking_demand_data_2024_ver0!I352</f>
        <v>1</v>
      </c>
      <c r="K352" s="3">
        <f>parking_demand_data_2024_ver0!J352</f>
        <v>0</v>
      </c>
      <c r="L352" s="3">
        <f>parking_demand_data_2024_ver0!K352</f>
        <v>0</v>
      </c>
      <c r="M352" s="3">
        <f>parking_demand_data_2024_ver0!L352</f>
        <v>0</v>
      </c>
      <c r="N352" s="3">
        <f>parking_demand_data_2024_ver0!M352</f>
        <v>85</v>
      </c>
      <c r="O352" s="3">
        <f>parking_demand_data_2024_ver0!N352</f>
        <v>0</v>
      </c>
      <c r="P352" s="3">
        <f>parking_demand_data_2024_ver0!O352</f>
        <v>75</v>
      </c>
      <c r="Q352" s="3">
        <f>parking_demand_data_2024_ver0!P352</f>
        <v>10</v>
      </c>
      <c r="R352" s="3">
        <f>parking_demand_data_2024_ver0!Q352</f>
        <v>0</v>
      </c>
      <c r="S352" s="3">
        <f>parking_demand_data_2024_ver0!R352</f>
        <v>0</v>
      </c>
      <c r="T352" s="3">
        <f>parking_demand_data_2024_ver0!S352</f>
        <v>0</v>
      </c>
    </row>
    <row r="353" spans="1:20" x14ac:dyDescent="0.25">
      <c r="A353">
        <v>18029</v>
      </c>
      <c r="B353" t="s">
        <v>43</v>
      </c>
      <c r="C353">
        <v>15</v>
      </c>
      <c r="D353" s="3">
        <f>parking_demand_data_2024_ver0!D353*calibration!$I$31</f>
        <v>19.8973829087806</v>
      </c>
      <c r="E353" s="3">
        <f>parking_demand_data_2024_ver0!E353*calibration!$I$31</f>
        <v>2.7152079022643099</v>
      </c>
      <c r="F353" s="3">
        <f t="shared" si="5"/>
        <v>22.61259081104491</v>
      </c>
      <c r="G353" s="3">
        <f>parking_demand_data_2024_ver0!F353</f>
        <v>2</v>
      </c>
      <c r="H353" s="3">
        <f>parking_demand_data_2024_ver0!G353</f>
        <v>0</v>
      </c>
      <c r="I353" s="3">
        <f>parking_demand_data_2024_ver0!H353</f>
        <v>1</v>
      </c>
      <c r="J353" s="3">
        <f>parking_demand_data_2024_ver0!I353</f>
        <v>1</v>
      </c>
      <c r="K353" s="3">
        <f>parking_demand_data_2024_ver0!J353</f>
        <v>0</v>
      </c>
      <c r="L353" s="3">
        <f>parking_demand_data_2024_ver0!K353</f>
        <v>0</v>
      </c>
      <c r="M353" s="3">
        <f>parking_demand_data_2024_ver0!L353</f>
        <v>0</v>
      </c>
      <c r="N353" s="3">
        <f>parking_demand_data_2024_ver0!M353</f>
        <v>85</v>
      </c>
      <c r="O353" s="3">
        <f>parking_demand_data_2024_ver0!N353</f>
        <v>0</v>
      </c>
      <c r="P353" s="3">
        <f>parking_demand_data_2024_ver0!O353</f>
        <v>75</v>
      </c>
      <c r="Q353" s="3">
        <f>parking_demand_data_2024_ver0!P353</f>
        <v>10</v>
      </c>
      <c r="R353" s="3">
        <f>parking_demand_data_2024_ver0!Q353</f>
        <v>0</v>
      </c>
      <c r="S353" s="3">
        <f>parking_demand_data_2024_ver0!R353</f>
        <v>0</v>
      </c>
      <c r="T353" s="3">
        <f>parking_demand_data_2024_ver0!S353</f>
        <v>0</v>
      </c>
    </row>
    <row r="354" spans="1:20" x14ac:dyDescent="0.25">
      <c r="A354">
        <v>18029</v>
      </c>
      <c r="B354" t="s">
        <v>43</v>
      </c>
      <c r="C354">
        <v>16</v>
      </c>
      <c r="D354" s="3">
        <f>parking_demand_data_2024_ver0!D354*calibration!$I$31</f>
        <v>22.103489329370401</v>
      </c>
      <c r="E354" s="3">
        <f>parking_demand_data_2024_ver0!E354*calibration!$I$31</f>
        <v>3.1818842604659898</v>
      </c>
      <c r="F354" s="3">
        <f t="shared" si="5"/>
        <v>25.285373589836389</v>
      </c>
      <c r="G354" s="3">
        <f>parking_demand_data_2024_ver0!F354</f>
        <v>2</v>
      </c>
      <c r="H354" s="3">
        <f>parking_demand_data_2024_ver0!G354</f>
        <v>0</v>
      </c>
      <c r="I354" s="3">
        <f>parking_demand_data_2024_ver0!H354</f>
        <v>1</v>
      </c>
      <c r="J354" s="3">
        <f>parking_demand_data_2024_ver0!I354</f>
        <v>1</v>
      </c>
      <c r="K354" s="3">
        <f>parking_demand_data_2024_ver0!J354</f>
        <v>0</v>
      </c>
      <c r="L354" s="3">
        <f>parking_demand_data_2024_ver0!K354</f>
        <v>0</v>
      </c>
      <c r="M354" s="3">
        <f>parking_demand_data_2024_ver0!L354</f>
        <v>0</v>
      </c>
      <c r="N354" s="3">
        <f>parking_demand_data_2024_ver0!M354</f>
        <v>85</v>
      </c>
      <c r="O354" s="3">
        <f>parking_demand_data_2024_ver0!N354</f>
        <v>0</v>
      </c>
      <c r="P354" s="3">
        <f>parking_demand_data_2024_ver0!O354</f>
        <v>75</v>
      </c>
      <c r="Q354" s="3">
        <f>parking_demand_data_2024_ver0!P354</f>
        <v>10</v>
      </c>
      <c r="R354" s="3">
        <f>parking_demand_data_2024_ver0!Q354</f>
        <v>0</v>
      </c>
      <c r="S354" s="3">
        <f>parking_demand_data_2024_ver0!R354</f>
        <v>0</v>
      </c>
      <c r="T354" s="3">
        <f>parking_demand_data_2024_ver0!S354</f>
        <v>0</v>
      </c>
    </row>
    <row r="355" spans="1:20" x14ac:dyDescent="0.25">
      <c r="A355">
        <v>18029</v>
      </c>
      <c r="B355" t="s">
        <v>43</v>
      </c>
      <c r="C355">
        <v>17</v>
      </c>
      <c r="D355" s="3">
        <f>parking_demand_data_2024_ver0!D355*calibration!$I$31</f>
        <v>25.752049948038099</v>
      </c>
      <c r="E355" s="3">
        <f>parking_demand_data_2024_ver0!E355*calibration!$I$31</f>
        <v>2.07883105017111</v>
      </c>
      <c r="F355" s="3">
        <f t="shared" si="5"/>
        <v>27.83088099820921</v>
      </c>
      <c r="G355" s="3">
        <f>parking_demand_data_2024_ver0!F355</f>
        <v>2</v>
      </c>
      <c r="H355" s="3">
        <f>parking_demand_data_2024_ver0!G355</f>
        <v>0</v>
      </c>
      <c r="I355" s="3">
        <f>parking_demand_data_2024_ver0!H355</f>
        <v>1</v>
      </c>
      <c r="J355" s="3">
        <f>parking_demand_data_2024_ver0!I355</f>
        <v>1</v>
      </c>
      <c r="K355" s="3">
        <f>parking_demand_data_2024_ver0!J355</f>
        <v>0</v>
      </c>
      <c r="L355" s="3">
        <f>parking_demand_data_2024_ver0!K355</f>
        <v>0</v>
      </c>
      <c r="M355" s="3">
        <f>parking_demand_data_2024_ver0!L355</f>
        <v>0</v>
      </c>
      <c r="N355" s="3">
        <f>parking_demand_data_2024_ver0!M355</f>
        <v>85</v>
      </c>
      <c r="O355" s="3">
        <f>parking_demand_data_2024_ver0!N355</f>
        <v>0</v>
      </c>
      <c r="P355" s="3">
        <f>parking_demand_data_2024_ver0!O355</f>
        <v>75</v>
      </c>
      <c r="Q355" s="3">
        <f>parking_demand_data_2024_ver0!P355</f>
        <v>10</v>
      </c>
      <c r="R355" s="3">
        <f>parking_demand_data_2024_ver0!Q355</f>
        <v>0</v>
      </c>
      <c r="S355" s="3">
        <f>parking_demand_data_2024_ver0!R355</f>
        <v>0</v>
      </c>
      <c r="T355" s="3">
        <f>parking_demand_data_2024_ver0!S355</f>
        <v>0</v>
      </c>
    </row>
    <row r="356" spans="1:20" x14ac:dyDescent="0.25">
      <c r="A356">
        <v>18029</v>
      </c>
      <c r="B356" t="s">
        <v>43</v>
      </c>
      <c r="C356">
        <v>18</v>
      </c>
      <c r="D356" s="3">
        <f>parking_demand_data_2024_ver0!D356*calibration!$I$31</f>
        <v>27.449054886953299</v>
      </c>
      <c r="E356" s="3">
        <f>parking_demand_data_2024_ver0!E356*calibration!$I$31</f>
        <v>1.9091305562795899</v>
      </c>
      <c r="F356" s="3">
        <f t="shared" si="5"/>
        <v>29.358185443232887</v>
      </c>
      <c r="G356" s="3">
        <f>parking_demand_data_2024_ver0!F356</f>
        <v>2</v>
      </c>
      <c r="H356" s="3">
        <f>parking_demand_data_2024_ver0!G356</f>
        <v>0</v>
      </c>
      <c r="I356" s="3">
        <f>parking_demand_data_2024_ver0!H356</f>
        <v>1</v>
      </c>
      <c r="J356" s="3">
        <f>parking_demand_data_2024_ver0!I356</f>
        <v>1</v>
      </c>
      <c r="K356" s="3">
        <f>parking_demand_data_2024_ver0!J356</f>
        <v>0</v>
      </c>
      <c r="L356" s="3">
        <f>parking_demand_data_2024_ver0!K356</f>
        <v>0</v>
      </c>
      <c r="M356" s="3">
        <f>parking_demand_data_2024_ver0!L356</f>
        <v>0</v>
      </c>
      <c r="N356" s="3">
        <f>parking_demand_data_2024_ver0!M356</f>
        <v>85</v>
      </c>
      <c r="O356" s="3">
        <f>parking_demand_data_2024_ver0!N356</f>
        <v>0</v>
      </c>
      <c r="P356" s="3">
        <f>parking_demand_data_2024_ver0!O356</f>
        <v>75</v>
      </c>
      <c r="Q356" s="3">
        <f>parking_demand_data_2024_ver0!P356</f>
        <v>10</v>
      </c>
      <c r="R356" s="3">
        <f>parking_demand_data_2024_ver0!Q356</f>
        <v>0</v>
      </c>
      <c r="S356" s="3">
        <f>parking_demand_data_2024_ver0!R356</f>
        <v>0</v>
      </c>
      <c r="T356" s="3">
        <f>parking_demand_data_2024_ver0!S356</f>
        <v>0</v>
      </c>
    </row>
    <row r="357" spans="1:20" x14ac:dyDescent="0.25">
      <c r="A357">
        <v>18029</v>
      </c>
      <c r="B357" t="s">
        <v>43</v>
      </c>
      <c r="C357">
        <v>19</v>
      </c>
      <c r="D357" s="3">
        <f>parking_demand_data_2024_ver0!D357*calibration!$I$31</f>
        <v>29.2733351962871</v>
      </c>
      <c r="E357" s="3">
        <f>parking_demand_data_2024_ver0!E357*calibration!$I$31</f>
        <v>3.1818842604659898</v>
      </c>
      <c r="F357" s="3">
        <f t="shared" si="5"/>
        <v>32.455219456753092</v>
      </c>
      <c r="G357" s="3">
        <f>parking_demand_data_2024_ver0!F357</f>
        <v>2</v>
      </c>
      <c r="H357" s="3">
        <f>parking_demand_data_2024_ver0!G357</f>
        <v>0</v>
      </c>
      <c r="I357" s="3">
        <f>parking_demand_data_2024_ver0!H357</f>
        <v>1</v>
      </c>
      <c r="J357" s="3">
        <f>parking_demand_data_2024_ver0!I357</f>
        <v>1</v>
      </c>
      <c r="K357" s="3">
        <f>parking_demand_data_2024_ver0!J357</f>
        <v>0</v>
      </c>
      <c r="L357" s="3">
        <f>parking_demand_data_2024_ver0!K357</f>
        <v>0</v>
      </c>
      <c r="M357" s="3">
        <f>parking_demand_data_2024_ver0!L357</f>
        <v>0</v>
      </c>
      <c r="N357" s="3">
        <f>parking_demand_data_2024_ver0!M357</f>
        <v>85</v>
      </c>
      <c r="O357" s="3">
        <f>parking_demand_data_2024_ver0!N357</f>
        <v>0</v>
      </c>
      <c r="P357" s="3">
        <f>parking_demand_data_2024_ver0!O357</f>
        <v>75</v>
      </c>
      <c r="Q357" s="3">
        <f>parking_demand_data_2024_ver0!P357</f>
        <v>10</v>
      </c>
      <c r="R357" s="3">
        <f>parking_demand_data_2024_ver0!Q357</f>
        <v>0</v>
      </c>
      <c r="S357" s="3">
        <f>parking_demand_data_2024_ver0!R357</f>
        <v>0</v>
      </c>
      <c r="T357" s="3">
        <f>parking_demand_data_2024_ver0!S357</f>
        <v>0</v>
      </c>
    </row>
    <row r="358" spans="1:20" x14ac:dyDescent="0.25">
      <c r="A358">
        <v>18029</v>
      </c>
      <c r="B358" t="s">
        <v>43</v>
      </c>
      <c r="C358">
        <v>20</v>
      </c>
      <c r="D358" s="3">
        <f>parking_demand_data_2024_ver0!D358*calibration!$I$31</f>
        <v>31.606716987295499</v>
      </c>
      <c r="E358" s="3">
        <f>parking_demand_data_2024_ver0!E358*calibration!$I$31</f>
        <v>2.9273335196287098</v>
      </c>
      <c r="F358" s="3">
        <f t="shared" si="5"/>
        <v>34.53405050692421</v>
      </c>
      <c r="G358" s="3">
        <f>parking_demand_data_2024_ver0!F358</f>
        <v>2</v>
      </c>
      <c r="H358" s="3">
        <f>parking_demand_data_2024_ver0!G358</f>
        <v>0</v>
      </c>
      <c r="I358" s="3">
        <f>parking_demand_data_2024_ver0!H358</f>
        <v>1</v>
      </c>
      <c r="J358" s="3">
        <f>parking_demand_data_2024_ver0!I358</f>
        <v>1</v>
      </c>
      <c r="K358" s="3">
        <f>parking_demand_data_2024_ver0!J358</f>
        <v>0</v>
      </c>
      <c r="L358" s="3">
        <f>parking_demand_data_2024_ver0!K358</f>
        <v>0</v>
      </c>
      <c r="M358" s="3">
        <f>parking_demand_data_2024_ver0!L358</f>
        <v>0</v>
      </c>
      <c r="N358" s="3">
        <f>parking_demand_data_2024_ver0!M358</f>
        <v>85</v>
      </c>
      <c r="O358" s="3">
        <f>parking_demand_data_2024_ver0!N358</f>
        <v>0</v>
      </c>
      <c r="P358" s="3">
        <f>parking_demand_data_2024_ver0!O358</f>
        <v>75</v>
      </c>
      <c r="Q358" s="3">
        <f>parking_demand_data_2024_ver0!P358</f>
        <v>10</v>
      </c>
      <c r="R358" s="3">
        <f>parking_demand_data_2024_ver0!Q358</f>
        <v>0</v>
      </c>
      <c r="S358" s="3">
        <f>parking_demand_data_2024_ver0!R358</f>
        <v>0</v>
      </c>
      <c r="T358" s="3">
        <f>parking_demand_data_2024_ver0!S358</f>
        <v>0</v>
      </c>
    </row>
    <row r="359" spans="1:20" x14ac:dyDescent="0.25">
      <c r="A359">
        <v>18029</v>
      </c>
      <c r="B359" t="s">
        <v>43</v>
      </c>
      <c r="C359">
        <v>21</v>
      </c>
      <c r="D359" s="3">
        <f>parking_demand_data_2024_ver0!D359*calibration!$I$31</f>
        <v>34.449200259978397</v>
      </c>
      <c r="E359" s="3">
        <f>parking_demand_data_2024_ver0!E359*calibration!$I$31</f>
        <v>2.2061064205897498</v>
      </c>
      <c r="F359" s="3">
        <f t="shared" si="5"/>
        <v>36.655306680568145</v>
      </c>
      <c r="G359" s="3">
        <f>parking_demand_data_2024_ver0!F359</f>
        <v>2</v>
      </c>
      <c r="H359" s="3">
        <f>parking_demand_data_2024_ver0!G359</f>
        <v>0</v>
      </c>
      <c r="I359" s="3">
        <f>parking_demand_data_2024_ver0!H359</f>
        <v>1</v>
      </c>
      <c r="J359" s="3">
        <f>parking_demand_data_2024_ver0!I359</f>
        <v>1</v>
      </c>
      <c r="K359" s="3">
        <f>parking_demand_data_2024_ver0!J359</f>
        <v>0</v>
      </c>
      <c r="L359" s="3">
        <f>parking_demand_data_2024_ver0!K359</f>
        <v>0</v>
      </c>
      <c r="M359" s="3">
        <f>parking_demand_data_2024_ver0!L359</f>
        <v>0</v>
      </c>
      <c r="N359" s="3">
        <f>parking_demand_data_2024_ver0!M359</f>
        <v>85</v>
      </c>
      <c r="O359" s="3">
        <f>parking_demand_data_2024_ver0!N359</f>
        <v>0</v>
      </c>
      <c r="P359" s="3">
        <f>parking_demand_data_2024_ver0!O359</f>
        <v>75</v>
      </c>
      <c r="Q359" s="3">
        <f>parking_demand_data_2024_ver0!P359</f>
        <v>10</v>
      </c>
      <c r="R359" s="3">
        <f>parking_demand_data_2024_ver0!Q359</f>
        <v>0</v>
      </c>
      <c r="S359" s="3">
        <f>parking_demand_data_2024_ver0!R359</f>
        <v>0</v>
      </c>
      <c r="T359" s="3">
        <f>parking_demand_data_2024_ver0!S359</f>
        <v>0</v>
      </c>
    </row>
    <row r="360" spans="1:20" x14ac:dyDescent="0.25">
      <c r="A360">
        <v>18029</v>
      </c>
      <c r="B360" t="s">
        <v>43</v>
      </c>
      <c r="C360">
        <v>22</v>
      </c>
      <c r="D360" s="3">
        <f>parking_demand_data_2024_ver0!D360*calibration!$I$31</f>
        <v>35.509828346800397</v>
      </c>
      <c r="E360" s="3">
        <f>parking_demand_data_2024_ver0!E360*calibration!$I$31</f>
        <v>2.1636812971168702</v>
      </c>
      <c r="F360" s="3">
        <f t="shared" si="5"/>
        <v>37.673509643917271</v>
      </c>
      <c r="G360" s="3">
        <f>parking_demand_data_2024_ver0!F360</f>
        <v>2</v>
      </c>
      <c r="H360" s="3">
        <f>parking_demand_data_2024_ver0!G360</f>
        <v>0</v>
      </c>
      <c r="I360" s="3">
        <f>parking_demand_data_2024_ver0!H360</f>
        <v>1</v>
      </c>
      <c r="J360" s="3">
        <f>parking_demand_data_2024_ver0!I360</f>
        <v>1</v>
      </c>
      <c r="K360" s="3">
        <f>parking_demand_data_2024_ver0!J360</f>
        <v>0</v>
      </c>
      <c r="L360" s="3">
        <f>parking_demand_data_2024_ver0!K360</f>
        <v>0</v>
      </c>
      <c r="M360" s="3">
        <f>parking_demand_data_2024_ver0!L360</f>
        <v>0</v>
      </c>
      <c r="N360" s="3">
        <f>parking_demand_data_2024_ver0!M360</f>
        <v>85</v>
      </c>
      <c r="O360" s="3">
        <f>parking_demand_data_2024_ver0!N360</f>
        <v>0</v>
      </c>
      <c r="P360" s="3">
        <f>parking_demand_data_2024_ver0!O360</f>
        <v>75</v>
      </c>
      <c r="Q360" s="3">
        <f>parking_demand_data_2024_ver0!P360</f>
        <v>10</v>
      </c>
      <c r="R360" s="3">
        <f>parking_demand_data_2024_ver0!Q360</f>
        <v>0</v>
      </c>
      <c r="S360" s="3">
        <f>parking_demand_data_2024_ver0!R360</f>
        <v>0</v>
      </c>
      <c r="T360" s="3">
        <f>parking_demand_data_2024_ver0!S360</f>
        <v>0</v>
      </c>
    </row>
    <row r="361" spans="1:20" x14ac:dyDescent="0.25">
      <c r="A361">
        <v>18029</v>
      </c>
      <c r="B361" t="s">
        <v>43</v>
      </c>
      <c r="C361">
        <v>23</v>
      </c>
      <c r="D361" s="3">
        <f>parking_demand_data_2024_ver0!D361*calibration!$I$31</f>
        <v>37.503809150025802</v>
      </c>
      <c r="E361" s="3">
        <f>parking_demand_data_2024_ver0!E361*calibration!$I$31</f>
        <v>3.3091596308846301</v>
      </c>
      <c r="F361" s="3">
        <f t="shared" si="5"/>
        <v>40.812968780910431</v>
      </c>
      <c r="G361" s="3">
        <f>parking_demand_data_2024_ver0!F361</f>
        <v>2</v>
      </c>
      <c r="H361" s="3">
        <f>parking_demand_data_2024_ver0!G361</f>
        <v>0</v>
      </c>
      <c r="I361" s="3">
        <f>parking_demand_data_2024_ver0!H361</f>
        <v>1</v>
      </c>
      <c r="J361" s="3">
        <f>parking_demand_data_2024_ver0!I361</f>
        <v>1</v>
      </c>
      <c r="K361" s="3">
        <f>parking_demand_data_2024_ver0!J361</f>
        <v>0</v>
      </c>
      <c r="L361" s="3">
        <f>parking_demand_data_2024_ver0!K361</f>
        <v>0</v>
      </c>
      <c r="M361" s="3">
        <f>parking_demand_data_2024_ver0!L361</f>
        <v>0</v>
      </c>
      <c r="N361" s="3">
        <f>parking_demand_data_2024_ver0!M361</f>
        <v>85</v>
      </c>
      <c r="O361" s="3">
        <f>parking_demand_data_2024_ver0!N361</f>
        <v>0</v>
      </c>
      <c r="P361" s="3">
        <f>parking_demand_data_2024_ver0!O361</f>
        <v>75</v>
      </c>
      <c r="Q361" s="3">
        <f>parking_demand_data_2024_ver0!P361</f>
        <v>10</v>
      </c>
      <c r="R361" s="3">
        <f>parking_demand_data_2024_ver0!Q361</f>
        <v>0</v>
      </c>
      <c r="S361" s="3">
        <f>parking_demand_data_2024_ver0!R361</f>
        <v>0</v>
      </c>
      <c r="T361" s="3">
        <f>parking_demand_data_2024_ver0!S361</f>
        <v>0</v>
      </c>
    </row>
    <row r="362" spans="1:20" x14ac:dyDescent="0.25">
      <c r="A362">
        <v>18031</v>
      </c>
      <c r="B362" t="s">
        <v>44</v>
      </c>
      <c r="C362">
        <v>0</v>
      </c>
      <c r="D362" s="3">
        <f>parking_demand_data_2024_ver0!D362*calibration!$I$31</f>
        <v>171.35</v>
      </c>
      <c r="E362" s="3">
        <f>parking_demand_data_2024_ver0!E362*calibration!$I$31</f>
        <v>5.0488597376387396</v>
      </c>
      <c r="F362" s="3">
        <f t="shared" si="5"/>
        <v>176.39885973763873</v>
      </c>
      <c r="G362" s="3">
        <f>parking_demand_data_2024_ver0!F362</f>
        <v>2</v>
      </c>
      <c r="H362" s="3">
        <f>parking_demand_data_2024_ver0!G362</f>
        <v>0</v>
      </c>
      <c r="I362" s="3">
        <f>parking_demand_data_2024_ver0!H362</f>
        <v>2</v>
      </c>
      <c r="J362" s="3">
        <f>parking_demand_data_2024_ver0!I362</f>
        <v>0</v>
      </c>
      <c r="K362" s="3">
        <f>parking_demand_data_2024_ver0!J362</f>
        <v>0</v>
      </c>
      <c r="L362" s="3">
        <f>parking_demand_data_2024_ver0!K362</f>
        <v>0</v>
      </c>
      <c r="M362" s="3">
        <f>parking_demand_data_2024_ver0!L362</f>
        <v>0</v>
      </c>
      <c r="N362" s="3">
        <f>parking_demand_data_2024_ver0!M362</f>
        <v>149</v>
      </c>
      <c r="O362" s="3">
        <f>parking_demand_data_2024_ver0!N362</f>
        <v>0</v>
      </c>
      <c r="P362" s="3">
        <f>parking_demand_data_2024_ver0!O362</f>
        <v>149</v>
      </c>
      <c r="Q362" s="3">
        <f>parking_demand_data_2024_ver0!P362</f>
        <v>0</v>
      </c>
      <c r="R362" s="3">
        <f>parking_demand_data_2024_ver0!Q362</f>
        <v>0</v>
      </c>
      <c r="S362" s="3">
        <f>parking_demand_data_2024_ver0!R362</f>
        <v>0</v>
      </c>
      <c r="T362" s="3">
        <f>parking_demand_data_2024_ver0!S362</f>
        <v>0</v>
      </c>
    </row>
    <row r="363" spans="1:20" x14ac:dyDescent="0.25">
      <c r="A363">
        <v>18031</v>
      </c>
      <c r="B363" t="s">
        <v>44</v>
      </c>
      <c r="C363">
        <v>1</v>
      </c>
      <c r="D363" s="3">
        <f>parking_demand_data_2024_ver0!D363*calibration!$I$31</f>
        <v>171.00418768920201</v>
      </c>
      <c r="E363" s="3">
        <f>parking_demand_data_2024_ver0!E363*calibration!$I$31</f>
        <v>5.6713218970736596</v>
      </c>
      <c r="F363" s="3">
        <f t="shared" si="5"/>
        <v>176.67550958627567</v>
      </c>
      <c r="G363" s="3">
        <f>parking_demand_data_2024_ver0!F363</f>
        <v>2</v>
      </c>
      <c r="H363" s="3">
        <f>parking_demand_data_2024_ver0!G363</f>
        <v>0</v>
      </c>
      <c r="I363" s="3">
        <f>parking_demand_data_2024_ver0!H363</f>
        <v>2</v>
      </c>
      <c r="J363" s="3">
        <f>parking_demand_data_2024_ver0!I363</f>
        <v>0</v>
      </c>
      <c r="K363" s="3">
        <f>parking_demand_data_2024_ver0!J363</f>
        <v>0</v>
      </c>
      <c r="L363" s="3">
        <f>parking_demand_data_2024_ver0!K363</f>
        <v>0</v>
      </c>
      <c r="M363" s="3">
        <f>parking_demand_data_2024_ver0!L363</f>
        <v>0</v>
      </c>
      <c r="N363" s="3">
        <f>parking_demand_data_2024_ver0!M363</f>
        <v>149</v>
      </c>
      <c r="O363" s="3">
        <f>parking_demand_data_2024_ver0!N363</f>
        <v>0</v>
      </c>
      <c r="P363" s="3">
        <f>parking_demand_data_2024_ver0!O363</f>
        <v>149</v>
      </c>
      <c r="Q363" s="3">
        <f>parking_demand_data_2024_ver0!P363</f>
        <v>0</v>
      </c>
      <c r="R363" s="3">
        <f>parking_demand_data_2024_ver0!Q363</f>
        <v>0</v>
      </c>
      <c r="S363" s="3">
        <f>parking_demand_data_2024_ver0!R363</f>
        <v>0</v>
      </c>
      <c r="T363" s="3">
        <f>parking_demand_data_2024_ver0!S363</f>
        <v>0</v>
      </c>
    </row>
    <row r="364" spans="1:20" x14ac:dyDescent="0.25">
      <c r="A364">
        <v>18031</v>
      </c>
      <c r="B364" t="s">
        <v>44</v>
      </c>
      <c r="C364">
        <v>2</v>
      </c>
      <c r="D364" s="3">
        <f>parking_demand_data_2024_ver0!D364*calibration!$I$31</f>
        <v>168.99847628657901</v>
      </c>
      <c r="E364" s="3">
        <f>parking_demand_data_2024_ver0!E364*calibration!$I$31</f>
        <v>6.0517154389505503</v>
      </c>
      <c r="F364" s="3">
        <f t="shared" si="5"/>
        <v>175.05019172552954</v>
      </c>
      <c r="G364" s="3">
        <f>parking_demand_data_2024_ver0!F364</f>
        <v>2</v>
      </c>
      <c r="H364" s="3">
        <f>parking_demand_data_2024_ver0!G364</f>
        <v>0</v>
      </c>
      <c r="I364" s="3">
        <f>parking_demand_data_2024_ver0!H364</f>
        <v>2</v>
      </c>
      <c r="J364" s="3">
        <f>parking_demand_data_2024_ver0!I364</f>
        <v>0</v>
      </c>
      <c r="K364" s="3">
        <f>parking_demand_data_2024_ver0!J364</f>
        <v>0</v>
      </c>
      <c r="L364" s="3">
        <f>parking_demand_data_2024_ver0!K364</f>
        <v>0</v>
      </c>
      <c r="M364" s="3">
        <f>parking_demand_data_2024_ver0!L364</f>
        <v>0</v>
      </c>
      <c r="N364" s="3">
        <f>parking_demand_data_2024_ver0!M364</f>
        <v>149</v>
      </c>
      <c r="O364" s="3">
        <f>parking_demand_data_2024_ver0!N364</f>
        <v>0</v>
      </c>
      <c r="P364" s="3">
        <f>parking_demand_data_2024_ver0!O364</f>
        <v>149</v>
      </c>
      <c r="Q364" s="3">
        <f>parking_demand_data_2024_ver0!P364</f>
        <v>0</v>
      </c>
      <c r="R364" s="3">
        <f>parking_demand_data_2024_ver0!Q364</f>
        <v>0</v>
      </c>
      <c r="S364" s="3">
        <f>parking_demand_data_2024_ver0!R364</f>
        <v>0</v>
      </c>
      <c r="T364" s="3">
        <f>parking_demand_data_2024_ver0!S364</f>
        <v>0</v>
      </c>
    </row>
    <row r="365" spans="1:20" x14ac:dyDescent="0.25">
      <c r="A365">
        <v>18031</v>
      </c>
      <c r="B365" t="s">
        <v>44</v>
      </c>
      <c r="C365">
        <v>3</v>
      </c>
      <c r="D365" s="3">
        <f>parking_demand_data_2024_ver0!D365*calibration!$I$31</f>
        <v>166.508627648839</v>
      </c>
      <c r="E365" s="3">
        <f>parking_demand_data_2024_ver0!E365*calibration!$I$31</f>
        <v>6.0171342078708303</v>
      </c>
      <c r="F365" s="3">
        <f t="shared" si="5"/>
        <v>172.52576185670983</v>
      </c>
      <c r="G365" s="3">
        <f>parking_demand_data_2024_ver0!F365</f>
        <v>2</v>
      </c>
      <c r="H365" s="3">
        <f>parking_demand_data_2024_ver0!G365</f>
        <v>0</v>
      </c>
      <c r="I365" s="3">
        <f>parking_demand_data_2024_ver0!H365</f>
        <v>2</v>
      </c>
      <c r="J365" s="3">
        <f>parking_demand_data_2024_ver0!I365</f>
        <v>0</v>
      </c>
      <c r="K365" s="3">
        <f>parking_demand_data_2024_ver0!J365</f>
        <v>0</v>
      </c>
      <c r="L365" s="3">
        <f>parking_demand_data_2024_ver0!K365</f>
        <v>0</v>
      </c>
      <c r="M365" s="3">
        <f>parking_demand_data_2024_ver0!L365</f>
        <v>0</v>
      </c>
      <c r="N365" s="3">
        <f>parking_demand_data_2024_ver0!M365</f>
        <v>149</v>
      </c>
      <c r="O365" s="3">
        <f>parking_demand_data_2024_ver0!N365</f>
        <v>0</v>
      </c>
      <c r="P365" s="3">
        <f>parking_demand_data_2024_ver0!O365</f>
        <v>149</v>
      </c>
      <c r="Q365" s="3">
        <f>parking_demand_data_2024_ver0!P365</f>
        <v>0</v>
      </c>
      <c r="R365" s="3">
        <f>parking_demand_data_2024_ver0!Q365</f>
        <v>0</v>
      </c>
      <c r="S365" s="3">
        <f>parking_demand_data_2024_ver0!R365</f>
        <v>0</v>
      </c>
      <c r="T365" s="3">
        <f>parking_demand_data_2024_ver0!S365</f>
        <v>0</v>
      </c>
    </row>
    <row r="366" spans="1:20" x14ac:dyDescent="0.25">
      <c r="A366">
        <v>18031</v>
      </c>
      <c r="B366" t="s">
        <v>44</v>
      </c>
      <c r="C366">
        <v>4</v>
      </c>
      <c r="D366" s="3">
        <f>parking_demand_data_2024_ver0!D366*calibration!$I$31</f>
        <v>154.05938446014099</v>
      </c>
      <c r="E366" s="3">
        <f>parking_demand_data_2024_ver0!E366*calibration!$I$31</f>
        <v>7.1928960645812303</v>
      </c>
      <c r="F366" s="3">
        <f t="shared" si="5"/>
        <v>161.25228052472221</v>
      </c>
      <c r="G366" s="3">
        <f>parking_demand_data_2024_ver0!F366</f>
        <v>2</v>
      </c>
      <c r="H366" s="3">
        <f>parking_demand_data_2024_ver0!G366</f>
        <v>0</v>
      </c>
      <c r="I366" s="3">
        <f>parking_demand_data_2024_ver0!H366</f>
        <v>2</v>
      </c>
      <c r="J366" s="3">
        <f>parking_demand_data_2024_ver0!I366</f>
        <v>0</v>
      </c>
      <c r="K366" s="3">
        <f>parking_demand_data_2024_ver0!J366</f>
        <v>0</v>
      </c>
      <c r="L366" s="3">
        <f>parking_demand_data_2024_ver0!K366</f>
        <v>0</v>
      </c>
      <c r="M366" s="3">
        <f>parking_demand_data_2024_ver0!L366</f>
        <v>0</v>
      </c>
      <c r="N366" s="3">
        <f>parking_demand_data_2024_ver0!M366</f>
        <v>149</v>
      </c>
      <c r="O366" s="3">
        <f>parking_demand_data_2024_ver0!N366</f>
        <v>0</v>
      </c>
      <c r="P366" s="3">
        <f>parking_demand_data_2024_ver0!O366</f>
        <v>149</v>
      </c>
      <c r="Q366" s="3">
        <f>parking_demand_data_2024_ver0!P366</f>
        <v>0</v>
      </c>
      <c r="R366" s="3">
        <f>parking_demand_data_2024_ver0!Q366</f>
        <v>0</v>
      </c>
      <c r="S366" s="3">
        <f>parking_demand_data_2024_ver0!R366</f>
        <v>0</v>
      </c>
      <c r="T366" s="3">
        <f>parking_demand_data_2024_ver0!S366</f>
        <v>0</v>
      </c>
    </row>
    <row r="367" spans="1:20" x14ac:dyDescent="0.25">
      <c r="A367">
        <v>18031</v>
      </c>
      <c r="B367" t="s">
        <v>44</v>
      </c>
      <c r="C367">
        <v>5</v>
      </c>
      <c r="D367" s="3">
        <f>parking_demand_data_2024_ver0!D367*calibration!$I$31</f>
        <v>149.944217961654</v>
      </c>
      <c r="E367" s="3">
        <f>parking_demand_data_2024_ver0!E367*calibration!$I$31</f>
        <v>9.6827447023208801</v>
      </c>
      <c r="F367" s="3">
        <f t="shared" si="5"/>
        <v>159.62696266397489</v>
      </c>
      <c r="G367" s="3">
        <f>parking_demand_data_2024_ver0!F367</f>
        <v>2</v>
      </c>
      <c r="H367" s="3">
        <f>parking_demand_data_2024_ver0!G367</f>
        <v>0</v>
      </c>
      <c r="I367" s="3">
        <f>parking_demand_data_2024_ver0!H367</f>
        <v>2</v>
      </c>
      <c r="J367" s="3">
        <f>parking_demand_data_2024_ver0!I367</f>
        <v>0</v>
      </c>
      <c r="K367" s="3">
        <f>parking_demand_data_2024_ver0!J367</f>
        <v>0</v>
      </c>
      <c r="L367" s="3">
        <f>parking_demand_data_2024_ver0!K367</f>
        <v>0</v>
      </c>
      <c r="M367" s="3">
        <f>parking_demand_data_2024_ver0!L367</f>
        <v>0</v>
      </c>
      <c r="N367" s="3">
        <f>parking_demand_data_2024_ver0!M367</f>
        <v>149</v>
      </c>
      <c r="O367" s="3">
        <f>parking_demand_data_2024_ver0!N367</f>
        <v>0</v>
      </c>
      <c r="P367" s="3">
        <f>parking_demand_data_2024_ver0!O367</f>
        <v>149</v>
      </c>
      <c r="Q367" s="3">
        <f>parking_demand_data_2024_ver0!P367</f>
        <v>0</v>
      </c>
      <c r="R367" s="3">
        <f>parking_demand_data_2024_ver0!Q367</f>
        <v>0</v>
      </c>
      <c r="S367" s="3">
        <f>parking_demand_data_2024_ver0!R367</f>
        <v>0</v>
      </c>
      <c r="T367" s="3">
        <f>parking_demand_data_2024_ver0!S367</f>
        <v>0</v>
      </c>
    </row>
    <row r="368" spans="1:20" x14ac:dyDescent="0.25">
      <c r="A368">
        <v>18031</v>
      </c>
      <c r="B368" t="s">
        <v>44</v>
      </c>
      <c r="C368">
        <v>6</v>
      </c>
      <c r="D368" s="3">
        <f>parking_demand_data_2024_ver0!D368*calibration!$I$31</f>
        <v>136.52670030272401</v>
      </c>
      <c r="E368" s="3">
        <f>parking_demand_data_2024_ver0!E368*calibration!$I$31</f>
        <v>9.9593945509586206</v>
      </c>
      <c r="F368" s="3">
        <f t="shared" si="5"/>
        <v>146.48609485368263</v>
      </c>
      <c r="G368" s="3">
        <f>parking_demand_data_2024_ver0!F368</f>
        <v>2</v>
      </c>
      <c r="H368" s="3">
        <f>parking_demand_data_2024_ver0!G368</f>
        <v>0</v>
      </c>
      <c r="I368" s="3">
        <f>parking_demand_data_2024_ver0!H368</f>
        <v>2</v>
      </c>
      <c r="J368" s="3">
        <f>parking_demand_data_2024_ver0!I368</f>
        <v>0</v>
      </c>
      <c r="K368" s="3">
        <f>parking_demand_data_2024_ver0!J368</f>
        <v>0</v>
      </c>
      <c r="L368" s="3">
        <f>parking_demand_data_2024_ver0!K368</f>
        <v>0</v>
      </c>
      <c r="M368" s="3">
        <f>parking_demand_data_2024_ver0!L368</f>
        <v>0</v>
      </c>
      <c r="N368" s="3">
        <f>parking_demand_data_2024_ver0!M368</f>
        <v>149</v>
      </c>
      <c r="O368" s="3">
        <f>parking_demand_data_2024_ver0!N368</f>
        <v>0</v>
      </c>
      <c r="P368" s="3">
        <f>parking_demand_data_2024_ver0!O368</f>
        <v>149</v>
      </c>
      <c r="Q368" s="3">
        <f>parking_demand_data_2024_ver0!P368</f>
        <v>0</v>
      </c>
      <c r="R368" s="3">
        <f>parking_demand_data_2024_ver0!Q368</f>
        <v>0</v>
      </c>
      <c r="S368" s="3">
        <f>parking_demand_data_2024_ver0!R368</f>
        <v>0</v>
      </c>
      <c r="T368" s="3">
        <f>parking_demand_data_2024_ver0!S368</f>
        <v>0</v>
      </c>
    </row>
    <row r="369" spans="1:20" x14ac:dyDescent="0.25">
      <c r="A369">
        <v>18031</v>
      </c>
      <c r="B369" t="s">
        <v>44</v>
      </c>
      <c r="C369">
        <v>7</v>
      </c>
      <c r="D369" s="3">
        <f>parking_demand_data_2024_ver0!D369*calibration!$I$31</f>
        <v>110.590776992936</v>
      </c>
      <c r="E369" s="3">
        <f>parking_demand_data_2024_ver0!E369*calibration!$I$31</f>
        <v>10.6856004036326</v>
      </c>
      <c r="F369" s="3">
        <f t="shared" si="5"/>
        <v>121.27637739656861</v>
      </c>
      <c r="G369" s="3">
        <f>parking_demand_data_2024_ver0!F369</f>
        <v>2</v>
      </c>
      <c r="H369" s="3">
        <f>parking_demand_data_2024_ver0!G369</f>
        <v>0</v>
      </c>
      <c r="I369" s="3">
        <f>parking_demand_data_2024_ver0!H369</f>
        <v>2</v>
      </c>
      <c r="J369" s="3">
        <f>parking_demand_data_2024_ver0!I369</f>
        <v>0</v>
      </c>
      <c r="K369" s="3">
        <f>parking_demand_data_2024_ver0!J369</f>
        <v>0</v>
      </c>
      <c r="L369" s="3">
        <f>parking_demand_data_2024_ver0!K369</f>
        <v>0</v>
      </c>
      <c r="M369" s="3">
        <f>parking_demand_data_2024_ver0!L369</f>
        <v>0</v>
      </c>
      <c r="N369" s="3">
        <f>parking_demand_data_2024_ver0!M369</f>
        <v>149</v>
      </c>
      <c r="O369" s="3">
        <f>parking_demand_data_2024_ver0!N369</f>
        <v>0</v>
      </c>
      <c r="P369" s="3">
        <f>parking_demand_data_2024_ver0!O369</f>
        <v>149</v>
      </c>
      <c r="Q369" s="3">
        <f>parking_demand_data_2024_ver0!P369</f>
        <v>0</v>
      </c>
      <c r="R369" s="3">
        <f>parking_demand_data_2024_ver0!Q369</f>
        <v>0</v>
      </c>
      <c r="S369" s="3">
        <f>parking_demand_data_2024_ver0!R369</f>
        <v>0</v>
      </c>
      <c r="T369" s="3">
        <f>parking_demand_data_2024_ver0!S369</f>
        <v>0</v>
      </c>
    </row>
    <row r="370" spans="1:20" x14ac:dyDescent="0.25">
      <c r="A370">
        <v>18031</v>
      </c>
      <c r="B370" t="s">
        <v>44</v>
      </c>
      <c r="C370">
        <v>8</v>
      </c>
      <c r="D370" s="3">
        <f>parking_demand_data_2024_ver0!D370*calibration!$I$31</f>
        <v>94.406760847628604</v>
      </c>
      <c r="E370" s="3">
        <f>parking_demand_data_2024_ver0!E370*calibration!$I$31</f>
        <v>8.6453077699293601</v>
      </c>
      <c r="F370" s="3">
        <f t="shared" si="5"/>
        <v>103.05206861755796</v>
      </c>
      <c r="G370" s="3">
        <f>parking_demand_data_2024_ver0!F370</f>
        <v>2</v>
      </c>
      <c r="H370" s="3">
        <f>parking_demand_data_2024_ver0!G370</f>
        <v>0</v>
      </c>
      <c r="I370" s="3">
        <f>parking_demand_data_2024_ver0!H370</f>
        <v>2</v>
      </c>
      <c r="J370" s="3">
        <f>parking_demand_data_2024_ver0!I370</f>
        <v>0</v>
      </c>
      <c r="K370" s="3">
        <f>parking_demand_data_2024_ver0!J370</f>
        <v>0</v>
      </c>
      <c r="L370" s="3">
        <f>parking_demand_data_2024_ver0!K370</f>
        <v>0</v>
      </c>
      <c r="M370" s="3">
        <f>parking_demand_data_2024_ver0!L370</f>
        <v>0</v>
      </c>
      <c r="N370" s="3">
        <f>parking_demand_data_2024_ver0!M370</f>
        <v>149</v>
      </c>
      <c r="O370" s="3">
        <f>parking_demand_data_2024_ver0!N370</f>
        <v>0</v>
      </c>
      <c r="P370" s="3">
        <f>parking_demand_data_2024_ver0!O370</f>
        <v>149</v>
      </c>
      <c r="Q370" s="3">
        <f>parking_demand_data_2024_ver0!P370</f>
        <v>0</v>
      </c>
      <c r="R370" s="3">
        <f>parking_demand_data_2024_ver0!Q370</f>
        <v>0</v>
      </c>
      <c r="S370" s="3">
        <f>parking_demand_data_2024_ver0!R370</f>
        <v>0</v>
      </c>
      <c r="T370" s="3">
        <f>parking_demand_data_2024_ver0!S370</f>
        <v>0</v>
      </c>
    </row>
    <row r="371" spans="1:20" x14ac:dyDescent="0.25">
      <c r="A371">
        <v>18031</v>
      </c>
      <c r="B371" t="s">
        <v>44</v>
      </c>
      <c r="C371">
        <v>9</v>
      </c>
      <c r="D371" s="3">
        <f>parking_demand_data_2024_ver0!D371*calibration!$I$31</f>
        <v>84.793178607467198</v>
      </c>
      <c r="E371" s="3">
        <f>parking_demand_data_2024_ver0!E371*calibration!$I$31</f>
        <v>7.1928960645812303</v>
      </c>
      <c r="F371" s="3">
        <f t="shared" si="5"/>
        <v>91.986074672048431</v>
      </c>
      <c r="G371" s="3">
        <f>parking_demand_data_2024_ver0!F371</f>
        <v>2</v>
      </c>
      <c r="H371" s="3">
        <f>parking_demand_data_2024_ver0!G371</f>
        <v>0</v>
      </c>
      <c r="I371" s="3">
        <f>parking_demand_data_2024_ver0!H371</f>
        <v>2</v>
      </c>
      <c r="J371" s="3">
        <f>parking_demand_data_2024_ver0!I371</f>
        <v>0</v>
      </c>
      <c r="K371" s="3">
        <f>parking_demand_data_2024_ver0!J371</f>
        <v>0</v>
      </c>
      <c r="L371" s="3">
        <f>parking_demand_data_2024_ver0!K371</f>
        <v>0</v>
      </c>
      <c r="M371" s="3">
        <f>parking_demand_data_2024_ver0!L371</f>
        <v>0</v>
      </c>
      <c r="N371" s="3">
        <f>parking_demand_data_2024_ver0!M371</f>
        <v>149</v>
      </c>
      <c r="O371" s="3">
        <f>parking_demand_data_2024_ver0!N371</f>
        <v>0</v>
      </c>
      <c r="P371" s="3">
        <f>parking_demand_data_2024_ver0!O371</f>
        <v>149</v>
      </c>
      <c r="Q371" s="3">
        <f>parking_demand_data_2024_ver0!P371</f>
        <v>0</v>
      </c>
      <c r="R371" s="3">
        <f>parking_demand_data_2024_ver0!Q371</f>
        <v>0</v>
      </c>
      <c r="S371" s="3">
        <f>parking_demand_data_2024_ver0!R371</f>
        <v>0</v>
      </c>
      <c r="T371" s="3">
        <f>parking_demand_data_2024_ver0!S371</f>
        <v>0</v>
      </c>
    </row>
    <row r="372" spans="1:20" x14ac:dyDescent="0.25">
      <c r="A372">
        <v>18031</v>
      </c>
      <c r="B372" t="s">
        <v>44</v>
      </c>
      <c r="C372">
        <v>10</v>
      </c>
      <c r="D372" s="3">
        <f>parking_demand_data_2024_ver0!D372*calibration!$I$31</f>
        <v>80.505105953582202</v>
      </c>
      <c r="E372" s="3">
        <f>parking_demand_data_2024_ver0!E372*calibration!$I$31</f>
        <v>6.3283652875882899</v>
      </c>
      <c r="F372" s="3">
        <f t="shared" si="5"/>
        <v>86.833471241170486</v>
      </c>
      <c r="G372" s="3">
        <f>parking_demand_data_2024_ver0!F372</f>
        <v>2</v>
      </c>
      <c r="H372" s="3">
        <f>parking_demand_data_2024_ver0!G372</f>
        <v>0</v>
      </c>
      <c r="I372" s="3">
        <f>parking_demand_data_2024_ver0!H372</f>
        <v>2</v>
      </c>
      <c r="J372" s="3">
        <f>parking_demand_data_2024_ver0!I372</f>
        <v>0</v>
      </c>
      <c r="K372" s="3">
        <f>parking_demand_data_2024_ver0!J372</f>
        <v>0</v>
      </c>
      <c r="L372" s="3">
        <f>parking_demand_data_2024_ver0!K372</f>
        <v>0</v>
      </c>
      <c r="M372" s="3">
        <f>parking_demand_data_2024_ver0!L372</f>
        <v>0</v>
      </c>
      <c r="N372" s="3">
        <f>parking_demand_data_2024_ver0!M372</f>
        <v>149</v>
      </c>
      <c r="O372" s="3">
        <f>parking_demand_data_2024_ver0!N372</f>
        <v>0</v>
      </c>
      <c r="P372" s="3">
        <f>parking_demand_data_2024_ver0!O372</f>
        <v>149</v>
      </c>
      <c r="Q372" s="3">
        <f>parking_demand_data_2024_ver0!P372</f>
        <v>0</v>
      </c>
      <c r="R372" s="3">
        <f>parking_demand_data_2024_ver0!Q372</f>
        <v>0</v>
      </c>
      <c r="S372" s="3">
        <f>parking_demand_data_2024_ver0!R372</f>
        <v>0</v>
      </c>
      <c r="T372" s="3">
        <f>parking_demand_data_2024_ver0!S372</f>
        <v>0</v>
      </c>
    </row>
    <row r="373" spans="1:20" x14ac:dyDescent="0.25">
      <c r="A373">
        <v>18031</v>
      </c>
      <c r="B373" t="s">
        <v>44</v>
      </c>
      <c r="C373">
        <v>11</v>
      </c>
      <c r="D373" s="3">
        <f>parking_demand_data_2024_ver0!D373*calibration!$I$31</f>
        <v>82.337911200807198</v>
      </c>
      <c r="E373" s="3">
        <f>parking_demand_data_2024_ver0!E373*calibration!$I$31</f>
        <v>4.2880726538849601</v>
      </c>
      <c r="F373" s="3">
        <f t="shared" si="5"/>
        <v>86.625983854692151</v>
      </c>
      <c r="G373" s="3">
        <f>parking_demand_data_2024_ver0!F373</f>
        <v>2</v>
      </c>
      <c r="H373" s="3">
        <f>parking_demand_data_2024_ver0!G373</f>
        <v>0</v>
      </c>
      <c r="I373" s="3">
        <f>parking_demand_data_2024_ver0!H373</f>
        <v>2</v>
      </c>
      <c r="J373" s="3">
        <f>parking_demand_data_2024_ver0!I373</f>
        <v>0</v>
      </c>
      <c r="K373" s="3">
        <f>parking_demand_data_2024_ver0!J373</f>
        <v>0</v>
      </c>
      <c r="L373" s="3">
        <f>parking_demand_data_2024_ver0!K373</f>
        <v>0</v>
      </c>
      <c r="M373" s="3">
        <f>parking_demand_data_2024_ver0!L373</f>
        <v>0</v>
      </c>
      <c r="N373" s="3">
        <f>parking_demand_data_2024_ver0!M373</f>
        <v>149</v>
      </c>
      <c r="O373" s="3">
        <f>parking_demand_data_2024_ver0!N373</f>
        <v>0</v>
      </c>
      <c r="P373" s="3">
        <f>parking_demand_data_2024_ver0!O373</f>
        <v>149</v>
      </c>
      <c r="Q373" s="3">
        <f>parking_demand_data_2024_ver0!P373</f>
        <v>0</v>
      </c>
      <c r="R373" s="3">
        <f>parking_demand_data_2024_ver0!Q373</f>
        <v>0</v>
      </c>
      <c r="S373" s="3">
        <f>parking_demand_data_2024_ver0!R373</f>
        <v>0</v>
      </c>
      <c r="T373" s="3">
        <f>parking_demand_data_2024_ver0!S373</f>
        <v>0</v>
      </c>
    </row>
    <row r="374" spans="1:20" x14ac:dyDescent="0.25">
      <c r="A374">
        <v>18031</v>
      </c>
      <c r="B374" t="s">
        <v>44</v>
      </c>
      <c r="C374">
        <v>12</v>
      </c>
      <c r="D374" s="3">
        <f>parking_demand_data_2024_ver0!D374*calibration!$I$31</f>
        <v>87.455933400605403</v>
      </c>
      <c r="E374" s="3">
        <f>parking_demand_data_2024_ver0!E374*calibration!$I$31</f>
        <v>2.35152371342078</v>
      </c>
      <c r="F374" s="3">
        <f t="shared" si="5"/>
        <v>89.807457114026178</v>
      </c>
      <c r="G374" s="3">
        <f>parking_demand_data_2024_ver0!F374</f>
        <v>2</v>
      </c>
      <c r="H374" s="3">
        <f>parking_demand_data_2024_ver0!G374</f>
        <v>0</v>
      </c>
      <c r="I374" s="3">
        <f>parking_demand_data_2024_ver0!H374</f>
        <v>2</v>
      </c>
      <c r="J374" s="3">
        <f>parking_demand_data_2024_ver0!I374</f>
        <v>0</v>
      </c>
      <c r="K374" s="3">
        <f>parking_demand_data_2024_ver0!J374</f>
        <v>0</v>
      </c>
      <c r="L374" s="3">
        <f>parking_demand_data_2024_ver0!K374</f>
        <v>0</v>
      </c>
      <c r="M374" s="3">
        <f>parking_demand_data_2024_ver0!L374</f>
        <v>0</v>
      </c>
      <c r="N374" s="3">
        <f>parking_demand_data_2024_ver0!M374</f>
        <v>149</v>
      </c>
      <c r="O374" s="3">
        <f>parking_demand_data_2024_ver0!N374</f>
        <v>0</v>
      </c>
      <c r="P374" s="3">
        <f>parking_demand_data_2024_ver0!O374</f>
        <v>149</v>
      </c>
      <c r="Q374" s="3">
        <f>parking_demand_data_2024_ver0!P374</f>
        <v>0</v>
      </c>
      <c r="R374" s="3">
        <f>parking_demand_data_2024_ver0!Q374</f>
        <v>0</v>
      </c>
      <c r="S374" s="3">
        <f>parking_demand_data_2024_ver0!R374</f>
        <v>0</v>
      </c>
      <c r="T374" s="3">
        <f>parking_demand_data_2024_ver0!S374</f>
        <v>0</v>
      </c>
    </row>
    <row r="375" spans="1:20" x14ac:dyDescent="0.25">
      <c r="A375">
        <v>18031</v>
      </c>
      <c r="B375" t="s">
        <v>44</v>
      </c>
      <c r="C375">
        <v>13</v>
      </c>
      <c r="D375" s="3">
        <f>parking_demand_data_2024_ver0!D375*calibration!$I$31</f>
        <v>90.291594349142201</v>
      </c>
      <c r="E375" s="3">
        <f>parking_demand_data_2024_ver0!E375*calibration!$I$31</f>
        <v>1.62531786074672</v>
      </c>
      <c r="F375" s="3">
        <f t="shared" si="5"/>
        <v>91.91691220988892</v>
      </c>
      <c r="G375" s="3">
        <f>parking_demand_data_2024_ver0!F375</f>
        <v>2</v>
      </c>
      <c r="H375" s="3">
        <f>parking_demand_data_2024_ver0!G375</f>
        <v>0</v>
      </c>
      <c r="I375" s="3">
        <f>parking_demand_data_2024_ver0!H375</f>
        <v>2</v>
      </c>
      <c r="J375" s="3">
        <f>parking_demand_data_2024_ver0!I375</f>
        <v>0</v>
      </c>
      <c r="K375" s="3">
        <f>parking_demand_data_2024_ver0!J375</f>
        <v>0</v>
      </c>
      <c r="L375" s="3">
        <f>parking_demand_data_2024_ver0!K375</f>
        <v>0</v>
      </c>
      <c r="M375" s="3">
        <f>parking_demand_data_2024_ver0!L375</f>
        <v>0</v>
      </c>
      <c r="N375" s="3">
        <f>parking_demand_data_2024_ver0!M375</f>
        <v>149</v>
      </c>
      <c r="O375" s="3">
        <f>parking_demand_data_2024_ver0!N375</f>
        <v>0</v>
      </c>
      <c r="P375" s="3">
        <f>parking_demand_data_2024_ver0!O375</f>
        <v>149</v>
      </c>
      <c r="Q375" s="3">
        <f>parking_demand_data_2024_ver0!P375</f>
        <v>0</v>
      </c>
      <c r="R375" s="3">
        <f>parking_demand_data_2024_ver0!Q375</f>
        <v>0</v>
      </c>
      <c r="S375" s="3">
        <f>parking_demand_data_2024_ver0!R375</f>
        <v>0</v>
      </c>
      <c r="T375" s="3">
        <f>parking_demand_data_2024_ver0!S375</f>
        <v>0</v>
      </c>
    </row>
    <row r="376" spans="1:20" x14ac:dyDescent="0.25">
      <c r="A376">
        <v>18031</v>
      </c>
      <c r="B376" t="s">
        <v>44</v>
      </c>
      <c r="C376">
        <v>14</v>
      </c>
      <c r="D376" s="3">
        <f>parking_demand_data_2024_ver0!D376*calibration!$I$31</f>
        <v>91.156125126135194</v>
      </c>
      <c r="E376" s="3">
        <f>parking_demand_data_2024_ver0!E376*calibration!$I$31</f>
        <v>1.48699293642785</v>
      </c>
      <c r="F376" s="3">
        <f t="shared" si="5"/>
        <v>92.643118062563047</v>
      </c>
      <c r="G376" s="3">
        <f>parking_demand_data_2024_ver0!F376</f>
        <v>2</v>
      </c>
      <c r="H376" s="3">
        <f>parking_demand_data_2024_ver0!G376</f>
        <v>0</v>
      </c>
      <c r="I376" s="3">
        <f>parking_demand_data_2024_ver0!H376</f>
        <v>2</v>
      </c>
      <c r="J376" s="3">
        <f>parking_demand_data_2024_ver0!I376</f>
        <v>0</v>
      </c>
      <c r="K376" s="3">
        <f>parking_demand_data_2024_ver0!J376</f>
        <v>0</v>
      </c>
      <c r="L376" s="3">
        <f>parking_demand_data_2024_ver0!K376</f>
        <v>0</v>
      </c>
      <c r="M376" s="3">
        <f>parking_demand_data_2024_ver0!L376</f>
        <v>0</v>
      </c>
      <c r="N376" s="3">
        <f>parking_demand_data_2024_ver0!M376</f>
        <v>149</v>
      </c>
      <c r="O376" s="3">
        <f>parking_demand_data_2024_ver0!N376</f>
        <v>0</v>
      </c>
      <c r="P376" s="3">
        <f>parking_demand_data_2024_ver0!O376</f>
        <v>149</v>
      </c>
      <c r="Q376" s="3">
        <f>parking_demand_data_2024_ver0!P376</f>
        <v>0</v>
      </c>
      <c r="R376" s="3">
        <f>parking_demand_data_2024_ver0!Q376</f>
        <v>0</v>
      </c>
      <c r="S376" s="3">
        <f>parking_demand_data_2024_ver0!R376</f>
        <v>0</v>
      </c>
      <c r="T376" s="3">
        <f>parking_demand_data_2024_ver0!S376</f>
        <v>0</v>
      </c>
    </row>
    <row r="377" spans="1:20" x14ac:dyDescent="0.25">
      <c r="A377">
        <v>18031</v>
      </c>
      <c r="B377" t="s">
        <v>44</v>
      </c>
      <c r="C377">
        <v>15</v>
      </c>
      <c r="D377" s="3">
        <f>parking_demand_data_2024_ver0!D377*calibration!$I$31</f>
        <v>97.899465186680104</v>
      </c>
      <c r="E377" s="3">
        <f>parking_demand_data_2024_ver0!E377*calibration!$I$31</f>
        <v>0.79536831483350101</v>
      </c>
      <c r="F377" s="3">
        <f t="shared" si="5"/>
        <v>98.6948335015136</v>
      </c>
      <c r="G377" s="3">
        <f>parking_demand_data_2024_ver0!F377</f>
        <v>2</v>
      </c>
      <c r="H377" s="3">
        <f>parking_demand_data_2024_ver0!G377</f>
        <v>0</v>
      </c>
      <c r="I377" s="3">
        <f>parking_demand_data_2024_ver0!H377</f>
        <v>2</v>
      </c>
      <c r="J377" s="3">
        <f>parking_demand_data_2024_ver0!I377</f>
        <v>0</v>
      </c>
      <c r="K377" s="3">
        <f>parking_demand_data_2024_ver0!J377</f>
        <v>0</v>
      </c>
      <c r="L377" s="3">
        <f>parking_demand_data_2024_ver0!K377</f>
        <v>0</v>
      </c>
      <c r="M377" s="3">
        <f>parking_demand_data_2024_ver0!L377</f>
        <v>0</v>
      </c>
      <c r="N377" s="3">
        <f>parking_demand_data_2024_ver0!M377</f>
        <v>149</v>
      </c>
      <c r="O377" s="3">
        <f>parking_demand_data_2024_ver0!N377</f>
        <v>0</v>
      </c>
      <c r="P377" s="3">
        <f>parking_demand_data_2024_ver0!O377</f>
        <v>149</v>
      </c>
      <c r="Q377" s="3">
        <f>parking_demand_data_2024_ver0!P377</f>
        <v>0</v>
      </c>
      <c r="R377" s="3">
        <f>parking_demand_data_2024_ver0!Q377</f>
        <v>0</v>
      </c>
      <c r="S377" s="3">
        <f>parking_demand_data_2024_ver0!R377</f>
        <v>0</v>
      </c>
      <c r="T377" s="3">
        <f>parking_demand_data_2024_ver0!S377</f>
        <v>0</v>
      </c>
    </row>
    <row r="378" spans="1:20" x14ac:dyDescent="0.25">
      <c r="A378">
        <v>18031</v>
      </c>
      <c r="B378" t="s">
        <v>44</v>
      </c>
      <c r="C378">
        <v>16</v>
      </c>
      <c r="D378" s="3">
        <f>parking_demand_data_2024_ver0!D378*calibration!$I$31</f>
        <v>111.697376387487</v>
      </c>
      <c r="E378" s="3">
        <f>parking_demand_data_2024_ver0!E378*calibration!$I$31</f>
        <v>0.58788092835519601</v>
      </c>
      <c r="F378" s="3">
        <f t="shared" si="5"/>
        <v>112.28525731584219</v>
      </c>
      <c r="G378" s="3">
        <f>parking_demand_data_2024_ver0!F378</f>
        <v>2</v>
      </c>
      <c r="H378" s="3">
        <f>parking_demand_data_2024_ver0!G378</f>
        <v>0</v>
      </c>
      <c r="I378" s="3">
        <f>parking_demand_data_2024_ver0!H378</f>
        <v>2</v>
      </c>
      <c r="J378" s="3">
        <f>parking_demand_data_2024_ver0!I378</f>
        <v>0</v>
      </c>
      <c r="K378" s="3">
        <f>parking_demand_data_2024_ver0!J378</f>
        <v>0</v>
      </c>
      <c r="L378" s="3">
        <f>parking_demand_data_2024_ver0!K378</f>
        <v>0</v>
      </c>
      <c r="M378" s="3">
        <f>parking_demand_data_2024_ver0!L378</f>
        <v>0</v>
      </c>
      <c r="N378" s="3">
        <f>parking_demand_data_2024_ver0!M378</f>
        <v>149</v>
      </c>
      <c r="O378" s="3">
        <f>parking_demand_data_2024_ver0!N378</f>
        <v>0</v>
      </c>
      <c r="P378" s="3">
        <f>parking_demand_data_2024_ver0!O378</f>
        <v>149</v>
      </c>
      <c r="Q378" s="3">
        <f>parking_demand_data_2024_ver0!P378</f>
        <v>0</v>
      </c>
      <c r="R378" s="3">
        <f>parking_demand_data_2024_ver0!Q378</f>
        <v>0</v>
      </c>
      <c r="S378" s="3">
        <f>parking_demand_data_2024_ver0!R378</f>
        <v>0</v>
      </c>
      <c r="T378" s="3">
        <f>parking_demand_data_2024_ver0!S378</f>
        <v>0</v>
      </c>
    </row>
    <row r="379" spans="1:20" x14ac:dyDescent="0.25">
      <c r="A379">
        <v>18031</v>
      </c>
      <c r="B379" t="s">
        <v>44</v>
      </c>
      <c r="C379">
        <v>17</v>
      </c>
      <c r="D379" s="3">
        <f>parking_demand_data_2024_ver0!D379*calibration!$I$31</f>
        <v>126.636468213925</v>
      </c>
      <c r="E379" s="3">
        <f>parking_demand_data_2024_ver0!E379*calibration!$I$31</f>
        <v>0.72620585267406601</v>
      </c>
      <c r="F379" s="3">
        <f t="shared" si="5"/>
        <v>127.36267406659907</v>
      </c>
      <c r="G379" s="3">
        <f>parking_demand_data_2024_ver0!F379</f>
        <v>2</v>
      </c>
      <c r="H379" s="3">
        <f>parking_demand_data_2024_ver0!G379</f>
        <v>0</v>
      </c>
      <c r="I379" s="3">
        <f>parking_demand_data_2024_ver0!H379</f>
        <v>2</v>
      </c>
      <c r="J379" s="3">
        <f>parking_demand_data_2024_ver0!I379</f>
        <v>0</v>
      </c>
      <c r="K379" s="3">
        <f>parking_demand_data_2024_ver0!J379</f>
        <v>0</v>
      </c>
      <c r="L379" s="3">
        <f>parking_demand_data_2024_ver0!K379</f>
        <v>0</v>
      </c>
      <c r="M379" s="3">
        <f>parking_demand_data_2024_ver0!L379</f>
        <v>0</v>
      </c>
      <c r="N379" s="3">
        <f>parking_demand_data_2024_ver0!M379</f>
        <v>149</v>
      </c>
      <c r="O379" s="3">
        <f>parking_demand_data_2024_ver0!N379</f>
        <v>0</v>
      </c>
      <c r="P379" s="3">
        <f>parking_demand_data_2024_ver0!O379</f>
        <v>149</v>
      </c>
      <c r="Q379" s="3">
        <f>parking_demand_data_2024_ver0!P379</f>
        <v>0</v>
      </c>
      <c r="R379" s="3">
        <f>parking_demand_data_2024_ver0!Q379</f>
        <v>0</v>
      </c>
      <c r="S379" s="3">
        <f>parking_demand_data_2024_ver0!R379</f>
        <v>0</v>
      </c>
      <c r="T379" s="3">
        <f>parking_demand_data_2024_ver0!S379</f>
        <v>0</v>
      </c>
    </row>
    <row r="380" spans="1:20" x14ac:dyDescent="0.25">
      <c r="A380">
        <v>18031</v>
      </c>
      <c r="B380" t="s">
        <v>44</v>
      </c>
      <c r="C380">
        <v>18</v>
      </c>
      <c r="D380" s="3">
        <f>parking_demand_data_2024_ver0!D380*calibration!$I$31</f>
        <v>136.492119071644</v>
      </c>
      <c r="E380" s="3">
        <f>parking_demand_data_2024_ver0!E380*calibration!$I$31</f>
        <v>0.86453077699293601</v>
      </c>
      <c r="F380" s="3">
        <f t="shared" si="5"/>
        <v>137.35664984863695</v>
      </c>
      <c r="G380" s="3">
        <f>parking_demand_data_2024_ver0!F380</f>
        <v>2</v>
      </c>
      <c r="H380" s="3">
        <f>parking_demand_data_2024_ver0!G380</f>
        <v>0</v>
      </c>
      <c r="I380" s="3">
        <f>parking_demand_data_2024_ver0!H380</f>
        <v>2</v>
      </c>
      <c r="J380" s="3">
        <f>parking_demand_data_2024_ver0!I380</f>
        <v>0</v>
      </c>
      <c r="K380" s="3">
        <f>parking_demand_data_2024_ver0!J380</f>
        <v>0</v>
      </c>
      <c r="L380" s="3">
        <f>parking_demand_data_2024_ver0!K380</f>
        <v>0</v>
      </c>
      <c r="M380" s="3">
        <f>parking_demand_data_2024_ver0!L380</f>
        <v>0</v>
      </c>
      <c r="N380" s="3">
        <f>parking_demand_data_2024_ver0!M380</f>
        <v>149</v>
      </c>
      <c r="O380" s="3">
        <f>parking_demand_data_2024_ver0!N380</f>
        <v>0</v>
      </c>
      <c r="P380" s="3">
        <f>parking_demand_data_2024_ver0!O380</f>
        <v>149</v>
      </c>
      <c r="Q380" s="3">
        <f>parking_demand_data_2024_ver0!P380</f>
        <v>0</v>
      </c>
      <c r="R380" s="3">
        <f>parking_demand_data_2024_ver0!Q380</f>
        <v>0</v>
      </c>
      <c r="S380" s="3">
        <f>parking_demand_data_2024_ver0!R380</f>
        <v>0</v>
      </c>
      <c r="T380" s="3">
        <f>parking_demand_data_2024_ver0!S380</f>
        <v>0</v>
      </c>
    </row>
    <row r="381" spans="1:20" x14ac:dyDescent="0.25">
      <c r="A381">
        <v>18031</v>
      </c>
      <c r="B381" t="s">
        <v>44</v>
      </c>
      <c r="C381">
        <v>19</v>
      </c>
      <c r="D381" s="3">
        <f>parking_demand_data_2024_ver0!D381*calibration!$I$31</f>
        <v>145.37949545913199</v>
      </c>
      <c r="E381" s="3">
        <f>parking_demand_data_2024_ver0!E381*calibration!$I$31</f>
        <v>1.10659939455095</v>
      </c>
      <c r="F381" s="3">
        <f t="shared" si="5"/>
        <v>146.48609485368294</v>
      </c>
      <c r="G381" s="3">
        <f>parking_demand_data_2024_ver0!F381</f>
        <v>2</v>
      </c>
      <c r="H381" s="3">
        <f>parking_demand_data_2024_ver0!G381</f>
        <v>0</v>
      </c>
      <c r="I381" s="3">
        <f>parking_demand_data_2024_ver0!H381</f>
        <v>2</v>
      </c>
      <c r="J381" s="3">
        <f>parking_demand_data_2024_ver0!I381</f>
        <v>0</v>
      </c>
      <c r="K381" s="3">
        <f>parking_demand_data_2024_ver0!J381</f>
        <v>0</v>
      </c>
      <c r="L381" s="3">
        <f>parking_demand_data_2024_ver0!K381</f>
        <v>0</v>
      </c>
      <c r="M381" s="3">
        <f>parking_demand_data_2024_ver0!L381</f>
        <v>0</v>
      </c>
      <c r="N381" s="3">
        <f>parking_demand_data_2024_ver0!M381</f>
        <v>149</v>
      </c>
      <c r="O381" s="3">
        <f>parking_demand_data_2024_ver0!N381</f>
        <v>0</v>
      </c>
      <c r="P381" s="3">
        <f>parking_demand_data_2024_ver0!O381</f>
        <v>149</v>
      </c>
      <c r="Q381" s="3">
        <f>parking_demand_data_2024_ver0!P381</f>
        <v>0</v>
      </c>
      <c r="R381" s="3">
        <f>parking_demand_data_2024_ver0!Q381</f>
        <v>0</v>
      </c>
      <c r="S381" s="3">
        <f>parking_demand_data_2024_ver0!R381</f>
        <v>0</v>
      </c>
      <c r="T381" s="3">
        <f>parking_demand_data_2024_ver0!S381</f>
        <v>0</v>
      </c>
    </row>
    <row r="382" spans="1:20" x14ac:dyDescent="0.25">
      <c r="A382">
        <v>18031</v>
      </c>
      <c r="B382" t="s">
        <v>44</v>
      </c>
      <c r="C382">
        <v>20</v>
      </c>
      <c r="D382" s="3">
        <f>parking_demand_data_2024_ver0!D382*calibration!$I$31</f>
        <v>152.98736629666999</v>
      </c>
      <c r="E382" s="3">
        <f>parking_demand_data_2024_ver0!E382*calibration!$I$31</f>
        <v>1.590736629667</v>
      </c>
      <c r="F382" s="3">
        <f t="shared" si="5"/>
        <v>154.57810292633698</v>
      </c>
      <c r="G382" s="3">
        <f>parking_demand_data_2024_ver0!F382</f>
        <v>2</v>
      </c>
      <c r="H382" s="3">
        <f>parking_demand_data_2024_ver0!G382</f>
        <v>0</v>
      </c>
      <c r="I382" s="3">
        <f>parking_demand_data_2024_ver0!H382</f>
        <v>2</v>
      </c>
      <c r="J382" s="3">
        <f>parking_demand_data_2024_ver0!I382</f>
        <v>0</v>
      </c>
      <c r="K382" s="3">
        <f>parking_demand_data_2024_ver0!J382</f>
        <v>0</v>
      </c>
      <c r="L382" s="3">
        <f>parking_demand_data_2024_ver0!K382</f>
        <v>0</v>
      </c>
      <c r="M382" s="3">
        <f>parking_demand_data_2024_ver0!L382</f>
        <v>0</v>
      </c>
      <c r="N382" s="3">
        <f>parking_demand_data_2024_ver0!M382</f>
        <v>149</v>
      </c>
      <c r="O382" s="3">
        <f>parking_demand_data_2024_ver0!N382</f>
        <v>0</v>
      </c>
      <c r="P382" s="3">
        <f>parking_demand_data_2024_ver0!O382</f>
        <v>149</v>
      </c>
      <c r="Q382" s="3">
        <f>parking_demand_data_2024_ver0!P382</f>
        <v>0</v>
      </c>
      <c r="R382" s="3">
        <f>parking_demand_data_2024_ver0!Q382</f>
        <v>0</v>
      </c>
      <c r="S382" s="3">
        <f>parking_demand_data_2024_ver0!R382</f>
        <v>0</v>
      </c>
      <c r="T382" s="3">
        <f>parking_demand_data_2024_ver0!S382</f>
        <v>0</v>
      </c>
    </row>
    <row r="383" spans="1:20" x14ac:dyDescent="0.25">
      <c r="A383">
        <v>18031</v>
      </c>
      <c r="B383" t="s">
        <v>44</v>
      </c>
      <c r="C383">
        <v>21</v>
      </c>
      <c r="D383" s="3">
        <f>parking_demand_data_2024_ver0!D383*calibration!$I$31</f>
        <v>157.34460141271401</v>
      </c>
      <c r="E383" s="3">
        <f>parking_demand_data_2024_ver0!E383*calibration!$I$31</f>
        <v>1.90196770938446</v>
      </c>
      <c r="F383" s="3">
        <f t="shared" si="5"/>
        <v>159.24656912209846</v>
      </c>
      <c r="G383" s="3">
        <f>parking_demand_data_2024_ver0!F383</f>
        <v>2</v>
      </c>
      <c r="H383" s="3">
        <f>parking_demand_data_2024_ver0!G383</f>
        <v>0</v>
      </c>
      <c r="I383" s="3">
        <f>parking_demand_data_2024_ver0!H383</f>
        <v>2</v>
      </c>
      <c r="J383" s="3">
        <f>parking_demand_data_2024_ver0!I383</f>
        <v>0</v>
      </c>
      <c r="K383" s="3">
        <f>parking_demand_data_2024_ver0!J383</f>
        <v>0</v>
      </c>
      <c r="L383" s="3">
        <f>parking_demand_data_2024_ver0!K383</f>
        <v>0</v>
      </c>
      <c r="M383" s="3">
        <f>parking_demand_data_2024_ver0!L383</f>
        <v>0</v>
      </c>
      <c r="N383" s="3">
        <f>parking_demand_data_2024_ver0!M383</f>
        <v>149</v>
      </c>
      <c r="O383" s="3">
        <f>parking_demand_data_2024_ver0!N383</f>
        <v>0</v>
      </c>
      <c r="P383" s="3">
        <f>parking_demand_data_2024_ver0!O383</f>
        <v>149</v>
      </c>
      <c r="Q383" s="3">
        <f>parking_demand_data_2024_ver0!P383</f>
        <v>0</v>
      </c>
      <c r="R383" s="3">
        <f>parking_demand_data_2024_ver0!Q383</f>
        <v>0</v>
      </c>
      <c r="S383" s="3">
        <f>parking_demand_data_2024_ver0!R383</f>
        <v>0</v>
      </c>
      <c r="T383" s="3">
        <f>parking_demand_data_2024_ver0!S383</f>
        <v>0</v>
      </c>
    </row>
    <row r="384" spans="1:20" x14ac:dyDescent="0.25">
      <c r="A384">
        <v>18031</v>
      </c>
      <c r="B384" t="s">
        <v>44</v>
      </c>
      <c r="C384">
        <v>22</v>
      </c>
      <c r="D384" s="3">
        <f>parking_demand_data_2024_ver0!D384*calibration!$I$31</f>
        <v>162.220554994954</v>
      </c>
      <c r="E384" s="3">
        <f>parking_demand_data_2024_ver0!E384*calibration!$I$31</f>
        <v>2.7319172552976698</v>
      </c>
      <c r="F384" s="3">
        <f t="shared" si="5"/>
        <v>164.95247225025167</v>
      </c>
      <c r="G384" s="3">
        <f>parking_demand_data_2024_ver0!F384</f>
        <v>2</v>
      </c>
      <c r="H384" s="3">
        <f>parking_demand_data_2024_ver0!G384</f>
        <v>0</v>
      </c>
      <c r="I384" s="3">
        <f>parking_demand_data_2024_ver0!H384</f>
        <v>2</v>
      </c>
      <c r="J384" s="3">
        <f>parking_demand_data_2024_ver0!I384</f>
        <v>0</v>
      </c>
      <c r="K384" s="3">
        <f>parking_demand_data_2024_ver0!J384</f>
        <v>0</v>
      </c>
      <c r="L384" s="3">
        <f>parking_demand_data_2024_ver0!K384</f>
        <v>0</v>
      </c>
      <c r="M384" s="3">
        <f>parking_demand_data_2024_ver0!L384</f>
        <v>0</v>
      </c>
      <c r="N384" s="3">
        <f>parking_demand_data_2024_ver0!M384</f>
        <v>149</v>
      </c>
      <c r="O384" s="3">
        <f>parking_demand_data_2024_ver0!N384</f>
        <v>0</v>
      </c>
      <c r="P384" s="3">
        <f>parking_demand_data_2024_ver0!O384</f>
        <v>149</v>
      </c>
      <c r="Q384" s="3">
        <f>parking_demand_data_2024_ver0!P384</f>
        <v>0</v>
      </c>
      <c r="R384" s="3">
        <f>parking_demand_data_2024_ver0!Q384</f>
        <v>0</v>
      </c>
      <c r="S384" s="3">
        <f>parking_demand_data_2024_ver0!R384</f>
        <v>0</v>
      </c>
      <c r="T384" s="3">
        <f>parking_demand_data_2024_ver0!S384</f>
        <v>0</v>
      </c>
    </row>
    <row r="385" spans="1:20" x14ac:dyDescent="0.25">
      <c r="A385">
        <v>18031</v>
      </c>
      <c r="B385" t="s">
        <v>44</v>
      </c>
      <c r="C385">
        <v>23</v>
      </c>
      <c r="D385" s="3">
        <f>parking_demand_data_2024_ver0!D385*calibration!$I$31</f>
        <v>167.26941473259299</v>
      </c>
      <c r="E385" s="3">
        <f>parking_demand_data_2024_ver0!E385*calibration!$I$31</f>
        <v>3.5964480322906098</v>
      </c>
      <c r="F385" s="3">
        <f t="shared" si="5"/>
        <v>170.86586276488362</v>
      </c>
      <c r="G385" s="3">
        <f>parking_demand_data_2024_ver0!F385</f>
        <v>2</v>
      </c>
      <c r="H385" s="3">
        <f>parking_demand_data_2024_ver0!G385</f>
        <v>0</v>
      </c>
      <c r="I385" s="3">
        <f>parking_demand_data_2024_ver0!H385</f>
        <v>2</v>
      </c>
      <c r="J385" s="3">
        <f>parking_demand_data_2024_ver0!I385</f>
        <v>0</v>
      </c>
      <c r="K385" s="3">
        <f>parking_demand_data_2024_ver0!J385</f>
        <v>0</v>
      </c>
      <c r="L385" s="3">
        <f>parking_demand_data_2024_ver0!K385</f>
        <v>0</v>
      </c>
      <c r="M385" s="3">
        <f>parking_demand_data_2024_ver0!L385</f>
        <v>0</v>
      </c>
      <c r="N385" s="3">
        <f>parking_demand_data_2024_ver0!M385</f>
        <v>149</v>
      </c>
      <c r="O385" s="3">
        <f>parking_demand_data_2024_ver0!N385</f>
        <v>0</v>
      </c>
      <c r="P385" s="3">
        <f>parking_demand_data_2024_ver0!O385</f>
        <v>149</v>
      </c>
      <c r="Q385" s="3">
        <f>parking_demand_data_2024_ver0!P385</f>
        <v>0</v>
      </c>
      <c r="R385" s="3">
        <f>parking_demand_data_2024_ver0!Q385</f>
        <v>0</v>
      </c>
      <c r="S385" s="3">
        <f>parking_demand_data_2024_ver0!R385</f>
        <v>0</v>
      </c>
      <c r="T385" s="3">
        <f>parking_demand_data_2024_ver0!S385</f>
        <v>0</v>
      </c>
    </row>
    <row r="386" spans="1:20" x14ac:dyDescent="0.25">
      <c r="A386">
        <v>18033</v>
      </c>
      <c r="B386" t="s">
        <v>45</v>
      </c>
      <c r="C386">
        <v>0</v>
      </c>
      <c r="D386" s="3">
        <f>parking_demand_data_2024_ver0!D386*calibration!$I$31</f>
        <v>85.665001087698599</v>
      </c>
      <c r="E386" s="3">
        <f>parking_demand_data_2024_ver0!E386*calibration!$I$31</f>
        <v>6.8489853268147698</v>
      </c>
      <c r="F386" s="3">
        <f t="shared" si="5"/>
        <v>92.513986414513369</v>
      </c>
      <c r="G386" s="3">
        <f>parking_demand_data_2024_ver0!F386</f>
        <v>3</v>
      </c>
      <c r="H386" s="3">
        <f>parking_demand_data_2024_ver0!G386</f>
        <v>0</v>
      </c>
      <c r="I386" s="3">
        <f>parking_demand_data_2024_ver0!H386</f>
        <v>0</v>
      </c>
      <c r="J386" s="3">
        <f>parking_demand_data_2024_ver0!I386</f>
        <v>2</v>
      </c>
      <c r="K386" s="3">
        <f>parking_demand_data_2024_ver0!J386</f>
        <v>0</v>
      </c>
      <c r="L386" s="3">
        <f>parking_demand_data_2024_ver0!K386</f>
        <v>1</v>
      </c>
      <c r="M386" s="3">
        <f>parking_demand_data_2024_ver0!L386</f>
        <v>0</v>
      </c>
      <c r="N386" s="3">
        <f>parking_demand_data_2024_ver0!M386</f>
        <v>123</v>
      </c>
      <c r="O386" s="3">
        <f>parking_demand_data_2024_ver0!N386</f>
        <v>0</v>
      </c>
      <c r="P386" s="3">
        <f>parking_demand_data_2024_ver0!O386</f>
        <v>0</v>
      </c>
      <c r="Q386" s="3">
        <f>parking_demand_data_2024_ver0!P386</f>
        <v>40</v>
      </c>
      <c r="R386" s="3">
        <f>parking_demand_data_2024_ver0!Q386</f>
        <v>0</v>
      </c>
      <c r="S386" s="3">
        <f>parking_demand_data_2024_ver0!R386</f>
        <v>83</v>
      </c>
      <c r="T386" s="3">
        <f>parking_demand_data_2024_ver0!S386</f>
        <v>0</v>
      </c>
    </row>
    <row r="387" spans="1:20" x14ac:dyDescent="0.25">
      <c r="A387">
        <v>18033</v>
      </c>
      <c r="B387" t="s">
        <v>45</v>
      </c>
      <c r="C387">
        <v>1</v>
      </c>
      <c r="D387" s="3">
        <f>parking_demand_data_2024_ver0!D387*calibration!$I$31</f>
        <v>84.242519519821698</v>
      </c>
      <c r="E387" s="3">
        <f>parking_demand_data_2024_ver0!E387*calibration!$I$31</f>
        <v>6.0587177891053701</v>
      </c>
      <c r="F387" s="3">
        <f t="shared" ref="F387:F450" si="6">SUM(D387:E387)</f>
        <v>90.301237308927071</v>
      </c>
      <c r="G387" s="3">
        <f>parking_demand_data_2024_ver0!F387</f>
        <v>3</v>
      </c>
      <c r="H387" s="3">
        <f>parking_demand_data_2024_ver0!G387</f>
        <v>0</v>
      </c>
      <c r="I387" s="3">
        <f>parking_demand_data_2024_ver0!H387</f>
        <v>0</v>
      </c>
      <c r="J387" s="3">
        <f>parking_demand_data_2024_ver0!I387</f>
        <v>2</v>
      </c>
      <c r="K387" s="3">
        <f>parking_demand_data_2024_ver0!J387</f>
        <v>0</v>
      </c>
      <c r="L387" s="3">
        <f>parking_demand_data_2024_ver0!K387</f>
        <v>1</v>
      </c>
      <c r="M387" s="3">
        <f>parking_demand_data_2024_ver0!L387</f>
        <v>0</v>
      </c>
      <c r="N387" s="3">
        <f>parking_demand_data_2024_ver0!M387</f>
        <v>123</v>
      </c>
      <c r="O387" s="3">
        <f>parking_demand_data_2024_ver0!N387</f>
        <v>0</v>
      </c>
      <c r="P387" s="3">
        <f>parking_demand_data_2024_ver0!O387</f>
        <v>0</v>
      </c>
      <c r="Q387" s="3">
        <f>parking_demand_data_2024_ver0!P387</f>
        <v>40</v>
      </c>
      <c r="R387" s="3">
        <f>parking_demand_data_2024_ver0!Q387</f>
        <v>0</v>
      </c>
      <c r="S387" s="3">
        <f>parking_demand_data_2024_ver0!R387</f>
        <v>83</v>
      </c>
      <c r="T387" s="3">
        <f>parking_demand_data_2024_ver0!S387</f>
        <v>0</v>
      </c>
    </row>
    <row r="388" spans="1:20" x14ac:dyDescent="0.25">
      <c r="A388">
        <v>18033</v>
      </c>
      <c r="B388" t="s">
        <v>45</v>
      </c>
      <c r="C388">
        <v>2</v>
      </c>
      <c r="D388" s="3">
        <f>parking_demand_data_2024_ver0!D388*calibration!$I$31</f>
        <v>84.295204022335597</v>
      </c>
      <c r="E388" s="3">
        <f>parking_demand_data_2024_ver0!E388*calibration!$I$31</f>
        <v>5.7426107740216104</v>
      </c>
      <c r="F388" s="3">
        <f t="shared" si="6"/>
        <v>90.03781479635721</v>
      </c>
      <c r="G388" s="3">
        <f>parking_demand_data_2024_ver0!F388</f>
        <v>3</v>
      </c>
      <c r="H388" s="3">
        <f>parking_demand_data_2024_ver0!G388</f>
        <v>0</v>
      </c>
      <c r="I388" s="3">
        <f>parking_demand_data_2024_ver0!H388</f>
        <v>0</v>
      </c>
      <c r="J388" s="3">
        <f>parking_demand_data_2024_ver0!I388</f>
        <v>2</v>
      </c>
      <c r="K388" s="3">
        <f>parking_demand_data_2024_ver0!J388</f>
        <v>0</v>
      </c>
      <c r="L388" s="3">
        <f>parking_demand_data_2024_ver0!K388</f>
        <v>1</v>
      </c>
      <c r="M388" s="3">
        <f>parking_demand_data_2024_ver0!L388</f>
        <v>0</v>
      </c>
      <c r="N388" s="3">
        <f>parking_demand_data_2024_ver0!M388</f>
        <v>123</v>
      </c>
      <c r="O388" s="3">
        <f>parking_demand_data_2024_ver0!N388</f>
        <v>0</v>
      </c>
      <c r="P388" s="3">
        <f>parking_demand_data_2024_ver0!O388</f>
        <v>0</v>
      </c>
      <c r="Q388" s="3">
        <f>parking_demand_data_2024_ver0!P388</f>
        <v>40</v>
      </c>
      <c r="R388" s="3">
        <f>parking_demand_data_2024_ver0!Q388</f>
        <v>0</v>
      </c>
      <c r="S388" s="3">
        <f>parking_demand_data_2024_ver0!R388</f>
        <v>83</v>
      </c>
      <c r="T388" s="3">
        <f>parking_demand_data_2024_ver0!S388</f>
        <v>0</v>
      </c>
    </row>
    <row r="389" spans="1:20" x14ac:dyDescent="0.25">
      <c r="A389">
        <v>18033</v>
      </c>
      <c r="B389" t="s">
        <v>45</v>
      </c>
      <c r="C389">
        <v>3</v>
      </c>
      <c r="D389" s="3">
        <f>parking_demand_data_2024_ver0!D389*calibration!$I$31</f>
        <v>84.980102555017098</v>
      </c>
      <c r="E389" s="3">
        <f>parking_demand_data_2024_ver0!E389*calibration!$I$31</f>
        <v>6.0060332865914097</v>
      </c>
      <c r="F389" s="3">
        <f t="shared" si="6"/>
        <v>90.986135841608501</v>
      </c>
      <c r="G389" s="3">
        <f>parking_demand_data_2024_ver0!F389</f>
        <v>3</v>
      </c>
      <c r="H389" s="3">
        <f>parking_demand_data_2024_ver0!G389</f>
        <v>0</v>
      </c>
      <c r="I389" s="3">
        <f>parking_demand_data_2024_ver0!H389</f>
        <v>0</v>
      </c>
      <c r="J389" s="3">
        <f>parking_demand_data_2024_ver0!I389</f>
        <v>2</v>
      </c>
      <c r="K389" s="3">
        <f>parking_demand_data_2024_ver0!J389</f>
        <v>0</v>
      </c>
      <c r="L389" s="3">
        <f>parking_demand_data_2024_ver0!K389</f>
        <v>1</v>
      </c>
      <c r="M389" s="3">
        <f>parking_demand_data_2024_ver0!L389</f>
        <v>0</v>
      </c>
      <c r="N389" s="3">
        <f>parking_demand_data_2024_ver0!M389</f>
        <v>123</v>
      </c>
      <c r="O389" s="3">
        <f>parking_demand_data_2024_ver0!N389</f>
        <v>0</v>
      </c>
      <c r="P389" s="3">
        <f>parking_demand_data_2024_ver0!O389</f>
        <v>0</v>
      </c>
      <c r="Q389" s="3">
        <f>parking_demand_data_2024_ver0!P389</f>
        <v>40</v>
      </c>
      <c r="R389" s="3">
        <f>parking_demand_data_2024_ver0!Q389</f>
        <v>0</v>
      </c>
      <c r="S389" s="3">
        <f>parking_demand_data_2024_ver0!R389</f>
        <v>83</v>
      </c>
      <c r="T389" s="3">
        <f>parking_demand_data_2024_ver0!S389</f>
        <v>0</v>
      </c>
    </row>
    <row r="390" spans="1:20" x14ac:dyDescent="0.25">
      <c r="A390">
        <v>18033</v>
      </c>
      <c r="B390" t="s">
        <v>45</v>
      </c>
      <c r="C390">
        <v>4</v>
      </c>
      <c r="D390" s="3">
        <f>parking_demand_data_2024_ver0!D390*calibration!$I$31</f>
        <v>87.140167158089398</v>
      </c>
      <c r="E390" s="3">
        <f>parking_demand_data_2024_ver0!E390*calibration!$I$31</f>
        <v>6.2694557991612099</v>
      </c>
      <c r="F390" s="3">
        <f t="shared" si="6"/>
        <v>93.409622957250605</v>
      </c>
      <c r="G390" s="3">
        <f>parking_demand_data_2024_ver0!F390</f>
        <v>3</v>
      </c>
      <c r="H390" s="3">
        <f>parking_demand_data_2024_ver0!G390</f>
        <v>0</v>
      </c>
      <c r="I390" s="3">
        <f>parking_demand_data_2024_ver0!H390</f>
        <v>0</v>
      </c>
      <c r="J390" s="3">
        <f>parking_demand_data_2024_ver0!I390</f>
        <v>2</v>
      </c>
      <c r="K390" s="3">
        <f>parking_demand_data_2024_ver0!J390</f>
        <v>0</v>
      </c>
      <c r="L390" s="3">
        <f>parking_demand_data_2024_ver0!K390</f>
        <v>1</v>
      </c>
      <c r="M390" s="3">
        <f>parking_demand_data_2024_ver0!L390</f>
        <v>0</v>
      </c>
      <c r="N390" s="3">
        <f>parking_demand_data_2024_ver0!M390</f>
        <v>123</v>
      </c>
      <c r="O390" s="3">
        <f>parking_demand_data_2024_ver0!N390</f>
        <v>0</v>
      </c>
      <c r="P390" s="3">
        <f>parking_demand_data_2024_ver0!O390</f>
        <v>0</v>
      </c>
      <c r="Q390" s="3">
        <f>parking_demand_data_2024_ver0!P390</f>
        <v>40</v>
      </c>
      <c r="R390" s="3">
        <f>parking_demand_data_2024_ver0!Q390</f>
        <v>0</v>
      </c>
      <c r="S390" s="3">
        <f>parking_demand_data_2024_ver0!R390</f>
        <v>83</v>
      </c>
      <c r="T390" s="3">
        <f>parking_demand_data_2024_ver0!S390</f>
        <v>0</v>
      </c>
    </row>
    <row r="391" spans="1:20" x14ac:dyDescent="0.25">
      <c r="A391">
        <v>18033</v>
      </c>
      <c r="B391" t="s">
        <v>45</v>
      </c>
      <c r="C391">
        <v>5</v>
      </c>
      <c r="D391" s="3">
        <f>parking_demand_data_2024_ver0!D391*calibration!$I$31</f>
        <v>89.194862756133901</v>
      </c>
      <c r="E391" s="3">
        <f>parking_demand_data_2024_ver0!E391*calibration!$I$31</f>
        <v>6.8489853268147698</v>
      </c>
      <c r="F391" s="3">
        <f t="shared" si="6"/>
        <v>96.043848082948671</v>
      </c>
      <c r="G391" s="3">
        <f>parking_demand_data_2024_ver0!F391</f>
        <v>3</v>
      </c>
      <c r="H391" s="3">
        <f>parking_demand_data_2024_ver0!G391</f>
        <v>0</v>
      </c>
      <c r="I391" s="3">
        <f>parking_demand_data_2024_ver0!H391</f>
        <v>0</v>
      </c>
      <c r="J391" s="3">
        <f>parking_demand_data_2024_ver0!I391</f>
        <v>2</v>
      </c>
      <c r="K391" s="3">
        <f>parking_demand_data_2024_ver0!J391</f>
        <v>0</v>
      </c>
      <c r="L391" s="3">
        <f>parking_demand_data_2024_ver0!K391</f>
        <v>1</v>
      </c>
      <c r="M391" s="3">
        <f>parking_demand_data_2024_ver0!L391</f>
        <v>0</v>
      </c>
      <c r="N391" s="3">
        <f>parking_demand_data_2024_ver0!M391</f>
        <v>123</v>
      </c>
      <c r="O391" s="3">
        <f>parking_demand_data_2024_ver0!N391</f>
        <v>0</v>
      </c>
      <c r="P391" s="3">
        <f>parking_demand_data_2024_ver0!O391</f>
        <v>0</v>
      </c>
      <c r="Q391" s="3">
        <f>parking_demand_data_2024_ver0!P391</f>
        <v>40</v>
      </c>
      <c r="R391" s="3">
        <f>parking_demand_data_2024_ver0!Q391</f>
        <v>0</v>
      </c>
      <c r="S391" s="3">
        <f>parking_demand_data_2024_ver0!R391</f>
        <v>83</v>
      </c>
      <c r="T391" s="3">
        <f>parking_demand_data_2024_ver0!S391</f>
        <v>0</v>
      </c>
    </row>
    <row r="392" spans="1:20" x14ac:dyDescent="0.25">
      <c r="A392">
        <v>18033</v>
      </c>
      <c r="B392" t="s">
        <v>45</v>
      </c>
      <c r="C392">
        <v>6</v>
      </c>
      <c r="D392" s="3">
        <f>parking_demand_data_2024_ver0!D392*calibration!$I$31</f>
        <v>84.874733549989202</v>
      </c>
      <c r="E392" s="3">
        <f>parking_demand_data_2024_ver0!E392*calibration!$I$31</f>
        <v>7.6392528645241597</v>
      </c>
      <c r="F392" s="3">
        <f t="shared" si="6"/>
        <v>92.513986414513369</v>
      </c>
      <c r="G392" s="3">
        <f>parking_demand_data_2024_ver0!F392</f>
        <v>3</v>
      </c>
      <c r="H392" s="3">
        <f>parking_demand_data_2024_ver0!G392</f>
        <v>0</v>
      </c>
      <c r="I392" s="3">
        <f>parking_demand_data_2024_ver0!H392</f>
        <v>0</v>
      </c>
      <c r="J392" s="3">
        <f>parking_demand_data_2024_ver0!I392</f>
        <v>2</v>
      </c>
      <c r="K392" s="3">
        <f>parking_demand_data_2024_ver0!J392</f>
        <v>0</v>
      </c>
      <c r="L392" s="3">
        <f>parking_demand_data_2024_ver0!K392</f>
        <v>1</v>
      </c>
      <c r="M392" s="3">
        <f>parking_demand_data_2024_ver0!L392</f>
        <v>0</v>
      </c>
      <c r="N392" s="3">
        <f>parking_demand_data_2024_ver0!M392</f>
        <v>123</v>
      </c>
      <c r="O392" s="3">
        <f>parking_demand_data_2024_ver0!N392</f>
        <v>0</v>
      </c>
      <c r="P392" s="3">
        <f>parking_demand_data_2024_ver0!O392</f>
        <v>0</v>
      </c>
      <c r="Q392" s="3">
        <f>parking_demand_data_2024_ver0!P392</f>
        <v>40</v>
      </c>
      <c r="R392" s="3">
        <f>parking_demand_data_2024_ver0!Q392</f>
        <v>0</v>
      </c>
      <c r="S392" s="3">
        <f>parking_demand_data_2024_ver0!R392</f>
        <v>83</v>
      </c>
      <c r="T392" s="3">
        <f>parking_demand_data_2024_ver0!S392</f>
        <v>0</v>
      </c>
    </row>
    <row r="393" spans="1:20" x14ac:dyDescent="0.25">
      <c r="A393">
        <v>18033</v>
      </c>
      <c r="B393" t="s">
        <v>45</v>
      </c>
      <c r="C393">
        <v>7</v>
      </c>
      <c r="D393" s="3">
        <f>parking_demand_data_2024_ver0!D393*calibration!$I$31</f>
        <v>75.128100584906605</v>
      </c>
      <c r="E393" s="3">
        <f>parking_demand_data_2024_ver0!E393*calibration!$I$31</f>
        <v>8.5875739097754398</v>
      </c>
      <c r="F393" s="3">
        <f t="shared" si="6"/>
        <v>83.715674494682048</v>
      </c>
      <c r="G393" s="3">
        <f>parking_demand_data_2024_ver0!F393</f>
        <v>3</v>
      </c>
      <c r="H393" s="3">
        <f>parking_demand_data_2024_ver0!G393</f>
        <v>0</v>
      </c>
      <c r="I393" s="3">
        <f>parking_demand_data_2024_ver0!H393</f>
        <v>0</v>
      </c>
      <c r="J393" s="3">
        <f>parking_demand_data_2024_ver0!I393</f>
        <v>2</v>
      </c>
      <c r="K393" s="3">
        <f>parking_demand_data_2024_ver0!J393</f>
        <v>0</v>
      </c>
      <c r="L393" s="3">
        <f>parking_demand_data_2024_ver0!K393</f>
        <v>1</v>
      </c>
      <c r="M393" s="3">
        <f>parking_demand_data_2024_ver0!L393</f>
        <v>0</v>
      </c>
      <c r="N393" s="3">
        <f>parking_demand_data_2024_ver0!M393</f>
        <v>123</v>
      </c>
      <c r="O393" s="3">
        <f>parking_demand_data_2024_ver0!N393</f>
        <v>0</v>
      </c>
      <c r="P393" s="3">
        <f>parking_demand_data_2024_ver0!O393</f>
        <v>0</v>
      </c>
      <c r="Q393" s="3">
        <f>parking_demand_data_2024_ver0!P393</f>
        <v>40</v>
      </c>
      <c r="R393" s="3">
        <f>parking_demand_data_2024_ver0!Q393</f>
        <v>0</v>
      </c>
      <c r="S393" s="3">
        <f>parking_demand_data_2024_ver0!R393</f>
        <v>83</v>
      </c>
      <c r="T393" s="3">
        <f>parking_demand_data_2024_ver0!S393</f>
        <v>0</v>
      </c>
    </row>
    <row r="394" spans="1:20" x14ac:dyDescent="0.25">
      <c r="A394">
        <v>18033</v>
      </c>
      <c r="B394" t="s">
        <v>45</v>
      </c>
      <c r="C394">
        <v>8</v>
      </c>
      <c r="D394" s="3">
        <f>parking_demand_data_2024_ver0!D394*calibration!$I$31</f>
        <v>63.537510031835403</v>
      </c>
      <c r="E394" s="3">
        <f>parking_demand_data_2024_ver0!E394*calibration!$I$31</f>
        <v>15.1731367240204</v>
      </c>
      <c r="F394" s="3">
        <f t="shared" si="6"/>
        <v>78.710646755855805</v>
      </c>
      <c r="G394" s="3">
        <f>parking_demand_data_2024_ver0!F394</f>
        <v>3</v>
      </c>
      <c r="H394" s="3">
        <f>parking_demand_data_2024_ver0!G394</f>
        <v>0</v>
      </c>
      <c r="I394" s="3">
        <f>parking_demand_data_2024_ver0!H394</f>
        <v>0</v>
      </c>
      <c r="J394" s="3">
        <f>parking_demand_data_2024_ver0!I394</f>
        <v>2</v>
      </c>
      <c r="K394" s="3">
        <f>parking_demand_data_2024_ver0!J394</f>
        <v>0</v>
      </c>
      <c r="L394" s="3">
        <f>parking_demand_data_2024_ver0!K394</f>
        <v>1</v>
      </c>
      <c r="M394" s="3">
        <f>parking_demand_data_2024_ver0!L394</f>
        <v>0</v>
      </c>
      <c r="N394" s="3">
        <f>parking_demand_data_2024_ver0!M394</f>
        <v>123</v>
      </c>
      <c r="O394" s="3">
        <f>parking_demand_data_2024_ver0!N394</f>
        <v>0</v>
      </c>
      <c r="P394" s="3">
        <f>parking_demand_data_2024_ver0!O394</f>
        <v>0</v>
      </c>
      <c r="Q394" s="3">
        <f>parking_demand_data_2024_ver0!P394</f>
        <v>40</v>
      </c>
      <c r="R394" s="3">
        <f>parking_demand_data_2024_ver0!Q394</f>
        <v>0</v>
      </c>
      <c r="S394" s="3">
        <f>parking_demand_data_2024_ver0!R394</f>
        <v>83</v>
      </c>
      <c r="T394" s="3">
        <f>parking_demand_data_2024_ver0!S394</f>
        <v>0</v>
      </c>
    </row>
    <row r="395" spans="1:20" x14ac:dyDescent="0.25">
      <c r="A395">
        <v>18033</v>
      </c>
      <c r="B395" t="s">
        <v>45</v>
      </c>
      <c r="C395">
        <v>9</v>
      </c>
      <c r="D395" s="3">
        <f>parking_demand_data_2024_ver0!D395*calibration!$I$31</f>
        <v>53.474770051669097</v>
      </c>
      <c r="E395" s="3">
        <f>parking_demand_data_2024_ver0!E395*calibration!$I$31</f>
        <v>16.016088764243701</v>
      </c>
      <c r="F395" s="3">
        <f t="shared" si="6"/>
        <v>69.490858815912802</v>
      </c>
      <c r="G395" s="3">
        <f>parking_demand_data_2024_ver0!F395</f>
        <v>3</v>
      </c>
      <c r="H395" s="3">
        <f>parking_demand_data_2024_ver0!G395</f>
        <v>0</v>
      </c>
      <c r="I395" s="3">
        <f>parking_demand_data_2024_ver0!H395</f>
        <v>0</v>
      </c>
      <c r="J395" s="3">
        <f>parking_demand_data_2024_ver0!I395</f>
        <v>2</v>
      </c>
      <c r="K395" s="3">
        <f>parking_demand_data_2024_ver0!J395</f>
        <v>0</v>
      </c>
      <c r="L395" s="3">
        <f>parking_demand_data_2024_ver0!K395</f>
        <v>1</v>
      </c>
      <c r="M395" s="3">
        <f>parking_demand_data_2024_ver0!L395</f>
        <v>0</v>
      </c>
      <c r="N395" s="3">
        <f>parking_demand_data_2024_ver0!M395</f>
        <v>123</v>
      </c>
      <c r="O395" s="3">
        <f>parking_demand_data_2024_ver0!N395</f>
        <v>0</v>
      </c>
      <c r="P395" s="3">
        <f>parking_demand_data_2024_ver0!O395</f>
        <v>0</v>
      </c>
      <c r="Q395" s="3">
        <f>parking_demand_data_2024_ver0!P395</f>
        <v>40</v>
      </c>
      <c r="R395" s="3">
        <f>parking_demand_data_2024_ver0!Q395</f>
        <v>0</v>
      </c>
      <c r="S395" s="3">
        <f>parking_demand_data_2024_ver0!R395</f>
        <v>83</v>
      </c>
      <c r="T395" s="3">
        <f>parking_demand_data_2024_ver0!S395</f>
        <v>0</v>
      </c>
    </row>
    <row r="396" spans="1:20" x14ac:dyDescent="0.25">
      <c r="A396">
        <v>18033</v>
      </c>
      <c r="B396" t="s">
        <v>45</v>
      </c>
      <c r="C396">
        <v>10</v>
      </c>
      <c r="D396" s="3">
        <f>parking_demand_data_2024_ver0!D396*calibration!$I$31</f>
        <v>44.571089126809902</v>
      </c>
      <c r="E396" s="3">
        <f>parking_demand_data_2024_ver0!E396*calibration!$I$31</f>
        <v>15.2785057290483</v>
      </c>
      <c r="F396" s="3">
        <f t="shared" si="6"/>
        <v>59.8495948558582</v>
      </c>
      <c r="G396" s="3">
        <f>parking_demand_data_2024_ver0!F396</f>
        <v>3</v>
      </c>
      <c r="H396" s="3">
        <f>parking_demand_data_2024_ver0!G396</f>
        <v>0</v>
      </c>
      <c r="I396" s="3">
        <f>parking_demand_data_2024_ver0!H396</f>
        <v>0</v>
      </c>
      <c r="J396" s="3">
        <f>parking_demand_data_2024_ver0!I396</f>
        <v>2</v>
      </c>
      <c r="K396" s="3">
        <f>parking_demand_data_2024_ver0!J396</f>
        <v>0</v>
      </c>
      <c r="L396" s="3">
        <f>parking_demand_data_2024_ver0!K396</f>
        <v>1</v>
      </c>
      <c r="M396" s="3">
        <f>parking_demand_data_2024_ver0!L396</f>
        <v>0</v>
      </c>
      <c r="N396" s="3">
        <f>parking_demand_data_2024_ver0!M396</f>
        <v>123</v>
      </c>
      <c r="O396" s="3">
        <f>parking_demand_data_2024_ver0!N396</f>
        <v>0</v>
      </c>
      <c r="P396" s="3">
        <f>parking_demand_data_2024_ver0!O396</f>
        <v>0</v>
      </c>
      <c r="Q396" s="3">
        <f>parking_demand_data_2024_ver0!P396</f>
        <v>40</v>
      </c>
      <c r="R396" s="3">
        <f>parking_demand_data_2024_ver0!Q396</f>
        <v>0</v>
      </c>
      <c r="S396" s="3">
        <f>parking_demand_data_2024_ver0!R396</f>
        <v>83</v>
      </c>
      <c r="T396" s="3">
        <f>parking_demand_data_2024_ver0!S396</f>
        <v>0</v>
      </c>
    </row>
    <row r="397" spans="1:20" x14ac:dyDescent="0.25">
      <c r="A397">
        <v>18033</v>
      </c>
      <c r="B397" t="s">
        <v>45</v>
      </c>
      <c r="C397">
        <v>11</v>
      </c>
      <c r="D397" s="3">
        <f>parking_demand_data_2024_ver0!D397*calibration!$I$31</f>
        <v>42.569078031279503</v>
      </c>
      <c r="E397" s="3">
        <f>parking_demand_data_2024_ver0!E397*calibration!$I$31</f>
        <v>15.1731367240204</v>
      </c>
      <c r="F397" s="3">
        <f t="shared" si="6"/>
        <v>57.742214755299905</v>
      </c>
      <c r="G397" s="3">
        <f>parking_demand_data_2024_ver0!F397</f>
        <v>3</v>
      </c>
      <c r="H397" s="3">
        <f>parking_demand_data_2024_ver0!G397</f>
        <v>0</v>
      </c>
      <c r="I397" s="3">
        <f>parking_demand_data_2024_ver0!H397</f>
        <v>0</v>
      </c>
      <c r="J397" s="3">
        <f>parking_demand_data_2024_ver0!I397</f>
        <v>2</v>
      </c>
      <c r="K397" s="3">
        <f>parking_demand_data_2024_ver0!J397</f>
        <v>0</v>
      </c>
      <c r="L397" s="3">
        <f>parking_demand_data_2024_ver0!K397</f>
        <v>1</v>
      </c>
      <c r="M397" s="3">
        <f>parking_demand_data_2024_ver0!L397</f>
        <v>0</v>
      </c>
      <c r="N397" s="3">
        <f>parking_demand_data_2024_ver0!M397</f>
        <v>123</v>
      </c>
      <c r="O397" s="3">
        <f>parking_demand_data_2024_ver0!N397</f>
        <v>0</v>
      </c>
      <c r="P397" s="3">
        <f>parking_demand_data_2024_ver0!O397</f>
        <v>0</v>
      </c>
      <c r="Q397" s="3">
        <f>parking_demand_data_2024_ver0!P397</f>
        <v>40</v>
      </c>
      <c r="R397" s="3">
        <f>parking_demand_data_2024_ver0!Q397</f>
        <v>0</v>
      </c>
      <c r="S397" s="3">
        <f>parking_demand_data_2024_ver0!R397</f>
        <v>83</v>
      </c>
      <c r="T397" s="3">
        <f>parking_demand_data_2024_ver0!S397</f>
        <v>0</v>
      </c>
    </row>
    <row r="398" spans="1:20" x14ac:dyDescent="0.25">
      <c r="A398">
        <v>18033</v>
      </c>
      <c r="B398" t="s">
        <v>45</v>
      </c>
      <c r="C398">
        <v>12</v>
      </c>
      <c r="D398" s="3">
        <f>parking_demand_data_2024_ver0!D398*calibration!$I$31</f>
        <v>42.042233006139902</v>
      </c>
      <c r="E398" s="3">
        <f>parking_demand_data_2024_ver0!E398*calibration!$I$31</f>
        <v>14.0140776687133</v>
      </c>
      <c r="F398" s="3">
        <f t="shared" si="6"/>
        <v>56.056310674853201</v>
      </c>
      <c r="G398" s="3">
        <f>parking_demand_data_2024_ver0!F398</f>
        <v>3</v>
      </c>
      <c r="H398" s="3">
        <f>parking_demand_data_2024_ver0!G398</f>
        <v>0</v>
      </c>
      <c r="I398" s="3">
        <f>parking_demand_data_2024_ver0!H398</f>
        <v>0</v>
      </c>
      <c r="J398" s="3">
        <f>parking_demand_data_2024_ver0!I398</f>
        <v>2</v>
      </c>
      <c r="K398" s="3">
        <f>parking_demand_data_2024_ver0!J398</f>
        <v>0</v>
      </c>
      <c r="L398" s="3">
        <f>parking_demand_data_2024_ver0!K398</f>
        <v>1</v>
      </c>
      <c r="M398" s="3">
        <f>parking_demand_data_2024_ver0!L398</f>
        <v>0</v>
      </c>
      <c r="N398" s="3">
        <f>parking_demand_data_2024_ver0!M398</f>
        <v>123</v>
      </c>
      <c r="O398" s="3">
        <f>parking_demand_data_2024_ver0!N398</f>
        <v>0</v>
      </c>
      <c r="P398" s="3">
        <f>parking_demand_data_2024_ver0!O398</f>
        <v>0</v>
      </c>
      <c r="Q398" s="3">
        <f>parking_demand_data_2024_ver0!P398</f>
        <v>40</v>
      </c>
      <c r="R398" s="3">
        <f>parking_demand_data_2024_ver0!Q398</f>
        <v>0</v>
      </c>
      <c r="S398" s="3">
        <f>parking_demand_data_2024_ver0!R398</f>
        <v>83</v>
      </c>
      <c r="T398" s="3">
        <f>parking_demand_data_2024_ver0!S398</f>
        <v>0</v>
      </c>
    </row>
    <row r="399" spans="1:20" x14ac:dyDescent="0.25">
      <c r="A399">
        <v>18033</v>
      </c>
      <c r="B399" t="s">
        <v>45</v>
      </c>
      <c r="C399">
        <v>13</v>
      </c>
      <c r="D399" s="3">
        <f>parking_demand_data_2024_ver0!D399*calibration!$I$31</f>
        <v>37.985526312565</v>
      </c>
      <c r="E399" s="3">
        <f>parking_demand_data_2024_ver0!E399*calibration!$I$31</f>
        <v>11.3798525430153</v>
      </c>
      <c r="F399" s="3">
        <f t="shared" si="6"/>
        <v>49.365378855580303</v>
      </c>
      <c r="G399" s="3">
        <f>parking_demand_data_2024_ver0!F399</f>
        <v>3</v>
      </c>
      <c r="H399" s="3">
        <f>parking_demand_data_2024_ver0!G399</f>
        <v>0</v>
      </c>
      <c r="I399" s="3">
        <f>parking_demand_data_2024_ver0!H399</f>
        <v>0</v>
      </c>
      <c r="J399" s="3">
        <f>parking_demand_data_2024_ver0!I399</f>
        <v>2</v>
      </c>
      <c r="K399" s="3">
        <f>parking_demand_data_2024_ver0!J399</f>
        <v>0</v>
      </c>
      <c r="L399" s="3">
        <f>parking_demand_data_2024_ver0!K399</f>
        <v>1</v>
      </c>
      <c r="M399" s="3">
        <f>parking_demand_data_2024_ver0!L399</f>
        <v>0</v>
      </c>
      <c r="N399" s="3">
        <f>parking_demand_data_2024_ver0!M399</f>
        <v>123</v>
      </c>
      <c r="O399" s="3">
        <f>parking_demand_data_2024_ver0!N399</f>
        <v>0</v>
      </c>
      <c r="P399" s="3">
        <f>parking_demand_data_2024_ver0!O399</f>
        <v>0</v>
      </c>
      <c r="Q399" s="3">
        <f>parking_demand_data_2024_ver0!P399</f>
        <v>40</v>
      </c>
      <c r="R399" s="3">
        <f>parking_demand_data_2024_ver0!Q399</f>
        <v>0</v>
      </c>
      <c r="S399" s="3">
        <f>parking_demand_data_2024_ver0!R399</f>
        <v>83</v>
      </c>
      <c r="T399" s="3">
        <f>parking_demand_data_2024_ver0!S399</f>
        <v>0</v>
      </c>
    </row>
    <row r="400" spans="1:20" x14ac:dyDescent="0.25">
      <c r="A400">
        <v>18033</v>
      </c>
      <c r="B400" t="s">
        <v>45</v>
      </c>
      <c r="C400">
        <v>14</v>
      </c>
      <c r="D400" s="3">
        <f>parking_demand_data_2024_ver0!D400*calibration!$I$31</f>
        <v>36.088884222062397</v>
      </c>
      <c r="E400" s="3">
        <f>parking_demand_data_2024_ver0!E400*calibration!$I$31</f>
        <v>7.4285148544683297</v>
      </c>
      <c r="F400" s="3">
        <f t="shared" si="6"/>
        <v>43.517399076530729</v>
      </c>
      <c r="G400" s="3">
        <f>parking_demand_data_2024_ver0!F400</f>
        <v>3</v>
      </c>
      <c r="H400" s="3">
        <f>parking_demand_data_2024_ver0!G400</f>
        <v>0</v>
      </c>
      <c r="I400" s="3">
        <f>parking_demand_data_2024_ver0!H400</f>
        <v>0</v>
      </c>
      <c r="J400" s="3">
        <f>parking_demand_data_2024_ver0!I400</f>
        <v>2</v>
      </c>
      <c r="K400" s="3">
        <f>parking_demand_data_2024_ver0!J400</f>
        <v>0</v>
      </c>
      <c r="L400" s="3">
        <f>parking_demand_data_2024_ver0!K400</f>
        <v>1</v>
      </c>
      <c r="M400" s="3">
        <f>parking_demand_data_2024_ver0!L400</f>
        <v>0</v>
      </c>
      <c r="N400" s="3">
        <f>parking_demand_data_2024_ver0!M400</f>
        <v>123</v>
      </c>
      <c r="O400" s="3">
        <f>parking_demand_data_2024_ver0!N400</f>
        <v>0</v>
      </c>
      <c r="P400" s="3">
        <f>parking_demand_data_2024_ver0!O400</f>
        <v>0</v>
      </c>
      <c r="Q400" s="3">
        <f>parking_demand_data_2024_ver0!P400</f>
        <v>40</v>
      </c>
      <c r="R400" s="3">
        <f>parking_demand_data_2024_ver0!Q400</f>
        <v>0</v>
      </c>
      <c r="S400" s="3">
        <f>parking_demand_data_2024_ver0!R400</f>
        <v>83</v>
      </c>
      <c r="T400" s="3">
        <f>parking_demand_data_2024_ver0!S400</f>
        <v>0</v>
      </c>
    </row>
    <row r="401" spans="1:20" x14ac:dyDescent="0.25">
      <c r="A401">
        <v>18033</v>
      </c>
      <c r="B401" t="s">
        <v>45</v>
      </c>
      <c r="C401">
        <v>15</v>
      </c>
      <c r="D401" s="3">
        <f>parking_demand_data_2024_ver0!D401*calibration!$I$31</f>
        <v>35.720092704464697</v>
      </c>
      <c r="E401" s="3">
        <f>parking_demand_data_2024_ver0!E401*calibration!$I$31</f>
        <v>6.5855628142449696</v>
      </c>
      <c r="F401" s="3">
        <f t="shared" si="6"/>
        <v>42.305655518709671</v>
      </c>
      <c r="G401" s="3">
        <f>parking_demand_data_2024_ver0!F401</f>
        <v>3</v>
      </c>
      <c r="H401" s="3">
        <f>parking_demand_data_2024_ver0!G401</f>
        <v>0</v>
      </c>
      <c r="I401" s="3">
        <f>parking_demand_data_2024_ver0!H401</f>
        <v>0</v>
      </c>
      <c r="J401" s="3">
        <f>parking_demand_data_2024_ver0!I401</f>
        <v>2</v>
      </c>
      <c r="K401" s="3">
        <f>parking_demand_data_2024_ver0!J401</f>
        <v>0</v>
      </c>
      <c r="L401" s="3">
        <f>parking_demand_data_2024_ver0!K401</f>
        <v>1</v>
      </c>
      <c r="M401" s="3">
        <f>parking_demand_data_2024_ver0!L401</f>
        <v>0</v>
      </c>
      <c r="N401" s="3">
        <f>parking_demand_data_2024_ver0!M401</f>
        <v>123</v>
      </c>
      <c r="O401" s="3">
        <f>parking_demand_data_2024_ver0!N401</f>
        <v>0</v>
      </c>
      <c r="P401" s="3">
        <f>parking_demand_data_2024_ver0!O401</f>
        <v>0</v>
      </c>
      <c r="Q401" s="3">
        <f>parking_demand_data_2024_ver0!P401</f>
        <v>40</v>
      </c>
      <c r="R401" s="3">
        <f>parking_demand_data_2024_ver0!Q401</f>
        <v>0</v>
      </c>
      <c r="S401" s="3">
        <f>parking_demand_data_2024_ver0!R401</f>
        <v>83</v>
      </c>
      <c r="T401" s="3">
        <f>parking_demand_data_2024_ver0!S401</f>
        <v>0</v>
      </c>
    </row>
    <row r="402" spans="1:20" x14ac:dyDescent="0.25">
      <c r="A402">
        <v>18033</v>
      </c>
      <c r="B402" t="s">
        <v>45</v>
      </c>
      <c r="C402">
        <v>16</v>
      </c>
      <c r="D402" s="3">
        <f>parking_demand_data_2024_ver0!D402*calibration!$I$31</f>
        <v>35.562039196922797</v>
      </c>
      <c r="E402" s="3">
        <f>parking_demand_data_2024_ver0!E402*calibration!$I$31</f>
        <v>5.5318727639657697</v>
      </c>
      <c r="F402" s="3">
        <f t="shared" si="6"/>
        <v>41.093911960888569</v>
      </c>
      <c r="G402" s="3">
        <f>parking_demand_data_2024_ver0!F402</f>
        <v>3</v>
      </c>
      <c r="H402" s="3">
        <f>parking_demand_data_2024_ver0!G402</f>
        <v>0</v>
      </c>
      <c r="I402" s="3">
        <f>parking_demand_data_2024_ver0!H402</f>
        <v>0</v>
      </c>
      <c r="J402" s="3">
        <f>parking_demand_data_2024_ver0!I402</f>
        <v>2</v>
      </c>
      <c r="K402" s="3">
        <f>parking_demand_data_2024_ver0!J402</f>
        <v>0</v>
      </c>
      <c r="L402" s="3">
        <f>parking_demand_data_2024_ver0!K402</f>
        <v>1</v>
      </c>
      <c r="M402" s="3">
        <f>parking_demand_data_2024_ver0!L402</f>
        <v>0</v>
      </c>
      <c r="N402" s="3">
        <f>parking_demand_data_2024_ver0!M402</f>
        <v>123</v>
      </c>
      <c r="O402" s="3">
        <f>parking_demand_data_2024_ver0!N402</f>
        <v>0</v>
      </c>
      <c r="P402" s="3">
        <f>parking_demand_data_2024_ver0!O402</f>
        <v>0</v>
      </c>
      <c r="Q402" s="3">
        <f>parking_demand_data_2024_ver0!P402</f>
        <v>40</v>
      </c>
      <c r="R402" s="3">
        <f>parking_demand_data_2024_ver0!Q402</f>
        <v>0</v>
      </c>
      <c r="S402" s="3">
        <f>parking_demand_data_2024_ver0!R402</f>
        <v>83</v>
      </c>
      <c r="T402" s="3">
        <f>parking_demand_data_2024_ver0!S402</f>
        <v>0</v>
      </c>
    </row>
    <row r="403" spans="1:20" x14ac:dyDescent="0.25">
      <c r="A403">
        <v>18033</v>
      </c>
      <c r="B403" t="s">
        <v>45</v>
      </c>
      <c r="C403">
        <v>17</v>
      </c>
      <c r="D403" s="3">
        <f>parking_demand_data_2024_ver0!D403*calibration!$I$31</f>
        <v>40.409013428207103</v>
      </c>
      <c r="E403" s="3">
        <f>parking_demand_data_2024_ver0!E403*calibration!$I$31</f>
        <v>4.6362362212284598</v>
      </c>
      <c r="F403" s="3">
        <f t="shared" si="6"/>
        <v>45.045249649435561</v>
      </c>
      <c r="G403" s="3">
        <f>parking_demand_data_2024_ver0!F403</f>
        <v>3</v>
      </c>
      <c r="H403" s="3">
        <f>parking_demand_data_2024_ver0!G403</f>
        <v>0</v>
      </c>
      <c r="I403" s="3">
        <f>parking_demand_data_2024_ver0!H403</f>
        <v>0</v>
      </c>
      <c r="J403" s="3">
        <f>parking_demand_data_2024_ver0!I403</f>
        <v>2</v>
      </c>
      <c r="K403" s="3">
        <f>parking_demand_data_2024_ver0!J403</f>
        <v>0</v>
      </c>
      <c r="L403" s="3">
        <f>parking_demand_data_2024_ver0!K403</f>
        <v>1</v>
      </c>
      <c r="M403" s="3">
        <f>parking_demand_data_2024_ver0!L403</f>
        <v>0</v>
      </c>
      <c r="N403" s="3">
        <f>parking_demand_data_2024_ver0!M403</f>
        <v>123</v>
      </c>
      <c r="O403" s="3">
        <f>parking_demand_data_2024_ver0!N403</f>
        <v>0</v>
      </c>
      <c r="P403" s="3">
        <f>parking_demand_data_2024_ver0!O403</f>
        <v>0</v>
      </c>
      <c r="Q403" s="3">
        <f>parking_demand_data_2024_ver0!P403</f>
        <v>40</v>
      </c>
      <c r="R403" s="3">
        <f>parking_demand_data_2024_ver0!Q403</f>
        <v>0</v>
      </c>
      <c r="S403" s="3">
        <f>parking_demand_data_2024_ver0!R403</f>
        <v>83</v>
      </c>
      <c r="T403" s="3">
        <f>parking_demand_data_2024_ver0!S403</f>
        <v>0</v>
      </c>
    </row>
    <row r="404" spans="1:20" x14ac:dyDescent="0.25">
      <c r="A404">
        <v>18033</v>
      </c>
      <c r="B404" t="s">
        <v>45</v>
      </c>
      <c r="C404">
        <v>18</v>
      </c>
      <c r="D404" s="3">
        <f>parking_demand_data_2024_ver0!D404*calibration!$I$31</f>
        <v>46.4150467147985</v>
      </c>
      <c r="E404" s="3">
        <f>parking_demand_data_2024_ver0!E404*calibration!$I$31</f>
        <v>4.6889207237424202</v>
      </c>
      <c r="F404" s="3">
        <f t="shared" si="6"/>
        <v>51.10396743854092</v>
      </c>
      <c r="G404" s="3">
        <f>parking_demand_data_2024_ver0!F404</f>
        <v>3</v>
      </c>
      <c r="H404" s="3">
        <f>parking_demand_data_2024_ver0!G404</f>
        <v>0</v>
      </c>
      <c r="I404" s="3">
        <f>parking_demand_data_2024_ver0!H404</f>
        <v>0</v>
      </c>
      <c r="J404" s="3">
        <f>parking_demand_data_2024_ver0!I404</f>
        <v>2</v>
      </c>
      <c r="K404" s="3">
        <f>parking_demand_data_2024_ver0!J404</f>
        <v>0</v>
      </c>
      <c r="L404" s="3">
        <f>parking_demand_data_2024_ver0!K404</f>
        <v>1</v>
      </c>
      <c r="M404" s="3">
        <f>parking_demand_data_2024_ver0!L404</f>
        <v>0</v>
      </c>
      <c r="N404" s="3">
        <f>parking_demand_data_2024_ver0!M404</f>
        <v>123</v>
      </c>
      <c r="O404" s="3">
        <f>parking_demand_data_2024_ver0!N404</f>
        <v>0</v>
      </c>
      <c r="P404" s="3">
        <f>parking_demand_data_2024_ver0!O404</f>
        <v>0</v>
      </c>
      <c r="Q404" s="3">
        <f>parking_demand_data_2024_ver0!P404</f>
        <v>40</v>
      </c>
      <c r="R404" s="3">
        <f>parking_demand_data_2024_ver0!Q404</f>
        <v>0</v>
      </c>
      <c r="S404" s="3">
        <f>parking_demand_data_2024_ver0!R404</f>
        <v>83</v>
      </c>
      <c r="T404" s="3">
        <f>parking_demand_data_2024_ver0!S404</f>
        <v>0</v>
      </c>
    </row>
    <row r="405" spans="1:20" x14ac:dyDescent="0.25">
      <c r="A405">
        <v>18033</v>
      </c>
      <c r="B405" t="s">
        <v>45</v>
      </c>
      <c r="C405">
        <v>19</v>
      </c>
      <c r="D405" s="3">
        <f>parking_demand_data_2024_ver0!D405*calibration!$I$31</f>
        <v>54.159668584350598</v>
      </c>
      <c r="E405" s="3">
        <f>parking_demand_data_2024_ver0!E405*calibration!$I$31</f>
        <v>5.2684502513959703</v>
      </c>
      <c r="F405" s="3">
        <f t="shared" si="6"/>
        <v>59.428118835746567</v>
      </c>
      <c r="G405" s="3">
        <f>parking_demand_data_2024_ver0!F405</f>
        <v>3</v>
      </c>
      <c r="H405" s="3">
        <f>parking_demand_data_2024_ver0!G405</f>
        <v>0</v>
      </c>
      <c r="I405" s="3">
        <f>parking_demand_data_2024_ver0!H405</f>
        <v>0</v>
      </c>
      <c r="J405" s="3">
        <f>parking_demand_data_2024_ver0!I405</f>
        <v>2</v>
      </c>
      <c r="K405" s="3">
        <f>parking_demand_data_2024_ver0!J405</f>
        <v>0</v>
      </c>
      <c r="L405" s="3">
        <f>parking_demand_data_2024_ver0!K405</f>
        <v>1</v>
      </c>
      <c r="M405" s="3">
        <f>parking_demand_data_2024_ver0!L405</f>
        <v>0</v>
      </c>
      <c r="N405" s="3">
        <f>parking_demand_data_2024_ver0!M405</f>
        <v>123</v>
      </c>
      <c r="O405" s="3">
        <f>parking_demand_data_2024_ver0!N405</f>
        <v>0</v>
      </c>
      <c r="P405" s="3">
        <f>parking_demand_data_2024_ver0!O405</f>
        <v>0</v>
      </c>
      <c r="Q405" s="3">
        <f>parking_demand_data_2024_ver0!P405</f>
        <v>40</v>
      </c>
      <c r="R405" s="3">
        <f>parking_demand_data_2024_ver0!Q405</f>
        <v>0</v>
      </c>
      <c r="S405" s="3">
        <f>parking_demand_data_2024_ver0!R405</f>
        <v>83</v>
      </c>
      <c r="T405" s="3">
        <f>parking_demand_data_2024_ver0!S405</f>
        <v>0</v>
      </c>
    </row>
    <row r="406" spans="1:20" x14ac:dyDescent="0.25">
      <c r="A406">
        <v>18033</v>
      </c>
      <c r="B406" t="s">
        <v>45</v>
      </c>
      <c r="C406">
        <v>20</v>
      </c>
      <c r="D406" s="3">
        <f>parking_demand_data_2024_ver0!D406*calibration!$I$31</f>
        <v>63.695563539377297</v>
      </c>
      <c r="E406" s="3">
        <f>parking_demand_data_2024_ver0!E406*calibration!$I$31</f>
        <v>5.5845572664797301</v>
      </c>
      <c r="F406" s="3">
        <f t="shared" si="6"/>
        <v>69.280120805857024</v>
      </c>
      <c r="G406" s="3">
        <f>parking_demand_data_2024_ver0!F406</f>
        <v>3</v>
      </c>
      <c r="H406" s="3">
        <f>parking_demand_data_2024_ver0!G406</f>
        <v>0</v>
      </c>
      <c r="I406" s="3">
        <f>parking_demand_data_2024_ver0!H406</f>
        <v>0</v>
      </c>
      <c r="J406" s="3">
        <f>parking_demand_data_2024_ver0!I406</f>
        <v>2</v>
      </c>
      <c r="K406" s="3">
        <f>parking_demand_data_2024_ver0!J406</f>
        <v>0</v>
      </c>
      <c r="L406" s="3">
        <f>parking_demand_data_2024_ver0!K406</f>
        <v>1</v>
      </c>
      <c r="M406" s="3">
        <f>parking_demand_data_2024_ver0!L406</f>
        <v>0</v>
      </c>
      <c r="N406" s="3">
        <f>parking_demand_data_2024_ver0!M406</f>
        <v>123</v>
      </c>
      <c r="O406" s="3">
        <f>parking_demand_data_2024_ver0!N406</f>
        <v>0</v>
      </c>
      <c r="P406" s="3">
        <f>parking_demand_data_2024_ver0!O406</f>
        <v>0</v>
      </c>
      <c r="Q406" s="3">
        <f>parking_demand_data_2024_ver0!P406</f>
        <v>40</v>
      </c>
      <c r="R406" s="3">
        <f>parking_demand_data_2024_ver0!Q406</f>
        <v>0</v>
      </c>
      <c r="S406" s="3">
        <f>parking_demand_data_2024_ver0!R406</f>
        <v>83</v>
      </c>
      <c r="T406" s="3">
        <f>parking_demand_data_2024_ver0!S406</f>
        <v>0</v>
      </c>
    </row>
    <row r="407" spans="1:20" x14ac:dyDescent="0.25">
      <c r="A407">
        <v>18033</v>
      </c>
      <c r="B407" t="s">
        <v>45</v>
      </c>
      <c r="C407">
        <v>21</v>
      </c>
      <c r="D407" s="3">
        <f>parking_demand_data_2024_ver0!D407*calibration!$I$31</f>
        <v>71.545554413957305</v>
      </c>
      <c r="E407" s="3">
        <f>parking_demand_data_2024_ver0!E407*calibration!$I$31</f>
        <v>6.3748248041891298</v>
      </c>
      <c r="F407" s="3">
        <f t="shared" si="6"/>
        <v>77.920379218146437</v>
      </c>
      <c r="G407" s="3">
        <f>parking_demand_data_2024_ver0!F407</f>
        <v>3</v>
      </c>
      <c r="H407" s="3">
        <f>parking_demand_data_2024_ver0!G407</f>
        <v>0</v>
      </c>
      <c r="I407" s="3">
        <f>parking_demand_data_2024_ver0!H407</f>
        <v>0</v>
      </c>
      <c r="J407" s="3">
        <f>parking_demand_data_2024_ver0!I407</f>
        <v>2</v>
      </c>
      <c r="K407" s="3">
        <f>parking_demand_data_2024_ver0!J407</f>
        <v>0</v>
      </c>
      <c r="L407" s="3">
        <f>parking_demand_data_2024_ver0!K407</f>
        <v>1</v>
      </c>
      <c r="M407" s="3">
        <f>parking_demand_data_2024_ver0!L407</f>
        <v>0</v>
      </c>
      <c r="N407" s="3">
        <f>parking_demand_data_2024_ver0!M407</f>
        <v>123</v>
      </c>
      <c r="O407" s="3">
        <f>parking_demand_data_2024_ver0!N407</f>
        <v>0</v>
      </c>
      <c r="P407" s="3">
        <f>parking_demand_data_2024_ver0!O407</f>
        <v>0</v>
      </c>
      <c r="Q407" s="3">
        <f>parking_demand_data_2024_ver0!P407</f>
        <v>40</v>
      </c>
      <c r="R407" s="3">
        <f>parking_demand_data_2024_ver0!Q407</f>
        <v>0</v>
      </c>
      <c r="S407" s="3">
        <f>parking_demand_data_2024_ver0!R407</f>
        <v>83</v>
      </c>
      <c r="T407" s="3">
        <f>parking_demand_data_2024_ver0!S407</f>
        <v>0</v>
      </c>
    </row>
    <row r="408" spans="1:20" x14ac:dyDescent="0.25">
      <c r="A408">
        <v>18033</v>
      </c>
      <c r="B408" t="s">
        <v>45</v>
      </c>
      <c r="C408">
        <v>22</v>
      </c>
      <c r="D408" s="3">
        <f>parking_demand_data_2024_ver0!D408*calibration!$I$31</f>
        <v>78.499908745799999</v>
      </c>
      <c r="E408" s="3">
        <f>parking_demand_data_2024_ver0!E408*calibration!$I$31</f>
        <v>6.9543543318426897</v>
      </c>
      <c r="F408" s="3">
        <f t="shared" si="6"/>
        <v>85.454263077642693</v>
      </c>
      <c r="G408" s="3">
        <f>parking_demand_data_2024_ver0!F408</f>
        <v>3</v>
      </c>
      <c r="H408" s="3">
        <f>parking_demand_data_2024_ver0!G408</f>
        <v>0</v>
      </c>
      <c r="I408" s="3">
        <f>parking_demand_data_2024_ver0!H408</f>
        <v>0</v>
      </c>
      <c r="J408" s="3">
        <f>parking_demand_data_2024_ver0!I408</f>
        <v>2</v>
      </c>
      <c r="K408" s="3">
        <f>parking_demand_data_2024_ver0!J408</f>
        <v>0</v>
      </c>
      <c r="L408" s="3">
        <f>parking_demand_data_2024_ver0!K408</f>
        <v>1</v>
      </c>
      <c r="M408" s="3">
        <f>parking_demand_data_2024_ver0!L408</f>
        <v>0</v>
      </c>
      <c r="N408" s="3">
        <f>parking_demand_data_2024_ver0!M408</f>
        <v>123</v>
      </c>
      <c r="O408" s="3">
        <f>parking_demand_data_2024_ver0!N408</f>
        <v>0</v>
      </c>
      <c r="P408" s="3">
        <f>parking_demand_data_2024_ver0!O408</f>
        <v>0</v>
      </c>
      <c r="Q408" s="3">
        <f>parking_demand_data_2024_ver0!P408</f>
        <v>40</v>
      </c>
      <c r="R408" s="3">
        <f>parking_demand_data_2024_ver0!Q408</f>
        <v>0</v>
      </c>
      <c r="S408" s="3">
        <f>parking_demand_data_2024_ver0!R408</f>
        <v>83</v>
      </c>
      <c r="T408" s="3">
        <f>parking_demand_data_2024_ver0!S408</f>
        <v>0</v>
      </c>
    </row>
    <row r="409" spans="1:20" x14ac:dyDescent="0.25">
      <c r="A409">
        <v>18033</v>
      </c>
      <c r="B409" t="s">
        <v>45</v>
      </c>
      <c r="C409">
        <v>23</v>
      </c>
      <c r="D409" s="3">
        <f>parking_demand_data_2024_ver0!D409*calibration!$I$31</f>
        <v>84.769364544961206</v>
      </c>
      <c r="E409" s="3">
        <f>parking_demand_data_2024_ver0!E409*calibration!$I$31</f>
        <v>7.11240783938457</v>
      </c>
      <c r="F409" s="3">
        <f t="shared" si="6"/>
        <v>91.88177238434578</v>
      </c>
      <c r="G409" s="3">
        <f>parking_demand_data_2024_ver0!F409</f>
        <v>3</v>
      </c>
      <c r="H409" s="3">
        <f>parking_demand_data_2024_ver0!G409</f>
        <v>0</v>
      </c>
      <c r="I409" s="3">
        <f>parking_demand_data_2024_ver0!H409</f>
        <v>0</v>
      </c>
      <c r="J409" s="3">
        <f>parking_demand_data_2024_ver0!I409</f>
        <v>2</v>
      </c>
      <c r="K409" s="3">
        <f>parking_demand_data_2024_ver0!J409</f>
        <v>0</v>
      </c>
      <c r="L409" s="3">
        <f>parking_demand_data_2024_ver0!K409</f>
        <v>1</v>
      </c>
      <c r="M409" s="3">
        <f>parking_demand_data_2024_ver0!L409</f>
        <v>0</v>
      </c>
      <c r="N409" s="3">
        <f>parking_demand_data_2024_ver0!M409</f>
        <v>123</v>
      </c>
      <c r="O409" s="3">
        <f>parking_demand_data_2024_ver0!N409</f>
        <v>0</v>
      </c>
      <c r="P409" s="3">
        <f>parking_demand_data_2024_ver0!O409</f>
        <v>0</v>
      </c>
      <c r="Q409" s="3">
        <f>parking_demand_data_2024_ver0!P409</f>
        <v>40</v>
      </c>
      <c r="R409" s="3">
        <f>parking_demand_data_2024_ver0!Q409</f>
        <v>0</v>
      </c>
      <c r="S409" s="3">
        <f>parking_demand_data_2024_ver0!R409</f>
        <v>83</v>
      </c>
      <c r="T409" s="3">
        <f>parking_demand_data_2024_ver0!S409</f>
        <v>0</v>
      </c>
    </row>
    <row r="410" spans="1:20" x14ac:dyDescent="0.25">
      <c r="A410">
        <v>18035</v>
      </c>
      <c r="B410" t="s">
        <v>46</v>
      </c>
      <c r="C410">
        <v>0</v>
      </c>
      <c r="D410" s="3">
        <f>parking_demand_data_2024_ver0!D410*calibration!$I$31</f>
        <v>288.241603684582</v>
      </c>
      <c r="E410" s="3">
        <f>parking_demand_data_2024_ver0!E410*calibration!$I$31</f>
        <v>4.1434730529658603</v>
      </c>
      <c r="F410" s="3">
        <f t="shared" si="6"/>
        <v>292.38507673754788</v>
      </c>
      <c r="G410" s="3">
        <f>parking_demand_data_2024_ver0!F410</f>
        <v>5</v>
      </c>
      <c r="H410" s="3">
        <f>parking_demand_data_2024_ver0!G410</f>
        <v>1</v>
      </c>
      <c r="I410" s="3">
        <f>parking_demand_data_2024_ver0!H410</f>
        <v>1</v>
      </c>
      <c r="J410" s="3">
        <f>parking_demand_data_2024_ver0!I410</f>
        <v>1</v>
      </c>
      <c r="K410" s="3">
        <f>parking_demand_data_2024_ver0!J410</f>
        <v>0</v>
      </c>
      <c r="L410" s="3">
        <f>parking_demand_data_2024_ver0!K410</f>
        <v>2</v>
      </c>
      <c r="M410" s="3">
        <f>parking_demand_data_2024_ver0!L410</f>
        <v>0</v>
      </c>
      <c r="N410" s="3">
        <f>parking_demand_data_2024_ver0!M410</f>
        <v>355</v>
      </c>
      <c r="O410" s="3">
        <f>parking_demand_data_2024_ver0!N410</f>
        <v>120</v>
      </c>
      <c r="P410" s="3">
        <f>parking_demand_data_2024_ver0!O410</f>
        <v>50</v>
      </c>
      <c r="Q410" s="3">
        <f>parking_demand_data_2024_ver0!P410</f>
        <v>30</v>
      </c>
      <c r="R410" s="3">
        <f>parking_demand_data_2024_ver0!Q410</f>
        <v>0</v>
      </c>
      <c r="S410" s="3">
        <f>parking_demand_data_2024_ver0!R410</f>
        <v>155</v>
      </c>
      <c r="T410" s="3">
        <f>parking_demand_data_2024_ver0!S410</f>
        <v>0</v>
      </c>
    </row>
    <row r="411" spans="1:20" x14ac:dyDescent="0.25">
      <c r="A411">
        <v>18035</v>
      </c>
      <c r="B411" t="s">
        <v>46</v>
      </c>
      <c r="C411">
        <v>1</v>
      </c>
      <c r="D411" s="3">
        <f>parking_demand_data_2024_ver0!D411*calibration!$I$31</f>
        <v>294.727039767485</v>
      </c>
      <c r="E411" s="3">
        <f>parking_demand_data_2024_ver0!E411*calibration!$I$31</f>
        <v>4.9721676635590404</v>
      </c>
      <c r="F411" s="3">
        <f t="shared" si="6"/>
        <v>299.69920743104404</v>
      </c>
      <c r="G411" s="3">
        <f>parking_demand_data_2024_ver0!F411</f>
        <v>5</v>
      </c>
      <c r="H411" s="3">
        <f>parking_demand_data_2024_ver0!G411</f>
        <v>1</v>
      </c>
      <c r="I411" s="3">
        <f>parking_demand_data_2024_ver0!H411</f>
        <v>1</v>
      </c>
      <c r="J411" s="3">
        <f>parking_demand_data_2024_ver0!I411</f>
        <v>1</v>
      </c>
      <c r="K411" s="3">
        <f>parking_demand_data_2024_ver0!J411</f>
        <v>0</v>
      </c>
      <c r="L411" s="3">
        <f>parking_demand_data_2024_ver0!K411</f>
        <v>2</v>
      </c>
      <c r="M411" s="3">
        <f>parking_demand_data_2024_ver0!L411</f>
        <v>0</v>
      </c>
      <c r="N411" s="3">
        <f>parking_demand_data_2024_ver0!M411</f>
        <v>355</v>
      </c>
      <c r="O411" s="3">
        <f>parking_demand_data_2024_ver0!N411</f>
        <v>120</v>
      </c>
      <c r="P411" s="3">
        <f>parking_demand_data_2024_ver0!O411</f>
        <v>50</v>
      </c>
      <c r="Q411" s="3">
        <f>parking_demand_data_2024_ver0!P411</f>
        <v>30</v>
      </c>
      <c r="R411" s="3">
        <f>parking_demand_data_2024_ver0!Q411</f>
        <v>0</v>
      </c>
      <c r="S411" s="3">
        <f>parking_demand_data_2024_ver0!R411</f>
        <v>155</v>
      </c>
      <c r="T411" s="3">
        <f>parking_demand_data_2024_ver0!S411</f>
        <v>0</v>
      </c>
    </row>
    <row r="412" spans="1:20" x14ac:dyDescent="0.25">
      <c r="A412">
        <v>18035</v>
      </c>
      <c r="B412" t="s">
        <v>46</v>
      </c>
      <c r="C412">
        <v>2</v>
      </c>
      <c r="D412" s="3">
        <f>parking_demand_data_2024_ver0!D412*calibration!$I$31</f>
        <v>296.240308186829</v>
      </c>
      <c r="E412" s="3">
        <f>parking_demand_data_2024_ver0!E412*calibration!$I$31</f>
        <v>5.4765904700070598</v>
      </c>
      <c r="F412" s="3">
        <f t="shared" si="6"/>
        <v>301.71689865683607</v>
      </c>
      <c r="G412" s="3">
        <f>parking_demand_data_2024_ver0!F412</f>
        <v>5</v>
      </c>
      <c r="H412" s="3">
        <f>parking_demand_data_2024_ver0!G412</f>
        <v>1</v>
      </c>
      <c r="I412" s="3">
        <f>parking_demand_data_2024_ver0!H412</f>
        <v>1</v>
      </c>
      <c r="J412" s="3">
        <f>parking_demand_data_2024_ver0!I412</f>
        <v>1</v>
      </c>
      <c r="K412" s="3">
        <f>parking_demand_data_2024_ver0!J412</f>
        <v>0</v>
      </c>
      <c r="L412" s="3">
        <f>parking_demand_data_2024_ver0!K412</f>
        <v>2</v>
      </c>
      <c r="M412" s="3">
        <f>parking_demand_data_2024_ver0!L412</f>
        <v>0</v>
      </c>
      <c r="N412" s="3">
        <f>parking_demand_data_2024_ver0!M412</f>
        <v>355</v>
      </c>
      <c r="O412" s="3">
        <f>parking_demand_data_2024_ver0!N412</f>
        <v>120</v>
      </c>
      <c r="P412" s="3">
        <f>parking_demand_data_2024_ver0!O412</f>
        <v>50</v>
      </c>
      <c r="Q412" s="3">
        <f>parking_demand_data_2024_ver0!P412</f>
        <v>30</v>
      </c>
      <c r="R412" s="3">
        <f>parking_demand_data_2024_ver0!Q412</f>
        <v>0</v>
      </c>
      <c r="S412" s="3">
        <f>parking_demand_data_2024_ver0!R412</f>
        <v>155</v>
      </c>
      <c r="T412" s="3">
        <f>parking_demand_data_2024_ver0!S412</f>
        <v>0</v>
      </c>
    </row>
    <row r="413" spans="1:20" x14ac:dyDescent="0.25">
      <c r="A413">
        <v>18035</v>
      </c>
      <c r="B413" t="s">
        <v>46</v>
      </c>
      <c r="C413">
        <v>3</v>
      </c>
      <c r="D413" s="3">
        <f>parking_demand_data_2024_ver0!D413*calibration!$I$31</f>
        <v>293.39392235044397</v>
      </c>
      <c r="E413" s="3">
        <f>parking_demand_data_2024_ver0!E413*calibration!$I$31</f>
        <v>6.3052850806002301</v>
      </c>
      <c r="F413" s="3">
        <f t="shared" si="6"/>
        <v>299.69920743104421</v>
      </c>
      <c r="G413" s="3">
        <f>parking_demand_data_2024_ver0!F413</f>
        <v>5</v>
      </c>
      <c r="H413" s="3">
        <f>parking_demand_data_2024_ver0!G413</f>
        <v>1</v>
      </c>
      <c r="I413" s="3">
        <f>parking_demand_data_2024_ver0!H413</f>
        <v>1</v>
      </c>
      <c r="J413" s="3">
        <f>parking_demand_data_2024_ver0!I413</f>
        <v>1</v>
      </c>
      <c r="K413" s="3">
        <f>parking_demand_data_2024_ver0!J413</f>
        <v>0</v>
      </c>
      <c r="L413" s="3">
        <f>parking_demand_data_2024_ver0!K413</f>
        <v>2</v>
      </c>
      <c r="M413" s="3">
        <f>parking_demand_data_2024_ver0!L413</f>
        <v>0</v>
      </c>
      <c r="N413" s="3">
        <f>parking_demand_data_2024_ver0!M413</f>
        <v>355</v>
      </c>
      <c r="O413" s="3">
        <f>parking_demand_data_2024_ver0!N413</f>
        <v>120</v>
      </c>
      <c r="P413" s="3">
        <f>parking_demand_data_2024_ver0!O413</f>
        <v>50</v>
      </c>
      <c r="Q413" s="3">
        <f>parking_demand_data_2024_ver0!P413</f>
        <v>30</v>
      </c>
      <c r="R413" s="3">
        <f>parking_demand_data_2024_ver0!Q413</f>
        <v>0</v>
      </c>
      <c r="S413" s="3">
        <f>parking_demand_data_2024_ver0!R413</f>
        <v>155</v>
      </c>
      <c r="T413" s="3">
        <f>parking_demand_data_2024_ver0!S413</f>
        <v>0</v>
      </c>
    </row>
    <row r="414" spans="1:20" x14ac:dyDescent="0.25">
      <c r="A414">
        <v>18035</v>
      </c>
      <c r="B414" t="s">
        <v>46</v>
      </c>
      <c r="C414">
        <v>4</v>
      </c>
      <c r="D414" s="3">
        <f>parking_demand_data_2024_ver0!D414*calibration!$I$31</f>
        <v>282.909134016417</v>
      </c>
      <c r="E414" s="3">
        <f>parking_demand_data_2024_ver0!E414*calibration!$I$31</f>
        <v>6.3773454815213801</v>
      </c>
      <c r="F414" s="3">
        <f t="shared" si="6"/>
        <v>289.28647949793839</v>
      </c>
      <c r="G414" s="3">
        <f>parking_demand_data_2024_ver0!F414</f>
        <v>5</v>
      </c>
      <c r="H414" s="3">
        <f>parking_demand_data_2024_ver0!G414</f>
        <v>1</v>
      </c>
      <c r="I414" s="3">
        <f>parking_demand_data_2024_ver0!H414</f>
        <v>1</v>
      </c>
      <c r="J414" s="3">
        <f>parking_demand_data_2024_ver0!I414</f>
        <v>1</v>
      </c>
      <c r="K414" s="3">
        <f>parking_demand_data_2024_ver0!J414</f>
        <v>0</v>
      </c>
      <c r="L414" s="3">
        <f>parking_demand_data_2024_ver0!K414</f>
        <v>2</v>
      </c>
      <c r="M414" s="3">
        <f>parking_demand_data_2024_ver0!L414</f>
        <v>0</v>
      </c>
      <c r="N414" s="3">
        <f>parking_demand_data_2024_ver0!M414</f>
        <v>355</v>
      </c>
      <c r="O414" s="3">
        <f>parking_demand_data_2024_ver0!N414</f>
        <v>120</v>
      </c>
      <c r="P414" s="3">
        <f>parking_demand_data_2024_ver0!O414</f>
        <v>50</v>
      </c>
      <c r="Q414" s="3">
        <f>parking_demand_data_2024_ver0!P414</f>
        <v>30</v>
      </c>
      <c r="R414" s="3">
        <f>parking_demand_data_2024_ver0!Q414</f>
        <v>0</v>
      </c>
      <c r="S414" s="3">
        <f>parking_demand_data_2024_ver0!R414</f>
        <v>155</v>
      </c>
      <c r="T414" s="3">
        <f>parking_demand_data_2024_ver0!S414</f>
        <v>0</v>
      </c>
    </row>
    <row r="415" spans="1:20" x14ac:dyDescent="0.25">
      <c r="A415">
        <v>18035</v>
      </c>
      <c r="B415" t="s">
        <v>46</v>
      </c>
      <c r="C415">
        <v>5</v>
      </c>
      <c r="D415" s="3">
        <f>parking_demand_data_2024_ver0!D415*calibration!$I$31</f>
        <v>273.54128189666801</v>
      </c>
      <c r="E415" s="3">
        <f>parking_demand_data_2024_ver0!E415*calibration!$I$31</f>
        <v>6.6295568847453898</v>
      </c>
      <c r="F415" s="3">
        <f t="shared" si="6"/>
        <v>280.17083878141341</v>
      </c>
      <c r="G415" s="3">
        <f>parking_demand_data_2024_ver0!F415</f>
        <v>5</v>
      </c>
      <c r="H415" s="3">
        <f>parking_demand_data_2024_ver0!G415</f>
        <v>1</v>
      </c>
      <c r="I415" s="3">
        <f>parking_demand_data_2024_ver0!H415</f>
        <v>1</v>
      </c>
      <c r="J415" s="3">
        <f>parking_demand_data_2024_ver0!I415</f>
        <v>1</v>
      </c>
      <c r="K415" s="3">
        <f>parking_demand_data_2024_ver0!J415</f>
        <v>0</v>
      </c>
      <c r="L415" s="3">
        <f>parking_demand_data_2024_ver0!K415</f>
        <v>2</v>
      </c>
      <c r="M415" s="3">
        <f>parking_demand_data_2024_ver0!L415</f>
        <v>0</v>
      </c>
      <c r="N415" s="3">
        <f>parking_demand_data_2024_ver0!M415</f>
        <v>355</v>
      </c>
      <c r="O415" s="3">
        <f>parking_demand_data_2024_ver0!N415</f>
        <v>120</v>
      </c>
      <c r="P415" s="3">
        <f>parking_demand_data_2024_ver0!O415</f>
        <v>50</v>
      </c>
      <c r="Q415" s="3">
        <f>parking_demand_data_2024_ver0!P415</f>
        <v>30</v>
      </c>
      <c r="R415" s="3">
        <f>parking_demand_data_2024_ver0!Q415</f>
        <v>0</v>
      </c>
      <c r="S415" s="3">
        <f>parking_demand_data_2024_ver0!R415</f>
        <v>155</v>
      </c>
      <c r="T415" s="3">
        <f>parking_demand_data_2024_ver0!S415</f>
        <v>0</v>
      </c>
    </row>
    <row r="416" spans="1:20" x14ac:dyDescent="0.25">
      <c r="A416">
        <v>18035</v>
      </c>
      <c r="B416" t="s">
        <v>46</v>
      </c>
      <c r="C416">
        <v>6</v>
      </c>
      <c r="D416" s="3">
        <f>parking_demand_data_2024_ver0!D416*calibration!$I$31</f>
        <v>252.89597703275999</v>
      </c>
      <c r="E416" s="3">
        <f>parking_demand_data_2024_ver0!E416*calibration!$I$31</f>
        <v>6.8097078870482504</v>
      </c>
      <c r="F416" s="3">
        <f t="shared" si="6"/>
        <v>259.70568491980822</v>
      </c>
      <c r="G416" s="3">
        <f>parking_demand_data_2024_ver0!F416</f>
        <v>5</v>
      </c>
      <c r="H416" s="3">
        <f>parking_demand_data_2024_ver0!G416</f>
        <v>1</v>
      </c>
      <c r="I416" s="3">
        <f>parking_demand_data_2024_ver0!H416</f>
        <v>1</v>
      </c>
      <c r="J416" s="3">
        <f>parking_demand_data_2024_ver0!I416</f>
        <v>1</v>
      </c>
      <c r="K416" s="3">
        <f>parking_demand_data_2024_ver0!J416</f>
        <v>0</v>
      </c>
      <c r="L416" s="3">
        <f>parking_demand_data_2024_ver0!K416</f>
        <v>2</v>
      </c>
      <c r="M416" s="3">
        <f>parking_demand_data_2024_ver0!L416</f>
        <v>0</v>
      </c>
      <c r="N416" s="3">
        <f>parking_demand_data_2024_ver0!M416</f>
        <v>355</v>
      </c>
      <c r="O416" s="3">
        <f>parking_demand_data_2024_ver0!N416</f>
        <v>120</v>
      </c>
      <c r="P416" s="3">
        <f>parking_demand_data_2024_ver0!O416</f>
        <v>50</v>
      </c>
      <c r="Q416" s="3">
        <f>parking_demand_data_2024_ver0!P416</f>
        <v>30</v>
      </c>
      <c r="R416" s="3">
        <f>parking_demand_data_2024_ver0!Q416</f>
        <v>0</v>
      </c>
      <c r="S416" s="3">
        <f>parking_demand_data_2024_ver0!R416</f>
        <v>155</v>
      </c>
      <c r="T416" s="3">
        <f>parking_demand_data_2024_ver0!S416</f>
        <v>0</v>
      </c>
    </row>
    <row r="417" spans="1:20" x14ac:dyDescent="0.25">
      <c r="A417">
        <v>18035</v>
      </c>
      <c r="B417" t="s">
        <v>46</v>
      </c>
      <c r="C417">
        <v>7</v>
      </c>
      <c r="D417" s="3">
        <f>parking_demand_data_2024_ver0!D417*calibration!$I$31</f>
        <v>218.84743759751899</v>
      </c>
      <c r="E417" s="3">
        <f>parking_demand_data_2024_ver0!E417*calibration!$I$31</f>
        <v>7.3501608939568399</v>
      </c>
      <c r="F417" s="3">
        <f t="shared" si="6"/>
        <v>226.19759849147584</v>
      </c>
      <c r="G417" s="3">
        <f>parking_demand_data_2024_ver0!F417</f>
        <v>5</v>
      </c>
      <c r="H417" s="3">
        <f>parking_demand_data_2024_ver0!G417</f>
        <v>1</v>
      </c>
      <c r="I417" s="3">
        <f>parking_demand_data_2024_ver0!H417</f>
        <v>1</v>
      </c>
      <c r="J417" s="3">
        <f>parking_demand_data_2024_ver0!I417</f>
        <v>1</v>
      </c>
      <c r="K417" s="3">
        <f>parking_demand_data_2024_ver0!J417</f>
        <v>0</v>
      </c>
      <c r="L417" s="3">
        <f>parking_demand_data_2024_ver0!K417</f>
        <v>2</v>
      </c>
      <c r="M417" s="3">
        <f>parking_demand_data_2024_ver0!L417</f>
        <v>0</v>
      </c>
      <c r="N417" s="3">
        <f>parking_demand_data_2024_ver0!M417</f>
        <v>355</v>
      </c>
      <c r="O417" s="3">
        <f>parking_demand_data_2024_ver0!N417</f>
        <v>120</v>
      </c>
      <c r="P417" s="3">
        <f>parking_demand_data_2024_ver0!O417</f>
        <v>50</v>
      </c>
      <c r="Q417" s="3">
        <f>parking_demand_data_2024_ver0!P417</f>
        <v>30</v>
      </c>
      <c r="R417" s="3">
        <f>parking_demand_data_2024_ver0!Q417</f>
        <v>0</v>
      </c>
      <c r="S417" s="3">
        <f>parking_demand_data_2024_ver0!R417</f>
        <v>155</v>
      </c>
      <c r="T417" s="3">
        <f>parking_demand_data_2024_ver0!S417</f>
        <v>0</v>
      </c>
    </row>
    <row r="418" spans="1:20" x14ac:dyDescent="0.25">
      <c r="A418">
        <v>18035</v>
      </c>
      <c r="B418" t="s">
        <v>46</v>
      </c>
      <c r="C418">
        <v>8</v>
      </c>
      <c r="D418" s="3">
        <f>parking_demand_data_2024_ver0!D418*calibration!$I$31</f>
        <v>179.034066088586</v>
      </c>
      <c r="E418" s="3">
        <f>parking_demand_data_2024_ver0!E418*calibration!$I$31</f>
        <v>6.5935266842848099</v>
      </c>
      <c r="F418" s="3">
        <f t="shared" si="6"/>
        <v>185.6275927728708</v>
      </c>
      <c r="G418" s="3">
        <f>parking_demand_data_2024_ver0!F418</f>
        <v>5</v>
      </c>
      <c r="H418" s="3">
        <f>parking_demand_data_2024_ver0!G418</f>
        <v>1</v>
      </c>
      <c r="I418" s="3">
        <f>parking_demand_data_2024_ver0!H418</f>
        <v>1</v>
      </c>
      <c r="J418" s="3">
        <f>parking_demand_data_2024_ver0!I418</f>
        <v>1</v>
      </c>
      <c r="K418" s="3">
        <f>parking_demand_data_2024_ver0!J418</f>
        <v>0</v>
      </c>
      <c r="L418" s="3">
        <f>parking_demand_data_2024_ver0!K418</f>
        <v>2</v>
      </c>
      <c r="M418" s="3">
        <f>parking_demand_data_2024_ver0!L418</f>
        <v>0</v>
      </c>
      <c r="N418" s="3">
        <f>parking_demand_data_2024_ver0!M418</f>
        <v>355</v>
      </c>
      <c r="O418" s="3">
        <f>parking_demand_data_2024_ver0!N418</f>
        <v>120</v>
      </c>
      <c r="P418" s="3">
        <f>parking_demand_data_2024_ver0!O418</f>
        <v>50</v>
      </c>
      <c r="Q418" s="3">
        <f>parking_demand_data_2024_ver0!P418</f>
        <v>30</v>
      </c>
      <c r="R418" s="3">
        <f>parking_demand_data_2024_ver0!Q418</f>
        <v>0</v>
      </c>
      <c r="S418" s="3">
        <f>parking_demand_data_2024_ver0!R418</f>
        <v>155</v>
      </c>
      <c r="T418" s="3">
        <f>parking_demand_data_2024_ver0!S418</f>
        <v>0</v>
      </c>
    </row>
    <row r="419" spans="1:20" x14ac:dyDescent="0.25">
      <c r="A419">
        <v>18035</v>
      </c>
      <c r="B419" t="s">
        <v>46</v>
      </c>
      <c r="C419">
        <v>9</v>
      </c>
      <c r="D419" s="3">
        <f>parking_demand_data_2024_ver0!D419*calibration!$I$31</f>
        <v>147.759852088808</v>
      </c>
      <c r="E419" s="3">
        <f>parking_demand_data_2024_ver0!E419*calibration!$I$31</f>
        <v>6.4133756819819503</v>
      </c>
      <c r="F419" s="3">
        <f t="shared" si="6"/>
        <v>154.17322777078996</v>
      </c>
      <c r="G419" s="3">
        <f>parking_demand_data_2024_ver0!F419</f>
        <v>5</v>
      </c>
      <c r="H419" s="3">
        <f>parking_demand_data_2024_ver0!G419</f>
        <v>1</v>
      </c>
      <c r="I419" s="3">
        <f>parking_demand_data_2024_ver0!H419</f>
        <v>1</v>
      </c>
      <c r="J419" s="3">
        <f>parking_demand_data_2024_ver0!I419</f>
        <v>1</v>
      </c>
      <c r="K419" s="3">
        <f>parking_demand_data_2024_ver0!J419</f>
        <v>0</v>
      </c>
      <c r="L419" s="3">
        <f>parking_demand_data_2024_ver0!K419</f>
        <v>2</v>
      </c>
      <c r="M419" s="3">
        <f>parking_demand_data_2024_ver0!L419</f>
        <v>0</v>
      </c>
      <c r="N419" s="3">
        <f>parking_demand_data_2024_ver0!M419</f>
        <v>355</v>
      </c>
      <c r="O419" s="3">
        <f>parking_demand_data_2024_ver0!N419</f>
        <v>120</v>
      </c>
      <c r="P419" s="3">
        <f>parking_demand_data_2024_ver0!O419</f>
        <v>50</v>
      </c>
      <c r="Q419" s="3">
        <f>parking_demand_data_2024_ver0!P419</f>
        <v>30</v>
      </c>
      <c r="R419" s="3">
        <f>parking_demand_data_2024_ver0!Q419</f>
        <v>0</v>
      </c>
      <c r="S419" s="3">
        <f>parking_demand_data_2024_ver0!R419</f>
        <v>155</v>
      </c>
      <c r="T419" s="3">
        <f>parking_demand_data_2024_ver0!S419</f>
        <v>0</v>
      </c>
    </row>
    <row r="420" spans="1:20" x14ac:dyDescent="0.25">
      <c r="A420">
        <v>18035</v>
      </c>
      <c r="B420" t="s">
        <v>46</v>
      </c>
      <c r="C420">
        <v>10</v>
      </c>
      <c r="D420" s="3">
        <f>parking_demand_data_2024_ver0!D420*calibration!$I$31</f>
        <v>135.797825535898</v>
      </c>
      <c r="E420" s="3">
        <f>parking_demand_data_2024_ver0!E420*calibration!$I$31</f>
        <v>6.8457380875088196</v>
      </c>
      <c r="F420" s="3">
        <f t="shared" si="6"/>
        <v>142.64356362340681</v>
      </c>
      <c r="G420" s="3">
        <f>parking_demand_data_2024_ver0!F420</f>
        <v>5</v>
      </c>
      <c r="H420" s="3">
        <f>parking_demand_data_2024_ver0!G420</f>
        <v>1</v>
      </c>
      <c r="I420" s="3">
        <f>parking_demand_data_2024_ver0!H420</f>
        <v>1</v>
      </c>
      <c r="J420" s="3">
        <f>parking_demand_data_2024_ver0!I420</f>
        <v>1</v>
      </c>
      <c r="K420" s="3">
        <f>parking_demand_data_2024_ver0!J420</f>
        <v>0</v>
      </c>
      <c r="L420" s="3">
        <f>parking_demand_data_2024_ver0!K420</f>
        <v>2</v>
      </c>
      <c r="M420" s="3">
        <f>parking_demand_data_2024_ver0!L420</f>
        <v>0</v>
      </c>
      <c r="N420" s="3">
        <f>parking_demand_data_2024_ver0!M420</f>
        <v>355</v>
      </c>
      <c r="O420" s="3">
        <f>parking_demand_data_2024_ver0!N420</f>
        <v>120</v>
      </c>
      <c r="P420" s="3">
        <f>parking_demand_data_2024_ver0!O420</f>
        <v>50</v>
      </c>
      <c r="Q420" s="3">
        <f>parking_demand_data_2024_ver0!P420</f>
        <v>30</v>
      </c>
      <c r="R420" s="3">
        <f>parking_demand_data_2024_ver0!Q420</f>
        <v>0</v>
      </c>
      <c r="S420" s="3">
        <f>parking_demand_data_2024_ver0!R420</f>
        <v>155</v>
      </c>
      <c r="T420" s="3">
        <f>parking_demand_data_2024_ver0!S420</f>
        <v>0</v>
      </c>
    </row>
    <row r="421" spans="1:20" x14ac:dyDescent="0.25">
      <c r="A421">
        <v>18035</v>
      </c>
      <c r="B421" t="s">
        <v>46</v>
      </c>
      <c r="C421">
        <v>11</v>
      </c>
      <c r="D421" s="3">
        <f>parking_demand_data_2024_ver0!D421*calibration!$I$31</f>
        <v>131.94259408661699</v>
      </c>
      <c r="E421" s="3">
        <f>parking_demand_data_2024_ver0!E421*calibration!$I$31</f>
        <v>5.6927716727704896</v>
      </c>
      <c r="F421" s="3">
        <f t="shared" si="6"/>
        <v>137.63536575938747</v>
      </c>
      <c r="G421" s="3">
        <f>parking_demand_data_2024_ver0!F421</f>
        <v>5</v>
      </c>
      <c r="H421" s="3">
        <f>parking_demand_data_2024_ver0!G421</f>
        <v>1</v>
      </c>
      <c r="I421" s="3">
        <f>parking_demand_data_2024_ver0!H421</f>
        <v>1</v>
      </c>
      <c r="J421" s="3">
        <f>parking_demand_data_2024_ver0!I421</f>
        <v>1</v>
      </c>
      <c r="K421" s="3">
        <f>parking_demand_data_2024_ver0!J421</f>
        <v>0</v>
      </c>
      <c r="L421" s="3">
        <f>parking_demand_data_2024_ver0!K421</f>
        <v>2</v>
      </c>
      <c r="M421" s="3">
        <f>parking_demand_data_2024_ver0!L421</f>
        <v>0</v>
      </c>
      <c r="N421" s="3">
        <f>parking_demand_data_2024_ver0!M421</f>
        <v>355</v>
      </c>
      <c r="O421" s="3">
        <f>parking_demand_data_2024_ver0!N421</f>
        <v>120</v>
      </c>
      <c r="P421" s="3">
        <f>parking_demand_data_2024_ver0!O421</f>
        <v>50</v>
      </c>
      <c r="Q421" s="3">
        <f>parking_demand_data_2024_ver0!P421</f>
        <v>30</v>
      </c>
      <c r="R421" s="3">
        <f>parking_demand_data_2024_ver0!Q421</f>
        <v>0</v>
      </c>
      <c r="S421" s="3">
        <f>parking_demand_data_2024_ver0!R421</f>
        <v>155</v>
      </c>
      <c r="T421" s="3">
        <f>parking_demand_data_2024_ver0!S421</f>
        <v>0</v>
      </c>
    </row>
    <row r="422" spans="1:20" x14ac:dyDescent="0.25">
      <c r="A422">
        <v>18035</v>
      </c>
      <c r="B422" t="s">
        <v>46</v>
      </c>
      <c r="C422">
        <v>12</v>
      </c>
      <c r="D422" s="3">
        <f>parking_demand_data_2024_ver0!D422*calibration!$I$31</f>
        <v>133.636013508264</v>
      </c>
      <c r="E422" s="3">
        <f>parking_demand_data_2024_ver0!E422*calibration!$I$31</f>
        <v>3.09859723960925</v>
      </c>
      <c r="F422" s="3">
        <f t="shared" si="6"/>
        <v>136.73461074787326</v>
      </c>
      <c r="G422" s="3">
        <f>parking_demand_data_2024_ver0!F422</f>
        <v>5</v>
      </c>
      <c r="H422" s="3">
        <f>parking_demand_data_2024_ver0!G422</f>
        <v>1</v>
      </c>
      <c r="I422" s="3">
        <f>parking_demand_data_2024_ver0!H422</f>
        <v>1</v>
      </c>
      <c r="J422" s="3">
        <f>parking_demand_data_2024_ver0!I422</f>
        <v>1</v>
      </c>
      <c r="K422" s="3">
        <f>parking_demand_data_2024_ver0!J422</f>
        <v>0</v>
      </c>
      <c r="L422" s="3">
        <f>parking_demand_data_2024_ver0!K422</f>
        <v>2</v>
      </c>
      <c r="M422" s="3">
        <f>parking_demand_data_2024_ver0!L422</f>
        <v>0</v>
      </c>
      <c r="N422" s="3">
        <f>parking_demand_data_2024_ver0!M422</f>
        <v>355</v>
      </c>
      <c r="O422" s="3">
        <f>parking_demand_data_2024_ver0!N422</f>
        <v>120</v>
      </c>
      <c r="P422" s="3">
        <f>parking_demand_data_2024_ver0!O422</f>
        <v>50</v>
      </c>
      <c r="Q422" s="3">
        <f>parking_demand_data_2024_ver0!P422</f>
        <v>30</v>
      </c>
      <c r="R422" s="3">
        <f>parking_demand_data_2024_ver0!Q422</f>
        <v>0</v>
      </c>
      <c r="S422" s="3">
        <f>parking_demand_data_2024_ver0!R422</f>
        <v>155</v>
      </c>
      <c r="T422" s="3">
        <f>parking_demand_data_2024_ver0!S422</f>
        <v>0</v>
      </c>
    </row>
    <row r="423" spans="1:20" x14ac:dyDescent="0.25">
      <c r="A423">
        <v>18035</v>
      </c>
      <c r="B423" t="s">
        <v>46</v>
      </c>
      <c r="C423">
        <v>13</v>
      </c>
      <c r="D423" s="3">
        <f>parking_demand_data_2024_ver0!D423*calibration!$I$31</f>
        <v>138.64421137228399</v>
      </c>
      <c r="E423" s="3">
        <f>parking_demand_data_2024_ver0!E423*calibration!$I$31</f>
        <v>3.13462744006983</v>
      </c>
      <c r="F423" s="3">
        <f t="shared" si="6"/>
        <v>141.77883881235383</v>
      </c>
      <c r="G423" s="3">
        <f>parking_demand_data_2024_ver0!F423</f>
        <v>5</v>
      </c>
      <c r="H423" s="3">
        <f>parking_demand_data_2024_ver0!G423</f>
        <v>1</v>
      </c>
      <c r="I423" s="3">
        <f>parking_demand_data_2024_ver0!H423</f>
        <v>1</v>
      </c>
      <c r="J423" s="3">
        <f>parking_demand_data_2024_ver0!I423</f>
        <v>1</v>
      </c>
      <c r="K423" s="3">
        <f>parking_demand_data_2024_ver0!J423</f>
        <v>0</v>
      </c>
      <c r="L423" s="3">
        <f>parking_demand_data_2024_ver0!K423</f>
        <v>2</v>
      </c>
      <c r="M423" s="3">
        <f>parking_demand_data_2024_ver0!L423</f>
        <v>0</v>
      </c>
      <c r="N423" s="3">
        <f>parking_demand_data_2024_ver0!M423</f>
        <v>355</v>
      </c>
      <c r="O423" s="3">
        <f>parking_demand_data_2024_ver0!N423</f>
        <v>120</v>
      </c>
      <c r="P423" s="3">
        <f>parking_demand_data_2024_ver0!O423</f>
        <v>50</v>
      </c>
      <c r="Q423" s="3">
        <f>parking_demand_data_2024_ver0!P423</f>
        <v>30</v>
      </c>
      <c r="R423" s="3">
        <f>parking_demand_data_2024_ver0!Q423</f>
        <v>0</v>
      </c>
      <c r="S423" s="3">
        <f>parking_demand_data_2024_ver0!R423</f>
        <v>155</v>
      </c>
      <c r="T423" s="3">
        <f>parking_demand_data_2024_ver0!S423</f>
        <v>0</v>
      </c>
    </row>
    <row r="424" spans="1:20" x14ac:dyDescent="0.25">
      <c r="A424">
        <v>18035</v>
      </c>
      <c r="B424" t="s">
        <v>46</v>
      </c>
      <c r="C424">
        <v>14</v>
      </c>
      <c r="D424" s="3">
        <f>parking_demand_data_2024_ver0!D424*calibration!$I$31</f>
        <v>135.76179533543799</v>
      </c>
      <c r="E424" s="3">
        <f>parking_demand_data_2024_ver0!E424*calibration!$I$31</f>
        <v>3.89126164974186</v>
      </c>
      <c r="F424" s="3">
        <f t="shared" si="6"/>
        <v>139.65305698517986</v>
      </c>
      <c r="G424" s="3">
        <f>parking_demand_data_2024_ver0!F424</f>
        <v>5</v>
      </c>
      <c r="H424" s="3">
        <f>parking_demand_data_2024_ver0!G424</f>
        <v>1</v>
      </c>
      <c r="I424" s="3">
        <f>parking_demand_data_2024_ver0!H424</f>
        <v>1</v>
      </c>
      <c r="J424" s="3">
        <f>parking_demand_data_2024_ver0!I424</f>
        <v>1</v>
      </c>
      <c r="K424" s="3">
        <f>parking_demand_data_2024_ver0!J424</f>
        <v>0</v>
      </c>
      <c r="L424" s="3">
        <f>parking_demand_data_2024_ver0!K424</f>
        <v>2</v>
      </c>
      <c r="M424" s="3">
        <f>parking_demand_data_2024_ver0!L424</f>
        <v>0</v>
      </c>
      <c r="N424" s="3">
        <f>parking_demand_data_2024_ver0!M424</f>
        <v>355</v>
      </c>
      <c r="O424" s="3">
        <f>parking_demand_data_2024_ver0!N424</f>
        <v>120</v>
      </c>
      <c r="P424" s="3">
        <f>parking_demand_data_2024_ver0!O424</f>
        <v>50</v>
      </c>
      <c r="Q424" s="3">
        <f>parking_demand_data_2024_ver0!P424</f>
        <v>30</v>
      </c>
      <c r="R424" s="3">
        <f>parking_demand_data_2024_ver0!Q424</f>
        <v>0</v>
      </c>
      <c r="S424" s="3">
        <f>parking_demand_data_2024_ver0!R424</f>
        <v>155</v>
      </c>
      <c r="T424" s="3">
        <f>parking_demand_data_2024_ver0!S424</f>
        <v>0</v>
      </c>
    </row>
    <row r="425" spans="1:20" x14ac:dyDescent="0.25">
      <c r="A425">
        <v>18035</v>
      </c>
      <c r="B425" t="s">
        <v>46</v>
      </c>
      <c r="C425">
        <v>15</v>
      </c>
      <c r="D425" s="3">
        <f>parking_demand_data_2024_ver0!D425*calibration!$I$31</f>
        <v>138.46406036998101</v>
      </c>
      <c r="E425" s="3">
        <f>parking_demand_data_2024_ver0!E425*calibration!$I$31</f>
        <v>3.24271804145154</v>
      </c>
      <c r="F425" s="3">
        <f t="shared" si="6"/>
        <v>141.70677841143257</v>
      </c>
      <c r="G425" s="3">
        <f>parking_demand_data_2024_ver0!F425</f>
        <v>5</v>
      </c>
      <c r="H425" s="3">
        <f>parking_demand_data_2024_ver0!G425</f>
        <v>1</v>
      </c>
      <c r="I425" s="3">
        <f>parking_demand_data_2024_ver0!H425</f>
        <v>1</v>
      </c>
      <c r="J425" s="3">
        <f>parking_demand_data_2024_ver0!I425</f>
        <v>1</v>
      </c>
      <c r="K425" s="3">
        <f>parking_demand_data_2024_ver0!J425</f>
        <v>0</v>
      </c>
      <c r="L425" s="3">
        <f>parking_demand_data_2024_ver0!K425</f>
        <v>2</v>
      </c>
      <c r="M425" s="3">
        <f>parking_demand_data_2024_ver0!L425</f>
        <v>0</v>
      </c>
      <c r="N425" s="3">
        <f>parking_demand_data_2024_ver0!M425</f>
        <v>355</v>
      </c>
      <c r="O425" s="3">
        <f>parking_demand_data_2024_ver0!N425</f>
        <v>120</v>
      </c>
      <c r="P425" s="3">
        <f>parking_demand_data_2024_ver0!O425</f>
        <v>50</v>
      </c>
      <c r="Q425" s="3">
        <f>parking_demand_data_2024_ver0!P425</f>
        <v>30</v>
      </c>
      <c r="R425" s="3">
        <f>parking_demand_data_2024_ver0!Q425</f>
        <v>0</v>
      </c>
      <c r="S425" s="3">
        <f>parking_demand_data_2024_ver0!R425</f>
        <v>155</v>
      </c>
      <c r="T425" s="3">
        <f>parking_demand_data_2024_ver0!S425</f>
        <v>0</v>
      </c>
    </row>
    <row r="426" spans="1:20" x14ac:dyDescent="0.25">
      <c r="A426">
        <v>18035</v>
      </c>
      <c r="B426" t="s">
        <v>46</v>
      </c>
      <c r="C426">
        <v>16</v>
      </c>
      <c r="D426" s="3">
        <f>parking_demand_data_2024_ver0!D426*calibration!$I$31</f>
        <v>150.93050972933901</v>
      </c>
      <c r="E426" s="3">
        <f>parking_demand_data_2024_ver0!E426*calibration!$I$31</f>
        <v>1.5853288202652001</v>
      </c>
      <c r="F426" s="3">
        <f t="shared" si="6"/>
        <v>152.51583854960421</v>
      </c>
      <c r="G426" s="3">
        <f>parking_demand_data_2024_ver0!F426</f>
        <v>5</v>
      </c>
      <c r="H426" s="3">
        <f>parking_demand_data_2024_ver0!G426</f>
        <v>1</v>
      </c>
      <c r="I426" s="3">
        <f>parking_demand_data_2024_ver0!H426</f>
        <v>1</v>
      </c>
      <c r="J426" s="3">
        <f>parking_demand_data_2024_ver0!I426</f>
        <v>1</v>
      </c>
      <c r="K426" s="3">
        <f>parking_demand_data_2024_ver0!J426</f>
        <v>0</v>
      </c>
      <c r="L426" s="3">
        <f>parking_demand_data_2024_ver0!K426</f>
        <v>2</v>
      </c>
      <c r="M426" s="3">
        <f>parking_demand_data_2024_ver0!L426</f>
        <v>0</v>
      </c>
      <c r="N426" s="3">
        <f>parking_demand_data_2024_ver0!M426</f>
        <v>355</v>
      </c>
      <c r="O426" s="3">
        <f>parking_demand_data_2024_ver0!N426</f>
        <v>120</v>
      </c>
      <c r="P426" s="3">
        <f>parking_demand_data_2024_ver0!O426</f>
        <v>50</v>
      </c>
      <c r="Q426" s="3">
        <f>parking_demand_data_2024_ver0!P426</f>
        <v>30</v>
      </c>
      <c r="R426" s="3">
        <f>parking_demand_data_2024_ver0!Q426</f>
        <v>0</v>
      </c>
      <c r="S426" s="3">
        <f>parking_demand_data_2024_ver0!R426</f>
        <v>155</v>
      </c>
      <c r="T426" s="3">
        <f>parking_demand_data_2024_ver0!S426</f>
        <v>0</v>
      </c>
    </row>
    <row r="427" spans="1:20" x14ac:dyDescent="0.25">
      <c r="A427">
        <v>18035</v>
      </c>
      <c r="B427" t="s">
        <v>46</v>
      </c>
      <c r="C427">
        <v>17</v>
      </c>
      <c r="D427" s="3">
        <f>parking_demand_data_2024_ver0!D427*calibration!$I$31</f>
        <v>169.197821362849</v>
      </c>
      <c r="E427" s="3">
        <f>parking_demand_data_2024_ver0!E427*calibration!$I$31</f>
        <v>0.57648320736916403</v>
      </c>
      <c r="F427" s="3">
        <f t="shared" si="6"/>
        <v>169.77430457021816</v>
      </c>
      <c r="G427" s="3">
        <f>parking_demand_data_2024_ver0!F427</f>
        <v>5</v>
      </c>
      <c r="H427" s="3">
        <f>parking_demand_data_2024_ver0!G427</f>
        <v>1</v>
      </c>
      <c r="I427" s="3">
        <f>parking_demand_data_2024_ver0!H427</f>
        <v>1</v>
      </c>
      <c r="J427" s="3">
        <f>parking_demand_data_2024_ver0!I427</f>
        <v>1</v>
      </c>
      <c r="K427" s="3">
        <f>parking_demand_data_2024_ver0!J427</f>
        <v>0</v>
      </c>
      <c r="L427" s="3">
        <f>parking_demand_data_2024_ver0!K427</f>
        <v>2</v>
      </c>
      <c r="M427" s="3">
        <f>parking_demand_data_2024_ver0!L427</f>
        <v>0</v>
      </c>
      <c r="N427" s="3">
        <f>parking_demand_data_2024_ver0!M427</f>
        <v>355</v>
      </c>
      <c r="O427" s="3">
        <f>parking_demand_data_2024_ver0!N427</f>
        <v>120</v>
      </c>
      <c r="P427" s="3">
        <f>parking_demand_data_2024_ver0!O427</f>
        <v>50</v>
      </c>
      <c r="Q427" s="3">
        <f>parking_demand_data_2024_ver0!P427</f>
        <v>30</v>
      </c>
      <c r="R427" s="3">
        <f>parking_demand_data_2024_ver0!Q427</f>
        <v>0</v>
      </c>
      <c r="S427" s="3">
        <f>parking_demand_data_2024_ver0!R427</f>
        <v>155</v>
      </c>
      <c r="T427" s="3">
        <f>parking_demand_data_2024_ver0!S427</f>
        <v>0</v>
      </c>
    </row>
    <row r="428" spans="1:20" x14ac:dyDescent="0.25">
      <c r="A428">
        <v>18035</v>
      </c>
      <c r="B428" t="s">
        <v>46</v>
      </c>
      <c r="C428">
        <v>18</v>
      </c>
      <c r="D428" s="3">
        <f>parking_demand_data_2024_ver0!D428*calibration!$I$31</f>
        <v>188.546039010177</v>
      </c>
      <c r="E428" s="3">
        <f>parking_demand_data_2024_ver0!E428*calibration!$I$31</f>
        <v>0.50442280644801896</v>
      </c>
      <c r="F428" s="3">
        <f t="shared" si="6"/>
        <v>189.05046181662502</v>
      </c>
      <c r="G428" s="3">
        <f>parking_demand_data_2024_ver0!F428</f>
        <v>5</v>
      </c>
      <c r="H428" s="3">
        <f>parking_demand_data_2024_ver0!G428</f>
        <v>1</v>
      </c>
      <c r="I428" s="3">
        <f>parking_demand_data_2024_ver0!H428</f>
        <v>1</v>
      </c>
      <c r="J428" s="3">
        <f>parking_demand_data_2024_ver0!I428</f>
        <v>1</v>
      </c>
      <c r="K428" s="3">
        <f>parking_demand_data_2024_ver0!J428</f>
        <v>0</v>
      </c>
      <c r="L428" s="3">
        <f>parking_demand_data_2024_ver0!K428</f>
        <v>2</v>
      </c>
      <c r="M428" s="3">
        <f>parking_demand_data_2024_ver0!L428</f>
        <v>0</v>
      </c>
      <c r="N428" s="3">
        <f>parking_demand_data_2024_ver0!M428</f>
        <v>355</v>
      </c>
      <c r="O428" s="3">
        <f>parking_demand_data_2024_ver0!N428</f>
        <v>120</v>
      </c>
      <c r="P428" s="3">
        <f>parking_demand_data_2024_ver0!O428</f>
        <v>50</v>
      </c>
      <c r="Q428" s="3">
        <f>parking_demand_data_2024_ver0!P428</f>
        <v>30</v>
      </c>
      <c r="R428" s="3">
        <f>parking_demand_data_2024_ver0!Q428</f>
        <v>0</v>
      </c>
      <c r="S428" s="3">
        <f>parking_demand_data_2024_ver0!R428</f>
        <v>155</v>
      </c>
      <c r="T428" s="3">
        <f>parking_demand_data_2024_ver0!S428</f>
        <v>0</v>
      </c>
    </row>
    <row r="429" spans="1:20" x14ac:dyDescent="0.25">
      <c r="A429">
        <v>18035</v>
      </c>
      <c r="B429" t="s">
        <v>46</v>
      </c>
      <c r="C429">
        <v>19</v>
      </c>
      <c r="D429" s="3">
        <f>parking_demand_data_2024_ver0!D429*calibration!$I$31</f>
        <v>213.33481692705101</v>
      </c>
      <c r="E429" s="3">
        <f>parking_demand_data_2024_ver0!E429*calibration!$I$31</f>
        <v>0.86472481105374599</v>
      </c>
      <c r="F429" s="3">
        <f t="shared" si="6"/>
        <v>214.19954173810476</v>
      </c>
      <c r="G429" s="3">
        <f>parking_demand_data_2024_ver0!F429</f>
        <v>5</v>
      </c>
      <c r="H429" s="3">
        <f>parking_demand_data_2024_ver0!G429</f>
        <v>1</v>
      </c>
      <c r="I429" s="3">
        <f>parking_demand_data_2024_ver0!H429</f>
        <v>1</v>
      </c>
      <c r="J429" s="3">
        <f>parking_demand_data_2024_ver0!I429</f>
        <v>1</v>
      </c>
      <c r="K429" s="3">
        <f>parking_demand_data_2024_ver0!J429</f>
        <v>0</v>
      </c>
      <c r="L429" s="3">
        <f>parking_demand_data_2024_ver0!K429</f>
        <v>2</v>
      </c>
      <c r="M429" s="3">
        <f>parking_demand_data_2024_ver0!L429</f>
        <v>0</v>
      </c>
      <c r="N429" s="3">
        <f>parking_demand_data_2024_ver0!M429</f>
        <v>355</v>
      </c>
      <c r="O429" s="3">
        <f>parking_demand_data_2024_ver0!N429</f>
        <v>120</v>
      </c>
      <c r="P429" s="3">
        <f>parking_demand_data_2024_ver0!O429</f>
        <v>50</v>
      </c>
      <c r="Q429" s="3">
        <f>parking_demand_data_2024_ver0!P429</f>
        <v>30</v>
      </c>
      <c r="R429" s="3">
        <f>parking_demand_data_2024_ver0!Q429</f>
        <v>0</v>
      </c>
      <c r="S429" s="3">
        <f>parking_demand_data_2024_ver0!R429</f>
        <v>155</v>
      </c>
      <c r="T429" s="3">
        <f>parking_demand_data_2024_ver0!S429</f>
        <v>0</v>
      </c>
    </row>
    <row r="430" spans="1:20" x14ac:dyDescent="0.25">
      <c r="A430">
        <v>18035</v>
      </c>
      <c r="B430" t="s">
        <v>46</v>
      </c>
      <c r="C430">
        <v>20</v>
      </c>
      <c r="D430" s="3">
        <f>parking_demand_data_2024_ver0!D430*calibration!$I$31</f>
        <v>241.978826293206</v>
      </c>
      <c r="E430" s="3">
        <f>parking_demand_data_2024_ver0!E430*calibration!$I$31</f>
        <v>0.50442280644801896</v>
      </c>
      <c r="F430" s="3">
        <f t="shared" si="6"/>
        <v>242.48324909965402</v>
      </c>
      <c r="G430" s="3">
        <f>parking_demand_data_2024_ver0!F430</f>
        <v>5</v>
      </c>
      <c r="H430" s="3">
        <f>parking_demand_data_2024_ver0!G430</f>
        <v>1</v>
      </c>
      <c r="I430" s="3">
        <f>parking_demand_data_2024_ver0!H430</f>
        <v>1</v>
      </c>
      <c r="J430" s="3">
        <f>parking_demand_data_2024_ver0!I430</f>
        <v>1</v>
      </c>
      <c r="K430" s="3">
        <f>parking_demand_data_2024_ver0!J430</f>
        <v>0</v>
      </c>
      <c r="L430" s="3">
        <f>parking_demand_data_2024_ver0!K430</f>
        <v>2</v>
      </c>
      <c r="M430" s="3">
        <f>parking_demand_data_2024_ver0!L430</f>
        <v>0</v>
      </c>
      <c r="N430" s="3">
        <f>parking_demand_data_2024_ver0!M430</f>
        <v>355</v>
      </c>
      <c r="O430" s="3">
        <f>parking_demand_data_2024_ver0!N430</f>
        <v>120</v>
      </c>
      <c r="P430" s="3">
        <f>parking_demand_data_2024_ver0!O430</f>
        <v>50</v>
      </c>
      <c r="Q430" s="3">
        <f>parking_demand_data_2024_ver0!P430</f>
        <v>30</v>
      </c>
      <c r="R430" s="3">
        <f>parking_demand_data_2024_ver0!Q430</f>
        <v>0</v>
      </c>
      <c r="S430" s="3">
        <f>parking_demand_data_2024_ver0!R430</f>
        <v>155</v>
      </c>
      <c r="T430" s="3">
        <f>parking_demand_data_2024_ver0!S430</f>
        <v>0</v>
      </c>
    </row>
    <row r="431" spans="1:20" x14ac:dyDescent="0.25">
      <c r="A431">
        <v>18035</v>
      </c>
      <c r="B431" t="s">
        <v>46</v>
      </c>
      <c r="C431">
        <v>21</v>
      </c>
      <c r="D431" s="3">
        <f>parking_demand_data_2024_ver0!D431*calibration!$I$31</f>
        <v>263.12855396356298</v>
      </c>
      <c r="E431" s="3">
        <f>parking_demand_data_2024_ver0!E431*calibration!$I$31</f>
        <v>1.2250268156594699</v>
      </c>
      <c r="F431" s="3">
        <f t="shared" si="6"/>
        <v>264.35358077922245</v>
      </c>
      <c r="G431" s="3">
        <f>parking_demand_data_2024_ver0!F431</f>
        <v>5</v>
      </c>
      <c r="H431" s="3">
        <f>parking_demand_data_2024_ver0!G431</f>
        <v>1</v>
      </c>
      <c r="I431" s="3">
        <f>parking_demand_data_2024_ver0!H431</f>
        <v>1</v>
      </c>
      <c r="J431" s="3">
        <f>parking_demand_data_2024_ver0!I431</f>
        <v>1</v>
      </c>
      <c r="K431" s="3">
        <f>parking_demand_data_2024_ver0!J431</f>
        <v>0</v>
      </c>
      <c r="L431" s="3">
        <f>parking_demand_data_2024_ver0!K431</f>
        <v>2</v>
      </c>
      <c r="M431" s="3">
        <f>parking_demand_data_2024_ver0!L431</f>
        <v>0</v>
      </c>
      <c r="N431" s="3">
        <f>parking_demand_data_2024_ver0!M431</f>
        <v>355</v>
      </c>
      <c r="O431" s="3">
        <f>parking_demand_data_2024_ver0!N431</f>
        <v>120</v>
      </c>
      <c r="P431" s="3">
        <f>parking_demand_data_2024_ver0!O431</f>
        <v>50</v>
      </c>
      <c r="Q431" s="3">
        <f>parking_demand_data_2024_ver0!P431</f>
        <v>30</v>
      </c>
      <c r="R431" s="3">
        <f>parking_demand_data_2024_ver0!Q431</f>
        <v>0</v>
      </c>
      <c r="S431" s="3">
        <f>parking_demand_data_2024_ver0!R431</f>
        <v>155</v>
      </c>
      <c r="T431" s="3">
        <f>parking_demand_data_2024_ver0!S431</f>
        <v>0</v>
      </c>
    </row>
    <row r="432" spans="1:20" x14ac:dyDescent="0.25">
      <c r="A432">
        <v>18035</v>
      </c>
      <c r="B432" t="s">
        <v>46</v>
      </c>
      <c r="C432">
        <v>22</v>
      </c>
      <c r="D432" s="3">
        <f>parking_demand_data_2024_ver0!D432*calibration!$I$31</f>
        <v>273.79349329989202</v>
      </c>
      <c r="E432" s="3">
        <f>parking_demand_data_2024_ver0!E432*calibration!$I$31</f>
        <v>1.7654798225680599</v>
      </c>
      <c r="F432" s="3">
        <f t="shared" si="6"/>
        <v>275.55897312246009</v>
      </c>
      <c r="G432" s="3">
        <f>parking_demand_data_2024_ver0!F432</f>
        <v>5</v>
      </c>
      <c r="H432" s="3">
        <f>parking_demand_data_2024_ver0!G432</f>
        <v>1</v>
      </c>
      <c r="I432" s="3">
        <f>parking_demand_data_2024_ver0!H432</f>
        <v>1</v>
      </c>
      <c r="J432" s="3">
        <f>parking_demand_data_2024_ver0!I432</f>
        <v>1</v>
      </c>
      <c r="K432" s="3">
        <f>parking_demand_data_2024_ver0!J432</f>
        <v>0</v>
      </c>
      <c r="L432" s="3">
        <f>parking_demand_data_2024_ver0!K432</f>
        <v>2</v>
      </c>
      <c r="M432" s="3">
        <f>parking_demand_data_2024_ver0!L432</f>
        <v>0</v>
      </c>
      <c r="N432" s="3">
        <f>parking_demand_data_2024_ver0!M432</f>
        <v>355</v>
      </c>
      <c r="O432" s="3">
        <f>parking_demand_data_2024_ver0!N432</f>
        <v>120</v>
      </c>
      <c r="P432" s="3">
        <f>parking_demand_data_2024_ver0!O432</f>
        <v>50</v>
      </c>
      <c r="Q432" s="3">
        <f>parking_demand_data_2024_ver0!P432</f>
        <v>30</v>
      </c>
      <c r="R432" s="3">
        <f>parking_demand_data_2024_ver0!Q432</f>
        <v>0</v>
      </c>
      <c r="S432" s="3">
        <f>parking_demand_data_2024_ver0!R432</f>
        <v>155</v>
      </c>
      <c r="T432" s="3">
        <f>parking_demand_data_2024_ver0!S432</f>
        <v>0</v>
      </c>
    </row>
    <row r="433" spans="1:20" x14ac:dyDescent="0.25">
      <c r="A433">
        <v>18035</v>
      </c>
      <c r="B433" t="s">
        <v>46</v>
      </c>
      <c r="C433">
        <v>23</v>
      </c>
      <c r="D433" s="3">
        <f>parking_demand_data_2024_ver0!D433*calibration!$I$31</f>
        <v>282.332650809048</v>
      </c>
      <c r="E433" s="3">
        <f>parking_demand_data_2024_ver0!E433*calibration!$I$31</f>
        <v>2.99050663822754</v>
      </c>
      <c r="F433" s="3">
        <f t="shared" si="6"/>
        <v>285.32315744727555</v>
      </c>
      <c r="G433" s="3">
        <f>parking_demand_data_2024_ver0!F433</f>
        <v>5</v>
      </c>
      <c r="H433" s="3">
        <f>parking_demand_data_2024_ver0!G433</f>
        <v>1</v>
      </c>
      <c r="I433" s="3">
        <f>parking_demand_data_2024_ver0!H433</f>
        <v>1</v>
      </c>
      <c r="J433" s="3">
        <f>parking_demand_data_2024_ver0!I433</f>
        <v>1</v>
      </c>
      <c r="K433" s="3">
        <f>parking_demand_data_2024_ver0!J433</f>
        <v>0</v>
      </c>
      <c r="L433" s="3">
        <f>parking_demand_data_2024_ver0!K433</f>
        <v>2</v>
      </c>
      <c r="M433" s="3">
        <f>parking_demand_data_2024_ver0!L433</f>
        <v>0</v>
      </c>
      <c r="N433" s="3">
        <f>parking_demand_data_2024_ver0!M433</f>
        <v>355</v>
      </c>
      <c r="O433" s="3">
        <f>parking_demand_data_2024_ver0!N433</f>
        <v>120</v>
      </c>
      <c r="P433" s="3">
        <f>parking_demand_data_2024_ver0!O433</f>
        <v>50</v>
      </c>
      <c r="Q433" s="3">
        <f>parking_demand_data_2024_ver0!P433</f>
        <v>30</v>
      </c>
      <c r="R433" s="3">
        <f>parking_demand_data_2024_ver0!Q433</f>
        <v>0</v>
      </c>
      <c r="S433" s="3">
        <f>parking_demand_data_2024_ver0!R433</f>
        <v>155</v>
      </c>
      <c r="T433" s="3">
        <f>parking_demand_data_2024_ver0!S433</f>
        <v>0</v>
      </c>
    </row>
    <row r="434" spans="1:20" x14ac:dyDescent="0.25">
      <c r="A434">
        <v>18037</v>
      </c>
      <c r="B434" t="s">
        <v>47</v>
      </c>
      <c r="C434">
        <v>0</v>
      </c>
      <c r="D434" s="3">
        <f>parking_demand_data_2024_ver0!D434*calibration!$I$31</f>
        <v>21.3670797662902</v>
      </c>
      <c r="E434" s="3">
        <f>parking_demand_data_2024_ver0!E434*calibration!$I$31</f>
        <v>1.9711328197684701</v>
      </c>
      <c r="F434" s="3">
        <f t="shared" si="6"/>
        <v>23.33821258605867</v>
      </c>
      <c r="G434" s="3">
        <f>parking_demand_data_2024_ver0!F434</f>
        <v>1</v>
      </c>
      <c r="H434" s="3">
        <f>parking_demand_data_2024_ver0!G434</f>
        <v>0</v>
      </c>
      <c r="I434" s="3">
        <f>parking_demand_data_2024_ver0!H434</f>
        <v>0</v>
      </c>
      <c r="J434" s="3">
        <f>parking_demand_data_2024_ver0!I434</f>
        <v>1</v>
      </c>
      <c r="K434" s="3">
        <f>parking_demand_data_2024_ver0!J434</f>
        <v>0</v>
      </c>
      <c r="L434" s="3">
        <f>parking_demand_data_2024_ver0!K434</f>
        <v>0</v>
      </c>
      <c r="M434" s="3">
        <f>parking_demand_data_2024_ver0!L434</f>
        <v>0</v>
      </c>
      <c r="N434" s="3">
        <f>parking_demand_data_2024_ver0!M434</f>
        <v>20</v>
      </c>
      <c r="O434" s="3">
        <f>parking_demand_data_2024_ver0!N434</f>
        <v>0</v>
      </c>
      <c r="P434" s="3">
        <f>parking_demand_data_2024_ver0!O434</f>
        <v>0</v>
      </c>
      <c r="Q434" s="3">
        <f>parking_demand_data_2024_ver0!P434</f>
        <v>20</v>
      </c>
      <c r="R434" s="3">
        <f>parking_demand_data_2024_ver0!Q434</f>
        <v>0</v>
      </c>
      <c r="S434" s="3">
        <f>parking_demand_data_2024_ver0!R434</f>
        <v>0</v>
      </c>
      <c r="T434" s="3">
        <f>parking_demand_data_2024_ver0!S434</f>
        <v>0</v>
      </c>
    </row>
    <row r="435" spans="1:20" x14ac:dyDescent="0.25">
      <c r="A435">
        <v>18037</v>
      </c>
      <c r="B435" t="s">
        <v>47</v>
      </c>
      <c r="C435">
        <v>1</v>
      </c>
      <c r="D435" s="3">
        <f>parking_demand_data_2024_ver0!D435*calibration!$I$31</f>
        <v>21.3670797662902</v>
      </c>
      <c r="E435" s="3">
        <f>parking_demand_data_2024_ver0!E435*calibration!$I$31</f>
        <v>2.4442046965128998</v>
      </c>
      <c r="F435" s="3">
        <f t="shared" si="6"/>
        <v>23.811284462803101</v>
      </c>
      <c r="G435" s="3">
        <f>parking_demand_data_2024_ver0!F435</f>
        <v>1</v>
      </c>
      <c r="H435" s="3">
        <f>parking_demand_data_2024_ver0!G435</f>
        <v>0</v>
      </c>
      <c r="I435" s="3">
        <f>parking_demand_data_2024_ver0!H435</f>
        <v>0</v>
      </c>
      <c r="J435" s="3">
        <f>parking_demand_data_2024_ver0!I435</f>
        <v>1</v>
      </c>
      <c r="K435" s="3">
        <f>parking_demand_data_2024_ver0!J435</f>
        <v>0</v>
      </c>
      <c r="L435" s="3">
        <f>parking_demand_data_2024_ver0!K435</f>
        <v>0</v>
      </c>
      <c r="M435" s="3">
        <f>parking_demand_data_2024_ver0!L435</f>
        <v>0</v>
      </c>
      <c r="N435" s="3">
        <f>parking_demand_data_2024_ver0!M435</f>
        <v>20</v>
      </c>
      <c r="O435" s="3">
        <f>parking_demand_data_2024_ver0!N435</f>
        <v>0</v>
      </c>
      <c r="P435" s="3">
        <f>parking_demand_data_2024_ver0!O435</f>
        <v>0</v>
      </c>
      <c r="Q435" s="3">
        <f>parking_demand_data_2024_ver0!P435</f>
        <v>20</v>
      </c>
      <c r="R435" s="3">
        <f>parking_demand_data_2024_ver0!Q435</f>
        <v>0</v>
      </c>
      <c r="S435" s="3">
        <f>parking_demand_data_2024_ver0!R435</f>
        <v>0</v>
      </c>
      <c r="T435" s="3">
        <f>parking_demand_data_2024_ver0!S435</f>
        <v>0</v>
      </c>
    </row>
    <row r="436" spans="1:20" x14ac:dyDescent="0.25">
      <c r="A436">
        <v>18037</v>
      </c>
      <c r="B436" t="s">
        <v>47</v>
      </c>
      <c r="C436">
        <v>2</v>
      </c>
      <c r="D436" s="3">
        <f>parking_demand_data_2024_ver0!D436*calibration!$I$31</f>
        <v>21.3670797662902</v>
      </c>
      <c r="E436" s="3">
        <f>parking_demand_data_2024_ver0!E436*calibration!$I$31</f>
        <v>2.2076687581406902</v>
      </c>
      <c r="F436" s="3">
        <f t="shared" si="6"/>
        <v>23.574748524430891</v>
      </c>
      <c r="G436" s="3">
        <f>parking_demand_data_2024_ver0!F436</f>
        <v>1</v>
      </c>
      <c r="H436" s="3">
        <f>parking_demand_data_2024_ver0!G436</f>
        <v>0</v>
      </c>
      <c r="I436" s="3">
        <f>parking_demand_data_2024_ver0!H436</f>
        <v>0</v>
      </c>
      <c r="J436" s="3">
        <f>parking_demand_data_2024_ver0!I436</f>
        <v>1</v>
      </c>
      <c r="K436" s="3">
        <f>parking_demand_data_2024_ver0!J436</f>
        <v>0</v>
      </c>
      <c r="L436" s="3">
        <f>parking_demand_data_2024_ver0!K436</f>
        <v>0</v>
      </c>
      <c r="M436" s="3">
        <f>parking_demand_data_2024_ver0!L436</f>
        <v>0</v>
      </c>
      <c r="N436" s="3">
        <f>parking_demand_data_2024_ver0!M436</f>
        <v>20</v>
      </c>
      <c r="O436" s="3">
        <f>parking_demand_data_2024_ver0!N436</f>
        <v>0</v>
      </c>
      <c r="P436" s="3">
        <f>parking_demand_data_2024_ver0!O436</f>
        <v>0</v>
      </c>
      <c r="Q436" s="3">
        <f>parking_demand_data_2024_ver0!P436</f>
        <v>20</v>
      </c>
      <c r="R436" s="3">
        <f>parking_demand_data_2024_ver0!Q436</f>
        <v>0</v>
      </c>
      <c r="S436" s="3">
        <f>parking_demand_data_2024_ver0!R436</f>
        <v>0</v>
      </c>
      <c r="T436" s="3">
        <f>parking_demand_data_2024_ver0!S436</f>
        <v>0</v>
      </c>
    </row>
    <row r="437" spans="1:20" x14ac:dyDescent="0.25">
      <c r="A437">
        <v>18037</v>
      </c>
      <c r="B437" t="s">
        <v>47</v>
      </c>
      <c r="C437">
        <v>3</v>
      </c>
      <c r="D437" s="3">
        <f>parking_demand_data_2024_ver0!D437*calibration!$I$31</f>
        <v>21.209389140708701</v>
      </c>
      <c r="E437" s="3">
        <f>parking_demand_data_2024_ver0!E437*calibration!$I$31</f>
        <v>2.1288234453499499</v>
      </c>
      <c r="F437" s="3">
        <f t="shared" si="6"/>
        <v>23.338212586058653</v>
      </c>
      <c r="G437" s="3">
        <f>parking_demand_data_2024_ver0!F437</f>
        <v>1</v>
      </c>
      <c r="H437" s="3">
        <f>parking_demand_data_2024_ver0!G437</f>
        <v>0</v>
      </c>
      <c r="I437" s="3">
        <f>parking_demand_data_2024_ver0!H437</f>
        <v>0</v>
      </c>
      <c r="J437" s="3">
        <f>parking_demand_data_2024_ver0!I437</f>
        <v>1</v>
      </c>
      <c r="K437" s="3">
        <f>parking_demand_data_2024_ver0!J437</f>
        <v>0</v>
      </c>
      <c r="L437" s="3">
        <f>parking_demand_data_2024_ver0!K437</f>
        <v>0</v>
      </c>
      <c r="M437" s="3">
        <f>parking_demand_data_2024_ver0!L437</f>
        <v>0</v>
      </c>
      <c r="N437" s="3">
        <f>parking_demand_data_2024_ver0!M437</f>
        <v>20</v>
      </c>
      <c r="O437" s="3">
        <f>parking_demand_data_2024_ver0!N437</f>
        <v>0</v>
      </c>
      <c r="P437" s="3">
        <f>parking_demand_data_2024_ver0!O437</f>
        <v>0</v>
      </c>
      <c r="Q437" s="3">
        <f>parking_demand_data_2024_ver0!P437</f>
        <v>20</v>
      </c>
      <c r="R437" s="3">
        <f>parking_demand_data_2024_ver0!Q437</f>
        <v>0</v>
      </c>
      <c r="S437" s="3">
        <f>parking_demand_data_2024_ver0!R437</f>
        <v>0</v>
      </c>
      <c r="T437" s="3">
        <f>parking_demand_data_2024_ver0!S437</f>
        <v>0</v>
      </c>
    </row>
    <row r="438" spans="1:20" x14ac:dyDescent="0.25">
      <c r="A438">
        <v>18037</v>
      </c>
      <c r="B438" t="s">
        <v>47</v>
      </c>
      <c r="C438">
        <v>4</v>
      </c>
      <c r="D438" s="3">
        <f>parking_demand_data_2024_ver0!D438*calibration!$I$31</f>
        <v>20.894007889545801</v>
      </c>
      <c r="E438" s="3">
        <f>parking_demand_data_2024_ver0!E438*calibration!$I$31</f>
        <v>2.3653593837221698</v>
      </c>
      <c r="F438" s="3">
        <f t="shared" si="6"/>
        <v>23.259367273267969</v>
      </c>
      <c r="G438" s="3">
        <f>parking_demand_data_2024_ver0!F438</f>
        <v>1</v>
      </c>
      <c r="H438" s="3">
        <f>parking_demand_data_2024_ver0!G438</f>
        <v>0</v>
      </c>
      <c r="I438" s="3">
        <f>parking_demand_data_2024_ver0!H438</f>
        <v>0</v>
      </c>
      <c r="J438" s="3">
        <f>parking_demand_data_2024_ver0!I438</f>
        <v>1</v>
      </c>
      <c r="K438" s="3">
        <f>parking_demand_data_2024_ver0!J438</f>
        <v>0</v>
      </c>
      <c r="L438" s="3">
        <f>parking_demand_data_2024_ver0!K438</f>
        <v>0</v>
      </c>
      <c r="M438" s="3">
        <f>parking_demand_data_2024_ver0!L438</f>
        <v>0</v>
      </c>
      <c r="N438" s="3">
        <f>parking_demand_data_2024_ver0!M438</f>
        <v>20</v>
      </c>
      <c r="O438" s="3">
        <f>parking_demand_data_2024_ver0!N438</f>
        <v>0</v>
      </c>
      <c r="P438" s="3">
        <f>parking_demand_data_2024_ver0!O438</f>
        <v>0</v>
      </c>
      <c r="Q438" s="3">
        <f>parking_demand_data_2024_ver0!P438</f>
        <v>20</v>
      </c>
      <c r="R438" s="3">
        <f>parking_demand_data_2024_ver0!Q438</f>
        <v>0</v>
      </c>
      <c r="S438" s="3">
        <f>parking_demand_data_2024_ver0!R438</f>
        <v>0</v>
      </c>
      <c r="T438" s="3">
        <f>parking_demand_data_2024_ver0!S438</f>
        <v>0</v>
      </c>
    </row>
    <row r="439" spans="1:20" x14ac:dyDescent="0.25">
      <c r="A439">
        <v>18037</v>
      </c>
      <c r="B439" t="s">
        <v>47</v>
      </c>
      <c r="C439">
        <v>5</v>
      </c>
      <c r="D439" s="3">
        <f>parking_demand_data_2024_ver0!D439*calibration!$I$31</f>
        <v>19.790173510475402</v>
      </c>
      <c r="E439" s="3">
        <f>parking_demand_data_2024_ver0!E439*calibration!$I$31</f>
        <v>2.3653593837221698</v>
      </c>
      <c r="F439" s="3">
        <f t="shared" si="6"/>
        <v>22.15553289419757</v>
      </c>
      <c r="G439" s="3">
        <f>parking_demand_data_2024_ver0!F439</f>
        <v>1</v>
      </c>
      <c r="H439" s="3">
        <f>parking_demand_data_2024_ver0!G439</f>
        <v>0</v>
      </c>
      <c r="I439" s="3">
        <f>parking_demand_data_2024_ver0!H439</f>
        <v>0</v>
      </c>
      <c r="J439" s="3">
        <f>parking_demand_data_2024_ver0!I439</f>
        <v>1</v>
      </c>
      <c r="K439" s="3">
        <f>parking_demand_data_2024_ver0!J439</f>
        <v>0</v>
      </c>
      <c r="L439" s="3">
        <f>parking_demand_data_2024_ver0!K439</f>
        <v>0</v>
      </c>
      <c r="M439" s="3">
        <f>parking_demand_data_2024_ver0!L439</f>
        <v>0</v>
      </c>
      <c r="N439" s="3">
        <f>parking_demand_data_2024_ver0!M439</f>
        <v>20</v>
      </c>
      <c r="O439" s="3">
        <f>parking_demand_data_2024_ver0!N439</f>
        <v>0</v>
      </c>
      <c r="P439" s="3">
        <f>parking_demand_data_2024_ver0!O439</f>
        <v>0</v>
      </c>
      <c r="Q439" s="3">
        <f>parking_demand_data_2024_ver0!P439</f>
        <v>20</v>
      </c>
      <c r="R439" s="3">
        <f>parking_demand_data_2024_ver0!Q439</f>
        <v>0</v>
      </c>
      <c r="S439" s="3">
        <f>parking_demand_data_2024_ver0!R439</f>
        <v>0</v>
      </c>
      <c r="T439" s="3">
        <f>parking_demand_data_2024_ver0!S439</f>
        <v>0</v>
      </c>
    </row>
    <row r="440" spans="1:20" x14ac:dyDescent="0.25">
      <c r="A440">
        <v>18037</v>
      </c>
      <c r="B440" t="s">
        <v>47</v>
      </c>
      <c r="C440">
        <v>6</v>
      </c>
      <c r="D440" s="3">
        <f>parking_demand_data_2024_ver0!D440*calibration!$I$31</f>
        <v>18.686339131405099</v>
      </c>
      <c r="E440" s="3">
        <f>parking_demand_data_2024_ver0!E440*calibration!$I$31</f>
        <v>3.3115031372110302</v>
      </c>
      <c r="F440" s="3">
        <f t="shared" si="6"/>
        <v>21.997842268616129</v>
      </c>
      <c r="G440" s="3">
        <f>parking_demand_data_2024_ver0!F440</f>
        <v>1</v>
      </c>
      <c r="H440" s="3">
        <f>parking_demand_data_2024_ver0!G440</f>
        <v>0</v>
      </c>
      <c r="I440" s="3">
        <f>parking_demand_data_2024_ver0!H440</f>
        <v>0</v>
      </c>
      <c r="J440" s="3">
        <f>parking_demand_data_2024_ver0!I440</f>
        <v>1</v>
      </c>
      <c r="K440" s="3">
        <f>parking_demand_data_2024_ver0!J440</f>
        <v>0</v>
      </c>
      <c r="L440" s="3">
        <f>parking_demand_data_2024_ver0!K440</f>
        <v>0</v>
      </c>
      <c r="M440" s="3">
        <f>parking_demand_data_2024_ver0!L440</f>
        <v>0</v>
      </c>
      <c r="N440" s="3">
        <f>parking_demand_data_2024_ver0!M440</f>
        <v>20</v>
      </c>
      <c r="O440" s="3">
        <f>parking_demand_data_2024_ver0!N440</f>
        <v>0</v>
      </c>
      <c r="P440" s="3">
        <f>parking_demand_data_2024_ver0!O440</f>
        <v>0</v>
      </c>
      <c r="Q440" s="3">
        <f>parking_demand_data_2024_ver0!P440</f>
        <v>20</v>
      </c>
      <c r="R440" s="3">
        <f>parking_demand_data_2024_ver0!Q440</f>
        <v>0</v>
      </c>
      <c r="S440" s="3">
        <f>parking_demand_data_2024_ver0!R440</f>
        <v>0</v>
      </c>
      <c r="T440" s="3">
        <f>parking_demand_data_2024_ver0!S440</f>
        <v>0</v>
      </c>
    </row>
    <row r="441" spans="1:20" x14ac:dyDescent="0.25">
      <c r="A441">
        <v>18037</v>
      </c>
      <c r="B441" t="s">
        <v>47</v>
      </c>
      <c r="C441">
        <v>7</v>
      </c>
      <c r="D441" s="3">
        <f>parking_demand_data_2024_ver0!D441*calibration!$I$31</f>
        <v>16.320979747682902</v>
      </c>
      <c r="E441" s="3">
        <f>parking_demand_data_2024_ver0!E441*calibration!$I$31</f>
        <v>6.7018515872128104</v>
      </c>
      <c r="F441" s="3">
        <f t="shared" si="6"/>
        <v>23.022831334895713</v>
      </c>
      <c r="G441" s="3">
        <f>parking_demand_data_2024_ver0!F441</f>
        <v>1</v>
      </c>
      <c r="H441" s="3">
        <f>parking_demand_data_2024_ver0!G441</f>
        <v>0</v>
      </c>
      <c r="I441" s="3">
        <f>parking_demand_data_2024_ver0!H441</f>
        <v>0</v>
      </c>
      <c r="J441" s="3">
        <f>parking_demand_data_2024_ver0!I441</f>
        <v>1</v>
      </c>
      <c r="K441" s="3">
        <f>parking_demand_data_2024_ver0!J441</f>
        <v>0</v>
      </c>
      <c r="L441" s="3">
        <f>parking_demand_data_2024_ver0!K441</f>
        <v>0</v>
      </c>
      <c r="M441" s="3">
        <f>parking_demand_data_2024_ver0!L441</f>
        <v>0</v>
      </c>
      <c r="N441" s="3">
        <f>parking_demand_data_2024_ver0!M441</f>
        <v>20</v>
      </c>
      <c r="O441" s="3">
        <f>parking_demand_data_2024_ver0!N441</f>
        <v>0</v>
      </c>
      <c r="P441" s="3">
        <f>parking_demand_data_2024_ver0!O441</f>
        <v>0</v>
      </c>
      <c r="Q441" s="3">
        <f>parking_demand_data_2024_ver0!P441</f>
        <v>20</v>
      </c>
      <c r="R441" s="3">
        <f>parking_demand_data_2024_ver0!Q441</f>
        <v>0</v>
      </c>
      <c r="S441" s="3">
        <f>parking_demand_data_2024_ver0!R441</f>
        <v>0</v>
      </c>
      <c r="T441" s="3">
        <f>parking_demand_data_2024_ver0!S441</f>
        <v>0</v>
      </c>
    </row>
    <row r="442" spans="1:20" x14ac:dyDescent="0.25">
      <c r="A442">
        <v>18037</v>
      </c>
      <c r="B442" t="s">
        <v>47</v>
      </c>
      <c r="C442">
        <v>8</v>
      </c>
      <c r="D442" s="3">
        <f>parking_demand_data_2024_ver0!D442*calibration!$I$31</f>
        <v>13.640239112797801</v>
      </c>
      <c r="E442" s="3">
        <f>parking_demand_data_2024_ver0!E442*calibration!$I$31</f>
        <v>6.7018515872128104</v>
      </c>
      <c r="F442" s="3">
        <f t="shared" si="6"/>
        <v>20.342090700010612</v>
      </c>
      <c r="G442" s="3">
        <f>parking_demand_data_2024_ver0!F442</f>
        <v>1</v>
      </c>
      <c r="H442" s="3">
        <f>parking_demand_data_2024_ver0!G442</f>
        <v>0</v>
      </c>
      <c r="I442" s="3">
        <f>parking_demand_data_2024_ver0!H442</f>
        <v>0</v>
      </c>
      <c r="J442" s="3">
        <f>parking_demand_data_2024_ver0!I442</f>
        <v>1</v>
      </c>
      <c r="K442" s="3">
        <f>parking_demand_data_2024_ver0!J442</f>
        <v>0</v>
      </c>
      <c r="L442" s="3">
        <f>parking_demand_data_2024_ver0!K442</f>
        <v>0</v>
      </c>
      <c r="M442" s="3">
        <f>parking_demand_data_2024_ver0!L442</f>
        <v>0</v>
      </c>
      <c r="N442" s="3">
        <f>parking_demand_data_2024_ver0!M442</f>
        <v>20</v>
      </c>
      <c r="O442" s="3">
        <f>parking_demand_data_2024_ver0!N442</f>
        <v>0</v>
      </c>
      <c r="P442" s="3">
        <f>parking_demand_data_2024_ver0!O442</f>
        <v>0</v>
      </c>
      <c r="Q442" s="3">
        <f>parking_demand_data_2024_ver0!P442</f>
        <v>20</v>
      </c>
      <c r="R442" s="3">
        <f>parking_demand_data_2024_ver0!Q442</f>
        <v>0</v>
      </c>
      <c r="S442" s="3">
        <f>parking_demand_data_2024_ver0!R442</f>
        <v>0</v>
      </c>
      <c r="T442" s="3">
        <f>parking_demand_data_2024_ver0!S442</f>
        <v>0</v>
      </c>
    </row>
    <row r="443" spans="1:20" x14ac:dyDescent="0.25">
      <c r="A443">
        <v>18037</v>
      </c>
      <c r="B443" t="s">
        <v>47</v>
      </c>
      <c r="C443">
        <v>9</v>
      </c>
      <c r="D443" s="3">
        <f>parking_demand_data_2024_ver0!D443*calibration!$I$31</f>
        <v>11.4325703546571</v>
      </c>
      <c r="E443" s="3">
        <f>parking_demand_data_2024_ver0!E443*calibration!$I$31</f>
        <v>8.0422219046553796</v>
      </c>
      <c r="F443" s="3">
        <f t="shared" si="6"/>
        <v>19.47479225931248</v>
      </c>
      <c r="G443" s="3">
        <f>parking_demand_data_2024_ver0!F443</f>
        <v>1</v>
      </c>
      <c r="H443" s="3">
        <f>parking_demand_data_2024_ver0!G443</f>
        <v>0</v>
      </c>
      <c r="I443" s="3">
        <f>parking_demand_data_2024_ver0!H443</f>
        <v>0</v>
      </c>
      <c r="J443" s="3">
        <f>parking_demand_data_2024_ver0!I443</f>
        <v>1</v>
      </c>
      <c r="K443" s="3">
        <f>parking_demand_data_2024_ver0!J443</f>
        <v>0</v>
      </c>
      <c r="L443" s="3">
        <f>parking_demand_data_2024_ver0!K443</f>
        <v>0</v>
      </c>
      <c r="M443" s="3">
        <f>parking_demand_data_2024_ver0!L443</f>
        <v>0</v>
      </c>
      <c r="N443" s="3">
        <f>parking_demand_data_2024_ver0!M443</f>
        <v>20</v>
      </c>
      <c r="O443" s="3">
        <f>parking_demand_data_2024_ver0!N443</f>
        <v>0</v>
      </c>
      <c r="P443" s="3">
        <f>parking_demand_data_2024_ver0!O443</f>
        <v>0</v>
      </c>
      <c r="Q443" s="3">
        <f>parking_demand_data_2024_ver0!P443</f>
        <v>20</v>
      </c>
      <c r="R443" s="3">
        <f>parking_demand_data_2024_ver0!Q443</f>
        <v>0</v>
      </c>
      <c r="S443" s="3">
        <f>parking_demand_data_2024_ver0!R443</f>
        <v>0</v>
      </c>
      <c r="T443" s="3">
        <f>parking_demand_data_2024_ver0!S443</f>
        <v>0</v>
      </c>
    </row>
    <row r="444" spans="1:20" x14ac:dyDescent="0.25">
      <c r="A444">
        <v>18037</v>
      </c>
      <c r="B444" t="s">
        <v>47</v>
      </c>
      <c r="C444">
        <v>10</v>
      </c>
      <c r="D444" s="3">
        <f>parking_demand_data_2024_ver0!D444*calibration!$I$31</f>
        <v>11.5114156674478</v>
      </c>
      <c r="E444" s="3">
        <f>parking_demand_data_2024_ver0!E444*calibration!$I$31</f>
        <v>9.2249015965164602</v>
      </c>
      <c r="F444" s="3">
        <f t="shared" si="6"/>
        <v>20.73631726396426</v>
      </c>
      <c r="G444" s="3">
        <f>parking_demand_data_2024_ver0!F444</f>
        <v>1</v>
      </c>
      <c r="H444" s="3">
        <f>parking_demand_data_2024_ver0!G444</f>
        <v>0</v>
      </c>
      <c r="I444" s="3">
        <f>parking_demand_data_2024_ver0!H444</f>
        <v>0</v>
      </c>
      <c r="J444" s="3">
        <f>parking_demand_data_2024_ver0!I444</f>
        <v>1</v>
      </c>
      <c r="K444" s="3">
        <f>parking_demand_data_2024_ver0!J444</f>
        <v>0</v>
      </c>
      <c r="L444" s="3">
        <f>parking_demand_data_2024_ver0!K444</f>
        <v>0</v>
      </c>
      <c r="M444" s="3">
        <f>parking_demand_data_2024_ver0!L444</f>
        <v>0</v>
      </c>
      <c r="N444" s="3">
        <f>parking_demand_data_2024_ver0!M444</f>
        <v>20</v>
      </c>
      <c r="O444" s="3">
        <f>parking_demand_data_2024_ver0!N444</f>
        <v>0</v>
      </c>
      <c r="P444" s="3">
        <f>parking_demand_data_2024_ver0!O444</f>
        <v>0</v>
      </c>
      <c r="Q444" s="3">
        <f>parking_demand_data_2024_ver0!P444</f>
        <v>20</v>
      </c>
      <c r="R444" s="3">
        <f>parking_demand_data_2024_ver0!Q444</f>
        <v>0</v>
      </c>
      <c r="S444" s="3">
        <f>parking_demand_data_2024_ver0!R444</f>
        <v>0</v>
      </c>
      <c r="T444" s="3">
        <f>parking_demand_data_2024_ver0!S444</f>
        <v>0</v>
      </c>
    </row>
    <row r="445" spans="1:20" x14ac:dyDescent="0.25">
      <c r="A445">
        <v>18037</v>
      </c>
      <c r="B445" t="s">
        <v>47</v>
      </c>
      <c r="C445">
        <v>11</v>
      </c>
      <c r="D445" s="3">
        <f>parking_demand_data_2024_ver0!D445*calibration!$I$31</f>
        <v>12.536404733727499</v>
      </c>
      <c r="E445" s="3">
        <f>parking_demand_data_2024_ver0!E445*calibration!$I$31</f>
        <v>8.6729844069812891</v>
      </c>
      <c r="F445" s="3">
        <f t="shared" si="6"/>
        <v>21.209389140708787</v>
      </c>
      <c r="G445" s="3">
        <f>parking_demand_data_2024_ver0!F445</f>
        <v>1</v>
      </c>
      <c r="H445" s="3">
        <f>parking_demand_data_2024_ver0!G445</f>
        <v>0</v>
      </c>
      <c r="I445" s="3">
        <f>parking_demand_data_2024_ver0!H445</f>
        <v>0</v>
      </c>
      <c r="J445" s="3">
        <f>parking_demand_data_2024_ver0!I445</f>
        <v>1</v>
      </c>
      <c r="K445" s="3">
        <f>parking_demand_data_2024_ver0!J445</f>
        <v>0</v>
      </c>
      <c r="L445" s="3">
        <f>parking_demand_data_2024_ver0!K445</f>
        <v>0</v>
      </c>
      <c r="M445" s="3">
        <f>parking_demand_data_2024_ver0!L445</f>
        <v>0</v>
      </c>
      <c r="N445" s="3">
        <f>parking_demand_data_2024_ver0!M445</f>
        <v>20</v>
      </c>
      <c r="O445" s="3">
        <f>parking_demand_data_2024_ver0!N445</f>
        <v>0</v>
      </c>
      <c r="P445" s="3">
        <f>parking_demand_data_2024_ver0!O445</f>
        <v>0</v>
      </c>
      <c r="Q445" s="3">
        <f>parking_demand_data_2024_ver0!P445</f>
        <v>20</v>
      </c>
      <c r="R445" s="3">
        <f>parking_demand_data_2024_ver0!Q445</f>
        <v>0</v>
      </c>
      <c r="S445" s="3">
        <f>parking_demand_data_2024_ver0!R445</f>
        <v>0</v>
      </c>
      <c r="T445" s="3">
        <f>parking_demand_data_2024_ver0!S445</f>
        <v>0</v>
      </c>
    </row>
    <row r="446" spans="1:20" x14ac:dyDescent="0.25">
      <c r="A446">
        <v>18037</v>
      </c>
      <c r="B446" t="s">
        <v>47</v>
      </c>
      <c r="C446">
        <v>12</v>
      </c>
      <c r="D446" s="3">
        <f>parking_demand_data_2024_ver0!D446*calibration!$I$31</f>
        <v>12.772940672099701</v>
      </c>
      <c r="E446" s="3">
        <f>parking_demand_data_2024_ver0!E446*calibration!$I$31</f>
        <v>7.0960781511665099</v>
      </c>
      <c r="F446" s="3">
        <f t="shared" si="6"/>
        <v>19.869018823266209</v>
      </c>
      <c r="G446" s="3">
        <f>parking_demand_data_2024_ver0!F446</f>
        <v>1</v>
      </c>
      <c r="H446" s="3">
        <f>parking_demand_data_2024_ver0!G446</f>
        <v>0</v>
      </c>
      <c r="I446" s="3">
        <f>parking_demand_data_2024_ver0!H446</f>
        <v>0</v>
      </c>
      <c r="J446" s="3">
        <f>parking_demand_data_2024_ver0!I446</f>
        <v>1</v>
      </c>
      <c r="K446" s="3">
        <f>parking_demand_data_2024_ver0!J446</f>
        <v>0</v>
      </c>
      <c r="L446" s="3">
        <f>parking_demand_data_2024_ver0!K446</f>
        <v>0</v>
      </c>
      <c r="M446" s="3">
        <f>parking_demand_data_2024_ver0!L446</f>
        <v>0</v>
      </c>
      <c r="N446" s="3">
        <f>parking_demand_data_2024_ver0!M446</f>
        <v>20</v>
      </c>
      <c r="O446" s="3">
        <f>parking_demand_data_2024_ver0!N446</f>
        <v>0</v>
      </c>
      <c r="P446" s="3">
        <f>parking_demand_data_2024_ver0!O446</f>
        <v>0</v>
      </c>
      <c r="Q446" s="3">
        <f>parking_demand_data_2024_ver0!P446</f>
        <v>20</v>
      </c>
      <c r="R446" s="3">
        <f>parking_demand_data_2024_ver0!Q446</f>
        <v>0</v>
      </c>
      <c r="S446" s="3">
        <f>parking_demand_data_2024_ver0!R446</f>
        <v>0</v>
      </c>
      <c r="T446" s="3">
        <f>parking_demand_data_2024_ver0!S446</f>
        <v>0</v>
      </c>
    </row>
    <row r="447" spans="1:20" x14ac:dyDescent="0.25">
      <c r="A447">
        <v>18037</v>
      </c>
      <c r="B447" t="s">
        <v>47</v>
      </c>
      <c r="C447">
        <v>13</v>
      </c>
      <c r="D447" s="3">
        <f>parking_demand_data_2024_ver0!D447*calibration!$I$31</f>
        <v>11.196034416284901</v>
      </c>
      <c r="E447" s="3">
        <f>parking_demand_data_2024_ver0!E447*calibration!$I$31</f>
        <v>5.3614812697702501</v>
      </c>
      <c r="F447" s="3">
        <f t="shared" si="6"/>
        <v>16.557515686055151</v>
      </c>
      <c r="G447" s="3">
        <f>parking_demand_data_2024_ver0!F447</f>
        <v>1</v>
      </c>
      <c r="H447" s="3">
        <f>parking_demand_data_2024_ver0!G447</f>
        <v>0</v>
      </c>
      <c r="I447" s="3">
        <f>parking_demand_data_2024_ver0!H447</f>
        <v>0</v>
      </c>
      <c r="J447" s="3">
        <f>parking_demand_data_2024_ver0!I447</f>
        <v>1</v>
      </c>
      <c r="K447" s="3">
        <f>parking_demand_data_2024_ver0!J447</f>
        <v>0</v>
      </c>
      <c r="L447" s="3">
        <f>parking_demand_data_2024_ver0!K447</f>
        <v>0</v>
      </c>
      <c r="M447" s="3">
        <f>parking_demand_data_2024_ver0!L447</f>
        <v>0</v>
      </c>
      <c r="N447" s="3">
        <f>parking_demand_data_2024_ver0!M447</f>
        <v>20</v>
      </c>
      <c r="O447" s="3">
        <f>parking_demand_data_2024_ver0!N447</f>
        <v>0</v>
      </c>
      <c r="P447" s="3">
        <f>parking_demand_data_2024_ver0!O447</f>
        <v>0</v>
      </c>
      <c r="Q447" s="3">
        <f>parking_demand_data_2024_ver0!P447</f>
        <v>20</v>
      </c>
      <c r="R447" s="3">
        <f>parking_demand_data_2024_ver0!Q447</f>
        <v>0</v>
      </c>
      <c r="S447" s="3">
        <f>parking_demand_data_2024_ver0!R447</f>
        <v>0</v>
      </c>
      <c r="T447" s="3">
        <f>parking_demand_data_2024_ver0!S447</f>
        <v>0</v>
      </c>
    </row>
    <row r="448" spans="1:20" x14ac:dyDescent="0.25">
      <c r="A448">
        <v>18037</v>
      </c>
      <c r="B448" t="s">
        <v>47</v>
      </c>
      <c r="C448">
        <v>14</v>
      </c>
      <c r="D448" s="3">
        <f>parking_demand_data_2024_ver0!D448*calibration!$I$31</f>
        <v>9.6979734732609</v>
      </c>
      <c r="E448" s="3">
        <f>parking_demand_data_2024_ver0!E448*calibration!$I$31</f>
        <v>3.7845750139554699</v>
      </c>
      <c r="F448" s="3">
        <f t="shared" si="6"/>
        <v>13.48254848721637</v>
      </c>
      <c r="G448" s="3">
        <f>parking_demand_data_2024_ver0!F448</f>
        <v>1</v>
      </c>
      <c r="H448" s="3">
        <f>parking_demand_data_2024_ver0!G448</f>
        <v>0</v>
      </c>
      <c r="I448" s="3">
        <f>parking_demand_data_2024_ver0!H448</f>
        <v>0</v>
      </c>
      <c r="J448" s="3">
        <f>parking_demand_data_2024_ver0!I448</f>
        <v>1</v>
      </c>
      <c r="K448" s="3">
        <f>parking_demand_data_2024_ver0!J448</f>
        <v>0</v>
      </c>
      <c r="L448" s="3">
        <f>parking_demand_data_2024_ver0!K448</f>
        <v>0</v>
      </c>
      <c r="M448" s="3">
        <f>parking_demand_data_2024_ver0!L448</f>
        <v>0</v>
      </c>
      <c r="N448" s="3">
        <f>parking_demand_data_2024_ver0!M448</f>
        <v>20</v>
      </c>
      <c r="O448" s="3">
        <f>parking_demand_data_2024_ver0!N448</f>
        <v>0</v>
      </c>
      <c r="P448" s="3">
        <f>parking_demand_data_2024_ver0!O448</f>
        <v>0</v>
      </c>
      <c r="Q448" s="3">
        <f>parking_demand_data_2024_ver0!P448</f>
        <v>20</v>
      </c>
      <c r="R448" s="3">
        <f>parking_demand_data_2024_ver0!Q448</f>
        <v>0</v>
      </c>
      <c r="S448" s="3">
        <f>parking_demand_data_2024_ver0!R448</f>
        <v>0</v>
      </c>
      <c r="T448" s="3">
        <f>parking_demand_data_2024_ver0!S448</f>
        <v>0</v>
      </c>
    </row>
    <row r="449" spans="1:20" x14ac:dyDescent="0.25">
      <c r="A449">
        <v>18037</v>
      </c>
      <c r="B449" t="s">
        <v>47</v>
      </c>
      <c r="C449">
        <v>15</v>
      </c>
      <c r="D449" s="3">
        <f>parking_demand_data_2024_ver0!D449*calibration!$I$31</f>
        <v>9.3037469093072005</v>
      </c>
      <c r="E449" s="3">
        <f>parking_demand_data_2024_ver0!E449*calibration!$I$31</f>
        <v>1.4980609430240399</v>
      </c>
      <c r="F449" s="3">
        <f t="shared" si="6"/>
        <v>10.80180785233124</v>
      </c>
      <c r="G449" s="3">
        <f>parking_demand_data_2024_ver0!F449</f>
        <v>1</v>
      </c>
      <c r="H449" s="3">
        <f>parking_demand_data_2024_ver0!G449</f>
        <v>0</v>
      </c>
      <c r="I449" s="3">
        <f>parking_demand_data_2024_ver0!H449</f>
        <v>0</v>
      </c>
      <c r="J449" s="3">
        <f>parking_demand_data_2024_ver0!I449</f>
        <v>1</v>
      </c>
      <c r="K449" s="3">
        <f>parking_demand_data_2024_ver0!J449</f>
        <v>0</v>
      </c>
      <c r="L449" s="3">
        <f>parking_demand_data_2024_ver0!K449</f>
        <v>0</v>
      </c>
      <c r="M449" s="3">
        <f>parking_demand_data_2024_ver0!L449</f>
        <v>0</v>
      </c>
      <c r="N449" s="3">
        <f>parking_demand_data_2024_ver0!M449</f>
        <v>20</v>
      </c>
      <c r="O449" s="3">
        <f>parking_demand_data_2024_ver0!N449</f>
        <v>0</v>
      </c>
      <c r="P449" s="3">
        <f>parking_demand_data_2024_ver0!O449</f>
        <v>0</v>
      </c>
      <c r="Q449" s="3">
        <f>parking_demand_data_2024_ver0!P449</f>
        <v>20</v>
      </c>
      <c r="R449" s="3">
        <f>parking_demand_data_2024_ver0!Q449</f>
        <v>0</v>
      </c>
      <c r="S449" s="3">
        <f>parking_demand_data_2024_ver0!R449</f>
        <v>0</v>
      </c>
      <c r="T449" s="3">
        <f>parking_demand_data_2024_ver0!S449</f>
        <v>0</v>
      </c>
    </row>
    <row r="450" spans="1:20" x14ac:dyDescent="0.25">
      <c r="A450">
        <v>18037</v>
      </c>
      <c r="B450" t="s">
        <v>47</v>
      </c>
      <c r="C450">
        <v>16</v>
      </c>
      <c r="D450" s="3">
        <f>parking_demand_data_2024_ver0!D450*calibration!$I$31</f>
        <v>9.8556640988423698</v>
      </c>
      <c r="E450" s="3">
        <f>parking_demand_data_2024_ver0!E450*calibration!$I$31</f>
        <v>1.10383437907034</v>
      </c>
      <c r="F450" s="3">
        <f t="shared" si="6"/>
        <v>10.95949847791271</v>
      </c>
      <c r="G450" s="3">
        <f>parking_demand_data_2024_ver0!F450</f>
        <v>1</v>
      </c>
      <c r="H450" s="3">
        <f>parking_demand_data_2024_ver0!G450</f>
        <v>0</v>
      </c>
      <c r="I450" s="3">
        <f>parking_demand_data_2024_ver0!H450</f>
        <v>0</v>
      </c>
      <c r="J450" s="3">
        <f>parking_demand_data_2024_ver0!I450</f>
        <v>1</v>
      </c>
      <c r="K450" s="3">
        <f>parking_demand_data_2024_ver0!J450</f>
        <v>0</v>
      </c>
      <c r="L450" s="3">
        <f>parking_demand_data_2024_ver0!K450</f>
        <v>0</v>
      </c>
      <c r="M450" s="3">
        <f>parking_demand_data_2024_ver0!L450</f>
        <v>0</v>
      </c>
      <c r="N450" s="3">
        <f>parking_demand_data_2024_ver0!M450</f>
        <v>20</v>
      </c>
      <c r="O450" s="3">
        <f>parking_demand_data_2024_ver0!N450</f>
        <v>0</v>
      </c>
      <c r="P450" s="3">
        <f>parking_demand_data_2024_ver0!O450</f>
        <v>0</v>
      </c>
      <c r="Q450" s="3">
        <f>parking_demand_data_2024_ver0!P450</f>
        <v>20</v>
      </c>
      <c r="R450" s="3">
        <f>parking_demand_data_2024_ver0!Q450</f>
        <v>0</v>
      </c>
      <c r="S450" s="3">
        <f>parking_demand_data_2024_ver0!R450</f>
        <v>0</v>
      </c>
      <c r="T450" s="3">
        <f>parking_demand_data_2024_ver0!S450</f>
        <v>0</v>
      </c>
    </row>
    <row r="451" spans="1:20" x14ac:dyDescent="0.25">
      <c r="A451">
        <v>18037</v>
      </c>
      <c r="B451" t="s">
        <v>47</v>
      </c>
      <c r="C451">
        <v>17</v>
      </c>
      <c r="D451" s="3">
        <f>parking_demand_data_2024_ver0!D451*calibration!$I$31</f>
        <v>11.7479516058201</v>
      </c>
      <c r="E451" s="3">
        <f>parking_demand_data_2024_ver0!E451*calibration!$I$31</f>
        <v>1.26152500465182</v>
      </c>
      <c r="F451" s="3">
        <f t="shared" ref="F451:F514" si="7">SUM(D451:E451)</f>
        <v>13.009476610471921</v>
      </c>
      <c r="G451" s="3">
        <f>parking_demand_data_2024_ver0!F451</f>
        <v>1</v>
      </c>
      <c r="H451" s="3">
        <f>parking_demand_data_2024_ver0!G451</f>
        <v>0</v>
      </c>
      <c r="I451" s="3">
        <f>parking_demand_data_2024_ver0!H451</f>
        <v>0</v>
      </c>
      <c r="J451" s="3">
        <f>parking_demand_data_2024_ver0!I451</f>
        <v>1</v>
      </c>
      <c r="K451" s="3">
        <f>parking_demand_data_2024_ver0!J451</f>
        <v>0</v>
      </c>
      <c r="L451" s="3">
        <f>parking_demand_data_2024_ver0!K451</f>
        <v>0</v>
      </c>
      <c r="M451" s="3">
        <f>parking_demand_data_2024_ver0!L451</f>
        <v>0</v>
      </c>
      <c r="N451" s="3">
        <f>parking_demand_data_2024_ver0!M451</f>
        <v>20</v>
      </c>
      <c r="O451" s="3">
        <f>parking_demand_data_2024_ver0!N451</f>
        <v>0</v>
      </c>
      <c r="P451" s="3">
        <f>parking_demand_data_2024_ver0!O451</f>
        <v>0</v>
      </c>
      <c r="Q451" s="3">
        <f>parking_demand_data_2024_ver0!P451</f>
        <v>20</v>
      </c>
      <c r="R451" s="3">
        <f>parking_demand_data_2024_ver0!Q451</f>
        <v>0</v>
      </c>
      <c r="S451" s="3">
        <f>parking_demand_data_2024_ver0!R451</f>
        <v>0</v>
      </c>
      <c r="T451" s="3">
        <f>parking_demand_data_2024_ver0!S451</f>
        <v>0</v>
      </c>
    </row>
    <row r="452" spans="1:20" x14ac:dyDescent="0.25">
      <c r="A452">
        <v>18037</v>
      </c>
      <c r="B452" t="s">
        <v>47</v>
      </c>
      <c r="C452">
        <v>18</v>
      </c>
      <c r="D452" s="3">
        <f>parking_demand_data_2024_ver0!D452*calibration!$I$31</f>
        <v>14.2710016151237</v>
      </c>
      <c r="E452" s="3">
        <f>parking_demand_data_2024_ver0!E452*calibration!$I$31</f>
        <v>1.18267969186108</v>
      </c>
      <c r="F452" s="3">
        <f t="shared" si="7"/>
        <v>15.45368130698478</v>
      </c>
      <c r="G452" s="3">
        <f>parking_demand_data_2024_ver0!F452</f>
        <v>1</v>
      </c>
      <c r="H452" s="3">
        <f>parking_demand_data_2024_ver0!G452</f>
        <v>0</v>
      </c>
      <c r="I452" s="3">
        <f>parking_demand_data_2024_ver0!H452</f>
        <v>0</v>
      </c>
      <c r="J452" s="3">
        <f>parking_demand_data_2024_ver0!I452</f>
        <v>1</v>
      </c>
      <c r="K452" s="3">
        <f>parking_demand_data_2024_ver0!J452</f>
        <v>0</v>
      </c>
      <c r="L452" s="3">
        <f>parking_demand_data_2024_ver0!K452</f>
        <v>0</v>
      </c>
      <c r="M452" s="3">
        <f>parking_demand_data_2024_ver0!L452</f>
        <v>0</v>
      </c>
      <c r="N452" s="3">
        <f>parking_demand_data_2024_ver0!M452</f>
        <v>20</v>
      </c>
      <c r="O452" s="3">
        <f>parking_demand_data_2024_ver0!N452</f>
        <v>0</v>
      </c>
      <c r="P452" s="3">
        <f>parking_demand_data_2024_ver0!O452</f>
        <v>0</v>
      </c>
      <c r="Q452" s="3">
        <f>parking_demand_data_2024_ver0!P452</f>
        <v>20</v>
      </c>
      <c r="R452" s="3">
        <f>parking_demand_data_2024_ver0!Q452</f>
        <v>0</v>
      </c>
      <c r="S452" s="3">
        <f>parking_demand_data_2024_ver0!R452</f>
        <v>0</v>
      </c>
      <c r="T452" s="3">
        <f>parking_demand_data_2024_ver0!S452</f>
        <v>0</v>
      </c>
    </row>
    <row r="453" spans="1:20" x14ac:dyDescent="0.25">
      <c r="A453">
        <v>18037</v>
      </c>
      <c r="B453" t="s">
        <v>47</v>
      </c>
      <c r="C453">
        <v>19</v>
      </c>
      <c r="D453" s="3">
        <f>parking_demand_data_2024_ver0!D453*calibration!$I$31</f>
        <v>16.636360998845898</v>
      </c>
      <c r="E453" s="3">
        <f>parking_demand_data_2024_ver0!E453*calibration!$I$31</f>
        <v>1.3403703174425601</v>
      </c>
      <c r="F453" s="3">
        <f t="shared" si="7"/>
        <v>17.976731316288458</v>
      </c>
      <c r="G453" s="3">
        <f>parking_demand_data_2024_ver0!F453</f>
        <v>1</v>
      </c>
      <c r="H453" s="3">
        <f>parking_demand_data_2024_ver0!G453</f>
        <v>0</v>
      </c>
      <c r="I453" s="3">
        <f>parking_demand_data_2024_ver0!H453</f>
        <v>0</v>
      </c>
      <c r="J453" s="3">
        <f>parking_demand_data_2024_ver0!I453</f>
        <v>1</v>
      </c>
      <c r="K453" s="3">
        <f>parking_demand_data_2024_ver0!J453</f>
        <v>0</v>
      </c>
      <c r="L453" s="3">
        <f>parking_demand_data_2024_ver0!K453</f>
        <v>0</v>
      </c>
      <c r="M453" s="3">
        <f>parking_demand_data_2024_ver0!L453</f>
        <v>0</v>
      </c>
      <c r="N453" s="3">
        <f>parking_demand_data_2024_ver0!M453</f>
        <v>20</v>
      </c>
      <c r="O453" s="3">
        <f>parking_demand_data_2024_ver0!N453</f>
        <v>0</v>
      </c>
      <c r="P453" s="3">
        <f>parking_demand_data_2024_ver0!O453</f>
        <v>0</v>
      </c>
      <c r="Q453" s="3">
        <f>parking_demand_data_2024_ver0!P453</f>
        <v>20</v>
      </c>
      <c r="R453" s="3">
        <f>parking_demand_data_2024_ver0!Q453</f>
        <v>0</v>
      </c>
      <c r="S453" s="3">
        <f>parking_demand_data_2024_ver0!R453</f>
        <v>0</v>
      </c>
      <c r="T453" s="3">
        <f>parking_demand_data_2024_ver0!S453</f>
        <v>0</v>
      </c>
    </row>
    <row r="454" spans="1:20" x14ac:dyDescent="0.25">
      <c r="A454">
        <v>18037</v>
      </c>
      <c r="B454" t="s">
        <v>47</v>
      </c>
      <c r="C454">
        <v>20</v>
      </c>
      <c r="D454" s="3">
        <f>parking_demand_data_2024_ver0!D454*calibration!$I$31</f>
        <v>17.6613500651255</v>
      </c>
      <c r="E454" s="3">
        <f>parking_demand_data_2024_ver0!E454*calibration!$I$31</f>
        <v>1.65575156860551</v>
      </c>
      <c r="F454" s="3">
        <f t="shared" si="7"/>
        <v>19.31710163373101</v>
      </c>
      <c r="G454" s="3">
        <f>parking_demand_data_2024_ver0!F454</f>
        <v>1</v>
      </c>
      <c r="H454" s="3">
        <f>parking_demand_data_2024_ver0!G454</f>
        <v>0</v>
      </c>
      <c r="I454" s="3">
        <f>parking_demand_data_2024_ver0!H454</f>
        <v>0</v>
      </c>
      <c r="J454" s="3">
        <f>parking_demand_data_2024_ver0!I454</f>
        <v>1</v>
      </c>
      <c r="K454" s="3">
        <f>parking_demand_data_2024_ver0!J454</f>
        <v>0</v>
      </c>
      <c r="L454" s="3">
        <f>parking_demand_data_2024_ver0!K454</f>
        <v>0</v>
      </c>
      <c r="M454" s="3">
        <f>parking_demand_data_2024_ver0!L454</f>
        <v>0</v>
      </c>
      <c r="N454" s="3">
        <f>parking_demand_data_2024_ver0!M454</f>
        <v>20</v>
      </c>
      <c r="O454" s="3">
        <f>parking_demand_data_2024_ver0!N454</f>
        <v>0</v>
      </c>
      <c r="P454" s="3">
        <f>parking_demand_data_2024_ver0!O454</f>
        <v>0</v>
      </c>
      <c r="Q454" s="3">
        <f>parking_demand_data_2024_ver0!P454</f>
        <v>20</v>
      </c>
      <c r="R454" s="3">
        <f>parking_demand_data_2024_ver0!Q454</f>
        <v>0</v>
      </c>
      <c r="S454" s="3">
        <f>parking_demand_data_2024_ver0!R454</f>
        <v>0</v>
      </c>
      <c r="T454" s="3">
        <f>parking_demand_data_2024_ver0!S454</f>
        <v>0</v>
      </c>
    </row>
    <row r="455" spans="1:20" x14ac:dyDescent="0.25">
      <c r="A455">
        <v>18037</v>
      </c>
      <c r="B455" t="s">
        <v>47</v>
      </c>
      <c r="C455">
        <v>21</v>
      </c>
      <c r="D455" s="3">
        <f>parking_demand_data_2024_ver0!D455*calibration!$I$31</f>
        <v>19.0805656953588</v>
      </c>
      <c r="E455" s="3">
        <f>parking_demand_data_2024_ver0!E455*calibration!$I$31</f>
        <v>1.65575156860551</v>
      </c>
      <c r="F455" s="3">
        <f t="shared" si="7"/>
        <v>20.73631726396431</v>
      </c>
      <c r="G455" s="3">
        <f>parking_demand_data_2024_ver0!F455</f>
        <v>1</v>
      </c>
      <c r="H455" s="3">
        <f>parking_demand_data_2024_ver0!G455</f>
        <v>0</v>
      </c>
      <c r="I455" s="3">
        <f>parking_demand_data_2024_ver0!H455</f>
        <v>0</v>
      </c>
      <c r="J455" s="3">
        <f>parking_demand_data_2024_ver0!I455</f>
        <v>1</v>
      </c>
      <c r="K455" s="3">
        <f>parking_demand_data_2024_ver0!J455</f>
        <v>0</v>
      </c>
      <c r="L455" s="3">
        <f>parking_demand_data_2024_ver0!K455</f>
        <v>0</v>
      </c>
      <c r="M455" s="3">
        <f>parking_demand_data_2024_ver0!L455</f>
        <v>0</v>
      </c>
      <c r="N455" s="3">
        <f>parking_demand_data_2024_ver0!M455</f>
        <v>20</v>
      </c>
      <c r="O455" s="3">
        <f>parking_demand_data_2024_ver0!N455</f>
        <v>0</v>
      </c>
      <c r="P455" s="3">
        <f>parking_demand_data_2024_ver0!O455</f>
        <v>0</v>
      </c>
      <c r="Q455" s="3">
        <f>parking_demand_data_2024_ver0!P455</f>
        <v>20</v>
      </c>
      <c r="R455" s="3">
        <f>parking_demand_data_2024_ver0!Q455</f>
        <v>0</v>
      </c>
      <c r="S455" s="3">
        <f>parking_demand_data_2024_ver0!R455</f>
        <v>0</v>
      </c>
      <c r="T455" s="3">
        <f>parking_demand_data_2024_ver0!S455</f>
        <v>0</v>
      </c>
    </row>
    <row r="456" spans="1:20" x14ac:dyDescent="0.25">
      <c r="A456">
        <v>18037</v>
      </c>
      <c r="B456" t="s">
        <v>47</v>
      </c>
      <c r="C456">
        <v>22</v>
      </c>
      <c r="D456" s="3">
        <f>parking_demand_data_2024_ver0!D456*calibration!$I$31</f>
        <v>20.184400074429099</v>
      </c>
      <c r="E456" s="3">
        <f>parking_demand_data_2024_ver0!E456*calibration!$I$31</f>
        <v>1.5769062558147799</v>
      </c>
      <c r="F456" s="3">
        <f t="shared" si="7"/>
        <v>21.76130633024388</v>
      </c>
      <c r="G456" s="3">
        <f>parking_demand_data_2024_ver0!F456</f>
        <v>1</v>
      </c>
      <c r="H456" s="3">
        <f>parking_demand_data_2024_ver0!G456</f>
        <v>0</v>
      </c>
      <c r="I456" s="3">
        <f>parking_demand_data_2024_ver0!H456</f>
        <v>0</v>
      </c>
      <c r="J456" s="3">
        <f>parking_demand_data_2024_ver0!I456</f>
        <v>1</v>
      </c>
      <c r="K456" s="3">
        <f>parking_demand_data_2024_ver0!J456</f>
        <v>0</v>
      </c>
      <c r="L456" s="3">
        <f>parking_demand_data_2024_ver0!K456</f>
        <v>0</v>
      </c>
      <c r="M456" s="3">
        <f>parking_demand_data_2024_ver0!L456</f>
        <v>0</v>
      </c>
      <c r="N456" s="3">
        <f>parking_demand_data_2024_ver0!M456</f>
        <v>20</v>
      </c>
      <c r="O456" s="3">
        <f>parking_demand_data_2024_ver0!N456</f>
        <v>0</v>
      </c>
      <c r="P456" s="3">
        <f>parking_demand_data_2024_ver0!O456</f>
        <v>0</v>
      </c>
      <c r="Q456" s="3">
        <f>parking_demand_data_2024_ver0!P456</f>
        <v>20</v>
      </c>
      <c r="R456" s="3">
        <f>parking_demand_data_2024_ver0!Q456</f>
        <v>0</v>
      </c>
      <c r="S456" s="3">
        <f>parking_demand_data_2024_ver0!R456</f>
        <v>0</v>
      </c>
      <c r="T456" s="3">
        <f>parking_demand_data_2024_ver0!S456</f>
        <v>0</v>
      </c>
    </row>
    <row r="457" spans="1:20" x14ac:dyDescent="0.25">
      <c r="A457">
        <v>18037</v>
      </c>
      <c r="B457" t="s">
        <v>47</v>
      </c>
      <c r="C457">
        <v>23</v>
      </c>
      <c r="D457" s="3">
        <f>parking_demand_data_2024_ver0!D457*calibration!$I$31</f>
        <v>20.657471951173601</v>
      </c>
      <c r="E457" s="3">
        <f>parking_demand_data_2024_ver0!E457*calibration!$I$31</f>
        <v>1.65575156860551</v>
      </c>
      <c r="F457" s="3">
        <f t="shared" si="7"/>
        <v>22.313223519779111</v>
      </c>
      <c r="G457" s="3">
        <f>parking_demand_data_2024_ver0!F457</f>
        <v>1</v>
      </c>
      <c r="H457" s="3">
        <f>parking_demand_data_2024_ver0!G457</f>
        <v>0</v>
      </c>
      <c r="I457" s="3">
        <f>parking_demand_data_2024_ver0!H457</f>
        <v>0</v>
      </c>
      <c r="J457" s="3">
        <f>parking_demand_data_2024_ver0!I457</f>
        <v>1</v>
      </c>
      <c r="K457" s="3">
        <f>parking_demand_data_2024_ver0!J457</f>
        <v>0</v>
      </c>
      <c r="L457" s="3">
        <f>parking_demand_data_2024_ver0!K457</f>
        <v>0</v>
      </c>
      <c r="M457" s="3">
        <f>parking_demand_data_2024_ver0!L457</f>
        <v>0</v>
      </c>
      <c r="N457" s="3">
        <f>parking_demand_data_2024_ver0!M457</f>
        <v>20</v>
      </c>
      <c r="O457" s="3">
        <f>parking_demand_data_2024_ver0!N457</f>
        <v>0</v>
      </c>
      <c r="P457" s="3">
        <f>parking_demand_data_2024_ver0!O457</f>
        <v>0</v>
      </c>
      <c r="Q457" s="3">
        <f>parking_demand_data_2024_ver0!P457</f>
        <v>20</v>
      </c>
      <c r="R457" s="3">
        <f>parking_demand_data_2024_ver0!Q457</f>
        <v>0</v>
      </c>
      <c r="S457" s="3">
        <f>parking_demand_data_2024_ver0!R457</f>
        <v>0</v>
      </c>
      <c r="T457" s="3">
        <f>parking_demand_data_2024_ver0!S457</f>
        <v>0</v>
      </c>
    </row>
    <row r="458" spans="1:20" x14ac:dyDescent="0.25">
      <c r="A458">
        <v>18039</v>
      </c>
      <c r="B458" t="s">
        <v>48</v>
      </c>
      <c r="C458">
        <v>0</v>
      </c>
      <c r="D458" s="3">
        <f>parking_demand_data_2024_ver0!D458*calibration!$I$31</f>
        <v>343.11981681170602</v>
      </c>
      <c r="E458" s="3">
        <f>parking_demand_data_2024_ver0!E458*calibration!$I$31</f>
        <v>44.532989374646803</v>
      </c>
      <c r="F458" s="3">
        <f t="shared" si="7"/>
        <v>387.65280618635279</v>
      </c>
      <c r="G458" s="3">
        <f>parking_demand_data_2024_ver0!F458</f>
        <v>12</v>
      </c>
      <c r="H458" s="3">
        <f>parking_demand_data_2024_ver0!G458</f>
        <v>0</v>
      </c>
      <c r="I458" s="3">
        <f>parking_demand_data_2024_ver0!H458</f>
        <v>0</v>
      </c>
      <c r="J458" s="3">
        <f>parking_demand_data_2024_ver0!I458</f>
        <v>8</v>
      </c>
      <c r="K458" s="3">
        <f>parking_demand_data_2024_ver0!J458</f>
        <v>2</v>
      </c>
      <c r="L458" s="3">
        <f>parking_demand_data_2024_ver0!K458</f>
        <v>2</v>
      </c>
      <c r="M458" s="3">
        <f>parking_demand_data_2024_ver0!L458</f>
        <v>0</v>
      </c>
      <c r="N458" s="3">
        <f>parking_demand_data_2024_ver0!M458</f>
        <v>653</v>
      </c>
      <c r="O458" s="3">
        <f>parking_demand_data_2024_ver0!N458</f>
        <v>0</v>
      </c>
      <c r="P458" s="3">
        <f>parking_demand_data_2024_ver0!O458</f>
        <v>0</v>
      </c>
      <c r="Q458" s="3">
        <f>parking_demand_data_2024_ver0!P458</f>
        <v>123</v>
      </c>
      <c r="R458" s="3">
        <f>parking_demand_data_2024_ver0!Q458</f>
        <v>400</v>
      </c>
      <c r="S458" s="3">
        <f>parking_demand_data_2024_ver0!R458</f>
        <v>130</v>
      </c>
      <c r="T458" s="3">
        <f>parking_demand_data_2024_ver0!S458</f>
        <v>0</v>
      </c>
    </row>
    <row r="459" spans="1:20" x14ac:dyDescent="0.25">
      <c r="A459">
        <v>18039</v>
      </c>
      <c r="B459" t="s">
        <v>48</v>
      </c>
      <c r="C459">
        <v>1</v>
      </c>
      <c r="D459" s="3">
        <f>parking_demand_data_2024_ver0!D459*calibration!$I$31</f>
        <v>359.25566868864303</v>
      </c>
      <c r="E459" s="3">
        <f>parking_demand_data_2024_ver0!E459*calibration!$I$31</f>
        <v>48.358510488328001</v>
      </c>
      <c r="F459" s="3">
        <f t="shared" si="7"/>
        <v>407.61417917697105</v>
      </c>
      <c r="G459" s="3">
        <f>parking_demand_data_2024_ver0!F459</f>
        <v>12</v>
      </c>
      <c r="H459" s="3">
        <f>parking_demand_data_2024_ver0!G459</f>
        <v>0</v>
      </c>
      <c r="I459" s="3">
        <f>parking_demand_data_2024_ver0!H459</f>
        <v>0</v>
      </c>
      <c r="J459" s="3">
        <f>parking_demand_data_2024_ver0!I459</f>
        <v>8</v>
      </c>
      <c r="K459" s="3">
        <f>parking_demand_data_2024_ver0!J459</f>
        <v>2</v>
      </c>
      <c r="L459" s="3">
        <f>parking_demand_data_2024_ver0!K459</f>
        <v>2</v>
      </c>
      <c r="M459" s="3">
        <f>parking_demand_data_2024_ver0!L459</f>
        <v>0</v>
      </c>
      <c r="N459" s="3">
        <f>parking_demand_data_2024_ver0!M459</f>
        <v>653</v>
      </c>
      <c r="O459" s="3">
        <f>parking_demand_data_2024_ver0!N459</f>
        <v>0</v>
      </c>
      <c r="P459" s="3">
        <f>parking_demand_data_2024_ver0!O459</f>
        <v>0</v>
      </c>
      <c r="Q459" s="3">
        <f>parking_demand_data_2024_ver0!P459</f>
        <v>123</v>
      </c>
      <c r="R459" s="3">
        <f>parking_demand_data_2024_ver0!Q459</f>
        <v>400</v>
      </c>
      <c r="S459" s="3">
        <f>parking_demand_data_2024_ver0!R459</f>
        <v>130</v>
      </c>
      <c r="T459" s="3">
        <f>parking_demand_data_2024_ver0!S459</f>
        <v>0</v>
      </c>
    </row>
    <row r="460" spans="1:20" x14ac:dyDescent="0.25">
      <c r="A460">
        <v>18039</v>
      </c>
      <c r="B460" t="s">
        <v>48</v>
      </c>
      <c r="C460">
        <v>2</v>
      </c>
      <c r="D460" s="3">
        <f>parking_demand_data_2024_ver0!D460*calibration!$I$31</f>
        <v>370.04560003492298</v>
      </c>
      <c r="E460" s="3">
        <f>parking_demand_data_2024_ver0!E460*calibration!$I$31</f>
        <v>51.8897607471105</v>
      </c>
      <c r="F460" s="3">
        <f t="shared" si="7"/>
        <v>421.93536078203351</v>
      </c>
      <c r="G460" s="3">
        <f>parking_demand_data_2024_ver0!F460</f>
        <v>12</v>
      </c>
      <c r="H460" s="3">
        <f>parking_demand_data_2024_ver0!G460</f>
        <v>0</v>
      </c>
      <c r="I460" s="3">
        <f>parking_demand_data_2024_ver0!H460</f>
        <v>0</v>
      </c>
      <c r="J460" s="3">
        <f>parking_demand_data_2024_ver0!I460</f>
        <v>8</v>
      </c>
      <c r="K460" s="3">
        <f>parking_demand_data_2024_ver0!J460</f>
        <v>2</v>
      </c>
      <c r="L460" s="3">
        <f>parking_demand_data_2024_ver0!K460</f>
        <v>2</v>
      </c>
      <c r="M460" s="3">
        <f>parking_demand_data_2024_ver0!L460</f>
        <v>0</v>
      </c>
      <c r="N460" s="3">
        <f>parking_demand_data_2024_ver0!M460</f>
        <v>653</v>
      </c>
      <c r="O460" s="3">
        <f>parking_demand_data_2024_ver0!N460</f>
        <v>0</v>
      </c>
      <c r="P460" s="3">
        <f>parking_demand_data_2024_ver0!O460</f>
        <v>0</v>
      </c>
      <c r="Q460" s="3">
        <f>parking_demand_data_2024_ver0!P460</f>
        <v>123</v>
      </c>
      <c r="R460" s="3">
        <f>parking_demand_data_2024_ver0!Q460</f>
        <v>400</v>
      </c>
      <c r="S460" s="3">
        <f>parking_demand_data_2024_ver0!R460</f>
        <v>130</v>
      </c>
      <c r="T460" s="3">
        <f>parking_demand_data_2024_ver0!S460</f>
        <v>0</v>
      </c>
    </row>
    <row r="461" spans="1:20" x14ac:dyDescent="0.25">
      <c r="A461">
        <v>18039</v>
      </c>
      <c r="B461" t="s">
        <v>48</v>
      </c>
      <c r="C461">
        <v>3</v>
      </c>
      <c r="D461" s="3">
        <f>parking_demand_data_2024_ver0!D461*calibration!$I$31</f>
        <v>374.7539337133</v>
      </c>
      <c r="E461" s="3">
        <f>parking_demand_data_2024_ver0!E461*calibration!$I$31</f>
        <v>55.813372145757803</v>
      </c>
      <c r="F461" s="3">
        <f t="shared" si="7"/>
        <v>430.5673058590578</v>
      </c>
      <c r="G461" s="3">
        <f>parking_demand_data_2024_ver0!F461</f>
        <v>12</v>
      </c>
      <c r="H461" s="3">
        <f>parking_demand_data_2024_ver0!G461</f>
        <v>0</v>
      </c>
      <c r="I461" s="3">
        <f>parking_demand_data_2024_ver0!H461</f>
        <v>0</v>
      </c>
      <c r="J461" s="3">
        <f>parking_demand_data_2024_ver0!I461</f>
        <v>8</v>
      </c>
      <c r="K461" s="3">
        <f>parking_demand_data_2024_ver0!J461</f>
        <v>2</v>
      </c>
      <c r="L461" s="3">
        <f>parking_demand_data_2024_ver0!K461</f>
        <v>2</v>
      </c>
      <c r="M461" s="3">
        <f>parking_demand_data_2024_ver0!L461</f>
        <v>0</v>
      </c>
      <c r="N461" s="3">
        <f>parking_demand_data_2024_ver0!M461</f>
        <v>653</v>
      </c>
      <c r="O461" s="3">
        <f>parking_demand_data_2024_ver0!N461</f>
        <v>0</v>
      </c>
      <c r="P461" s="3">
        <f>parking_demand_data_2024_ver0!O461</f>
        <v>0</v>
      </c>
      <c r="Q461" s="3">
        <f>parking_demand_data_2024_ver0!P461</f>
        <v>123</v>
      </c>
      <c r="R461" s="3">
        <f>parking_demand_data_2024_ver0!Q461</f>
        <v>400</v>
      </c>
      <c r="S461" s="3">
        <f>parking_demand_data_2024_ver0!R461</f>
        <v>130</v>
      </c>
      <c r="T461" s="3">
        <f>parking_demand_data_2024_ver0!S461</f>
        <v>0</v>
      </c>
    </row>
    <row r="462" spans="1:20" x14ac:dyDescent="0.25">
      <c r="A462">
        <v>18039</v>
      </c>
      <c r="B462" t="s">
        <v>48</v>
      </c>
      <c r="C462">
        <v>4</v>
      </c>
      <c r="D462" s="3">
        <f>parking_demand_data_2024_ver0!D462*calibration!$I$31</f>
        <v>373.576850293706</v>
      </c>
      <c r="E462" s="3">
        <f>parking_demand_data_2024_ver0!E462*calibration!$I$31</f>
        <v>55.1267401509946</v>
      </c>
      <c r="F462" s="3">
        <f t="shared" si="7"/>
        <v>428.70359044470058</v>
      </c>
      <c r="G462" s="3">
        <f>parking_demand_data_2024_ver0!F462</f>
        <v>12</v>
      </c>
      <c r="H462" s="3">
        <f>parking_demand_data_2024_ver0!G462</f>
        <v>0</v>
      </c>
      <c r="I462" s="3">
        <f>parking_demand_data_2024_ver0!H462</f>
        <v>0</v>
      </c>
      <c r="J462" s="3">
        <f>parking_demand_data_2024_ver0!I462</f>
        <v>8</v>
      </c>
      <c r="K462" s="3">
        <f>parking_demand_data_2024_ver0!J462</f>
        <v>2</v>
      </c>
      <c r="L462" s="3">
        <f>parking_demand_data_2024_ver0!K462</f>
        <v>2</v>
      </c>
      <c r="M462" s="3">
        <f>parking_demand_data_2024_ver0!L462</f>
        <v>0</v>
      </c>
      <c r="N462" s="3">
        <f>parking_demand_data_2024_ver0!M462</f>
        <v>653</v>
      </c>
      <c r="O462" s="3">
        <f>parking_demand_data_2024_ver0!N462</f>
        <v>0</v>
      </c>
      <c r="P462" s="3">
        <f>parking_demand_data_2024_ver0!O462</f>
        <v>0</v>
      </c>
      <c r="Q462" s="3">
        <f>parking_demand_data_2024_ver0!P462</f>
        <v>123</v>
      </c>
      <c r="R462" s="3">
        <f>parking_demand_data_2024_ver0!Q462</f>
        <v>400</v>
      </c>
      <c r="S462" s="3">
        <f>parking_demand_data_2024_ver0!R462</f>
        <v>130</v>
      </c>
      <c r="T462" s="3">
        <f>parking_demand_data_2024_ver0!S462</f>
        <v>0</v>
      </c>
    </row>
    <row r="463" spans="1:20" x14ac:dyDescent="0.25">
      <c r="A463">
        <v>18039</v>
      </c>
      <c r="B463" t="s">
        <v>48</v>
      </c>
      <c r="C463">
        <v>5</v>
      </c>
      <c r="D463" s="3">
        <f>parking_demand_data_2024_ver0!D463*calibration!$I$31</f>
        <v>366.75957548855598</v>
      </c>
      <c r="E463" s="3">
        <f>parking_demand_data_2024_ver0!E463*calibration!$I$31</f>
        <v>50.0260453327531</v>
      </c>
      <c r="F463" s="3">
        <f t="shared" si="7"/>
        <v>416.78562082130907</v>
      </c>
      <c r="G463" s="3">
        <f>parking_demand_data_2024_ver0!F463</f>
        <v>12</v>
      </c>
      <c r="H463" s="3">
        <f>parking_demand_data_2024_ver0!G463</f>
        <v>0</v>
      </c>
      <c r="I463" s="3">
        <f>parking_demand_data_2024_ver0!H463</f>
        <v>0</v>
      </c>
      <c r="J463" s="3">
        <f>parking_demand_data_2024_ver0!I463</f>
        <v>8</v>
      </c>
      <c r="K463" s="3">
        <f>parking_demand_data_2024_ver0!J463</f>
        <v>2</v>
      </c>
      <c r="L463" s="3">
        <f>parking_demand_data_2024_ver0!K463</f>
        <v>2</v>
      </c>
      <c r="M463" s="3">
        <f>parking_demand_data_2024_ver0!L463</f>
        <v>0</v>
      </c>
      <c r="N463" s="3">
        <f>parking_demand_data_2024_ver0!M463</f>
        <v>653</v>
      </c>
      <c r="O463" s="3">
        <f>parking_demand_data_2024_ver0!N463</f>
        <v>0</v>
      </c>
      <c r="P463" s="3">
        <f>parking_demand_data_2024_ver0!O463</f>
        <v>0</v>
      </c>
      <c r="Q463" s="3">
        <f>parking_demand_data_2024_ver0!P463</f>
        <v>123</v>
      </c>
      <c r="R463" s="3">
        <f>parking_demand_data_2024_ver0!Q463</f>
        <v>400</v>
      </c>
      <c r="S463" s="3">
        <f>parking_demand_data_2024_ver0!R463</f>
        <v>130</v>
      </c>
      <c r="T463" s="3">
        <f>parking_demand_data_2024_ver0!S463</f>
        <v>0</v>
      </c>
    </row>
    <row r="464" spans="1:20" x14ac:dyDescent="0.25">
      <c r="A464">
        <v>18039</v>
      </c>
      <c r="B464" t="s">
        <v>48</v>
      </c>
      <c r="C464">
        <v>6</v>
      </c>
      <c r="D464" s="3">
        <f>parking_demand_data_2024_ver0!D464*calibration!$I$31</f>
        <v>340.96183054245</v>
      </c>
      <c r="E464" s="3">
        <f>parking_demand_data_2024_ver0!E464*calibration!$I$31</f>
        <v>46.494795073970501</v>
      </c>
      <c r="F464" s="3">
        <f t="shared" si="7"/>
        <v>387.45662561642052</v>
      </c>
      <c r="G464" s="3">
        <f>parking_demand_data_2024_ver0!F464</f>
        <v>12</v>
      </c>
      <c r="H464" s="3">
        <f>parking_demand_data_2024_ver0!G464</f>
        <v>0</v>
      </c>
      <c r="I464" s="3">
        <f>parking_demand_data_2024_ver0!H464</f>
        <v>0</v>
      </c>
      <c r="J464" s="3">
        <f>parking_demand_data_2024_ver0!I464</f>
        <v>8</v>
      </c>
      <c r="K464" s="3">
        <f>parking_demand_data_2024_ver0!J464</f>
        <v>2</v>
      </c>
      <c r="L464" s="3">
        <f>parking_demand_data_2024_ver0!K464</f>
        <v>2</v>
      </c>
      <c r="M464" s="3">
        <f>parking_demand_data_2024_ver0!L464</f>
        <v>0</v>
      </c>
      <c r="N464" s="3">
        <f>parking_demand_data_2024_ver0!M464</f>
        <v>653</v>
      </c>
      <c r="O464" s="3">
        <f>parking_demand_data_2024_ver0!N464</f>
        <v>0</v>
      </c>
      <c r="P464" s="3">
        <f>parking_demand_data_2024_ver0!O464</f>
        <v>0</v>
      </c>
      <c r="Q464" s="3">
        <f>parking_demand_data_2024_ver0!P464</f>
        <v>123</v>
      </c>
      <c r="R464" s="3">
        <f>parking_demand_data_2024_ver0!Q464</f>
        <v>400</v>
      </c>
      <c r="S464" s="3">
        <f>parking_demand_data_2024_ver0!R464</f>
        <v>130</v>
      </c>
      <c r="T464" s="3">
        <f>parking_demand_data_2024_ver0!S464</f>
        <v>0</v>
      </c>
    </row>
    <row r="465" spans="1:20" x14ac:dyDescent="0.25">
      <c r="A465">
        <v>18039</v>
      </c>
      <c r="B465" t="s">
        <v>48</v>
      </c>
      <c r="C465">
        <v>7</v>
      </c>
      <c r="D465" s="3">
        <f>parking_demand_data_2024_ver0!D465*calibration!$I$31</f>
        <v>292.30904919922398</v>
      </c>
      <c r="E465" s="3">
        <f>parking_demand_data_2024_ver0!E465*calibration!$I$31</f>
        <v>42.865454530221797</v>
      </c>
      <c r="F465" s="3">
        <f t="shared" si="7"/>
        <v>335.17450372944575</v>
      </c>
      <c r="G465" s="3">
        <f>parking_demand_data_2024_ver0!F465</f>
        <v>12</v>
      </c>
      <c r="H465" s="3">
        <f>parking_demand_data_2024_ver0!G465</f>
        <v>0</v>
      </c>
      <c r="I465" s="3">
        <f>parking_demand_data_2024_ver0!H465</f>
        <v>0</v>
      </c>
      <c r="J465" s="3">
        <f>parking_demand_data_2024_ver0!I465</f>
        <v>8</v>
      </c>
      <c r="K465" s="3">
        <f>parking_demand_data_2024_ver0!J465</f>
        <v>2</v>
      </c>
      <c r="L465" s="3">
        <f>parking_demand_data_2024_ver0!K465</f>
        <v>2</v>
      </c>
      <c r="M465" s="3">
        <f>parking_demand_data_2024_ver0!L465</f>
        <v>0</v>
      </c>
      <c r="N465" s="3">
        <f>parking_demand_data_2024_ver0!M465</f>
        <v>653</v>
      </c>
      <c r="O465" s="3">
        <f>parking_demand_data_2024_ver0!N465</f>
        <v>0</v>
      </c>
      <c r="P465" s="3">
        <f>parking_demand_data_2024_ver0!O465</f>
        <v>0</v>
      </c>
      <c r="Q465" s="3">
        <f>parking_demand_data_2024_ver0!P465</f>
        <v>123</v>
      </c>
      <c r="R465" s="3">
        <f>parking_demand_data_2024_ver0!Q465</f>
        <v>400</v>
      </c>
      <c r="S465" s="3">
        <f>parking_demand_data_2024_ver0!R465</f>
        <v>130</v>
      </c>
      <c r="T465" s="3">
        <f>parking_demand_data_2024_ver0!S465</f>
        <v>0</v>
      </c>
    </row>
    <row r="466" spans="1:20" x14ac:dyDescent="0.25">
      <c r="A466">
        <v>18039</v>
      </c>
      <c r="B466" t="s">
        <v>48</v>
      </c>
      <c r="C466">
        <v>8</v>
      </c>
      <c r="D466" s="3">
        <f>parking_demand_data_2024_ver0!D466*calibration!$I$31</f>
        <v>233.20965250709901</v>
      </c>
      <c r="E466" s="3">
        <f>parking_demand_data_2024_ver0!E466*calibration!$I$31</f>
        <v>38.3042562792943</v>
      </c>
      <c r="F466" s="3">
        <f t="shared" si="7"/>
        <v>271.5139087863933</v>
      </c>
      <c r="G466" s="3">
        <f>parking_demand_data_2024_ver0!F466</f>
        <v>12</v>
      </c>
      <c r="H466" s="3">
        <f>parking_demand_data_2024_ver0!G466</f>
        <v>0</v>
      </c>
      <c r="I466" s="3">
        <f>parking_demand_data_2024_ver0!H466</f>
        <v>0</v>
      </c>
      <c r="J466" s="3">
        <f>parking_demand_data_2024_ver0!I466</f>
        <v>8</v>
      </c>
      <c r="K466" s="3">
        <f>parking_demand_data_2024_ver0!J466</f>
        <v>2</v>
      </c>
      <c r="L466" s="3">
        <f>parking_demand_data_2024_ver0!K466</f>
        <v>2</v>
      </c>
      <c r="M466" s="3">
        <f>parking_demand_data_2024_ver0!L466</f>
        <v>0</v>
      </c>
      <c r="N466" s="3">
        <f>parking_demand_data_2024_ver0!M466</f>
        <v>653</v>
      </c>
      <c r="O466" s="3">
        <f>parking_demand_data_2024_ver0!N466</f>
        <v>0</v>
      </c>
      <c r="P466" s="3">
        <f>parking_demand_data_2024_ver0!O466</f>
        <v>0</v>
      </c>
      <c r="Q466" s="3">
        <f>parking_demand_data_2024_ver0!P466</f>
        <v>123</v>
      </c>
      <c r="R466" s="3">
        <f>parking_demand_data_2024_ver0!Q466</f>
        <v>400</v>
      </c>
      <c r="S466" s="3">
        <f>parking_demand_data_2024_ver0!R466</f>
        <v>130</v>
      </c>
      <c r="T466" s="3">
        <f>parking_demand_data_2024_ver0!S466</f>
        <v>0</v>
      </c>
    </row>
    <row r="467" spans="1:20" x14ac:dyDescent="0.25">
      <c r="A467">
        <v>18039</v>
      </c>
      <c r="B467" t="s">
        <v>48</v>
      </c>
      <c r="C467">
        <v>9</v>
      </c>
      <c r="D467" s="3">
        <f>parking_demand_data_2024_ver0!D467*calibration!$I$31</f>
        <v>187.79385056775601</v>
      </c>
      <c r="E467" s="3">
        <f>parking_demand_data_2024_ver0!E467*calibration!$I$31</f>
        <v>35.263457445342603</v>
      </c>
      <c r="F467" s="3">
        <f t="shared" si="7"/>
        <v>223.05730801309861</v>
      </c>
      <c r="G467" s="3">
        <f>parking_demand_data_2024_ver0!F467</f>
        <v>12</v>
      </c>
      <c r="H467" s="3">
        <f>parking_demand_data_2024_ver0!G467</f>
        <v>0</v>
      </c>
      <c r="I467" s="3">
        <f>parking_demand_data_2024_ver0!H467</f>
        <v>0</v>
      </c>
      <c r="J467" s="3">
        <f>parking_demand_data_2024_ver0!I467</f>
        <v>8</v>
      </c>
      <c r="K467" s="3">
        <f>parking_demand_data_2024_ver0!J467</f>
        <v>2</v>
      </c>
      <c r="L467" s="3">
        <f>parking_demand_data_2024_ver0!K467</f>
        <v>2</v>
      </c>
      <c r="M467" s="3">
        <f>parking_demand_data_2024_ver0!L467</f>
        <v>0</v>
      </c>
      <c r="N467" s="3">
        <f>parking_demand_data_2024_ver0!M467</f>
        <v>653</v>
      </c>
      <c r="O467" s="3">
        <f>parking_demand_data_2024_ver0!N467</f>
        <v>0</v>
      </c>
      <c r="P467" s="3">
        <f>parking_demand_data_2024_ver0!O467</f>
        <v>0</v>
      </c>
      <c r="Q467" s="3">
        <f>parking_demand_data_2024_ver0!P467</f>
        <v>123</v>
      </c>
      <c r="R467" s="3">
        <f>parking_demand_data_2024_ver0!Q467</f>
        <v>400</v>
      </c>
      <c r="S467" s="3">
        <f>parking_demand_data_2024_ver0!R467</f>
        <v>130</v>
      </c>
      <c r="T467" s="3">
        <f>parking_demand_data_2024_ver0!S467</f>
        <v>0</v>
      </c>
    </row>
    <row r="468" spans="1:20" x14ac:dyDescent="0.25">
      <c r="A468">
        <v>18039</v>
      </c>
      <c r="B468" t="s">
        <v>48</v>
      </c>
      <c r="C468">
        <v>10</v>
      </c>
      <c r="D468" s="3">
        <f>parking_demand_data_2024_ver0!D468*calibration!$I$31</f>
        <v>154.78646967663599</v>
      </c>
      <c r="E468" s="3">
        <f>parking_demand_data_2024_ver0!E468*calibration!$I$31</f>
        <v>34.184464310714603</v>
      </c>
      <c r="F468" s="3">
        <f t="shared" si="7"/>
        <v>188.97093398735058</v>
      </c>
      <c r="G468" s="3">
        <f>parking_demand_data_2024_ver0!F468</f>
        <v>12</v>
      </c>
      <c r="H468" s="3">
        <f>parking_demand_data_2024_ver0!G468</f>
        <v>0</v>
      </c>
      <c r="I468" s="3">
        <f>parking_demand_data_2024_ver0!H468</f>
        <v>0</v>
      </c>
      <c r="J468" s="3">
        <f>parking_demand_data_2024_ver0!I468</f>
        <v>8</v>
      </c>
      <c r="K468" s="3">
        <f>parking_demand_data_2024_ver0!J468</f>
        <v>2</v>
      </c>
      <c r="L468" s="3">
        <f>parking_demand_data_2024_ver0!K468</f>
        <v>2</v>
      </c>
      <c r="M468" s="3">
        <f>parking_demand_data_2024_ver0!L468</f>
        <v>0</v>
      </c>
      <c r="N468" s="3">
        <f>parking_demand_data_2024_ver0!M468</f>
        <v>653</v>
      </c>
      <c r="O468" s="3">
        <f>parking_demand_data_2024_ver0!N468</f>
        <v>0</v>
      </c>
      <c r="P468" s="3">
        <f>parking_demand_data_2024_ver0!O468</f>
        <v>0</v>
      </c>
      <c r="Q468" s="3">
        <f>parking_demand_data_2024_ver0!P468</f>
        <v>123</v>
      </c>
      <c r="R468" s="3">
        <f>parking_demand_data_2024_ver0!Q468</f>
        <v>400</v>
      </c>
      <c r="S468" s="3">
        <f>parking_demand_data_2024_ver0!R468</f>
        <v>130</v>
      </c>
      <c r="T468" s="3">
        <f>parking_demand_data_2024_ver0!S468</f>
        <v>0</v>
      </c>
    </row>
    <row r="469" spans="1:20" x14ac:dyDescent="0.25">
      <c r="A469">
        <v>18039</v>
      </c>
      <c r="B469" t="s">
        <v>48</v>
      </c>
      <c r="C469">
        <v>11</v>
      </c>
      <c r="D469" s="3">
        <f>parking_demand_data_2024_ver0!D469*calibration!$I$31</f>
        <v>143.653222332974</v>
      </c>
      <c r="E469" s="3">
        <f>parking_demand_data_2024_ver0!E469*calibration!$I$31</f>
        <v>32.909290606154201</v>
      </c>
      <c r="F469" s="3">
        <f t="shared" si="7"/>
        <v>176.5625129391282</v>
      </c>
      <c r="G469" s="3">
        <f>parking_demand_data_2024_ver0!F469</f>
        <v>12</v>
      </c>
      <c r="H469" s="3">
        <f>parking_demand_data_2024_ver0!G469</f>
        <v>0</v>
      </c>
      <c r="I469" s="3">
        <f>parking_demand_data_2024_ver0!H469</f>
        <v>0</v>
      </c>
      <c r="J469" s="3">
        <f>parking_demand_data_2024_ver0!I469</f>
        <v>8</v>
      </c>
      <c r="K469" s="3">
        <f>parking_demand_data_2024_ver0!J469</f>
        <v>2</v>
      </c>
      <c r="L469" s="3">
        <f>parking_demand_data_2024_ver0!K469</f>
        <v>2</v>
      </c>
      <c r="M469" s="3">
        <f>parking_demand_data_2024_ver0!L469</f>
        <v>0</v>
      </c>
      <c r="N469" s="3">
        <f>parking_demand_data_2024_ver0!M469</f>
        <v>653</v>
      </c>
      <c r="O469" s="3">
        <f>parking_demand_data_2024_ver0!N469</f>
        <v>0</v>
      </c>
      <c r="P469" s="3">
        <f>parking_demand_data_2024_ver0!O469</f>
        <v>0</v>
      </c>
      <c r="Q469" s="3">
        <f>parking_demand_data_2024_ver0!P469</f>
        <v>123</v>
      </c>
      <c r="R469" s="3">
        <f>parking_demand_data_2024_ver0!Q469</f>
        <v>400</v>
      </c>
      <c r="S469" s="3">
        <f>parking_demand_data_2024_ver0!R469</f>
        <v>130</v>
      </c>
      <c r="T469" s="3">
        <f>parking_demand_data_2024_ver0!S469</f>
        <v>0</v>
      </c>
    </row>
    <row r="470" spans="1:20" x14ac:dyDescent="0.25">
      <c r="A470">
        <v>18039</v>
      </c>
      <c r="B470" t="s">
        <v>48</v>
      </c>
      <c r="C470">
        <v>12</v>
      </c>
      <c r="D470" s="3">
        <f>parking_demand_data_2024_ver0!D470*calibration!$I$31</f>
        <v>134.432735546153</v>
      </c>
      <c r="E470" s="3">
        <f>parking_demand_data_2024_ver0!E470*calibration!$I$31</f>
        <v>29.525175774820902</v>
      </c>
      <c r="F470" s="3">
        <f t="shared" si="7"/>
        <v>163.95791132097389</v>
      </c>
      <c r="G470" s="3">
        <f>parking_demand_data_2024_ver0!F470</f>
        <v>12</v>
      </c>
      <c r="H470" s="3">
        <f>parking_demand_data_2024_ver0!G470</f>
        <v>0</v>
      </c>
      <c r="I470" s="3">
        <f>parking_demand_data_2024_ver0!H470</f>
        <v>0</v>
      </c>
      <c r="J470" s="3">
        <f>parking_demand_data_2024_ver0!I470</f>
        <v>8</v>
      </c>
      <c r="K470" s="3">
        <f>parking_demand_data_2024_ver0!J470</f>
        <v>2</v>
      </c>
      <c r="L470" s="3">
        <f>parking_demand_data_2024_ver0!K470</f>
        <v>2</v>
      </c>
      <c r="M470" s="3">
        <f>parking_demand_data_2024_ver0!L470</f>
        <v>0</v>
      </c>
      <c r="N470" s="3">
        <f>parking_demand_data_2024_ver0!M470</f>
        <v>653</v>
      </c>
      <c r="O470" s="3">
        <f>parking_demand_data_2024_ver0!N470</f>
        <v>0</v>
      </c>
      <c r="P470" s="3">
        <f>parking_demand_data_2024_ver0!O470</f>
        <v>0</v>
      </c>
      <c r="Q470" s="3">
        <f>parking_demand_data_2024_ver0!P470</f>
        <v>123</v>
      </c>
      <c r="R470" s="3">
        <f>parking_demand_data_2024_ver0!Q470</f>
        <v>400</v>
      </c>
      <c r="S470" s="3">
        <f>parking_demand_data_2024_ver0!R470</f>
        <v>130</v>
      </c>
      <c r="T470" s="3">
        <f>parking_demand_data_2024_ver0!S470</f>
        <v>0</v>
      </c>
    </row>
    <row r="471" spans="1:20" x14ac:dyDescent="0.25">
      <c r="A471">
        <v>18039</v>
      </c>
      <c r="B471" t="s">
        <v>48</v>
      </c>
      <c r="C471">
        <v>13</v>
      </c>
      <c r="D471" s="3">
        <f>parking_demand_data_2024_ver0!D471*calibration!$I$31</f>
        <v>129.18490530046199</v>
      </c>
      <c r="E471" s="3">
        <f>parking_demand_data_2024_ver0!E471*calibration!$I$31</f>
        <v>27.955731215362</v>
      </c>
      <c r="F471" s="3">
        <f t="shared" si="7"/>
        <v>157.14063651582399</v>
      </c>
      <c r="G471" s="3">
        <f>parking_demand_data_2024_ver0!F471</f>
        <v>12</v>
      </c>
      <c r="H471" s="3">
        <f>parking_demand_data_2024_ver0!G471</f>
        <v>0</v>
      </c>
      <c r="I471" s="3">
        <f>parking_demand_data_2024_ver0!H471</f>
        <v>0</v>
      </c>
      <c r="J471" s="3">
        <f>parking_demand_data_2024_ver0!I471</f>
        <v>8</v>
      </c>
      <c r="K471" s="3">
        <f>parking_demand_data_2024_ver0!J471</f>
        <v>2</v>
      </c>
      <c r="L471" s="3">
        <f>parking_demand_data_2024_ver0!K471</f>
        <v>2</v>
      </c>
      <c r="M471" s="3">
        <f>parking_demand_data_2024_ver0!L471</f>
        <v>0</v>
      </c>
      <c r="N471" s="3">
        <f>parking_demand_data_2024_ver0!M471</f>
        <v>653</v>
      </c>
      <c r="O471" s="3">
        <f>parking_demand_data_2024_ver0!N471</f>
        <v>0</v>
      </c>
      <c r="P471" s="3">
        <f>parking_demand_data_2024_ver0!O471</f>
        <v>0</v>
      </c>
      <c r="Q471" s="3">
        <f>parking_demand_data_2024_ver0!P471</f>
        <v>123</v>
      </c>
      <c r="R471" s="3">
        <f>parking_demand_data_2024_ver0!Q471</f>
        <v>400</v>
      </c>
      <c r="S471" s="3">
        <f>parking_demand_data_2024_ver0!R471</f>
        <v>130</v>
      </c>
      <c r="T471" s="3">
        <f>parking_demand_data_2024_ver0!S471</f>
        <v>0</v>
      </c>
    </row>
    <row r="472" spans="1:20" x14ac:dyDescent="0.25">
      <c r="A472">
        <v>18039</v>
      </c>
      <c r="B472" t="s">
        <v>48</v>
      </c>
      <c r="C472">
        <v>14</v>
      </c>
      <c r="D472" s="3">
        <f>parking_demand_data_2024_ver0!D472*calibration!$I$31</f>
        <v>128.35113787824901</v>
      </c>
      <c r="E472" s="3">
        <f>parking_demand_data_2024_ver0!E472*calibration!$I$31</f>
        <v>21.825088404975599</v>
      </c>
      <c r="F472" s="3">
        <f t="shared" si="7"/>
        <v>150.17622628322459</v>
      </c>
      <c r="G472" s="3">
        <f>parking_demand_data_2024_ver0!F472</f>
        <v>12</v>
      </c>
      <c r="H472" s="3">
        <f>parking_demand_data_2024_ver0!G472</f>
        <v>0</v>
      </c>
      <c r="I472" s="3">
        <f>parking_demand_data_2024_ver0!H472</f>
        <v>0</v>
      </c>
      <c r="J472" s="3">
        <f>parking_demand_data_2024_ver0!I472</f>
        <v>8</v>
      </c>
      <c r="K472" s="3">
        <f>parking_demand_data_2024_ver0!J472</f>
        <v>2</v>
      </c>
      <c r="L472" s="3">
        <f>parking_demand_data_2024_ver0!K472</f>
        <v>2</v>
      </c>
      <c r="M472" s="3">
        <f>parking_demand_data_2024_ver0!L472</f>
        <v>0</v>
      </c>
      <c r="N472" s="3">
        <f>parking_demand_data_2024_ver0!M472</f>
        <v>653</v>
      </c>
      <c r="O472" s="3">
        <f>parking_demand_data_2024_ver0!N472</f>
        <v>0</v>
      </c>
      <c r="P472" s="3">
        <f>parking_demand_data_2024_ver0!O472</f>
        <v>0</v>
      </c>
      <c r="Q472" s="3">
        <f>parking_demand_data_2024_ver0!P472</f>
        <v>123</v>
      </c>
      <c r="R472" s="3">
        <f>parking_demand_data_2024_ver0!Q472</f>
        <v>400</v>
      </c>
      <c r="S472" s="3">
        <f>parking_demand_data_2024_ver0!R472</f>
        <v>130</v>
      </c>
      <c r="T472" s="3">
        <f>parking_demand_data_2024_ver0!S472</f>
        <v>0</v>
      </c>
    </row>
    <row r="473" spans="1:20" x14ac:dyDescent="0.25">
      <c r="A473">
        <v>18039</v>
      </c>
      <c r="B473" t="s">
        <v>48</v>
      </c>
      <c r="C473">
        <v>15</v>
      </c>
      <c r="D473" s="3">
        <f>parking_demand_data_2024_ver0!D473*calibration!$I$31</f>
        <v>128.69445387563101</v>
      </c>
      <c r="E473" s="3">
        <f>parking_demand_data_2024_ver0!E473*calibration!$I$31</f>
        <v>16.233942161903201</v>
      </c>
      <c r="F473" s="3">
        <f t="shared" si="7"/>
        <v>144.92839603753421</v>
      </c>
      <c r="G473" s="3">
        <f>parking_demand_data_2024_ver0!F473</f>
        <v>12</v>
      </c>
      <c r="H473" s="3">
        <f>parking_demand_data_2024_ver0!G473</f>
        <v>0</v>
      </c>
      <c r="I473" s="3">
        <f>parking_demand_data_2024_ver0!H473</f>
        <v>0</v>
      </c>
      <c r="J473" s="3">
        <f>parking_demand_data_2024_ver0!I473</f>
        <v>8</v>
      </c>
      <c r="K473" s="3">
        <f>parking_demand_data_2024_ver0!J473</f>
        <v>2</v>
      </c>
      <c r="L473" s="3">
        <f>parking_demand_data_2024_ver0!K473</f>
        <v>2</v>
      </c>
      <c r="M473" s="3">
        <f>parking_demand_data_2024_ver0!L473</f>
        <v>0</v>
      </c>
      <c r="N473" s="3">
        <f>parking_demand_data_2024_ver0!M473</f>
        <v>653</v>
      </c>
      <c r="O473" s="3">
        <f>parking_demand_data_2024_ver0!N473</f>
        <v>0</v>
      </c>
      <c r="P473" s="3">
        <f>parking_demand_data_2024_ver0!O473</f>
        <v>0</v>
      </c>
      <c r="Q473" s="3">
        <f>parking_demand_data_2024_ver0!P473</f>
        <v>123</v>
      </c>
      <c r="R473" s="3">
        <f>parking_demand_data_2024_ver0!Q473</f>
        <v>400</v>
      </c>
      <c r="S473" s="3">
        <f>parking_demand_data_2024_ver0!R473</f>
        <v>130</v>
      </c>
      <c r="T473" s="3">
        <f>parking_demand_data_2024_ver0!S473</f>
        <v>0</v>
      </c>
    </row>
    <row r="474" spans="1:20" x14ac:dyDescent="0.25">
      <c r="A474">
        <v>18039</v>
      </c>
      <c r="B474" t="s">
        <v>48</v>
      </c>
      <c r="C474">
        <v>16</v>
      </c>
      <c r="D474" s="3">
        <f>parking_demand_data_2024_ver0!D474*calibration!$I$31</f>
        <v>136.345496102993</v>
      </c>
      <c r="E474" s="3">
        <f>parking_demand_data_2024_ver0!E474*calibration!$I$31</f>
        <v>13.5855044678162</v>
      </c>
      <c r="F474" s="3">
        <f t="shared" si="7"/>
        <v>149.9310005708092</v>
      </c>
      <c r="G474" s="3">
        <f>parking_demand_data_2024_ver0!F474</f>
        <v>12</v>
      </c>
      <c r="H474" s="3">
        <f>parking_demand_data_2024_ver0!G474</f>
        <v>0</v>
      </c>
      <c r="I474" s="3">
        <f>parking_demand_data_2024_ver0!H474</f>
        <v>0</v>
      </c>
      <c r="J474" s="3">
        <f>parking_demand_data_2024_ver0!I474</f>
        <v>8</v>
      </c>
      <c r="K474" s="3">
        <f>parking_demand_data_2024_ver0!J474</f>
        <v>2</v>
      </c>
      <c r="L474" s="3">
        <f>parking_demand_data_2024_ver0!K474</f>
        <v>2</v>
      </c>
      <c r="M474" s="3">
        <f>parking_demand_data_2024_ver0!L474</f>
        <v>0</v>
      </c>
      <c r="N474" s="3">
        <f>parking_demand_data_2024_ver0!M474</f>
        <v>653</v>
      </c>
      <c r="O474" s="3">
        <f>parking_demand_data_2024_ver0!N474</f>
        <v>0</v>
      </c>
      <c r="P474" s="3">
        <f>parking_demand_data_2024_ver0!O474</f>
        <v>0</v>
      </c>
      <c r="Q474" s="3">
        <f>parking_demand_data_2024_ver0!P474</f>
        <v>123</v>
      </c>
      <c r="R474" s="3">
        <f>parking_demand_data_2024_ver0!Q474</f>
        <v>400</v>
      </c>
      <c r="S474" s="3">
        <f>parking_demand_data_2024_ver0!R474</f>
        <v>130</v>
      </c>
      <c r="T474" s="3">
        <f>parking_demand_data_2024_ver0!S474</f>
        <v>0</v>
      </c>
    </row>
    <row r="475" spans="1:20" x14ac:dyDescent="0.25">
      <c r="A475">
        <v>18039</v>
      </c>
      <c r="B475" t="s">
        <v>48</v>
      </c>
      <c r="C475">
        <v>17</v>
      </c>
      <c r="D475" s="3">
        <f>parking_demand_data_2024_ver0!D475*calibration!$I$31</f>
        <v>149.73482000087699</v>
      </c>
      <c r="E475" s="3">
        <f>parking_demand_data_2024_ver0!E475*calibration!$I$31</f>
        <v>12.751737045603701</v>
      </c>
      <c r="F475" s="3">
        <f t="shared" si="7"/>
        <v>162.4865570464807</v>
      </c>
      <c r="G475" s="3">
        <f>parking_demand_data_2024_ver0!F475</f>
        <v>12</v>
      </c>
      <c r="H475" s="3">
        <f>parking_demand_data_2024_ver0!G475</f>
        <v>0</v>
      </c>
      <c r="I475" s="3">
        <f>parking_demand_data_2024_ver0!H475</f>
        <v>0</v>
      </c>
      <c r="J475" s="3">
        <f>parking_demand_data_2024_ver0!I475</f>
        <v>8</v>
      </c>
      <c r="K475" s="3">
        <f>parking_demand_data_2024_ver0!J475</f>
        <v>2</v>
      </c>
      <c r="L475" s="3">
        <f>parking_demand_data_2024_ver0!K475</f>
        <v>2</v>
      </c>
      <c r="M475" s="3">
        <f>parking_demand_data_2024_ver0!L475</f>
        <v>0</v>
      </c>
      <c r="N475" s="3">
        <f>parking_demand_data_2024_ver0!M475</f>
        <v>653</v>
      </c>
      <c r="O475" s="3">
        <f>parking_demand_data_2024_ver0!N475</f>
        <v>0</v>
      </c>
      <c r="P475" s="3">
        <f>parking_demand_data_2024_ver0!O475</f>
        <v>0</v>
      </c>
      <c r="Q475" s="3">
        <f>parking_demand_data_2024_ver0!P475</f>
        <v>123</v>
      </c>
      <c r="R475" s="3">
        <f>parking_demand_data_2024_ver0!Q475</f>
        <v>400</v>
      </c>
      <c r="S475" s="3">
        <f>parking_demand_data_2024_ver0!R475</f>
        <v>130</v>
      </c>
      <c r="T475" s="3">
        <f>parking_demand_data_2024_ver0!S475</f>
        <v>0</v>
      </c>
    </row>
    <row r="476" spans="1:20" x14ac:dyDescent="0.25">
      <c r="A476">
        <v>18039</v>
      </c>
      <c r="B476" t="s">
        <v>48</v>
      </c>
      <c r="C476">
        <v>18</v>
      </c>
      <c r="D476" s="3">
        <f>parking_demand_data_2024_ver0!D476*calibration!$I$31</f>
        <v>167.97961300458701</v>
      </c>
      <c r="E476" s="3">
        <f>parking_demand_data_2024_ver0!E476*calibration!$I$31</f>
        <v>14.566407317478101</v>
      </c>
      <c r="F476" s="3">
        <f t="shared" si="7"/>
        <v>182.54602032206512</v>
      </c>
      <c r="G476" s="3">
        <f>parking_demand_data_2024_ver0!F476</f>
        <v>12</v>
      </c>
      <c r="H476" s="3">
        <f>parking_demand_data_2024_ver0!G476</f>
        <v>0</v>
      </c>
      <c r="I476" s="3">
        <f>parking_demand_data_2024_ver0!H476</f>
        <v>0</v>
      </c>
      <c r="J476" s="3">
        <f>parking_demand_data_2024_ver0!I476</f>
        <v>8</v>
      </c>
      <c r="K476" s="3">
        <f>parking_demand_data_2024_ver0!J476</f>
        <v>2</v>
      </c>
      <c r="L476" s="3">
        <f>parking_demand_data_2024_ver0!K476</f>
        <v>2</v>
      </c>
      <c r="M476" s="3">
        <f>parking_demand_data_2024_ver0!L476</f>
        <v>0</v>
      </c>
      <c r="N476" s="3">
        <f>parking_demand_data_2024_ver0!M476</f>
        <v>653</v>
      </c>
      <c r="O476" s="3">
        <f>parking_demand_data_2024_ver0!N476</f>
        <v>0</v>
      </c>
      <c r="P476" s="3">
        <f>parking_demand_data_2024_ver0!O476</f>
        <v>0</v>
      </c>
      <c r="Q476" s="3">
        <f>parking_demand_data_2024_ver0!P476</f>
        <v>123</v>
      </c>
      <c r="R476" s="3">
        <f>parking_demand_data_2024_ver0!Q476</f>
        <v>400</v>
      </c>
      <c r="S476" s="3">
        <f>parking_demand_data_2024_ver0!R476</f>
        <v>130</v>
      </c>
      <c r="T476" s="3">
        <f>parking_demand_data_2024_ver0!S476</f>
        <v>0</v>
      </c>
    </row>
    <row r="477" spans="1:20" x14ac:dyDescent="0.25">
      <c r="A477">
        <v>18039</v>
      </c>
      <c r="B477" t="s">
        <v>48</v>
      </c>
      <c r="C477">
        <v>19</v>
      </c>
      <c r="D477" s="3">
        <f>parking_demand_data_2024_ver0!D477*calibration!$I$31</f>
        <v>195.641073365051</v>
      </c>
      <c r="E477" s="3">
        <f>parking_demand_data_2024_ver0!E477*calibration!$I$31</f>
        <v>25.405383806241201</v>
      </c>
      <c r="F477" s="3">
        <f t="shared" si="7"/>
        <v>221.04645717129219</v>
      </c>
      <c r="G477" s="3">
        <f>parking_demand_data_2024_ver0!F477</f>
        <v>12</v>
      </c>
      <c r="H477" s="3">
        <f>parking_demand_data_2024_ver0!G477</f>
        <v>0</v>
      </c>
      <c r="I477" s="3">
        <f>parking_demand_data_2024_ver0!H477</f>
        <v>0</v>
      </c>
      <c r="J477" s="3">
        <f>parking_demand_data_2024_ver0!I477</f>
        <v>8</v>
      </c>
      <c r="K477" s="3">
        <f>parking_demand_data_2024_ver0!J477</f>
        <v>2</v>
      </c>
      <c r="L477" s="3">
        <f>parking_demand_data_2024_ver0!K477</f>
        <v>2</v>
      </c>
      <c r="M477" s="3">
        <f>parking_demand_data_2024_ver0!L477</f>
        <v>0</v>
      </c>
      <c r="N477" s="3">
        <f>parking_demand_data_2024_ver0!M477</f>
        <v>653</v>
      </c>
      <c r="O477" s="3">
        <f>parking_demand_data_2024_ver0!N477</f>
        <v>0</v>
      </c>
      <c r="P477" s="3">
        <f>parking_demand_data_2024_ver0!O477</f>
        <v>0</v>
      </c>
      <c r="Q477" s="3">
        <f>parking_demand_data_2024_ver0!P477</f>
        <v>123</v>
      </c>
      <c r="R477" s="3">
        <f>parking_demand_data_2024_ver0!Q477</f>
        <v>400</v>
      </c>
      <c r="S477" s="3">
        <f>parking_demand_data_2024_ver0!R477</f>
        <v>130</v>
      </c>
      <c r="T477" s="3">
        <f>parking_demand_data_2024_ver0!S477</f>
        <v>0</v>
      </c>
    </row>
    <row r="478" spans="1:20" x14ac:dyDescent="0.25">
      <c r="A478">
        <v>18039</v>
      </c>
      <c r="B478" t="s">
        <v>48</v>
      </c>
      <c r="C478">
        <v>20</v>
      </c>
      <c r="D478" s="3">
        <f>parking_demand_data_2024_ver0!D478*calibration!$I$31</f>
        <v>229.82553767576499</v>
      </c>
      <c r="E478" s="3">
        <f>parking_demand_data_2024_ver0!E478*calibration!$I$31</f>
        <v>28.200956927777401</v>
      </c>
      <c r="F478" s="3">
        <f t="shared" si="7"/>
        <v>258.0264946035424</v>
      </c>
      <c r="G478" s="3">
        <f>parking_demand_data_2024_ver0!F478</f>
        <v>12</v>
      </c>
      <c r="H478" s="3">
        <f>parking_demand_data_2024_ver0!G478</f>
        <v>0</v>
      </c>
      <c r="I478" s="3">
        <f>parking_demand_data_2024_ver0!H478</f>
        <v>0</v>
      </c>
      <c r="J478" s="3">
        <f>parking_demand_data_2024_ver0!I478</f>
        <v>8</v>
      </c>
      <c r="K478" s="3">
        <f>parking_demand_data_2024_ver0!J478</f>
        <v>2</v>
      </c>
      <c r="L478" s="3">
        <f>parking_demand_data_2024_ver0!K478</f>
        <v>2</v>
      </c>
      <c r="M478" s="3">
        <f>parking_demand_data_2024_ver0!L478</f>
        <v>0</v>
      </c>
      <c r="N478" s="3">
        <f>parking_demand_data_2024_ver0!M478</f>
        <v>653</v>
      </c>
      <c r="O478" s="3">
        <f>parking_demand_data_2024_ver0!N478</f>
        <v>0</v>
      </c>
      <c r="P478" s="3">
        <f>parking_demand_data_2024_ver0!O478</f>
        <v>0</v>
      </c>
      <c r="Q478" s="3">
        <f>parking_demand_data_2024_ver0!P478</f>
        <v>123</v>
      </c>
      <c r="R478" s="3">
        <f>parking_demand_data_2024_ver0!Q478</f>
        <v>400</v>
      </c>
      <c r="S478" s="3">
        <f>parking_demand_data_2024_ver0!R478</f>
        <v>130</v>
      </c>
      <c r="T478" s="3">
        <f>parking_demand_data_2024_ver0!S478</f>
        <v>0</v>
      </c>
    </row>
    <row r="479" spans="1:20" x14ac:dyDescent="0.25">
      <c r="A479">
        <v>18039</v>
      </c>
      <c r="B479" t="s">
        <v>48</v>
      </c>
      <c r="C479">
        <v>21</v>
      </c>
      <c r="D479" s="3">
        <f>parking_demand_data_2024_ver0!D479*calibration!$I$31</f>
        <v>267.78647795767802</v>
      </c>
      <c r="E479" s="3">
        <f>parking_demand_data_2024_ver0!E479*calibration!$I$31</f>
        <v>33.007380891120398</v>
      </c>
      <c r="F479" s="3">
        <f t="shared" si="7"/>
        <v>300.79385884879844</v>
      </c>
      <c r="G479" s="3">
        <f>parking_demand_data_2024_ver0!F479</f>
        <v>12</v>
      </c>
      <c r="H479" s="3">
        <f>parking_demand_data_2024_ver0!G479</f>
        <v>0</v>
      </c>
      <c r="I479" s="3">
        <f>parking_demand_data_2024_ver0!H479</f>
        <v>0</v>
      </c>
      <c r="J479" s="3">
        <f>parking_demand_data_2024_ver0!I479</f>
        <v>8</v>
      </c>
      <c r="K479" s="3">
        <f>parking_demand_data_2024_ver0!J479</f>
        <v>2</v>
      </c>
      <c r="L479" s="3">
        <f>parking_demand_data_2024_ver0!K479</f>
        <v>2</v>
      </c>
      <c r="M479" s="3">
        <f>parking_demand_data_2024_ver0!L479</f>
        <v>0</v>
      </c>
      <c r="N479" s="3">
        <f>parking_demand_data_2024_ver0!M479</f>
        <v>653</v>
      </c>
      <c r="O479" s="3">
        <f>parking_demand_data_2024_ver0!N479</f>
        <v>0</v>
      </c>
      <c r="P479" s="3">
        <f>parking_demand_data_2024_ver0!O479</f>
        <v>0</v>
      </c>
      <c r="Q479" s="3">
        <f>parking_demand_data_2024_ver0!P479</f>
        <v>123</v>
      </c>
      <c r="R479" s="3">
        <f>parking_demand_data_2024_ver0!Q479</f>
        <v>400</v>
      </c>
      <c r="S479" s="3">
        <f>parking_demand_data_2024_ver0!R479</f>
        <v>130</v>
      </c>
      <c r="T479" s="3">
        <f>parking_demand_data_2024_ver0!S479</f>
        <v>0</v>
      </c>
    </row>
    <row r="480" spans="1:20" x14ac:dyDescent="0.25">
      <c r="A480">
        <v>18039</v>
      </c>
      <c r="B480" t="s">
        <v>48</v>
      </c>
      <c r="C480">
        <v>22</v>
      </c>
      <c r="D480" s="3">
        <f>parking_demand_data_2024_ver0!D480*calibration!$I$31</f>
        <v>299.46964000175501</v>
      </c>
      <c r="E480" s="3">
        <f>parking_demand_data_2024_ver0!E480*calibration!$I$31</f>
        <v>36.930992289767701</v>
      </c>
      <c r="F480" s="3">
        <f t="shared" si="7"/>
        <v>336.4006322915227</v>
      </c>
      <c r="G480" s="3">
        <f>parking_demand_data_2024_ver0!F480</f>
        <v>12</v>
      </c>
      <c r="H480" s="3">
        <f>parking_demand_data_2024_ver0!G480</f>
        <v>0</v>
      </c>
      <c r="I480" s="3">
        <f>parking_demand_data_2024_ver0!H480</f>
        <v>0</v>
      </c>
      <c r="J480" s="3">
        <f>parking_demand_data_2024_ver0!I480</f>
        <v>8</v>
      </c>
      <c r="K480" s="3">
        <f>parking_demand_data_2024_ver0!J480</f>
        <v>2</v>
      </c>
      <c r="L480" s="3">
        <f>parking_demand_data_2024_ver0!K480</f>
        <v>2</v>
      </c>
      <c r="M480" s="3">
        <f>parking_demand_data_2024_ver0!L480</f>
        <v>0</v>
      </c>
      <c r="N480" s="3">
        <f>parking_demand_data_2024_ver0!M480</f>
        <v>653</v>
      </c>
      <c r="O480" s="3">
        <f>parking_demand_data_2024_ver0!N480</f>
        <v>0</v>
      </c>
      <c r="P480" s="3">
        <f>parking_demand_data_2024_ver0!O480</f>
        <v>0</v>
      </c>
      <c r="Q480" s="3">
        <f>parking_demand_data_2024_ver0!P480</f>
        <v>123</v>
      </c>
      <c r="R480" s="3">
        <f>parking_demand_data_2024_ver0!Q480</f>
        <v>400</v>
      </c>
      <c r="S480" s="3">
        <f>parking_demand_data_2024_ver0!R480</f>
        <v>130</v>
      </c>
      <c r="T480" s="3">
        <f>parking_demand_data_2024_ver0!S480</f>
        <v>0</v>
      </c>
    </row>
    <row r="481" spans="1:20" x14ac:dyDescent="0.25">
      <c r="A481">
        <v>18039</v>
      </c>
      <c r="B481" t="s">
        <v>48</v>
      </c>
      <c r="C481">
        <v>23</v>
      </c>
      <c r="D481" s="3">
        <f>parking_demand_data_2024_ver0!D481*calibration!$I$31</f>
        <v>323.74698553088501</v>
      </c>
      <c r="E481" s="3">
        <f>parking_demand_data_2024_ver0!E481*calibration!$I$31</f>
        <v>41.246964828279701</v>
      </c>
      <c r="F481" s="3">
        <f t="shared" si="7"/>
        <v>364.99395035916473</v>
      </c>
      <c r="G481" s="3">
        <f>parking_demand_data_2024_ver0!F481</f>
        <v>12</v>
      </c>
      <c r="H481" s="3">
        <f>parking_demand_data_2024_ver0!G481</f>
        <v>0</v>
      </c>
      <c r="I481" s="3">
        <f>parking_demand_data_2024_ver0!H481</f>
        <v>0</v>
      </c>
      <c r="J481" s="3">
        <f>parking_demand_data_2024_ver0!I481</f>
        <v>8</v>
      </c>
      <c r="K481" s="3">
        <f>parking_demand_data_2024_ver0!J481</f>
        <v>2</v>
      </c>
      <c r="L481" s="3">
        <f>parking_demand_data_2024_ver0!K481</f>
        <v>2</v>
      </c>
      <c r="M481" s="3">
        <f>parking_demand_data_2024_ver0!L481</f>
        <v>0</v>
      </c>
      <c r="N481" s="3">
        <f>parking_demand_data_2024_ver0!M481</f>
        <v>653</v>
      </c>
      <c r="O481" s="3">
        <f>parking_demand_data_2024_ver0!N481</f>
        <v>0</v>
      </c>
      <c r="P481" s="3">
        <f>parking_demand_data_2024_ver0!O481</f>
        <v>0</v>
      </c>
      <c r="Q481" s="3">
        <f>parking_demand_data_2024_ver0!P481</f>
        <v>123</v>
      </c>
      <c r="R481" s="3">
        <f>parking_demand_data_2024_ver0!Q481</f>
        <v>400</v>
      </c>
      <c r="S481" s="3">
        <f>parking_demand_data_2024_ver0!R481</f>
        <v>130</v>
      </c>
      <c r="T481" s="3">
        <f>parking_demand_data_2024_ver0!S481</f>
        <v>0</v>
      </c>
    </row>
    <row r="482" spans="1:20" x14ac:dyDescent="0.25">
      <c r="A482">
        <v>18041</v>
      </c>
      <c r="B482" t="s">
        <v>49</v>
      </c>
      <c r="C482">
        <v>0</v>
      </c>
      <c r="D482" s="3">
        <f>parking_demand_data_2024_ver0!D482*calibration!$I$31</f>
        <v>0</v>
      </c>
      <c r="E482" s="3">
        <f>parking_demand_data_2024_ver0!E482*calibration!$I$31</f>
        <v>0</v>
      </c>
      <c r="F482" s="3">
        <f t="shared" si="7"/>
        <v>0</v>
      </c>
      <c r="G482" s="3">
        <f>parking_demand_data_2024_ver0!F482</f>
        <v>0</v>
      </c>
      <c r="H482" s="3">
        <f>parking_demand_data_2024_ver0!G482</f>
        <v>0</v>
      </c>
      <c r="I482" s="3">
        <f>parking_demand_data_2024_ver0!H482</f>
        <v>0</v>
      </c>
      <c r="J482" s="3">
        <f>parking_demand_data_2024_ver0!I482</f>
        <v>0</v>
      </c>
      <c r="K482" s="3">
        <f>parking_demand_data_2024_ver0!J482</f>
        <v>0</v>
      </c>
      <c r="L482" s="3">
        <f>parking_demand_data_2024_ver0!K482</f>
        <v>0</v>
      </c>
      <c r="M482" s="3">
        <f>parking_demand_data_2024_ver0!L482</f>
        <v>0</v>
      </c>
      <c r="N482" s="3">
        <f>parking_demand_data_2024_ver0!M482</f>
        <v>0</v>
      </c>
      <c r="O482" s="3">
        <f>parking_demand_data_2024_ver0!N482</f>
        <v>0</v>
      </c>
      <c r="P482" s="3">
        <f>parking_demand_data_2024_ver0!O482</f>
        <v>0</v>
      </c>
      <c r="Q482" s="3">
        <f>parking_demand_data_2024_ver0!P482</f>
        <v>0</v>
      </c>
      <c r="R482" s="3">
        <f>parking_demand_data_2024_ver0!Q482</f>
        <v>0</v>
      </c>
      <c r="S482" s="3">
        <f>parking_demand_data_2024_ver0!R482</f>
        <v>0</v>
      </c>
      <c r="T482" s="3">
        <f>parking_demand_data_2024_ver0!S482</f>
        <v>0</v>
      </c>
    </row>
    <row r="483" spans="1:20" x14ac:dyDescent="0.25">
      <c r="A483">
        <v>18041</v>
      </c>
      <c r="B483" t="s">
        <v>49</v>
      </c>
      <c r="C483">
        <v>1</v>
      </c>
      <c r="D483" s="3">
        <f>parking_demand_data_2024_ver0!D483*calibration!$I$31</f>
        <v>0</v>
      </c>
      <c r="E483" s="3">
        <f>parking_demand_data_2024_ver0!E483*calibration!$I$31</f>
        <v>0</v>
      </c>
      <c r="F483" s="3">
        <f t="shared" si="7"/>
        <v>0</v>
      </c>
      <c r="G483" s="3">
        <f>parking_demand_data_2024_ver0!F483</f>
        <v>0</v>
      </c>
      <c r="H483" s="3">
        <f>parking_demand_data_2024_ver0!G483</f>
        <v>0</v>
      </c>
      <c r="I483" s="3">
        <f>parking_demand_data_2024_ver0!H483</f>
        <v>0</v>
      </c>
      <c r="J483" s="3">
        <f>parking_demand_data_2024_ver0!I483</f>
        <v>0</v>
      </c>
      <c r="K483" s="3">
        <f>parking_demand_data_2024_ver0!J483</f>
        <v>0</v>
      </c>
      <c r="L483" s="3">
        <f>parking_demand_data_2024_ver0!K483</f>
        <v>0</v>
      </c>
      <c r="M483" s="3">
        <f>parking_demand_data_2024_ver0!L483</f>
        <v>0</v>
      </c>
      <c r="N483" s="3">
        <f>parking_demand_data_2024_ver0!M483</f>
        <v>0</v>
      </c>
      <c r="O483" s="3">
        <f>parking_demand_data_2024_ver0!N483</f>
        <v>0</v>
      </c>
      <c r="P483" s="3">
        <f>parking_demand_data_2024_ver0!O483</f>
        <v>0</v>
      </c>
      <c r="Q483" s="3">
        <f>parking_demand_data_2024_ver0!P483</f>
        <v>0</v>
      </c>
      <c r="R483" s="3">
        <f>parking_demand_data_2024_ver0!Q483</f>
        <v>0</v>
      </c>
      <c r="S483" s="3">
        <f>parking_demand_data_2024_ver0!R483</f>
        <v>0</v>
      </c>
      <c r="T483" s="3">
        <f>parking_demand_data_2024_ver0!S483</f>
        <v>0</v>
      </c>
    </row>
    <row r="484" spans="1:20" x14ac:dyDescent="0.25">
      <c r="A484">
        <v>18041</v>
      </c>
      <c r="B484" t="s">
        <v>49</v>
      </c>
      <c r="C484">
        <v>2</v>
      </c>
      <c r="D484" s="3">
        <f>parking_demand_data_2024_ver0!D484*calibration!$I$31</f>
        <v>0</v>
      </c>
      <c r="E484" s="3">
        <f>parking_demand_data_2024_ver0!E484*calibration!$I$31</f>
        <v>0</v>
      </c>
      <c r="F484" s="3">
        <f t="shared" si="7"/>
        <v>0</v>
      </c>
      <c r="G484" s="3">
        <f>parking_demand_data_2024_ver0!F484</f>
        <v>0</v>
      </c>
      <c r="H484" s="3">
        <f>parking_demand_data_2024_ver0!G484</f>
        <v>0</v>
      </c>
      <c r="I484" s="3">
        <f>parking_demand_data_2024_ver0!H484</f>
        <v>0</v>
      </c>
      <c r="J484" s="3">
        <f>parking_demand_data_2024_ver0!I484</f>
        <v>0</v>
      </c>
      <c r="K484" s="3">
        <f>parking_demand_data_2024_ver0!J484</f>
        <v>0</v>
      </c>
      <c r="L484" s="3">
        <f>parking_demand_data_2024_ver0!K484</f>
        <v>0</v>
      </c>
      <c r="M484" s="3">
        <f>parking_demand_data_2024_ver0!L484</f>
        <v>0</v>
      </c>
      <c r="N484" s="3">
        <f>parking_demand_data_2024_ver0!M484</f>
        <v>0</v>
      </c>
      <c r="O484" s="3">
        <f>parking_demand_data_2024_ver0!N484</f>
        <v>0</v>
      </c>
      <c r="P484" s="3">
        <f>parking_demand_data_2024_ver0!O484</f>
        <v>0</v>
      </c>
      <c r="Q484" s="3">
        <f>parking_demand_data_2024_ver0!P484</f>
        <v>0</v>
      </c>
      <c r="R484" s="3">
        <f>parking_demand_data_2024_ver0!Q484</f>
        <v>0</v>
      </c>
      <c r="S484" s="3">
        <f>parking_demand_data_2024_ver0!R484</f>
        <v>0</v>
      </c>
      <c r="T484" s="3">
        <f>parking_demand_data_2024_ver0!S484</f>
        <v>0</v>
      </c>
    </row>
    <row r="485" spans="1:20" x14ac:dyDescent="0.25">
      <c r="A485">
        <v>18041</v>
      </c>
      <c r="B485" t="s">
        <v>49</v>
      </c>
      <c r="C485">
        <v>3</v>
      </c>
      <c r="D485" s="3">
        <f>parking_demand_data_2024_ver0!D485*calibration!$I$31</f>
        <v>0</v>
      </c>
      <c r="E485" s="3">
        <f>parking_demand_data_2024_ver0!E485*calibration!$I$31</f>
        <v>0</v>
      </c>
      <c r="F485" s="3">
        <f t="shared" si="7"/>
        <v>0</v>
      </c>
      <c r="G485" s="3">
        <f>parking_demand_data_2024_ver0!F485</f>
        <v>0</v>
      </c>
      <c r="H485" s="3">
        <f>parking_demand_data_2024_ver0!G485</f>
        <v>0</v>
      </c>
      <c r="I485" s="3">
        <f>parking_demand_data_2024_ver0!H485</f>
        <v>0</v>
      </c>
      <c r="J485" s="3">
        <f>parking_demand_data_2024_ver0!I485</f>
        <v>0</v>
      </c>
      <c r="K485" s="3">
        <f>parking_demand_data_2024_ver0!J485</f>
        <v>0</v>
      </c>
      <c r="L485" s="3">
        <f>parking_demand_data_2024_ver0!K485</f>
        <v>0</v>
      </c>
      <c r="M485" s="3">
        <f>parking_demand_data_2024_ver0!L485</f>
        <v>0</v>
      </c>
      <c r="N485" s="3">
        <f>parking_demand_data_2024_ver0!M485</f>
        <v>0</v>
      </c>
      <c r="O485" s="3">
        <f>parking_demand_data_2024_ver0!N485</f>
        <v>0</v>
      </c>
      <c r="P485" s="3">
        <f>parking_demand_data_2024_ver0!O485</f>
        <v>0</v>
      </c>
      <c r="Q485" s="3">
        <f>parking_demand_data_2024_ver0!P485</f>
        <v>0</v>
      </c>
      <c r="R485" s="3">
        <f>parking_demand_data_2024_ver0!Q485</f>
        <v>0</v>
      </c>
      <c r="S485" s="3">
        <f>parking_demand_data_2024_ver0!R485</f>
        <v>0</v>
      </c>
      <c r="T485" s="3">
        <f>parking_demand_data_2024_ver0!S485</f>
        <v>0</v>
      </c>
    </row>
    <row r="486" spans="1:20" x14ac:dyDescent="0.25">
      <c r="A486">
        <v>18041</v>
      </c>
      <c r="B486" t="s">
        <v>49</v>
      </c>
      <c r="C486">
        <v>4</v>
      </c>
      <c r="D486" s="3">
        <f>parking_demand_data_2024_ver0!D486*calibration!$I$31</f>
        <v>0</v>
      </c>
      <c r="E486" s="3">
        <f>parking_demand_data_2024_ver0!E486*calibration!$I$31</f>
        <v>0</v>
      </c>
      <c r="F486" s="3">
        <f t="shared" si="7"/>
        <v>0</v>
      </c>
      <c r="G486" s="3">
        <f>parking_demand_data_2024_ver0!F486</f>
        <v>0</v>
      </c>
      <c r="H486" s="3">
        <f>parking_demand_data_2024_ver0!G486</f>
        <v>0</v>
      </c>
      <c r="I486" s="3">
        <f>parking_demand_data_2024_ver0!H486</f>
        <v>0</v>
      </c>
      <c r="J486" s="3">
        <f>parking_demand_data_2024_ver0!I486</f>
        <v>0</v>
      </c>
      <c r="K486" s="3">
        <f>parking_demand_data_2024_ver0!J486</f>
        <v>0</v>
      </c>
      <c r="L486" s="3">
        <f>parking_demand_data_2024_ver0!K486</f>
        <v>0</v>
      </c>
      <c r="M486" s="3">
        <f>parking_demand_data_2024_ver0!L486</f>
        <v>0</v>
      </c>
      <c r="N486" s="3">
        <f>parking_demand_data_2024_ver0!M486</f>
        <v>0</v>
      </c>
      <c r="O486" s="3">
        <f>parking_demand_data_2024_ver0!N486</f>
        <v>0</v>
      </c>
      <c r="P486" s="3">
        <f>parking_demand_data_2024_ver0!O486</f>
        <v>0</v>
      </c>
      <c r="Q486" s="3">
        <f>parking_demand_data_2024_ver0!P486</f>
        <v>0</v>
      </c>
      <c r="R486" s="3">
        <f>parking_demand_data_2024_ver0!Q486</f>
        <v>0</v>
      </c>
      <c r="S486" s="3">
        <f>parking_demand_data_2024_ver0!R486</f>
        <v>0</v>
      </c>
      <c r="T486" s="3">
        <f>parking_demand_data_2024_ver0!S486</f>
        <v>0</v>
      </c>
    </row>
    <row r="487" spans="1:20" x14ac:dyDescent="0.25">
      <c r="A487">
        <v>18041</v>
      </c>
      <c r="B487" t="s">
        <v>49</v>
      </c>
      <c r="C487">
        <v>5</v>
      </c>
      <c r="D487" s="3">
        <f>parking_demand_data_2024_ver0!D487*calibration!$I$31</f>
        <v>0</v>
      </c>
      <c r="E487" s="3">
        <f>parking_demand_data_2024_ver0!E487*calibration!$I$31</f>
        <v>0</v>
      </c>
      <c r="F487" s="3">
        <f t="shared" si="7"/>
        <v>0</v>
      </c>
      <c r="G487" s="3">
        <f>parking_demand_data_2024_ver0!F487</f>
        <v>0</v>
      </c>
      <c r="H487" s="3">
        <f>parking_demand_data_2024_ver0!G487</f>
        <v>0</v>
      </c>
      <c r="I487" s="3">
        <f>parking_demand_data_2024_ver0!H487</f>
        <v>0</v>
      </c>
      <c r="J487" s="3">
        <f>parking_demand_data_2024_ver0!I487</f>
        <v>0</v>
      </c>
      <c r="K487" s="3">
        <f>parking_demand_data_2024_ver0!J487</f>
        <v>0</v>
      </c>
      <c r="L487" s="3">
        <f>parking_demand_data_2024_ver0!K487</f>
        <v>0</v>
      </c>
      <c r="M487" s="3">
        <f>parking_demand_data_2024_ver0!L487</f>
        <v>0</v>
      </c>
      <c r="N487" s="3">
        <f>parking_demand_data_2024_ver0!M487</f>
        <v>0</v>
      </c>
      <c r="O487" s="3">
        <f>parking_demand_data_2024_ver0!N487</f>
        <v>0</v>
      </c>
      <c r="P487" s="3">
        <f>parking_demand_data_2024_ver0!O487</f>
        <v>0</v>
      </c>
      <c r="Q487" s="3">
        <f>parking_demand_data_2024_ver0!P487</f>
        <v>0</v>
      </c>
      <c r="R487" s="3">
        <f>parking_demand_data_2024_ver0!Q487</f>
        <v>0</v>
      </c>
      <c r="S487" s="3">
        <f>parking_demand_data_2024_ver0!R487</f>
        <v>0</v>
      </c>
      <c r="T487" s="3">
        <f>parking_demand_data_2024_ver0!S487</f>
        <v>0</v>
      </c>
    </row>
    <row r="488" spans="1:20" x14ac:dyDescent="0.25">
      <c r="A488">
        <v>18041</v>
      </c>
      <c r="B488" t="s">
        <v>49</v>
      </c>
      <c r="C488">
        <v>6</v>
      </c>
      <c r="D488" s="3">
        <f>parking_demand_data_2024_ver0!D488*calibration!$I$31</f>
        <v>0</v>
      </c>
      <c r="E488" s="3">
        <f>parking_demand_data_2024_ver0!E488*calibration!$I$31</f>
        <v>6.9050462559086201E-2</v>
      </c>
      <c r="F488" s="3">
        <f t="shared" si="7"/>
        <v>6.9050462559086201E-2</v>
      </c>
      <c r="G488" s="3">
        <f>parking_demand_data_2024_ver0!F488</f>
        <v>0</v>
      </c>
      <c r="H488" s="3">
        <f>parking_demand_data_2024_ver0!G488</f>
        <v>0</v>
      </c>
      <c r="I488" s="3">
        <f>parking_demand_data_2024_ver0!H488</f>
        <v>0</v>
      </c>
      <c r="J488" s="3">
        <f>parking_demand_data_2024_ver0!I488</f>
        <v>0</v>
      </c>
      <c r="K488" s="3">
        <f>parking_demand_data_2024_ver0!J488</f>
        <v>0</v>
      </c>
      <c r="L488" s="3">
        <f>parking_demand_data_2024_ver0!K488</f>
        <v>0</v>
      </c>
      <c r="M488" s="3">
        <f>parking_demand_data_2024_ver0!L488</f>
        <v>0</v>
      </c>
      <c r="N488" s="3">
        <f>parking_demand_data_2024_ver0!M488</f>
        <v>0</v>
      </c>
      <c r="O488" s="3">
        <f>parking_demand_data_2024_ver0!N488</f>
        <v>0</v>
      </c>
      <c r="P488" s="3">
        <f>parking_demand_data_2024_ver0!O488</f>
        <v>0</v>
      </c>
      <c r="Q488" s="3">
        <f>parking_demand_data_2024_ver0!P488</f>
        <v>0</v>
      </c>
      <c r="R488" s="3">
        <f>parking_demand_data_2024_ver0!Q488</f>
        <v>0</v>
      </c>
      <c r="S488" s="3">
        <f>parking_demand_data_2024_ver0!R488</f>
        <v>0</v>
      </c>
      <c r="T488" s="3">
        <f>parking_demand_data_2024_ver0!S488</f>
        <v>0</v>
      </c>
    </row>
    <row r="489" spans="1:20" x14ac:dyDescent="0.25">
      <c r="A489">
        <v>18041</v>
      </c>
      <c r="B489" t="s">
        <v>49</v>
      </c>
      <c r="C489">
        <v>7</v>
      </c>
      <c r="D489" s="3">
        <f>parking_demand_data_2024_ver0!D489*calibration!$I$31</f>
        <v>0</v>
      </c>
      <c r="E489" s="3">
        <f>parking_demand_data_2024_ver0!E489*calibration!$I$31</f>
        <v>1.00123170710675</v>
      </c>
      <c r="F489" s="3">
        <f t="shared" si="7"/>
        <v>1.00123170710675</v>
      </c>
      <c r="G489" s="3">
        <f>parking_demand_data_2024_ver0!F489</f>
        <v>0</v>
      </c>
      <c r="H489" s="3">
        <f>parking_demand_data_2024_ver0!G489</f>
        <v>0</v>
      </c>
      <c r="I489" s="3">
        <f>parking_demand_data_2024_ver0!H489</f>
        <v>0</v>
      </c>
      <c r="J489" s="3">
        <f>parking_demand_data_2024_ver0!I489</f>
        <v>0</v>
      </c>
      <c r="K489" s="3">
        <f>parking_demand_data_2024_ver0!J489</f>
        <v>0</v>
      </c>
      <c r="L489" s="3">
        <f>parking_demand_data_2024_ver0!K489</f>
        <v>0</v>
      </c>
      <c r="M489" s="3">
        <f>parking_demand_data_2024_ver0!L489</f>
        <v>0</v>
      </c>
      <c r="N489" s="3">
        <f>parking_demand_data_2024_ver0!M489</f>
        <v>0</v>
      </c>
      <c r="O489" s="3">
        <f>parking_demand_data_2024_ver0!N489</f>
        <v>0</v>
      </c>
      <c r="P489" s="3">
        <f>parking_demand_data_2024_ver0!O489</f>
        <v>0</v>
      </c>
      <c r="Q489" s="3">
        <f>parking_demand_data_2024_ver0!P489</f>
        <v>0</v>
      </c>
      <c r="R489" s="3">
        <f>parking_demand_data_2024_ver0!Q489</f>
        <v>0</v>
      </c>
      <c r="S489" s="3">
        <f>parking_demand_data_2024_ver0!R489</f>
        <v>0</v>
      </c>
      <c r="T489" s="3">
        <f>parking_demand_data_2024_ver0!S489</f>
        <v>0</v>
      </c>
    </row>
    <row r="490" spans="1:20" x14ac:dyDescent="0.25">
      <c r="A490">
        <v>18041</v>
      </c>
      <c r="B490" t="s">
        <v>49</v>
      </c>
      <c r="C490">
        <v>8</v>
      </c>
      <c r="D490" s="3">
        <f>parking_demand_data_2024_ver0!D490*calibration!$I$31</f>
        <v>0</v>
      </c>
      <c r="E490" s="3">
        <f>parking_demand_data_2024_ver0!E490*calibration!$I$31</f>
        <v>2.9691698900407002</v>
      </c>
      <c r="F490" s="3">
        <f t="shared" si="7"/>
        <v>2.9691698900407002</v>
      </c>
      <c r="G490" s="3">
        <f>parking_demand_data_2024_ver0!F490</f>
        <v>0</v>
      </c>
      <c r="H490" s="3">
        <f>parking_demand_data_2024_ver0!G490</f>
        <v>0</v>
      </c>
      <c r="I490" s="3">
        <f>parking_demand_data_2024_ver0!H490</f>
        <v>0</v>
      </c>
      <c r="J490" s="3">
        <f>parking_demand_data_2024_ver0!I490</f>
        <v>0</v>
      </c>
      <c r="K490" s="3">
        <f>parking_demand_data_2024_ver0!J490</f>
        <v>0</v>
      </c>
      <c r="L490" s="3">
        <f>parking_demand_data_2024_ver0!K490</f>
        <v>0</v>
      </c>
      <c r="M490" s="3">
        <f>parking_demand_data_2024_ver0!L490</f>
        <v>0</v>
      </c>
      <c r="N490" s="3">
        <f>parking_demand_data_2024_ver0!M490</f>
        <v>0</v>
      </c>
      <c r="O490" s="3">
        <f>parking_demand_data_2024_ver0!N490</f>
        <v>0</v>
      </c>
      <c r="P490" s="3">
        <f>parking_demand_data_2024_ver0!O490</f>
        <v>0</v>
      </c>
      <c r="Q490" s="3">
        <f>parking_demand_data_2024_ver0!P490</f>
        <v>0</v>
      </c>
      <c r="R490" s="3">
        <f>parking_demand_data_2024_ver0!Q490</f>
        <v>0</v>
      </c>
      <c r="S490" s="3">
        <f>parking_demand_data_2024_ver0!R490</f>
        <v>0</v>
      </c>
      <c r="T490" s="3">
        <f>parking_demand_data_2024_ver0!S490</f>
        <v>0</v>
      </c>
    </row>
    <row r="491" spans="1:20" x14ac:dyDescent="0.25">
      <c r="A491">
        <v>18041</v>
      </c>
      <c r="B491" t="s">
        <v>49</v>
      </c>
      <c r="C491">
        <v>9</v>
      </c>
      <c r="D491" s="3">
        <f>parking_demand_data_2024_ver0!D491*calibration!$I$31</f>
        <v>0</v>
      </c>
      <c r="E491" s="3">
        <f>parking_demand_data_2024_ver0!E491*calibration!$I$31</f>
        <v>1.3464840199021799</v>
      </c>
      <c r="F491" s="3">
        <f t="shared" si="7"/>
        <v>1.3464840199021799</v>
      </c>
      <c r="G491" s="3">
        <f>parking_demand_data_2024_ver0!F491</f>
        <v>0</v>
      </c>
      <c r="H491" s="3">
        <f>parking_demand_data_2024_ver0!G491</f>
        <v>0</v>
      </c>
      <c r="I491" s="3">
        <f>parking_demand_data_2024_ver0!H491</f>
        <v>0</v>
      </c>
      <c r="J491" s="3">
        <f>parking_demand_data_2024_ver0!I491</f>
        <v>0</v>
      </c>
      <c r="K491" s="3">
        <f>parking_demand_data_2024_ver0!J491</f>
        <v>0</v>
      </c>
      <c r="L491" s="3">
        <f>parking_demand_data_2024_ver0!K491</f>
        <v>0</v>
      </c>
      <c r="M491" s="3">
        <f>parking_demand_data_2024_ver0!L491</f>
        <v>0</v>
      </c>
      <c r="N491" s="3">
        <f>parking_demand_data_2024_ver0!M491</f>
        <v>0</v>
      </c>
      <c r="O491" s="3">
        <f>parking_demand_data_2024_ver0!N491</f>
        <v>0</v>
      </c>
      <c r="P491" s="3">
        <f>parking_demand_data_2024_ver0!O491</f>
        <v>0</v>
      </c>
      <c r="Q491" s="3">
        <f>parking_demand_data_2024_ver0!P491</f>
        <v>0</v>
      </c>
      <c r="R491" s="3">
        <f>parking_demand_data_2024_ver0!Q491</f>
        <v>0</v>
      </c>
      <c r="S491" s="3">
        <f>parking_demand_data_2024_ver0!R491</f>
        <v>0</v>
      </c>
      <c r="T491" s="3">
        <f>parking_demand_data_2024_ver0!S491</f>
        <v>0</v>
      </c>
    </row>
    <row r="492" spans="1:20" x14ac:dyDescent="0.25">
      <c r="A492">
        <v>18041</v>
      </c>
      <c r="B492" t="s">
        <v>49</v>
      </c>
      <c r="C492">
        <v>10</v>
      </c>
      <c r="D492" s="3">
        <f>parking_demand_data_2024_ver0!D492*calibration!$I$31</f>
        <v>0</v>
      </c>
      <c r="E492" s="3">
        <f>parking_demand_data_2024_ver0!E492*calibration!$I$31</f>
        <v>1.3464840199021799</v>
      </c>
      <c r="F492" s="3">
        <f t="shared" si="7"/>
        <v>1.3464840199021799</v>
      </c>
      <c r="G492" s="3">
        <f>parking_demand_data_2024_ver0!F492</f>
        <v>0</v>
      </c>
      <c r="H492" s="3">
        <f>parking_demand_data_2024_ver0!G492</f>
        <v>0</v>
      </c>
      <c r="I492" s="3">
        <f>parking_demand_data_2024_ver0!H492</f>
        <v>0</v>
      </c>
      <c r="J492" s="3">
        <f>parking_demand_data_2024_ver0!I492</f>
        <v>0</v>
      </c>
      <c r="K492" s="3">
        <f>parking_demand_data_2024_ver0!J492</f>
        <v>0</v>
      </c>
      <c r="L492" s="3">
        <f>parking_demand_data_2024_ver0!K492</f>
        <v>0</v>
      </c>
      <c r="M492" s="3">
        <f>parking_demand_data_2024_ver0!L492</f>
        <v>0</v>
      </c>
      <c r="N492" s="3">
        <f>parking_demand_data_2024_ver0!M492</f>
        <v>0</v>
      </c>
      <c r="O492" s="3">
        <f>parking_demand_data_2024_ver0!N492</f>
        <v>0</v>
      </c>
      <c r="P492" s="3">
        <f>parking_demand_data_2024_ver0!O492</f>
        <v>0</v>
      </c>
      <c r="Q492" s="3">
        <f>parking_demand_data_2024_ver0!P492</f>
        <v>0</v>
      </c>
      <c r="R492" s="3">
        <f>parking_demand_data_2024_ver0!Q492</f>
        <v>0</v>
      </c>
      <c r="S492" s="3">
        <f>parking_demand_data_2024_ver0!R492</f>
        <v>0</v>
      </c>
      <c r="T492" s="3">
        <f>parking_demand_data_2024_ver0!S492</f>
        <v>0</v>
      </c>
    </row>
    <row r="493" spans="1:20" x14ac:dyDescent="0.25">
      <c r="A493">
        <v>18041</v>
      </c>
      <c r="B493" t="s">
        <v>49</v>
      </c>
      <c r="C493">
        <v>11</v>
      </c>
      <c r="D493" s="3">
        <f>parking_demand_data_2024_ver0!D493*calibration!$I$31</f>
        <v>0</v>
      </c>
      <c r="E493" s="3">
        <f>parking_demand_data_2024_ver0!E493*calibration!$I$31</f>
        <v>1.13933263222492</v>
      </c>
      <c r="F493" s="3">
        <f t="shared" si="7"/>
        <v>1.13933263222492</v>
      </c>
      <c r="G493" s="3">
        <f>parking_demand_data_2024_ver0!F493</f>
        <v>0</v>
      </c>
      <c r="H493" s="3">
        <f>parking_demand_data_2024_ver0!G493</f>
        <v>0</v>
      </c>
      <c r="I493" s="3">
        <f>parking_demand_data_2024_ver0!H493</f>
        <v>0</v>
      </c>
      <c r="J493" s="3">
        <f>parking_demand_data_2024_ver0!I493</f>
        <v>0</v>
      </c>
      <c r="K493" s="3">
        <f>parking_demand_data_2024_ver0!J493</f>
        <v>0</v>
      </c>
      <c r="L493" s="3">
        <f>parking_demand_data_2024_ver0!K493</f>
        <v>0</v>
      </c>
      <c r="M493" s="3">
        <f>parking_demand_data_2024_ver0!L493</f>
        <v>0</v>
      </c>
      <c r="N493" s="3">
        <f>parking_demand_data_2024_ver0!M493</f>
        <v>0</v>
      </c>
      <c r="O493" s="3">
        <f>parking_demand_data_2024_ver0!N493</f>
        <v>0</v>
      </c>
      <c r="P493" s="3">
        <f>parking_demand_data_2024_ver0!O493</f>
        <v>0</v>
      </c>
      <c r="Q493" s="3">
        <f>parking_demand_data_2024_ver0!P493</f>
        <v>0</v>
      </c>
      <c r="R493" s="3">
        <f>parking_demand_data_2024_ver0!Q493</f>
        <v>0</v>
      </c>
      <c r="S493" s="3">
        <f>parking_demand_data_2024_ver0!R493</f>
        <v>0</v>
      </c>
      <c r="T493" s="3">
        <f>parking_demand_data_2024_ver0!S493</f>
        <v>0</v>
      </c>
    </row>
    <row r="494" spans="1:20" x14ac:dyDescent="0.25">
      <c r="A494">
        <v>18041</v>
      </c>
      <c r="B494" t="s">
        <v>49</v>
      </c>
      <c r="C494">
        <v>12</v>
      </c>
      <c r="D494" s="3">
        <f>parking_demand_data_2024_ver0!D494*calibration!$I$31</f>
        <v>0</v>
      </c>
      <c r="E494" s="3">
        <f>parking_demand_data_2024_ver0!E494*calibration!$I$31</f>
        <v>0.93218124454766405</v>
      </c>
      <c r="F494" s="3">
        <f t="shared" si="7"/>
        <v>0.93218124454766405</v>
      </c>
      <c r="G494" s="3">
        <f>parking_demand_data_2024_ver0!F494</f>
        <v>0</v>
      </c>
      <c r="H494" s="3">
        <f>parking_demand_data_2024_ver0!G494</f>
        <v>0</v>
      </c>
      <c r="I494" s="3">
        <f>parking_demand_data_2024_ver0!H494</f>
        <v>0</v>
      </c>
      <c r="J494" s="3">
        <f>parking_demand_data_2024_ver0!I494</f>
        <v>0</v>
      </c>
      <c r="K494" s="3">
        <f>parking_demand_data_2024_ver0!J494</f>
        <v>0</v>
      </c>
      <c r="L494" s="3">
        <f>parking_demand_data_2024_ver0!K494</f>
        <v>0</v>
      </c>
      <c r="M494" s="3">
        <f>parking_demand_data_2024_ver0!L494</f>
        <v>0</v>
      </c>
      <c r="N494" s="3">
        <f>parking_demand_data_2024_ver0!M494</f>
        <v>0</v>
      </c>
      <c r="O494" s="3">
        <f>parking_demand_data_2024_ver0!N494</f>
        <v>0</v>
      </c>
      <c r="P494" s="3">
        <f>parking_demand_data_2024_ver0!O494</f>
        <v>0</v>
      </c>
      <c r="Q494" s="3">
        <f>parking_demand_data_2024_ver0!P494</f>
        <v>0</v>
      </c>
      <c r="R494" s="3">
        <f>parking_demand_data_2024_ver0!Q494</f>
        <v>0</v>
      </c>
      <c r="S494" s="3">
        <f>parking_demand_data_2024_ver0!R494</f>
        <v>0</v>
      </c>
      <c r="T494" s="3">
        <f>parking_demand_data_2024_ver0!S494</f>
        <v>0</v>
      </c>
    </row>
    <row r="495" spans="1:20" x14ac:dyDescent="0.25">
      <c r="A495">
        <v>18041</v>
      </c>
      <c r="B495" t="s">
        <v>49</v>
      </c>
      <c r="C495">
        <v>13</v>
      </c>
      <c r="D495" s="3">
        <f>parking_demand_data_2024_ver0!D495*calibration!$I$31</f>
        <v>0</v>
      </c>
      <c r="E495" s="3">
        <f>parking_demand_data_2024_ver0!E495*calibration!$I$31</f>
        <v>0.31072708151588802</v>
      </c>
      <c r="F495" s="3">
        <f t="shared" si="7"/>
        <v>0.31072708151588802</v>
      </c>
      <c r="G495" s="3">
        <f>parking_demand_data_2024_ver0!F495</f>
        <v>0</v>
      </c>
      <c r="H495" s="3">
        <f>parking_demand_data_2024_ver0!G495</f>
        <v>0</v>
      </c>
      <c r="I495" s="3">
        <f>parking_demand_data_2024_ver0!H495</f>
        <v>0</v>
      </c>
      <c r="J495" s="3">
        <f>parking_demand_data_2024_ver0!I495</f>
        <v>0</v>
      </c>
      <c r="K495" s="3">
        <f>parking_demand_data_2024_ver0!J495</f>
        <v>0</v>
      </c>
      <c r="L495" s="3">
        <f>parking_demand_data_2024_ver0!K495</f>
        <v>0</v>
      </c>
      <c r="M495" s="3">
        <f>parking_demand_data_2024_ver0!L495</f>
        <v>0</v>
      </c>
      <c r="N495" s="3">
        <f>parking_demand_data_2024_ver0!M495</f>
        <v>0</v>
      </c>
      <c r="O495" s="3">
        <f>parking_demand_data_2024_ver0!N495</f>
        <v>0</v>
      </c>
      <c r="P495" s="3">
        <f>parking_demand_data_2024_ver0!O495</f>
        <v>0</v>
      </c>
      <c r="Q495" s="3">
        <f>parking_demand_data_2024_ver0!P495</f>
        <v>0</v>
      </c>
      <c r="R495" s="3">
        <f>parking_demand_data_2024_ver0!Q495</f>
        <v>0</v>
      </c>
      <c r="S495" s="3">
        <f>parking_demand_data_2024_ver0!R495</f>
        <v>0</v>
      </c>
      <c r="T495" s="3">
        <f>parking_demand_data_2024_ver0!S495</f>
        <v>0</v>
      </c>
    </row>
    <row r="496" spans="1:20" x14ac:dyDescent="0.25">
      <c r="A496">
        <v>18041</v>
      </c>
      <c r="B496" t="s">
        <v>49</v>
      </c>
      <c r="C496">
        <v>14</v>
      </c>
      <c r="D496" s="3">
        <f>parking_demand_data_2024_ver0!D496*calibration!$I$31</f>
        <v>0</v>
      </c>
      <c r="E496" s="3">
        <f>parking_demand_data_2024_ver0!E496*calibration!$I$31</f>
        <v>0</v>
      </c>
      <c r="F496" s="3">
        <f t="shared" si="7"/>
        <v>0</v>
      </c>
      <c r="G496" s="3">
        <f>parking_demand_data_2024_ver0!F496</f>
        <v>0</v>
      </c>
      <c r="H496" s="3">
        <f>parking_demand_data_2024_ver0!G496</f>
        <v>0</v>
      </c>
      <c r="I496" s="3">
        <f>parking_demand_data_2024_ver0!H496</f>
        <v>0</v>
      </c>
      <c r="J496" s="3">
        <f>parking_demand_data_2024_ver0!I496</f>
        <v>0</v>
      </c>
      <c r="K496" s="3">
        <f>parking_demand_data_2024_ver0!J496</f>
        <v>0</v>
      </c>
      <c r="L496" s="3">
        <f>parking_demand_data_2024_ver0!K496</f>
        <v>0</v>
      </c>
      <c r="M496" s="3">
        <f>parking_demand_data_2024_ver0!L496</f>
        <v>0</v>
      </c>
      <c r="N496" s="3">
        <f>parking_demand_data_2024_ver0!M496</f>
        <v>0</v>
      </c>
      <c r="O496" s="3">
        <f>parking_demand_data_2024_ver0!N496</f>
        <v>0</v>
      </c>
      <c r="P496" s="3">
        <f>parking_demand_data_2024_ver0!O496</f>
        <v>0</v>
      </c>
      <c r="Q496" s="3">
        <f>parking_demand_data_2024_ver0!P496</f>
        <v>0</v>
      </c>
      <c r="R496" s="3">
        <f>parking_demand_data_2024_ver0!Q496</f>
        <v>0</v>
      </c>
      <c r="S496" s="3">
        <f>parking_demand_data_2024_ver0!R496</f>
        <v>0</v>
      </c>
      <c r="T496" s="3">
        <f>parking_demand_data_2024_ver0!S496</f>
        <v>0</v>
      </c>
    </row>
    <row r="497" spans="1:20" x14ac:dyDescent="0.25">
      <c r="A497">
        <v>18041</v>
      </c>
      <c r="B497" t="s">
        <v>49</v>
      </c>
      <c r="C497">
        <v>15</v>
      </c>
      <c r="D497" s="3">
        <f>parking_demand_data_2024_ver0!D497*calibration!$I$31</f>
        <v>0</v>
      </c>
      <c r="E497" s="3">
        <f>parking_demand_data_2024_ver0!E497*calibration!$I$31</f>
        <v>0</v>
      </c>
      <c r="F497" s="3">
        <f t="shared" si="7"/>
        <v>0</v>
      </c>
      <c r="G497" s="3">
        <f>parking_demand_data_2024_ver0!F497</f>
        <v>0</v>
      </c>
      <c r="H497" s="3">
        <f>parking_demand_data_2024_ver0!G497</f>
        <v>0</v>
      </c>
      <c r="I497" s="3">
        <f>parking_demand_data_2024_ver0!H497</f>
        <v>0</v>
      </c>
      <c r="J497" s="3">
        <f>parking_demand_data_2024_ver0!I497</f>
        <v>0</v>
      </c>
      <c r="K497" s="3">
        <f>parking_demand_data_2024_ver0!J497</f>
        <v>0</v>
      </c>
      <c r="L497" s="3">
        <f>parking_demand_data_2024_ver0!K497</f>
        <v>0</v>
      </c>
      <c r="M497" s="3">
        <f>parking_demand_data_2024_ver0!L497</f>
        <v>0</v>
      </c>
      <c r="N497" s="3">
        <f>parking_demand_data_2024_ver0!M497</f>
        <v>0</v>
      </c>
      <c r="O497" s="3">
        <f>parking_demand_data_2024_ver0!N497</f>
        <v>0</v>
      </c>
      <c r="P497" s="3">
        <f>parking_demand_data_2024_ver0!O497</f>
        <v>0</v>
      </c>
      <c r="Q497" s="3">
        <f>parking_demand_data_2024_ver0!P497</f>
        <v>0</v>
      </c>
      <c r="R497" s="3">
        <f>parking_demand_data_2024_ver0!Q497</f>
        <v>0</v>
      </c>
      <c r="S497" s="3">
        <f>parking_demand_data_2024_ver0!R497</f>
        <v>0</v>
      </c>
      <c r="T497" s="3">
        <f>parking_demand_data_2024_ver0!S497</f>
        <v>0</v>
      </c>
    </row>
    <row r="498" spans="1:20" x14ac:dyDescent="0.25">
      <c r="A498">
        <v>18041</v>
      </c>
      <c r="B498" t="s">
        <v>49</v>
      </c>
      <c r="C498">
        <v>16</v>
      </c>
      <c r="D498" s="3">
        <f>parking_demand_data_2024_ver0!D498*calibration!$I$31</f>
        <v>0</v>
      </c>
      <c r="E498" s="3">
        <f>parking_demand_data_2024_ver0!E498*calibration!$I$31</f>
        <v>0</v>
      </c>
      <c r="F498" s="3">
        <f t="shared" si="7"/>
        <v>0</v>
      </c>
      <c r="G498" s="3">
        <f>parking_demand_data_2024_ver0!F498</f>
        <v>0</v>
      </c>
      <c r="H498" s="3">
        <f>parking_demand_data_2024_ver0!G498</f>
        <v>0</v>
      </c>
      <c r="I498" s="3">
        <f>parking_demand_data_2024_ver0!H498</f>
        <v>0</v>
      </c>
      <c r="J498" s="3">
        <f>parking_demand_data_2024_ver0!I498</f>
        <v>0</v>
      </c>
      <c r="K498" s="3">
        <f>parking_demand_data_2024_ver0!J498</f>
        <v>0</v>
      </c>
      <c r="L498" s="3">
        <f>parking_demand_data_2024_ver0!K498</f>
        <v>0</v>
      </c>
      <c r="M498" s="3">
        <f>parking_demand_data_2024_ver0!L498</f>
        <v>0</v>
      </c>
      <c r="N498" s="3">
        <f>parking_demand_data_2024_ver0!M498</f>
        <v>0</v>
      </c>
      <c r="O498" s="3">
        <f>parking_demand_data_2024_ver0!N498</f>
        <v>0</v>
      </c>
      <c r="P498" s="3">
        <f>parking_demand_data_2024_ver0!O498</f>
        <v>0</v>
      </c>
      <c r="Q498" s="3">
        <f>parking_demand_data_2024_ver0!P498</f>
        <v>0</v>
      </c>
      <c r="R498" s="3">
        <f>parking_demand_data_2024_ver0!Q498</f>
        <v>0</v>
      </c>
      <c r="S498" s="3">
        <f>parking_demand_data_2024_ver0!R498</f>
        <v>0</v>
      </c>
      <c r="T498" s="3">
        <f>parking_demand_data_2024_ver0!S498</f>
        <v>0</v>
      </c>
    </row>
    <row r="499" spans="1:20" x14ac:dyDescent="0.25">
      <c r="A499">
        <v>18041</v>
      </c>
      <c r="B499" t="s">
        <v>49</v>
      </c>
      <c r="C499">
        <v>17</v>
      </c>
      <c r="D499" s="3">
        <f>parking_demand_data_2024_ver0!D499*calibration!$I$31</f>
        <v>0</v>
      </c>
      <c r="E499" s="3">
        <f>parking_demand_data_2024_ver0!E499*calibration!$I$31</f>
        <v>0</v>
      </c>
      <c r="F499" s="3">
        <f t="shared" si="7"/>
        <v>0</v>
      </c>
      <c r="G499" s="3">
        <f>parking_demand_data_2024_ver0!F499</f>
        <v>0</v>
      </c>
      <c r="H499" s="3">
        <f>parking_demand_data_2024_ver0!G499</f>
        <v>0</v>
      </c>
      <c r="I499" s="3">
        <f>parking_demand_data_2024_ver0!H499</f>
        <v>0</v>
      </c>
      <c r="J499" s="3">
        <f>parking_demand_data_2024_ver0!I499</f>
        <v>0</v>
      </c>
      <c r="K499" s="3">
        <f>parking_demand_data_2024_ver0!J499</f>
        <v>0</v>
      </c>
      <c r="L499" s="3">
        <f>parking_demand_data_2024_ver0!K499</f>
        <v>0</v>
      </c>
      <c r="M499" s="3">
        <f>parking_demand_data_2024_ver0!L499</f>
        <v>0</v>
      </c>
      <c r="N499" s="3">
        <f>parking_demand_data_2024_ver0!M499</f>
        <v>0</v>
      </c>
      <c r="O499" s="3">
        <f>parking_demand_data_2024_ver0!N499</f>
        <v>0</v>
      </c>
      <c r="P499" s="3">
        <f>parking_demand_data_2024_ver0!O499</f>
        <v>0</v>
      </c>
      <c r="Q499" s="3">
        <f>parking_demand_data_2024_ver0!P499</f>
        <v>0</v>
      </c>
      <c r="R499" s="3">
        <f>parking_demand_data_2024_ver0!Q499</f>
        <v>0</v>
      </c>
      <c r="S499" s="3">
        <f>parking_demand_data_2024_ver0!R499</f>
        <v>0</v>
      </c>
      <c r="T499" s="3">
        <f>parking_demand_data_2024_ver0!S499</f>
        <v>0</v>
      </c>
    </row>
    <row r="500" spans="1:20" x14ac:dyDescent="0.25">
      <c r="A500">
        <v>18041</v>
      </c>
      <c r="B500" t="s">
        <v>49</v>
      </c>
      <c r="C500">
        <v>18</v>
      </c>
      <c r="D500" s="3">
        <f>parking_demand_data_2024_ver0!D500*calibration!$I$31</f>
        <v>0</v>
      </c>
      <c r="E500" s="3">
        <f>parking_demand_data_2024_ver0!E500*calibration!$I$31</f>
        <v>0</v>
      </c>
      <c r="F500" s="3">
        <f t="shared" si="7"/>
        <v>0</v>
      </c>
      <c r="G500" s="3">
        <f>parking_demand_data_2024_ver0!F500</f>
        <v>0</v>
      </c>
      <c r="H500" s="3">
        <f>parking_demand_data_2024_ver0!G500</f>
        <v>0</v>
      </c>
      <c r="I500" s="3">
        <f>parking_demand_data_2024_ver0!H500</f>
        <v>0</v>
      </c>
      <c r="J500" s="3">
        <f>parking_demand_data_2024_ver0!I500</f>
        <v>0</v>
      </c>
      <c r="K500" s="3">
        <f>parking_demand_data_2024_ver0!J500</f>
        <v>0</v>
      </c>
      <c r="L500" s="3">
        <f>parking_demand_data_2024_ver0!K500</f>
        <v>0</v>
      </c>
      <c r="M500" s="3">
        <f>parking_demand_data_2024_ver0!L500</f>
        <v>0</v>
      </c>
      <c r="N500" s="3">
        <f>parking_demand_data_2024_ver0!M500</f>
        <v>0</v>
      </c>
      <c r="O500" s="3">
        <f>parking_demand_data_2024_ver0!N500</f>
        <v>0</v>
      </c>
      <c r="P500" s="3">
        <f>parking_demand_data_2024_ver0!O500</f>
        <v>0</v>
      </c>
      <c r="Q500" s="3">
        <f>parking_demand_data_2024_ver0!P500</f>
        <v>0</v>
      </c>
      <c r="R500" s="3">
        <f>parking_demand_data_2024_ver0!Q500</f>
        <v>0</v>
      </c>
      <c r="S500" s="3">
        <f>parking_demand_data_2024_ver0!R500</f>
        <v>0</v>
      </c>
      <c r="T500" s="3">
        <f>parking_demand_data_2024_ver0!S500</f>
        <v>0</v>
      </c>
    </row>
    <row r="501" spans="1:20" x14ac:dyDescent="0.25">
      <c r="A501">
        <v>18041</v>
      </c>
      <c r="B501" t="s">
        <v>49</v>
      </c>
      <c r="C501">
        <v>19</v>
      </c>
      <c r="D501" s="3">
        <f>parking_demand_data_2024_ver0!D501*calibration!$I$31</f>
        <v>0</v>
      </c>
      <c r="E501" s="3">
        <f>parking_demand_data_2024_ver0!E501*calibration!$I$31</f>
        <v>0</v>
      </c>
      <c r="F501" s="3">
        <f t="shared" si="7"/>
        <v>0</v>
      </c>
      <c r="G501" s="3">
        <f>parking_demand_data_2024_ver0!F501</f>
        <v>0</v>
      </c>
      <c r="H501" s="3">
        <f>parking_demand_data_2024_ver0!G501</f>
        <v>0</v>
      </c>
      <c r="I501" s="3">
        <f>parking_demand_data_2024_ver0!H501</f>
        <v>0</v>
      </c>
      <c r="J501" s="3">
        <f>parking_demand_data_2024_ver0!I501</f>
        <v>0</v>
      </c>
      <c r="K501" s="3">
        <f>parking_demand_data_2024_ver0!J501</f>
        <v>0</v>
      </c>
      <c r="L501" s="3">
        <f>parking_demand_data_2024_ver0!K501</f>
        <v>0</v>
      </c>
      <c r="M501" s="3">
        <f>parking_demand_data_2024_ver0!L501</f>
        <v>0</v>
      </c>
      <c r="N501" s="3">
        <f>parking_demand_data_2024_ver0!M501</f>
        <v>0</v>
      </c>
      <c r="O501" s="3">
        <f>parking_demand_data_2024_ver0!N501</f>
        <v>0</v>
      </c>
      <c r="P501" s="3">
        <f>parking_demand_data_2024_ver0!O501</f>
        <v>0</v>
      </c>
      <c r="Q501" s="3">
        <f>parking_demand_data_2024_ver0!P501</f>
        <v>0</v>
      </c>
      <c r="R501" s="3">
        <f>parking_demand_data_2024_ver0!Q501</f>
        <v>0</v>
      </c>
      <c r="S501" s="3">
        <f>parking_demand_data_2024_ver0!R501</f>
        <v>0</v>
      </c>
      <c r="T501" s="3">
        <f>parking_demand_data_2024_ver0!S501</f>
        <v>0</v>
      </c>
    </row>
    <row r="502" spans="1:20" x14ac:dyDescent="0.25">
      <c r="A502">
        <v>18041</v>
      </c>
      <c r="B502" t="s">
        <v>49</v>
      </c>
      <c r="C502">
        <v>20</v>
      </c>
      <c r="D502" s="3">
        <f>parking_demand_data_2024_ver0!D502*calibration!$I$31</f>
        <v>0</v>
      </c>
      <c r="E502" s="3">
        <f>parking_demand_data_2024_ver0!E502*calibration!$I$31</f>
        <v>0</v>
      </c>
      <c r="F502" s="3">
        <f t="shared" si="7"/>
        <v>0</v>
      </c>
      <c r="G502" s="3">
        <f>parking_demand_data_2024_ver0!F502</f>
        <v>0</v>
      </c>
      <c r="H502" s="3">
        <f>parking_demand_data_2024_ver0!G502</f>
        <v>0</v>
      </c>
      <c r="I502" s="3">
        <f>parking_demand_data_2024_ver0!H502</f>
        <v>0</v>
      </c>
      <c r="J502" s="3">
        <f>parking_demand_data_2024_ver0!I502</f>
        <v>0</v>
      </c>
      <c r="K502" s="3">
        <f>parking_demand_data_2024_ver0!J502</f>
        <v>0</v>
      </c>
      <c r="L502" s="3">
        <f>parking_demand_data_2024_ver0!K502</f>
        <v>0</v>
      </c>
      <c r="M502" s="3">
        <f>parking_demand_data_2024_ver0!L502</f>
        <v>0</v>
      </c>
      <c r="N502" s="3">
        <f>parking_demand_data_2024_ver0!M502</f>
        <v>0</v>
      </c>
      <c r="O502" s="3">
        <f>parking_demand_data_2024_ver0!N502</f>
        <v>0</v>
      </c>
      <c r="P502" s="3">
        <f>parking_demand_data_2024_ver0!O502</f>
        <v>0</v>
      </c>
      <c r="Q502" s="3">
        <f>parking_demand_data_2024_ver0!P502</f>
        <v>0</v>
      </c>
      <c r="R502" s="3">
        <f>parking_demand_data_2024_ver0!Q502</f>
        <v>0</v>
      </c>
      <c r="S502" s="3">
        <f>parking_demand_data_2024_ver0!R502</f>
        <v>0</v>
      </c>
      <c r="T502" s="3">
        <f>parking_demand_data_2024_ver0!S502</f>
        <v>0</v>
      </c>
    </row>
    <row r="503" spans="1:20" x14ac:dyDescent="0.25">
      <c r="A503">
        <v>18041</v>
      </c>
      <c r="B503" t="s">
        <v>49</v>
      </c>
      <c r="C503">
        <v>21</v>
      </c>
      <c r="D503" s="3">
        <f>parking_demand_data_2024_ver0!D503*calibration!$I$31</f>
        <v>0</v>
      </c>
      <c r="E503" s="3">
        <f>parking_demand_data_2024_ver0!E503*calibration!$I$31</f>
        <v>0</v>
      </c>
      <c r="F503" s="3">
        <f t="shared" si="7"/>
        <v>0</v>
      </c>
      <c r="G503" s="3">
        <f>parking_demand_data_2024_ver0!F503</f>
        <v>0</v>
      </c>
      <c r="H503" s="3">
        <f>parking_demand_data_2024_ver0!G503</f>
        <v>0</v>
      </c>
      <c r="I503" s="3">
        <f>parking_demand_data_2024_ver0!H503</f>
        <v>0</v>
      </c>
      <c r="J503" s="3">
        <f>parking_demand_data_2024_ver0!I503</f>
        <v>0</v>
      </c>
      <c r="K503" s="3">
        <f>parking_demand_data_2024_ver0!J503</f>
        <v>0</v>
      </c>
      <c r="L503" s="3">
        <f>parking_demand_data_2024_ver0!K503</f>
        <v>0</v>
      </c>
      <c r="M503" s="3">
        <f>parking_demand_data_2024_ver0!L503</f>
        <v>0</v>
      </c>
      <c r="N503" s="3">
        <f>parking_demand_data_2024_ver0!M503</f>
        <v>0</v>
      </c>
      <c r="O503" s="3">
        <f>parking_demand_data_2024_ver0!N503</f>
        <v>0</v>
      </c>
      <c r="P503" s="3">
        <f>parking_demand_data_2024_ver0!O503</f>
        <v>0</v>
      </c>
      <c r="Q503" s="3">
        <f>parking_demand_data_2024_ver0!P503</f>
        <v>0</v>
      </c>
      <c r="R503" s="3">
        <f>parking_demand_data_2024_ver0!Q503</f>
        <v>0</v>
      </c>
      <c r="S503" s="3">
        <f>parking_demand_data_2024_ver0!R503</f>
        <v>0</v>
      </c>
      <c r="T503" s="3">
        <f>parking_demand_data_2024_ver0!S503</f>
        <v>0</v>
      </c>
    </row>
    <row r="504" spans="1:20" x14ac:dyDescent="0.25">
      <c r="A504">
        <v>18041</v>
      </c>
      <c r="B504" t="s">
        <v>49</v>
      </c>
      <c r="C504">
        <v>22</v>
      </c>
      <c r="D504" s="3">
        <f>parking_demand_data_2024_ver0!D504*calibration!$I$31</f>
        <v>0</v>
      </c>
      <c r="E504" s="3">
        <f>parking_demand_data_2024_ver0!E504*calibration!$I$31</f>
        <v>0</v>
      </c>
      <c r="F504" s="3">
        <f t="shared" si="7"/>
        <v>0</v>
      </c>
      <c r="G504" s="3">
        <f>parking_demand_data_2024_ver0!F504</f>
        <v>0</v>
      </c>
      <c r="H504" s="3">
        <f>parking_demand_data_2024_ver0!G504</f>
        <v>0</v>
      </c>
      <c r="I504" s="3">
        <f>parking_demand_data_2024_ver0!H504</f>
        <v>0</v>
      </c>
      <c r="J504" s="3">
        <f>parking_demand_data_2024_ver0!I504</f>
        <v>0</v>
      </c>
      <c r="K504" s="3">
        <f>parking_demand_data_2024_ver0!J504</f>
        <v>0</v>
      </c>
      <c r="L504" s="3">
        <f>parking_demand_data_2024_ver0!K504</f>
        <v>0</v>
      </c>
      <c r="M504" s="3">
        <f>parking_demand_data_2024_ver0!L504</f>
        <v>0</v>
      </c>
      <c r="N504" s="3">
        <f>parking_demand_data_2024_ver0!M504</f>
        <v>0</v>
      </c>
      <c r="O504" s="3">
        <f>parking_demand_data_2024_ver0!N504</f>
        <v>0</v>
      </c>
      <c r="P504" s="3">
        <f>parking_demand_data_2024_ver0!O504</f>
        <v>0</v>
      </c>
      <c r="Q504" s="3">
        <f>parking_demand_data_2024_ver0!P504</f>
        <v>0</v>
      </c>
      <c r="R504" s="3">
        <f>parking_demand_data_2024_ver0!Q504</f>
        <v>0</v>
      </c>
      <c r="S504" s="3">
        <f>parking_demand_data_2024_ver0!R504</f>
        <v>0</v>
      </c>
      <c r="T504" s="3">
        <f>parking_demand_data_2024_ver0!S504</f>
        <v>0</v>
      </c>
    </row>
    <row r="505" spans="1:20" x14ac:dyDescent="0.25">
      <c r="A505">
        <v>18041</v>
      </c>
      <c r="B505" t="s">
        <v>49</v>
      </c>
      <c r="C505">
        <v>23</v>
      </c>
      <c r="D505" s="3">
        <f>parking_demand_data_2024_ver0!D505*calibration!$I$31</f>
        <v>0</v>
      </c>
      <c r="E505" s="3">
        <f>parking_demand_data_2024_ver0!E505*calibration!$I$31</f>
        <v>0</v>
      </c>
      <c r="F505" s="3">
        <f t="shared" si="7"/>
        <v>0</v>
      </c>
      <c r="G505" s="3">
        <f>parking_demand_data_2024_ver0!F505</f>
        <v>0</v>
      </c>
      <c r="H505" s="3">
        <f>parking_demand_data_2024_ver0!G505</f>
        <v>0</v>
      </c>
      <c r="I505" s="3">
        <f>parking_demand_data_2024_ver0!H505</f>
        <v>0</v>
      </c>
      <c r="J505" s="3">
        <f>parking_demand_data_2024_ver0!I505</f>
        <v>0</v>
      </c>
      <c r="K505" s="3">
        <f>parking_demand_data_2024_ver0!J505</f>
        <v>0</v>
      </c>
      <c r="L505" s="3">
        <f>parking_demand_data_2024_ver0!K505</f>
        <v>0</v>
      </c>
      <c r="M505" s="3">
        <f>parking_demand_data_2024_ver0!L505</f>
        <v>0</v>
      </c>
      <c r="N505" s="3">
        <f>parking_demand_data_2024_ver0!M505</f>
        <v>0</v>
      </c>
      <c r="O505" s="3">
        <f>parking_demand_data_2024_ver0!N505</f>
        <v>0</v>
      </c>
      <c r="P505" s="3">
        <f>parking_demand_data_2024_ver0!O505</f>
        <v>0</v>
      </c>
      <c r="Q505" s="3">
        <f>parking_demand_data_2024_ver0!P505</f>
        <v>0</v>
      </c>
      <c r="R505" s="3">
        <f>parking_demand_data_2024_ver0!Q505</f>
        <v>0</v>
      </c>
      <c r="S505" s="3">
        <f>parking_demand_data_2024_ver0!R505</f>
        <v>0</v>
      </c>
      <c r="T505" s="3">
        <f>parking_demand_data_2024_ver0!S505</f>
        <v>0</v>
      </c>
    </row>
    <row r="506" spans="1:20" x14ac:dyDescent="0.25">
      <c r="A506">
        <v>18043</v>
      </c>
      <c r="B506" t="s">
        <v>50</v>
      </c>
      <c r="C506">
        <v>0</v>
      </c>
      <c r="D506" s="3">
        <f>parking_demand_data_2024_ver0!D506*calibration!$I$31</f>
        <v>3.4056391073869601</v>
      </c>
      <c r="E506" s="3">
        <f>parking_demand_data_2024_ver0!E506*calibration!$I$31</f>
        <v>1.93953437954324</v>
      </c>
      <c r="F506" s="3">
        <f t="shared" si="7"/>
        <v>5.3451734869302001</v>
      </c>
      <c r="G506" s="3">
        <f>parking_demand_data_2024_ver0!F506</f>
        <v>1</v>
      </c>
      <c r="H506" s="3">
        <f>parking_demand_data_2024_ver0!G506</f>
        <v>0</v>
      </c>
      <c r="I506" s="3">
        <f>parking_demand_data_2024_ver0!H506</f>
        <v>0</v>
      </c>
      <c r="J506" s="3">
        <f>parking_demand_data_2024_ver0!I506</f>
        <v>1</v>
      </c>
      <c r="K506" s="3">
        <f>parking_demand_data_2024_ver0!J506</f>
        <v>0</v>
      </c>
      <c r="L506" s="3">
        <f>parking_demand_data_2024_ver0!K506</f>
        <v>0</v>
      </c>
      <c r="M506" s="3">
        <f>parking_demand_data_2024_ver0!L506</f>
        <v>0</v>
      </c>
      <c r="N506" s="3">
        <f>parking_demand_data_2024_ver0!M506</f>
        <v>30</v>
      </c>
      <c r="O506" s="3">
        <f>parking_demand_data_2024_ver0!N506</f>
        <v>0</v>
      </c>
      <c r="P506" s="3">
        <f>parking_demand_data_2024_ver0!O506</f>
        <v>0</v>
      </c>
      <c r="Q506" s="3">
        <f>parking_demand_data_2024_ver0!P506</f>
        <v>30</v>
      </c>
      <c r="R506" s="3">
        <f>parking_demand_data_2024_ver0!Q506</f>
        <v>0</v>
      </c>
      <c r="S506" s="3">
        <f>parking_demand_data_2024_ver0!R506</f>
        <v>0</v>
      </c>
      <c r="T506" s="3">
        <f>parking_demand_data_2024_ver0!S506</f>
        <v>0</v>
      </c>
    </row>
    <row r="507" spans="1:20" x14ac:dyDescent="0.25">
      <c r="A507">
        <v>18043</v>
      </c>
      <c r="B507" t="s">
        <v>50</v>
      </c>
      <c r="C507">
        <v>1</v>
      </c>
      <c r="D507" s="3">
        <f>parking_demand_data_2024_ver0!D507*calibration!$I$31</f>
        <v>3.46672680438044</v>
      </c>
      <c r="E507" s="3">
        <f>parking_demand_data_2024_ver0!E507*calibration!$I$31</f>
        <v>2.1686132432688199</v>
      </c>
      <c r="F507" s="3">
        <f t="shared" si="7"/>
        <v>5.6353400476492599</v>
      </c>
      <c r="G507" s="3">
        <f>parking_demand_data_2024_ver0!F507</f>
        <v>1</v>
      </c>
      <c r="H507" s="3">
        <f>parking_demand_data_2024_ver0!G507</f>
        <v>0</v>
      </c>
      <c r="I507" s="3">
        <f>parking_demand_data_2024_ver0!H507</f>
        <v>0</v>
      </c>
      <c r="J507" s="3">
        <f>parking_demand_data_2024_ver0!I507</f>
        <v>1</v>
      </c>
      <c r="K507" s="3">
        <f>parking_demand_data_2024_ver0!J507</f>
        <v>0</v>
      </c>
      <c r="L507" s="3">
        <f>parking_demand_data_2024_ver0!K507</f>
        <v>0</v>
      </c>
      <c r="M507" s="3">
        <f>parking_demand_data_2024_ver0!L507</f>
        <v>0</v>
      </c>
      <c r="N507" s="3">
        <f>parking_demand_data_2024_ver0!M507</f>
        <v>30</v>
      </c>
      <c r="O507" s="3">
        <f>parking_demand_data_2024_ver0!N507</f>
        <v>0</v>
      </c>
      <c r="P507" s="3">
        <f>parking_demand_data_2024_ver0!O507</f>
        <v>0</v>
      </c>
      <c r="Q507" s="3">
        <f>parking_demand_data_2024_ver0!P507</f>
        <v>30</v>
      </c>
      <c r="R507" s="3">
        <f>parking_demand_data_2024_ver0!Q507</f>
        <v>0</v>
      </c>
      <c r="S507" s="3">
        <f>parking_demand_data_2024_ver0!R507</f>
        <v>0</v>
      </c>
      <c r="T507" s="3">
        <f>parking_demand_data_2024_ver0!S507</f>
        <v>0</v>
      </c>
    </row>
    <row r="508" spans="1:20" x14ac:dyDescent="0.25">
      <c r="A508">
        <v>18043</v>
      </c>
      <c r="B508" t="s">
        <v>50</v>
      </c>
      <c r="C508">
        <v>2</v>
      </c>
      <c r="D508" s="3">
        <f>parking_demand_data_2024_ver0!D508*calibration!$I$31</f>
        <v>3.4819987286288199</v>
      </c>
      <c r="E508" s="3">
        <f>parking_demand_data_2024_ver0!E508*calibration!$I$31</f>
        <v>2.4282359554911501</v>
      </c>
      <c r="F508" s="3">
        <f t="shared" si="7"/>
        <v>5.9102346841199704</v>
      </c>
      <c r="G508" s="3">
        <f>parking_demand_data_2024_ver0!F508</f>
        <v>1</v>
      </c>
      <c r="H508" s="3">
        <f>parking_demand_data_2024_ver0!G508</f>
        <v>0</v>
      </c>
      <c r="I508" s="3">
        <f>parking_demand_data_2024_ver0!H508</f>
        <v>0</v>
      </c>
      <c r="J508" s="3">
        <f>parking_demand_data_2024_ver0!I508</f>
        <v>1</v>
      </c>
      <c r="K508" s="3">
        <f>parking_demand_data_2024_ver0!J508</f>
        <v>0</v>
      </c>
      <c r="L508" s="3">
        <f>parking_demand_data_2024_ver0!K508</f>
        <v>0</v>
      </c>
      <c r="M508" s="3">
        <f>parking_demand_data_2024_ver0!L508</f>
        <v>0</v>
      </c>
      <c r="N508" s="3">
        <f>parking_demand_data_2024_ver0!M508</f>
        <v>30</v>
      </c>
      <c r="O508" s="3">
        <f>parking_demand_data_2024_ver0!N508</f>
        <v>0</v>
      </c>
      <c r="P508" s="3">
        <f>parking_demand_data_2024_ver0!O508</f>
        <v>0</v>
      </c>
      <c r="Q508" s="3">
        <f>parking_demand_data_2024_ver0!P508</f>
        <v>30</v>
      </c>
      <c r="R508" s="3">
        <f>parking_demand_data_2024_ver0!Q508</f>
        <v>0</v>
      </c>
      <c r="S508" s="3">
        <f>parking_demand_data_2024_ver0!R508</f>
        <v>0</v>
      </c>
      <c r="T508" s="3">
        <f>parking_demand_data_2024_ver0!S508</f>
        <v>0</v>
      </c>
    </row>
    <row r="509" spans="1:20" x14ac:dyDescent="0.25">
      <c r="A509">
        <v>18043</v>
      </c>
      <c r="B509" t="s">
        <v>50</v>
      </c>
      <c r="C509">
        <v>3</v>
      </c>
      <c r="D509" s="3">
        <f>parking_demand_data_2024_ver0!D509*calibration!$I$31</f>
        <v>3.4514548801320699</v>
      </c>
      <c r="E509" s="3">
        <f>parking_demand_data_2024_ver0!E509*calibration!$I$31</f>
        <v>2.4129640312427698</v>
      </c>
      <c r="F509" s="3">
        <f t="shared" si="7"/>
        <v>5.8644189113748393</v>
      </c>
      <c r="G509" s="3">
        <f>parking_demand_data_2024_ver0!F509</f>
        <v>1</v>
      </c>
      <c r="H509" s="3">
        <f>parking_demand_data_2024_ver0!G509</f>
        <v>0</v>
      </c>
      <c r="I509" s="3">
        <f>parking_demand_data_2024_ver0!H509</f>
        <v>0</v>
      </c>
      <c r="J509" s="3">
        <f>parking_demand_data_2024_ver0!I509</f>
        <v>1</v>
      </c>
      <c r="K509" s="3">
        <f>parking_demand_data_2024_ver0!J509</f>
        <v>0</v>
      </c>
      <c r="L509" s="3">
        <f>parking_demand_data_2024_ver0!K509</f>
        <v>0</v>
      </c>
      <c r="M509" s="3">
        <f>parking_demand_data_2024_ver0!L509</f>
        <v>0</v>
      </c>
      <c r="N509" s="3">
        <f>parking_demand_data_2024_ver0!M509</f>
        <v>30</v>
      </c>
      <c r="O509" s="3">
        <f>parking_demand_data_2024_ver0!N509</f>
        <v>0</v>
      </c>
      <c r="P509" s="3">
        <f>parking_demand_data_2024_ver0!O509</f>
        <v>0</v>
      </c>
      <c r="Q509" s="3">
        <f>parking_demand_data_2024_ver0!P509</f>
        <v>30</v>
      </c>
      <c r="R509" s="3">
        <f>parking_demand_data_2024_ver0!Q509</f>
        <v>0</v>
      </c>
      <c r="S509" s="3">
        <f>parking_demand_data_2024_ver0!R509</f>
        <v>0</v>
      </c>
      <c r="T509" s="3">
        <f>parking_demand_data_2024_ver0!S509</f>
        <v>0</v>
      </c>
    </row>
    <row r="510" spans="1:20" x14ac:dyDescent="0.25">
      <c r="A510">
        <v>18043</v>
      </c>
      <c r="B510" t="s">
        <v>50</v>
      </c>
      <c r="C510">
        <v>4</v>
      </c>
      <c r="D510" s="3">
        <f>parking_demand_data_2024_ver0!D510*calibration!$I$31</f>
        <v>4.1845072440539299</v>
      </c>
      <c r="E510" s="3">
        <f>parking_demand_data_2024_ver0!E510*calibration!$I$31</f>
        <v>2.8558498344455598</v>
      </c>
      <c r="F510" s="3">
        <f t="shared" si="7"/>
        <v>7.0403570784994898</v>
      </c>
      <c r="G510" s="3">
        <f>parking_demand_data_2024_ver0!F510</f>
        <v>1</v>
      </c>
      <c r="H510" s="3">
        <f>parking_demand_data_2024_ver0!G510</f>
        <v>0</v>
      </c>
      <c r="I510" s="3">
        <f>parking_demand_data_2024_ver0!H510</f>
        <v>0</v>
      </c>
      <c r="J510" s="3">
        <f>parking_demand_data_2024_ver0!I510</f>
        <v>1</v>
      </c>
      <c r="K510" s="3">
        <f>parking_demand_data_2024_ver0!J510</f>
        <v>0</v>
      </c>
      <c r="L510" s="3">
        <f>parking_demand_data_2024_ver0!K510</f>
        <v>0</v>
      </c>
      <c r="M510" s="3">
        <f>parking_demand_data_2024_ver0!L510</f>
        <v>0</v>
      </c>
      <c r="N510" s="3">
        <f>parking_demand_data_2024_ver0!M510</f>
        <v>30</v>
      </c>
      <c r="O510" s="3">
        <f>parking_demand_data_2024_ver0!N510</f>
        <v>0</v>
      </c>
      <c r="P510" s="3">
        <f>parking_demand_data_2024_ver0!O510</f>
        <v>0</v>
      </c>
      <c r="Q510" s="3">
        <f>parking_demand_data_2024_ver0!P510</f>
        <v>30</v>
      </c>
      <c r="R510" s="3">
        <f>parking_demand_data_2024_ver0!Q510</f>
        <v>0</v>
      </c>
      <c r="S510" s="3">
        <f>parking_demand_data_2024_ver0!R510</f>
        <v>0</v>
      </c>
      <c r="T510" s="3">
        <f>parking_demand_data_2024_ver0!S510</f>
        <v>0</v>
      </c>
    </row>
    <row r="511" spans="1:20" x14ac:dyDescent="0.25">
      <c r="A511">
        <v>18043</v>
      </c>
      <c r="B511" t="s">
        <v>50</v>
      </c>
      <c r="C511">
        <v>5</v>
      </c>
      <c r="D511" s="3">
        <f>parking_demand_data_2024_ver0!D511*calibration!$I$31</f>
        <v>4.3983141835311397</v>
      </c>
      <c r="E511" s="3">
        <f>parking_demand_data_2024_ver0!E511*calibration!$I$31</f>
        <v>3.3750952588902101</v>
      </c>
      <c r="F511" s="3">
        <f t="shared" si="7"/>
        <v>7.7734094424213502</v>
      </c>
      <c r="G511" s="3">
        <f>parking_demand_data_2024_ver0!F511</f>
        <v>1</v>
      </c>
      <c r="H511" s="3">
        <f>parking_demand_data_2024_ver0!G511</f>
        <v>0</v>
      </c>
      <c r="I511" s="3">
        <f>parking_demand_data_2024_ver0!H511</f>
        <v>0</v>
      </c>
      <c r="J511" s="3">
        <f>parking_demand_data_2024_ver0!I511</f>
        <v>1</v>
      </c>
      <c r="K511" s="3">
        <f>parking_demand_data_2024_ver0!J511</f>
        <v>0</v>
      </c>
      <c r="L511" s="3">
        <f>parking_demand_data_2024_ver0!K511</f>
        <v>0</v>
      </c>
      <c r="M511" s="3">
        <f>parking_demand_data_2024_ver0!L511</f>
        <v>0</v>
      </c>
      <c r="N511" s="3">
        <f>parking_demand_data_2024_ver0!M511</f>
        <v>30</v>
      </c>
      <c r="O511" s="3">
        <f>parking_demand_data_2024_ver0!N511</f>
        <v>0</v>
      </c>
      <c r="P511" s="3">
        <f>parking_demand_data_2024_ver0!O511</f>
        <v>0</v>
      </c>
      <c r="Q511" s="3">
        <f>parking_demand_data_2024_ver0!P511</f>
        <v>30</v>
      </c>
      <c r="R511" s="3">
        <f>parking_demand_data_2024_ver0!Q511</f>
        <v>0</v>
      </c>
      <c r="S511" s="3">
        <f>parking_demand_data_2024_ver0!R511</f>
        <v>0</v>
      </c>
      <c r="T511" s="3">
        <f>parking_demand_data_2024_ver0!S511</f>
        <v>0</v>
      </c>
    </row>
    <row r="512" spans="1:20" x14ac:dyDescent="0.25">
      <c r="A512">
        <v>18043</v>
      </c>
      <c r="B512" t="s">
        <v>50</v>
      </c>
      <c r="C512">
        <v>6</v>
      </c>
      <c r="D512" s="3">
        <f>parking_demand_data_2024_ver0!D512*calibration!$I$31</f>
        <v>3.5736302741190502</v>
      </c>
      <c r="E512" s="3">
        <f>parking_demand_data_2024_ver0!E512*calibration!$I$31</f>
        <v>3.20710409215812</v>
      </c>
      <c r="F512" s="3">
        <f t="shared" si="7"/>
        <v>6.7807343662771702</v>
      </c>
      <c r="G512" s="3">
        <f>parking_demand_data_2024_ver0!F512</f>
        <v>1</v>
      </c>
      <c r="H512" s="3">
        <f>parking_demand_data_2024_ver0!G512</f>
        <v>0</v>
      </c>
      <c r="I512" s="3">
        <f>parking_demand_data_2024_ver0!H512</f>
        <v>0</v>
      </c>
      <c r="J512" s="3">
        <f>parking_demand_data_2024_ver0!I512</f>
        <v>1</v>
      </c>
      <c r="K512" s="3">
        <f>parking_demand_data_2024_ver0!J512</f>
        <v>0</v>
      </c>
      <c r="L512" s="3">
        <f>parking_demand_data_2024_ver0!K512</f>
        <v>0</v>
      </c>
      <c r="M512" s="3">
        <f>parking_demand_data_2024_ver0!L512</f>
        <v>0</v>
      </c>
      <c r="N512" s="3">
        <f>parking_demand_data_2024_ver0!M512</f>
        <v>30</v>
      </c>
      <c r="O512" s="3">
        <f>parking_demand_data_2024_ver0!N512</f>
        <v>0</v>
      </c>
      <c r="P512" s="3">
        <f>parking_demand_data_2024_ver0!O512</f>
        <v>0</v>
      </c>
      <c r="Q512" s="3">
        <f>parking_demand_data_2024_ver0!P512</f>
        <v>30</v>
      </c>
      <c r="R512" s="3">
        <f>parking_demand_data_2024_ver0!Q512</f>
        <v>0</v>
      </c>
      <c r="S512" s="3">
        <f>parking_demand_data_2024_ver0!R512</f>
        <v>0</v>
      </c>
      <c r="T512" s="3">
        <f>parking_demand_data_2024_ver0!S512</f>
        <v>0</v>
      </c>
    </row>
    <row r="513" spans="1:20" x14ac:dyDescent="0.25">
      <c r="A513">
        <v>18043</v>
      </c>
      <c r="B513" t="s">
        <v>50</v>
      </c>
      <c r="C513">
        <v>7</v>
      </c>
      <c r="D513" s="3">
        <f>parking_demand_data_2024_ver0!D513*calibration!$I$31</f>
        <v>3.4514548801320699</v>
      </c>
      <c r="E513" s="3">
        <f>parking_demand_data_2024_ver0!E513*calibration!$I$31</f>
        <v>2.9474813799357902</v>
      </c>
      <c r="F513" s="3">
        <f t="shared" si="7"/>
        <v>6.3989362600678596</v>
      </c>
      <c r="G513" s="3">
        <f>parking_demand_data_2024_ver0!F513</f>
        <v>1</v>
      </c>
      <c r="H513" s="3">
        <f>parking_demand_data_2024_ver0!G513</f>
        <v>0</v>
      </c>
      <c r="I513" s="3">
        <f>parking_demand_data_2024_ver0!H513</f>
        <v>0</v>
      </c>
      <c r="J513" s="3">
        <f>parking_demand_data_2024_ver0!I513</f>
        <v>1</v>
      </c>
      <c r="K513" s="3">
        <f>parking_demand_data_2024_ver0!J513</f>
        <v>0</v>
      </c>
      <c r="L513" s="3">
        <f>parking_demand_data_2024_ver0!K513</f>
        <v>0</v>
      </c>
      <c r="M513" s="3">
        <f>parking_demand_data_2024_ver0!L513</f>
        <v>0</v>
      </c>
      <c r="N513" s="3">
        <f>parking_demand_data_2024_ver0!M513</f>
        <v>30</v>
      </c>
      <c r="O513" s="3">
        <f>parking_demand_data_2024_ver0!N513</f>
        <v>0</v>
      </c>
      <c r="P513" s="3">
        <f>parking_demand_data_2024_ver0!O513</f>
        <v>0</v>
      </c>
      <c r="Q513" s="3">
        <f>parking_demand_data_2024_ver0!P513</f>
        <v>30</v>
      </c>
      <c r="R513" s="3">
        <f>parking_demand_data_2024_ver0!Q513</f>
        <v>0</v>
      </c>
      <c r="S513" s="3">
        <f>parking_demand_data_2024_ver0!R513</f>
        <v>0</v>
      </c>
      <c r="T513" s="3">
        <f>parking_demand_data_2024_ver0!S513</f>
        <v>0</v>
      </c>
    </row>
    <row r="514" spans="1:20" x14ac:dyDescent="0.25">
      <c r="A514">
        <v>18043</v>
      </c>
      <c r="B514" t="s">
        <v>50</v>
      </c>
      <c r="C514">
        <v>8</v>
      </c>
      <c r="D514" s="3">
        <f>parking_demand_data_2024_ver0!D514*calibration!$I$31</f>
        <v>3.1307444709162602</v>
      </c>
      <c r="E514" s="3">
        <f>parking_demand_data_2024_ver0!E514*calibration!$I$31</f>
        <v>3.0543848496743999</v>
      </c>
      <c r="F514" s="3">
        <f t="shared" si="7"/>
        <v>6.1851293205906597</v>
      </c>
      <c r="G514" s="3">
        <f>parking_demand_data_2024_ver0!F514</f>
        <v>1</v>
      </c>
      <c r="H514" s="3">
        <f>parking_demand_data_2024_ver0!G514</f>
        <v>0</v>
      </c>
      <c r="I514" s="3">
        <f>parking_demand_data_2024_ver0!H514</f>
        <v>0</v>
      </c>
      <c r="J514" s="3">
        <f>parking_demand_data_2024_ver0!I514</f>
        <v>1</v>
      </c>
      <c r="K514" s="3">
        <f>parking_demand_data_2024_ver0!J514</f>
        <v>0</v>
      </c>
      <c r="L514" s="3">
        <f>parking_demand_data_2024_ver0!K514</f>
        <v>0</v>
      </c>
      <c r="M514" s="3">
        <f>parking_demand_data_2024_ver0!L514</f>
        <v>0</v>
      </c>
      <c r="N514" s="3">
        <f>parking_demand_data_2024_ver0!M514</f>
        <v>30</v>
      </c>
      <c r="O514" s="3">
        <f>parking_demand_data_2024_ver0!N514</f>
        <v>0</v>
      </c>
      <c r="P514" s="3">
        <f>parking_demand_data_2024_ver0!O514</f>
        <v>0</v>
      </c>
      <c r="Q514" s="3">
        <f>parking_demand_data_2024_ver0!P514</f>
        <v>30</v>
      </c>
      <c r="R514" s="3">
        <f>parking_demand_data_2024_ver0!Q514</f>
        <v>0</v>
      </c>
      <c r="S514" s="3">
        <f>parking_demand_data_2024_ver0!R514</f>
        <v>0</v>
      </c>
      <c r="T514" s="3">
        <f>parking_demand_data_2024_ver0!S514</f>
        <v>0</v>
      </c>
    </row>
    <row r="515" spans="1:20" x14ac:dyDescent="0.25">
      <c r="A515">
        <v>18043</v>
      </c>
      <c r="B515" t="s">
        <v>50</v>
      </c>
      <c r="C515">
        <v>9</v>
      </c>
      <c r="D515" s="3">
        <f>parking_demand_data_2024_ver0!D515*calibration!$I$31</f>
        <v>2.5351394252297501</v>
      </c>
      <c r="E515" s="3">
        <f>parking_demand_data_2024_ver0!E515*calibration!$I$31</f>
        <v>2.8863936829423098</v>
      </c>
      <c r="F515" s="3">
        <f t="shared" ref="F515:F578" si="8">SUM(D515:E515)</f>
        <v>5.4215331081720599</v>
      </c>
      <c r="G515" s="3">
        <f>parking_demand_data_2024_ver0!F515</f>
        <v>1</v>
      </c>
      <c r="H515" s="3">
        <f>parking_demand_data_2024_ver0!G515</f>
        <v>0</v>
      </c>
      <c r="I515" s="3">
        <f>parking_demand_data_2024_ver0!H515</f>
        <v>0</v>
      </c>
      <c r="J515" s="3">
        <f>parking_demand_data_2024_ver0!I515</f>
        <v>1</v>
      </c>
      <c r="K515" s="3">
        <f>parking_demand_data_2024_ver0!J515</f>
        <v>0</v>
      </c>
      <c r="L515" s="3">
        <f>parking_demand_data_2024_ver0!K515</f>
        <v>0</v>
      </c>
      <c r="M515" s="3">
        <f>parking_demand_data_2024_ver0!L515</f>
        <v>0</v>
      </c>
      <c r="N515" s="3">
        <f>parking_demand_data_2024_ver0!M515</f>
        <v>30</v>
      </c>
      <c r="O515" s="3">
        <f>parking_demand_data_2024_ver0!N515</f>
        <v>0</v>
      </c>
      <c r="P515" s="3">
        <f>parking_demand_data_2024_ver0!O515</f>
        <v>0</v>
      </c>
      <c r="Q515" s="3">
        <f>parking_demand_data_2024_ver0!P515</f>
        <v>30</v>
      </c>
      <c r="R515" s="3">
        <f>parking_demand_data_2024_ver0!Q515</f>
        <v>0</v>
      </c>
      <c r="S515" s="3">
        <f>parking_demand_data_2024_ver0!R515</f>
        <v>0</v>
      </c>
      <c r="T515" s="3">
        <f>parking_demand_data_2024_ver0!S515</f>
        <v>0</v>
      </c>
    </row>
    <row r="516" spans="1:20" x14ac:dyDescent="0.25">
      <c r="A516">
        <v>18043</v>
      </c>
      <c r="B516" t="s">
        <v>50</v>
      </c>
      <c r="C516">
        <v>10</v>
      </c>
      <c r="D516" s="3">
        <f>parking_demand_data_2024_ver0!D516*calibration!$I$31</f>
        <v>1.9089905310465001</v>
      </c>
      <c r="E516" s="3">
        <f>parking_demand_data_2024_ver0!E516*calibration!$I$31</f>
        <v>2.3976921069944002</v>
      </c>
      <c r="F516" s="3">
        <f t="shared" si="8"/>
        <v>4.3066826380409005</v>
      </c>
      <c r="G516" s="3">
        <f>parking_demand_data_2024_ver0!F516</f>
        <v>1</v>
      </c>
      <c r="H516" s="3">
        <f>parking_demand_data_2024_ver0!G516</f>
        <v>0</v>
      </c>
      <c r="I516" s="3">
        <f>parking_demand_data_2024_ver0!H516</f>
        <v>0</v>
      </c>
      <c r="J516" s="3">
        <f>parking_demand_data_2024_ver0!I516</f>
        <v>1</v>
      </c>
      <c r="K516" s="3">
        <f>parking_demand_data_2024_ver0!J516</f>
        <v>0</v>
      </c>
      <c r="L516" s="3">
        <f>parking_demand_data_2024_ver0!K516</f>
        <v>0</v>
      </c>
      <c r="M516" s="3">
        <f>parking_demand_data_2024_ver0!L516</f>
        <v>0</v>
      </c>
      <c r="N516" s="3">
        <f>parking_demand_data_2024_ver0!M516</f>
        <v>30</v>
      </c>
      <c r="O516" s="3">
        <f>parking_demand_data_2024_ver0!N516</f>
        <v>0</v>
      </c>
      <c r="P516" s="3">
        <f>parking_demand_data_2024_ver0!O516</f>
        <v>0</v>
      </c>
      <c r="Q516" s="3">
        <f>parking_demand_data_2024_ver0!P516</f>
        <v>30</v>
      </c>
      <c r="R516" s="3">
        <f>parking_demand_data_2024_ver0!Q516</f>
        <v>0</v>
      </c>
      <c r="S516" s="3">
        <f>parking_demand_data_2024_ver0!R516</f>
        <v>0</v>
      </c>
      <c r="T516" s="3">
        <f>parking_demand_data_2024_ver0!S516</f>
        <v>0</v>
      </c>
    </row>
    <row r="517" spans="1:20" x14ac:dyDescent="0.25">
      <c r="A517">
        <v>18043</v>
      </c>
      <c r="B517" t="s">
        <v>50</v>
      </c>
      <c r="C517">
        <v>11</v>
      </c>
      <c r="D517" s="3">
        <f>parking_demand_data_2024_ver0!D517*calibration!$I$31</f>
        <v>1.71045551581766</v>
      </c>
      <c r="E517" s="3">
        <f>parking_demand_data_2024_ver0!E517*calibration!$I$31</f>
        <v>2.3824201827460301</v>
      </c>
      <c r="F517" s="3">
        <f t="shared" si="8"/>
        <v>4.0928756985636898</v>
      </c>
      <c r="G517" s="3">
        <f>parking_demand_data_2024_ver0!F517</f>
        <v>1</v>
      </c>
      <c r="H517" s="3">
        <f>parking_demand_data_2024_ver0!G517</f>
        <v>0</v>
      </c>
      <c r="I517" s="3">
        <f>parking_demand_data_2024_ver0!H517</f>
        <v>0</v>
      </c>
      <c r="J517" s="3">
        <f>parking_demand_data_2024_ver0!I517</f>
        <v>1</v>
      </c>
      <c r="K517" s="3">
        <f>parking_demand_data_2024_ver0!J517</f>
        <v>0</v>
      </c>
      <c r="L517" s="3">
        <f>parking_demand_data_2024_ver0!K517</f>
        <v>0</v>
      </c>
      <c r="M517" s="3">
        <f>parking_demand_data_2024_ver0!L517</f>
        <v>0</v>
      </c>
      <c r="N517" s="3">
        <f>parking_demand_data_2024_ver0!M517</f>
        <v>30</v>
      </c>
      <c r="O517" s="3">
        <f>parking_demand_data_2024_ver0!N517</f>
        <v>0</v>
      </c>
      <c r="P517" s="3">
        <f>parking_demand_data_2024_ver0!O517</f>
        <v>0</v>
      </c>
      <c r="Q517" s="3">
        <f>parking_demand_data_2024_ver0!P517</f>
        <v>30</v>
      </c>
      <c r="R517" s="3">
        <f>parking_demand_data_2024_ver0!Q517</f>
        <v>0</v>
      </c>
      <c r="S517" s="3">
        <f>parking_demand_data_2024_ver0!R517</f>
        <v>0</v>
      </c>
      <c r="T517" s="3">
        <f>parking_demand_data_2024_ver0!S517</f>
        <v>0</v>
      </c>
    </row>
    <row r="518" spans="1:20" x14ac:dyDescent="0.25">
      <c r="A518">
        <v>18043</v>
      </c>
      <c r="B518" t="s">
        <v>50</v>
      </c>
      <c r="C518">
        <v>12</v>
      </c>
      <c r="D518" s="3">
        <f>parking_demand_data_2024_ver0!D518*calibration!$I$31</f>
        <v>1.81735898555627</v>
      </c>
      <c r="E518" s="3">
        <f>parking_demand_data_2024_ver0!E518*calibration!$I$31</f>
        <v>2.8711217586939299</v>
      </c>
      <c r="F518" s="3">
        <f t="shared" si="8"/>
        <v>4.6884807442501995</v>
      </c>
      <c r="G518" s="3">
        <f>parking_demand_data_2024_ver0!F518</f>
        <v>1</v>
      </c>
      <c r="H518" s="3">
        <f>parking_demand_data_2024_ver0!G518</f>
        <v>0</v>
      </c>
      <c r="I518" s="3">
        <f>parking_demand_data_2024_ver0!H518</f>
        <v>0</v>
      </c>
      <c r="J518" s="3">
        <f>parking_demand_data_2024_ver0!I518</f>
        <v>1</v>
      </c>
      <c r="K518" s="3">
        <f>parking_demand_data_2024_ver0!J518</f>
        <v>0</v>
      </c>
      <c r="L518" s="3">
        <f>parking_demand_data_2024_ver0!K518</f>
        <v>0</v>
      </c>
      <c r="M518" s="3">
        <f>parking_demand_data_2024_ver0!L518</f>
        <v>0</v>
      </c>
      <c r="N518" s="3">
        <f>parking_demand_data_2024_ver0!M518</f>
        <v>30</v>
      </c>
      <c r="O518" s="3">
        <f>parking_demand_data_2024_ver0!N518</f>
        <v>0</v>
      </c>
      <c r="P518" s="3">
        <f>parking_demand_data_2024_ver0!O518</f>
        <v>0</v>
      </c>
      <c r="Q518" s="3">
        <f>parking_demand_data_2024_ver0!P518</f>
        <v>30</v>
      </c>
      <c r="R518" s="3">
        <f>parking_demand_data_2024_ver0!Q518</f>
        <v>0</v>
      </c>
      <c r="S518" s="3">
        <f>parking_demand_data_2024_ver0!R518</f>
        <v>0</v>
      </c>
      <c r="T518" s="3">
        <f>parking_demand_data_2024_ver0!S518</f>
        <v>0</v>
      </c>
    </row>
    <row r="519" spans="1:20" x14ac:dyDescent="0.25">
      <c r="A519">
        <v>18043</v>
      </c>
      <c r="B519" t="s">
        <v>50</v>
      </c>
      <c r="C519">
        <v>13</v>
      </c>
      <c r="D519" s="3">
        <f>parking_demand_data_2024_ver0!D519*calibration!$I$31</f>
        <v>1.7409993643144099</v>
      </c>
      <c r="E519" s="3">
        <f>parking_demand_data_2024_ver0!E519*calibration!$I$31</f>
        <v>2.3976921069944002</v>
      </c>
      <c r="F519" s="3">
        <f t="shared" si="8"/>
        <v>4.1386914713088103</v>
      </c>
      <c r="G519" s="3">
        <f>parking_demand_data_2024_ver0!F519</f>
        <v>1</v>
      </c>
      <c r="H519" s="3">
        <f>parking_demand_data_2024_ver0!G519</f>
        <v>0</v>
      </c>
      <c r="I519" s="3">
        <f>parking_demand_data_2024_ver0!H519</f>
        <v>0</v>
      </c>
      <c r="J519" s="3">
        <f>parking_demand_data_2024_ver0!I519</f>
        <v>1</v>
      </c>
      <c r="K519" s="3">
        <f>parking_demand_data_2024_ver0!J519</f>
        <v>0</v>
      </c>
      <c r="L519" s="3">
        <f>parking_demand_data_2024_ver0!K519</f>
        <v>0</v>
      </c>
      <c r="M519" s="3">
        <f>parking_demand_data_2024_ver0!L519</f>
        <v>0</v>
      </c>
      <c r="N519" s="3">
        <f>parking_demand_data_2024_ver0!M519</f>
        <v>30</v>
      </c>
      <c r="O519" s="3">
        <f>parking_demand_data_2024_ver0!N519</f>
        <v>0</v>
      </c>
      <c r="P519" s="3">
        <f>parking_demand_data_2024_ver0!O519</f>
        <v>0</v>
      </c>
      <c r="Q519" s="3">
        <f>parking_demand_data_2024_ver0!P519</f>
        <v>30</v>
      </c>
      <c r="R519" s="3">
        <f>parking_demand_data_2024_ver0!Q519</f>
        <v>0</v>
      </c>
      <c r="S519" s="3">
        <f>parking_demand_data_2024_ver0!R519</f>
        <v>0</v>
      </c>
      <c r="T519" s="3">
        <f>parking_demand_data_2024_ver0!S519</f>
        <v>0</v>
      </c>
    </row>
    <row r="520" spans="1:20" x14ac:dyDescent="0.25">
      <c r="A520">
        <v>18043</v>
      </c>
      <c r="B520" t="s">
        <v>50</v>
      </c>
      <c r="C520">
        <v>14</v>
      </c>
      <c r="D520" s="3">
        <f>parking_demand_data_2024_ver0!D520*calibration!$I$31</f>
        <v>1.81735898555627</v>
      </c>
      <c r="E520" s="3">
        <f>parking_demand_data_2024_ver0!E520*calibration!$I$31</f>
        <v>1.86317475830138</v>
      </c>
      <c r="F520" s="3">
        <f t="shared" si="8"/>
        <v>3.6805337438576498</v>
      </c>
      <c r="G520" s="3">
        <f>parking_demand_data_2024_ver0!F520</f>
        <v>1</v>
      </c>
      <c r="H520" s="3">
        <f>parking_demand_data_2024_ver0!G520</f>
        <v>0</v>
      </c>
      <c r="I520" s="3">
        <f>parking_demand_data_2024_ver0!H520</f>
        <v>0</v>
      </c>
      <c r="J520" s="3">
        <f>parking_demand_data_2024_ver0!I520</f>
        <v>1</v>
      </c>
      <c r="K520" s="3">
        <f>parking_demand_data_2024_ver0!J520</f>
        <v>0</v>
      </c>
      <c r="L520" s="3">
        <f>parking_demand_data_2024_ver0!K520</f>
        <v>0</v>
      </c>
      <c r="M520" s="3">
        <f>parking_demand_data_2024_ver0!L520</f>
        <v>0</v>
      </c>
      <c r="N520" s="3">
        <f>parking_demand_data_2024_ver0!M520</f>
        <v>30</v>
      </c>
      <c r="O520" s="3">
        <f>parking_demand_data_2024_ver0!N520</f>
        <v>0</v>
      </c>
      <c r="P520" s="3">
        <f>parking_demand_data_2024_ver0!O520</f>
        <v>0</v>
      </c>
      <c r="Q520" s="3">
        <f>parking_demand_data_2024_ver0!P520</f>
        <v>30</v>
      </c>
      <c r="R520" s="3">
        <f>parking_demand_data_2024_ver0!Q520</f>
        <v>0</v>
      </c>
      <c r="S520" s="3">
        <f>parking_demand_data_2024_ver0!R520</f>
        <v>0</v>
      </c>
      <c r="T520" s="3">
        <f>parking_demand_data_2024_ver0!S520</f>
        <v>0</v>
      </c>
    </row>
    <row r="521" spans="1:20" x14ac:dyDescent="0.25">
      <c r="A521">
        <v>18043</v>
      </c>
      <c r="B521" t="s">
        <v>50</v>
      </c>
      <c r="C521">
        <v>15</v>
      </c>
      <c r="D521" s="3">
        <f>parking_demand_data_2024_ver0!D521*calibration!$I$31</f>
        <v>2.07698169777859</v>
      </c>
      <c r="E521" s="3">
        <f>parking_demand_data_2024_ver0!E521*calibration!$I$31</f>
        <v>1.6646397430725499</v>
      </c>
      <c r="F521" s="3">
        <f t="shared" si="8"/>
        <v>3.7416214408511399</v>
      </c>
      <c r="G521" s="3">
        <f>parking_demand_data_2024_ver0!F521</f>
        <v>1</v>
      </c>
      <c r="H521" s="3">
        <f>parking_demand_data_2024_ver0!G521</f>
        <v>0</v>
      </c>
      <c r="I521" s="3">
        <f>parking_demand_data_2024_ver0!H521</f>
        <v>0</v>
      </c>
      <c r="J521" s="3">
        <f>parking_demand_data_2024_ver0!I521</f>
        <v>1</v>
      </c>
      <c r="K521" s="3">
        <f>parking_demand_data_2024_ver0!J521</f>
        <v>0</v>
      </c>
      <c r="L521" s="3">
        <f>parking_demand_data_2024_ver0!K521</f>
        <v>0</v>
      </c>
      <c r="M521" s="3">
        <f>parking_demand_data_2024_ver0!L521</f>
        <v>0</v>
      </c>
      <c r="N521" s="3">
        <f>parking_demand_data_2024_ver0!M521</f>
        <v>30</v>
      </c>
      <c r="O521" s="3">
        <f>parking_demand_data_2024_ver0!N521</f>
        <v>0</v>
      </c>
      <c r="P521" s="3">
        <f>parking_demand_data_2024_ver0!O521</f>
        <v>0</v>
      </c>
      <c r="Q521" s="3">
        <f>parking_demand_data_2024_ver0!P521</f>
        <v>30</v>
      </c>
      <c r="R521" s="3">
        <f>parking_demand_data_2024_ver0!Q521</f>
        <v>0</v>
      </c>
      <c r="S521" s="3">
        <f>parking_demand_data_2024_ver0!R521</f>
        <v>0</v>
      </c>
      <c r="T521" s="3">
        <f>parking_demand_data_2024_ver0!S521</f>
        <v>0</v>
      </c>
    </row>
    <row r="522" spans="1:20" x14ac:dyDescent="0.25">
      <c r="A522">
        <v>18043</v>
      </c>
      <c r="B522" t="s">
        <v>50</v>
      </c>
      <c r="C522">
        <v>16</v>
      </c>
      <c r="D522" s="3">
        <f>parking_demand_data_2024_ver0!D522*calibration!$I$31</f>
        <v>2.3976921069944002</v>
      </c>
      <c r="E522" s="3">
        <f>parking_demand_data_2024_ver0!E522*calibration!$I$31</f>
        <v>1.2675697126148699</v>
      </c>
      <c r="F522" s="3">
        <f t="shared" si="8"/>
        <v>3.6652618196092703</v>
      </c>
      <c r="G522" s="3">
        <f>parking_demand_data_2024_ver0!F522</f>
        <v>1</v>
      </c>
      <c r="H522" s="3">
        <f>parking_demand_data_2024_ver0!G522</f>
        <v>0</v>
      </c>
      <c r="I522" s="3">
        <f>parking_demand_data_2024_ver0!H522</f>
        <v>0</v>
      </c>
      <c r="J522" s="3">
        <f>parking_demand_data_2024_ver0!I522</f>
        <v>1</v>
      </c>
      <c r="K522" s="3">
        <f>parking_demand_data_2024_ver0!J522</f>
        <v>0</v>
      </c>
      <c r="L522" s="3">
        <f>parking_demand_data_2024_ver0!K522</f>
        <v>0</v>
      </c>
      <c r="M522" s="3">
        <f>parking_demand_data_2024_ver0!L522</f>
        <v>0</v>
      </c>
      <c r="N522" s="3">
        <f>parking_demand_data_2024_ver0!M522</f>
        <v>30</v>
      </c>
      <c r="O522" s="3">
        <f>parking_demand_data_2024_ver0!N522</f>
        <v>0</v>
      </c>
      <c r="P522" s="3">
        <f>parking_demand_data_2024_ver0!O522</f>
        <v>0</v>
      </c>
      <c r="Q522" s="3">
        <f>parking_demand_data_2024_ver0!P522</f>
        <v>30</v>
      </c>
      <c r="R522" s="3">
        <f>parking_demand_data_2024_ver0!Q522</f>
        <v>0</v>
      </c>
      <c r="S522" s="3">
        <f>parking_demand_data_2024_ver0!R522</f>
        <v>0</v>
      </c>
      <c r="T522" s="3">
        <f>parking_demand_data_2024_ver0!S522</f>
        <v>0</v>
      </c>
    </row>
    <row r="523" spans="1:20" x14ac:dyDescent="0.25">
      <c r="A523">
        <v>18043</v>
      </c>
      <c r="B523" t="s">
        <v>50</v>
      </c>
      <c r="C523">
        <v>17</v>
      </c>
      <c r="D523" s="3">
        <f>parking_demand_data_2024_ver0!D523*calibration!$I$31</f>
        <v>2.7184025162102099</v>
      </c>
      <c r="E523" s="3">
        <f>parking_demand_data_2024_ver0!E523*calibration!$I$31</f>
        <v>1.1759381671246401</v>
      </c>
      <c r="F523" s="3">
        <f t="shared" si="8"/>
        <v>3.8943406833348497</v>
      </c>
      <c r="G523" s="3">
        <f>parking_demand_data_2024_ver0!F523</f>
        <v>1</v>
      </c>
      <c r="H523" s="3">
        <f>parking_demand_data_2024_ver0!G523</f>
        <v>0</v>
      </c>
      <c r="I523" s="3">
        <f>parking_demand_data_2024_ver0!H523</f>
        <v>0</v>
      </c>
      <c r="J523" s="3">
        <f>parking_demand_data_2024_ver0!I523</f>
        <v>1</v>
      </c>
      <c r="K523" s="3">
        <f>parking_demand_data_2024_ver0!J523</f>
        <v>0</v>
      </c>
      <c r="L523" s="3">
        <f>parking_demand_data_2024_ver0!K523</f>
        <v>0</v>
      </c>
      <c r="M523" s="3">
        <f>parking_demand_data_2024_ver0!L523</f>
        <v>0</v>
      </c>
      <c r="N523" s="3">
        <f>parking_demand_data_2024_ver0!M523</f>
        <v>30</v>
      </c>
      <c r="O523" s="3">
        <f>parking_demand_data_2024_ver0!N523</f>
        <v>0</v>
      </c>
      <c r="P523" s="3">
        <f>parking_demand_data_2024_ver0!O523</f>
        <v>0</v>
      </c>
      <c r="Q523" s="3">
        <f>parking_demand_data_2024_ver0!P523</f>
        <v>30</v>
      </c>
      <c r="R523" s="3">
        <f>parking_demand_data_2024_ver0!Q523</f>
        <v>0</v>
      </c>
      <c r="S523" s="3">
        <f>parking_demand_data_2024_ver0!R523</f>
        <v>0</v>
      </c>
      <c r="T523" s="3">
        <f>parking_demand_data_2024_ver0!S523</f>
        <v>0</v>
      </c>
    </row>
    <row r="524" spans="1:20" x14ac:dyDescent="0.25">
      <c r="A524">
        <v>18043</v>
      </c>
      <c r="B524" t="s">
        <v>50</v>
      </c>
      <c r="C524">
        <v>18</v>
      </c>
      <c r="D524" s="3">
        <f>parking_demand_data_2024_ver0!D524*calibration!$I$31</f>
        <v>2.8863936829423098</v>
      </c>
      <c r="E524" s="3">
        <f>parking_demand_data_2024_ver0!E524*calibration!$I$31</f>
        <v>1.23702586411813</v>
      </c>
      <c r="F524" s="3">
        <f t="shared" si="8"/>
        <v>4.1234195470604398</v>
      </c>
      <c r="G524" s="3">
        <f>parking_demand_data_2024_ver0!F524</f>
        <v>1</v>
      </c>
      <c r="H524" s="3">
        <f>parking_demand_data_2024_ver0!G524</f>
        <v>0</v>
      </c>
      <c r="I524" s="3">
        <f>parking_demand_data_2024_ver0!H524</f>
        <v>0</v>
      </c>
      <c r="J524" s="3">
        <f>parking_demand_data_2024_ver0!I524</f>
        <v>1</v>
      </c>
      <c r="K524" s="3">
        <f>parking_demand_data_2024_ver0!J524</f>
        <v>0</v>
      </c>
      <c r="L524" s="3">
        <f>parking_demand_data_2024_ver0!K524</f>
        <v>0</v>
      </c>
      <c r="M524" s="3">
        <f>parking_demand_data_2024_ver0!L524</f>
        <v>0</v>
      </c>
      <c r="N524" s="3">
        <f>parking_demand_data_2024_ver0!M524</f>
        <v>30</v>
      </c>
      <c r="O524" s="3">
        <f>parking_demand_data_2024_ver0!N524</f>
        <v>0</v>
      </c>
      <c r="P524" s="3">
        <f>parking_demand_data_2024_ver0!O524</f>
        <v>0</v>
      </c>
      <c r="Q524" s="3">
        <f>parking_demand_data_2024_ver0!P524</f>
        <v>30</v>
      </c>
      <c r="R524" s="3">
        <f>parking_demand_data_2024_ver0!Q524</f>
        <v>0</v>
      </c>
      <c r="S524" s="3">
        <f>parking_demand_data_2024_ver0!R524</f>
        <v>0</v>
      </c>
      <c r="T524" s="3">
        <f>parking_demand_data_2024_ver0!S524</f>
        <v>0</v>
      </c>
    </row>
    <row r="525" spans="1:20" x14ac:dyDescent="0.25">
      <c r="A525">
        <v>18043</v>
      </c>
      <c r="B525" t="s">
        <v>50</v>
      </c>
      <c r="C525">
        <v>19</v>
      </c>
      <c r="D525" s="3">
        <f>parking_demand_data_2024_ver0!D525*calibration!$I$31</f>
        <v>2.96275330418417</v>
      </c>
      <c r="E525" s="3">
        <f>parking_demand_data_2024_ver0!E525*calibration!$I$31</f>
        <v>1.2522977883665001</v>
      </c>
      <c r="F525" s="3">
        <f t="shared" si="8"/>
        <v>4.2150510925506701</v>
      </c>
      <c r="G525" s="3">
        <f>parking_demand_data_2024_ver0!F525</f>
        <v>1</v>
      </c>
      <c r="H525" s="3">
        <f>parking_demand_data_2024_ver0!G525</f>
        <v>0</v>
      </c>
      <c r="I525" s="3">
        <f>parking_demand_data_2024_ver0!H525</f>
        <v>0</v>
      </c>
      <c r="J525" s="3">
        <f>parking_demand_data_2024_ver0!I525</f>
        <v>1</v>
      </c>
      <c r="K525" s="3">
        <f>parking_demand_data_2024_ver0!J525</f>
        <v>0</v>
      </c>
      <c r="L525" s="3">
        <f>parking_demand_data_2024_ver0!K525</f>
        <v>0</v>
      </c>
      <c r="M525" s="3">
        <f>parking_demand_data_2024_ver0!L525</f>
        <v>0</v>
      </c>
      <c r="N525" s="3">
        <f>parking_demand_data_2024_ver0!M525</f>
        <v>30</v>
      </c>
      <c r="O525" s="3">
        <f>parking_demand_data_2024_ver0!N525</f>
        <v>0</v>
      </c>
      <c r="P525" s="3">
        <f>parking_demand_data_2024_ver0!O525</f>
        <v>0</v>
      </c>
      <c r="Q525" s="3">
        <f>parking_demand_data_2024_ver0!P525</f>
        <v>30</v>
      </c>
      <c r="R525" s="3">
        <f>parking_demand_data_2024_ver0!Q525</f>
        <v>0</v>
      </c>
      <c r="S525" s="3">
        <f>parking_demand_data_2024_ver0!R525</f>
        <v>0</v>
      </c>
      <c r="T525" s="3">
        <f>parking_demand_data_2024_ver0!S525</f>
        <v>0</v>
      </c>
    </row>
    <row r="526" spans="1:20" x14ac:dyDescent="0.25">
      <c r="A526">
        <v>18043</v>
      </c>
      <c r="B526" t="s">
        <v>50</v>
      </c>
      <c r="C526">
        <v>20</v>
      </c>
      <c r="D526" s="3">
        <f>parking_demand_data_2024_ver0!D526*calibration!$I$31</f>
        <v>3.0543848496743999</v>
      </c>
      <c r="E526" s="3">
        <f>parking_demand_data_2024_ver0!E526*calibration!$I$31</f>
        <v>1.2522977883665001</v>
      </c>
      <c r="F526" s="3">
        <f t="shared" si="8"/>
        <v>4.3066826380409005</v>
      </c>
      <c r="G526" s="3">
        <f>parking_demand_data_2024_ver0!F526</f>
        <v>1</v>
      </c>
      <c r="H526" s="3">
        <f>parking_demand_data_2024_ver0!G526</f>
        <v>0</v>
      </c>
      <c r="I526" s="3">
        <f>parking_demand_data_2024_ver0!H526</f>
        <v>0</v>
      </c>
      <c r="J526" s="3">
        <f>parking_demand_data_2024_ver0!I526</f>
        <v>1</v>
      </c>
      <c r="K526" s="3">
        <f>parking_demand_data_2024_ver0!J526</f>
        <v>0</v>
      </c>
      <c r="L526" s="3">
        <f>parking_demand_data_2024_ver0!K526</f>
        <v>0</v>
      </c>
      <c r="M526" s="3">
        <f>parking_demand_data_2024_ver0!L526</f>
        <v>0</v>
      </c>
      <c r="N526" s="3">
        <f>parking_demand_data_2024_ver0!M526</f>
        <v>30</v>
      </c>
      <c r="O526" s="3">
        <f>parking_demand_data_2024_ver0!N526</f>
        <v>0</v>
      </c>
      <c r="P526" s="3">
        <f>parking_demand_data_2024_ver0!O526</f>
        <v>0</v>
      </c>
      <c r="Q526" s="3">
        <f>parking_demand_data_2024_ver0!P526</f>
        <v>30</v>
      </c>
      <c r="R526" s="3">
        <f>parking_demand_data_2024_ver0!Q526</f>
        <v>0</v>
      </c>
      <c r="S526" s="3">
        <f>parking_demand_data_2024_ver0!R526</f>
        <v>0</v>
      </c>
      <c r="T526" s="3">
        <f>parking_demand_data_2024_ver0!S526</f>
        <v>0</v>
      </c>
    </row>
    <row r="527" spans="1:20" x14ac:dyDescent="0.25">
      <c r="A527">
        <v>18043</v>
      </c>
      <c r="B527" t="s">
        <v>50</v>
      </c>
      <c r="C527">
        <v>21</v>
      </c>
      <c r="D527" s="3">
        <f>parking_demand_data_2024_ver0!D527*calibration!$I$31</f>
        <v>3.1765602436613798</v>
      </c>
      <c r="E527" s="3">
        <f>parking_demand_data_2024_ver0!E527*calibration!$I$31</f>
        <v>1.3286574096083601</v>
      </c>
      <c r="F527" s="3">
        <f t="shared" si="8"/>
        <v>4.5052176532697397</v>
      </c>
      <c r="G527" s="3">
        <f>parking_demand_data_2024_ver0!F527</f>
        <v>1</v>
      </c>
      <c r="H527" s="3">
        <f>parking_demand_data_2024_ver0!G527</f>
        <v>0</v>
      </c>
      <c r="I527" s="3">
        <f>parking_demand_data_2024_ver0!H527</f>
        <v>0</v>
      </c>
      <c r="J527" s="3">
        <f>parking_demand_data_2024_ver0!I527</f>
        <v>1</v>
      </c>
      <c r="K527" s="3">
        <f>parking_demand_data_2024_ver0!J527</f>
        <v>0</v>
      </c>
      <c r="L527" s="3">
        <f>parking_demand_data_2024_ver0!K527</f>
        <v>0</v>
      </c>
      <c r="M527" s="3">
        <f>parking_demand_data_2024_ver0!L527</f>
        <v>0</v>
      </c>
      <c r="N527" s="3">
        <f>parking_demand_data_2024_ver0!M527</f>
        <v>30</v>
      </c>
      <c r="O527" s="3">
        <f>parking_demand_data_2024_ver0!N527</f>
        <v>0</v>
      </c>
      <c r="P527" s="3">
        <f>parking_demand_data_2024_ver0!O527</f>
        <v>0</v>
      </c>
      <c r="Q527" s="3">
        <f>parking_demand_data_2024_ver0!P527</f>
        <v>30</v>
      </c>
      <c r="R527" s="3">
        <f>parking_demand_data_2024_ver0!Q527</f>
        <v>0</v>
      </c>
      <c r="S527" s="3">
        <f>parking_demand_data_2024_ver0!R527</f>
        <v>0</v>
      </c>
      <c r="T527" s="3">
        <f>parking_demand_data_2024_ver0!S527</f>
        <v>0</v>
      </c>
    </row>
    <row r="528" spans="1:20" x14ac:dyDescent="0.25">
      <c r="A528">
        <v>18043</v>
      </c>
      <c r="B528" t="s">
        <v>50</v>
      </c>
      <c r="C528">
        <v>22</v>
      </c>
      <c r="D528" s="3">
        <f>parking_demand_data_2024_ver0!D528*calibration!$I$31</f>
        <v>3.2987356376483499</v>
      </c>
      <c r="E528" s="3">
        <f>parking_demand_data_2024_ver0!E528*calibration!$I$31</f>
        <v>1.4355608793469601</v>
      </c>
      <c r="F528" s="3">
        <f t="shared" si="8"/>
        <v>4.7342965169953102</v>
      </c>
      <c r="G528" s="3">
        <f>parking_demand_data_2024_ver0!F528</f>
        <v>1</v>
      </c>
      <c r="H528" s="3">
        <f>parking_demand_data_2024_ver0!G528</f>
        <v>0</v>
      </c>
      <c r="I528" s="3">
        <f>parking_demand_data_2024_ver0!H528</f>
        <v>0</v>
      </c>
      <c r="J528" s="3">
        <f>parking_demand_data_2024_ver0!I528</f>
        <v>1</v>
      </c>
      <c r="K528" s="3">
        <f>parking_demand_data_2024_ver0!J528</f>
        <v>0</v>
      </c>
      <c r="L528" s="3">
        <f>parking_demand_data_2024_ver0!K528</f>
        <v>0</v>
      </c>
      <c r="M528" s="3">
        <f>parking_demand_data_2024_ver0!L528</f>
        <v>0</v>
      </c>
      <c r="N528" s="3">
        <f>parking_demand_data_2024_ver0!M528</f>
        <v>30</v>
      </c>
      <c r="O528" s="3">
        <f>parking_demand_data_2024_ver0!N528</f>
        <v>0</v>
      </c>
      <c r="P528" s="3">
        <f>parking_demand_data_2024_ver0!O528</f>
        <v>0</v>
      </c>
      <c r="Q528" s="3">
        <f>parking_demand_data_2024_ver0!P528</f>
        <v>30</v>
      </c>
      <c r="R528" s="3">
        <f>parking_demand_data_2024_ver0!Q528</f>
        <v>0</v>
      </c>
      <c r="S528" s="3">
        <f>parking_demand_data_2024_ver0!R528</f>
        <v>0</v>
      </c>
      <c r="T528" s="3">
        <f>parking_demand_data_2024_ver0!S528</f>
        <v>0</v>
      </c>
    </row>
    <row r="529" spans="1:20" x14ac:dyDescent="0.25">
      <c r="A529">
        <v>18043</v>
      </c>
      <c r="B529" t="s">
        <v>50</v>
      </c>
      <c r="C529">
        <v>23</v>
      </c>
      <c r="D529" s="3">
        <f>parking_demand_data_2024_ver0!D529*calibration!$I$31</f>
        <v>3.3445514103934699</v>
      </c>
      <c r="E529" s="3">
        <f>parking_demand_data_2024_ver0!E529*calibration!$I$31</f>
        <v>1.67991166732092</v>
      </c>
      <c r="F529" s="3">
        <f t="shared" si="8"/>
        <v>5.0244630777143904</v>
      </c>
      <c r="G529" s="3">
        <f>parking_demand_data_2024_ver0!F529</f>
        <v>1</v>
      </c>
      <c r="H529" s="3">
        <f>parking_demand_data_2024_ver0!G529</f>
        <v>0</v>
      </c>
      <c r="I529" s="3">
        <f>parking_demand_data_2024_ver0!H529</f>
        <v>0</v>
      </c>
      <c r="J529" s="3">
        <f>parking_demand_data_2024_ver0!I529</f>
        <v>1</v>
      </c>
      <c r="K529" s="3">
        <f>parking_demand_data_2024_ver0!J529</f>
        <v>0</v>
      </c>
      <c r="L529" s="3">
        <f>parking_demand_data_2024_ver0!K529</f>
        <v>0</v>
      </c>
      <c r="M529" s="3">
        <f>parking_demand_data_2024_ver0!L529</f>
        <v>0</v>
      </c>
      <c r="N529" s="3">
        <f>parking_demand_data_2024_ver0!M529</f>
        <v>30</v>
      </c>
      <c r="O529" s="3">
        <f>parking_demand_data_2024_ver0!N529</f>
        <v>0</v>
      </c>
      <c r="P529" s="3">
        <f>parking_demand_data_2024_ver0!O529</f>
        <v>0</v>
      </c>
      <c r="Q529" s="3">
        <f>parking_demand_data_2024_ver0!P529</f>
        <v>30</v>
      </c>
      <c r="R529" s="3">
        <f>parking_demand_data_2024_ver0!Q529</f>
        <v>0</v>
      </c>
      <c r="S529" s="3">
        <f>parking_demand_data_2024_ver0!R529</f>
        <v>0</v>
      </c>
      <c r="T529" s="3">
        <f>parking_demand_data_2024_ver0!S529</f>
        <v>0</v>
      </c>
    </row>
    <row r="530" spans="1:20" x14ac:dyDescent="0.25">
      <c r="A530">
        <v>18045</v>
      </c>
      <c r="B530" t="s">
        <v>51</v>
      </c>
      <c r="C530">
        <v>0</v>
      </c>
      <c r="D530" s="3">
        <f>parking_demand_data_2024_ver0!D530*calibration!$I$31</f>
        <v>0</v>
      </c>
      <c r="E530" s="3">
        <f>parking_demand_data_2024_ver0!E530*calibration!$I$31</f>
        <v>1.4400510113829299</v>
      </c>
      <c r="F530" s="3">
        <f t="shared" si="8"/>
        <v>1.4400510113829299</v>
      </c>
      <c r="G530" s="3">
        <f>parking_demand_data_2024_ver0!F530</f>
        <v>0</v>
      </c>
      <c r="H530" s="3">
        <f>parking_demand_data_2024_ver0!G530</f>
        <v>0</v>
      </c>
      <c r="I530" s="3">
        <f>parking_demand_data_2024_ver0!H530</f>
        <v>0</v>
      </c>
      <c r="J530" s="3">
        <f>parking_demand_data_2024_ver0!I530</f>
        <v>0</v>
      </c>
      <c r="K530" s="3">
        <f>parking_demand_data_2024_ver0!J530</f>
        <v>0</v>
      </c>
      <c r="L530" s="3">
        <f>parking_demand_data_2024_ver0!K530</f>
        <v>0</v>
      </c>
      <c r="M530" s="3">
        <f>parking_demand_data_2024_ver0!L530</f>
        <v>0</v>
      </c>
      <c r="N530" s="3">
        <f>parking_demand_data_2024_ver0!M530</f>
        <v>0</v>
      </c>
      <c r="O530" s="3">
        <f>parking_demand_data_2024_ver0!N530</f>
        <v>0</v>
      </c>
      <c r="P530" s="3">
        <f>parking_demand_data_2024_ver0!O530</f>
        <v>0</v>
      </c>
      <c r="Q530" s="3">
        <f>parking_demand_data_2024_ver0!P530</f>
        <v>0</v>
      </c>
      <c r="R530" s="3">
        <f>parking_demand_data_2024_ver0!Q530</f>
        <v>0</v>
      </c>
      <c r="S530" s="3">
        <f>parking_demand_data_2024_ver0!R530</f>
        <v>0</v>
      </c>
      <c r="T530" s="3">
        <f>parking_demand_data_2024_ver0!S530</f>
        <v>0</v>
      </c>
    </row>
    <row r="531" spans="1:20" x14ac:dyDescent="0.25">
      <c r="A531">
        <v>18045</v>
      </c>
      <c r="B531" t="s">
        <v>51</v>
      </c>
      <c r="C531">
        <v>1</v>
      </c>
      <c r="D531" s="3">
        <f>parking_demand_data_2024_ver0!D531*calibration!$I$31</f>
        <v>0</v>
      </c>
      <c r="E531" s="3">
        <f>parking_demand_data_2024_ver0!E531*calibration!$I$31</f>
        <v>1.38862061811925</v>
      </c>
      <c r="F531" s="3">
        <f t="shared" si="8"/>
        <v>1.38862061811925</v>
      </c>
      <c r="G531" s="3">
        <f>parking_demand_data_2024_ver0!F531</f>
        <v>0</v>
      </c>
      <c r="H531" s="3">
        <f>parking_demand_data_2024_ver0!G531</f>
        <v>0</v>
      </c>
      <c r="I531" s="3">
        <f>parking_demand_data_2024_ver0!H531</f>
        <v>0</v>
      </c>
      <c r="J531" s="3">
        <f>parking_demand_data_2024_ver0!I531</f>
        <v>0</v>
      </c>
      <c r="K531" s="3">
        <f>parking_demand_data_2024_ver0!J531</f>
        <v>0</v>
      </c>
      <c r="L531" s="3">
        <f>parking_demand_data_2024_ver0!K531</f>
        <v>0</v>
      </c>
      <c r="M531" s="3">
        <f>parking_demand_data_2024_ver0!L531</f>
        <v>0</v>
      </c>
      <c r="N531" s="3">
        <f>parking_demand_data_2024_ver0!M531</f>
        <v>0</v>
      </c>
      <c r="O531" s="3">
        <f>parking_demand_data_2024_ver0!N531</f>
        <v>0</v>
      </c>
      <c r="P531" s="3">
        <f>parking_demand_data_2024_ver0!O531</f>
        <v>0</v>
      </c>
      <c r="Q531" s="3">
        <f>parking_demand_data_2024_ver0!P531</f>
        <v>0</v>
      </c>
      <c r="R531" s="3">
        <f>parking_demand_data_2024_ver0!Q531</f>
        <v>0</v>
      </c>
      <c r="S531" s="3">
        <f>parking_demand_data_2024_ver0!R531</f>
        <v>0</v>
      </c>
      <c r="T531" s="3">
        <f>parking_demand_data_2024_ver0!S531</f>
        <v>0</v>
      </c>
    </row>
    <row r="532" spans="1:20" x14ac:dyDescent="0.25">
      <c r="A532">
        <v>18045</v>
      </c>
      <c r="B532" t="s">
        <v>51</v>
      </c>
      <c r="C532">
        <v>2</v>
      </c>
      <c r="D532" s="3">
        <f>parking_demand_data_2024_ver0!D532*calibration!$I$31</f>
        <v>0</v>
      </c>
      <c r="E532" s="3">
        <f>parking_demand_data_2024_ver0!E532*calibration!$I$31</f>
        <v>1.90292455075602</v>
      </c>
      <c r="F532" s="3">
        <f t="shared" si="8"/>
        <v>1.90292455075602</v>
      </c>
      <c r="G532" s="3">
        <f>parking_demand_data_2024_ver0!F532</f>
        <v>0</v>
      </c>
      <c r="H532" s="3">
        <f>parking_demand_data_2024_ver0!G532</f>
        <v>0</v>
      </c>
      <c r="I532" s="3">
        <f>parking_demand_data_2024_ver0!H532</f>
        <v>0</v>
      </c>
      <c r="J532" s="3">
        <f>parking_demand_data_2024_ver0!I532</f>
        <v>0</v>
      </c>
      <c r="K532" s="3">
        <f>parking_demand_data_2024_ver0!J532</f>
        <v>0</v>
      </c>
      <c r="L532" s="3">
        <f>parking_demand_data_2024_ver0!K532</f>
        <v>0</v>
      </c>
      <c r="M532" s="3">
        <f>parking_demand_data_2024_ver0!L532</f>
        <v>0</v>
      </c>
      <c r="N532" s="3">
        <f>parking_demand_data_2024_ver0!M532</f>
        <v>0</v>
      </c>
      <c r="O532" s="3">
        <f>parking_demand_data_2024_ver0!N532</f>
        <v>0</v>
      </c>
      <c r="P532" s="3">
        <f>parking_demand_data_2024_ver0!O532</f>
        <v>0</v>
      </c>
      <c r="Q532" s="3">
        <f>parking_demand_data_2024_ver0!P532</f>
        <v>0</v>
      </c>
      <c r="R532" s="3">
        <f>parking_demand_data_2024_ver0!Q532</f>
        <v>0</v>
      </c>
      <c r="S532" s="3">
        <f>parking_demand_data_2024_ver0!R532</f>
        <v>0</v>
      </c>
      <c r="T532" s="3">
        <f>parking_demand_data_2024_ver0!S532</f>
        <v>0</v>
      </c>
    </row>
    <row r="533" spans="1:20" x14ac:dyDescent="0.25">
      <c r="A533">
        <v>18045</v>
      </c>
      <c r="B533" t="s">
        <v>51</v>
      </c>
      <c r="C533">
        <v>3</v>
      </c>
      <c r="D533" s="3">
        <f>parking_demand_data_2024_ver0!D533*calibration!$I$31</f>
        <v>0</v>
      </c>
      <c r="E533" s="3">
        <f>parking_demand_data_2024_ver0!E533*calibration!$I$31</f>
        <v>2.4172284833927802</v>
      </c>
      <c r="F533" s="3">
        <f t="shared" si="8"/>
        <v>2.4172284833927802</v>
      </c>
      <c r="G533" s="3">
        <f>parking_demand_data_2024_ver0!F533</f>
        <v>0</v>
      </c>
      <c r="H533" s="3">
        <f>parking_demand_data_2024_ver0!G533</f>
        <v>0</v>
      </c>
      <c r="I533" s="3">
        <f>parking_demand_data_2024_ver0!H533</f>
        <v>0</v>
      </c>
      <c r="J533" s="3">
        <f>parking_demand_data_2024_ver0!I533</f>
        <v>0</v>
      </c>
      <c r="K533" s="3">
        <f>parking_demand_data_2024_ver0!J533</f>
        <v>0</v>
      </c>
      <c r="L533" s="3">
        <f>parking_demand_data_2024_ver0!K533</f>
        <v>0</v>
      </c>
      <c r="M533" s="3">
        <f>parking_demand_data_2024_ver0!L533</f>
        <v>0</v>
      </c>
      <c r="N533" s="3">
        <f>parking_demand_data_2024_ver0!M533</f>
        <v>0</v>
      </c>
      <c r="O533" s="3">
        <f>parking_demand_data_2024_ver0!N533</f>
        <v>0</v>
      </c>
      <c r="P533" s="3">
        <f>parking_demand_data_2024_ver0!O533</f>
        <v>0</v>
      </c>
      <c r="Q533" s="3">
        <f>parking_demand_data_2024_ver0!P533</f>
        <v>0</v>
      </c>
      <c r="R533" s="3">
        <f>parking_demand_data_2024_ver0!Q533</f>
        <v>0</v>
      </c>
      <c r="S533" s="3">
        <f>parking_demand_data_2024_ver0!R533</f>
        <v>0</v>
      </c>
      <c r="T533" s="3">
        <f>parking_demand_data_2024_ver0!S533</f>
        <v>0</v>
      </c>
    </row>
    <row r="534" spans="1:20" x14ac:dyDescent="0.25">
      <c r="A534">
        <v>18045</v>
      </c>
      <c r="B534" t="s">
        <v>51</v>
      </c>
      <c r="C534">
        <v>4</v>
      </c>
      <c r="D534" s="3">
        <f>parking_demand_data_2024_ver0!D534*calibration!$I$31</f>
        <v>0</v>
      </c>
      <c r="E534" s="3">
        <f>parking_demand_data_2024_ver0!E534*calibration!$I$31</f>
        <v>2.8286716295021899</v>
      </c>
      <c r="F534" s="3">
        <f t="shared" si="8"/>
        <v>2.8286716295021899</v>
      </c>
      <c r="G534" s="3">
        <f>parking_demand_data_2024_ver0!F534</f>
        <v>0</v>
      </c>
      <c r="H534" s="3">
        <f>parking_demand_data_2024_ver0!G534</f>
        <v>0</v>
      </c>
      <c r="I534" s="3">
        <f>parking_demand_data_2024_ver0!H534</f>
        <v>0</v>
      </c>
      <c r="J534" s="3">
        <f>parking_demand_data_2024_ver0!I534</f>
        <v>0</v>
      </c>
      <c r="K534" s="3">
        <f>parking_demand_data_2024_ver0!J534</f>
        <v>0</v>
      </c>
      <c r="L534" s="3">
        <f>parking_demand_data_2024_ver0!K534</f>
        <v>0</v>
      </c>
      <c r="M534" s="3">
        <f>parking_demand_data_2024_ver0!L534</f>
        <v>0</v>
      </c>
      <c r="N534" s="3">
        <f>parking_demand_data_2024_ver0!M534</f>
        <v>0</v>
      </c>
      <c r="O534" s="3">
        <f>parking_demand_data_2024_ver0!N534</f>
        <v>0</v>
      </c>
      <c r="P534" s="3">
        <f>parking_demand_data_2024_ver0!O534</f>
        <v>0</v>
      </c>
      <c r="Q534" s="3">
        <f>parking_demand_data_2024_ver0!P534</f>
        <v>0</v>
      </c>
      <c r="R534" s="3">
        <f>parking_demand_data_2024_ver0!Q534</f>
        <v>0</v>
      </c>
      <c r="S534" s="3">
        <f>parking_demand_data_2024_ver0!R534</f>
        <v>0</v>
      </c>
      <c r="T534" s="3">
        <f>parking_demand_data_2024_ver0!S534</f>
        <v>0</v>
      </c>
    </row>
    <row r="535" spans="1:20" x14ac:dyDescent="0.25">
      <c r="A535">
        <v>18045</v>
      </c>
      <c r="B535" t="s">
        <v>51</v>
      </c>
      <c r="C535">
        <v>5</v>
      </c>
      <c r="D535" s="3">
        <f>parking_demand_data_2024_ver0!D535*calibration!$I$31</f>
        <v>0</v>
      </c>
      <c r="E535" s="3">
        <f>parking_demand_data_2024_ver0!E535*calibration!$I$31</f>
        <v>3.9601402813030702</v>
      </c>
      <c r="F535" s="3">
        <f t="shared" si="8"/>
        <v>3.9601402813030702</v>
      </c>
      <c r="G535" s="3">
        <f>parking_demand_data_2024_ver0!F535</f>
        <v>0</v>
      </c>
      <c r="H535" s="3">
        <f>parking_demand_data_2024_ver0!G535</f>
        <v>0</v>
      </c>
      <c r="I535" s="3">
        <f>parking_demand_data_2024_ver0!H535</f>
        <v>0</v>
      </c>
      <c r="J535" s="3">
        <f>parking_demand_data_2024_ver0!I535</f>
        <v>0</v>
      </c>
      <c r="K535" s="3">
        <f>parking_demand_data_2024_ver0!J535</f>
        <v>0</v>
      </c>
      <c r="L535" s="3">
        <f>parking_demand_data_2024_ver0!K535</f>
        <v>0</v>
      </c>
      <c r="M535" s="3">
        <f>parking_demand_data_2024_ver0!L535</f>
        <v>0</v>
      </c>
      <c r="N535" s="3">
        <f>parking_demand_data_2024_ver0!M535</f>
        <v>0</v>
      </c>
      <c r="O535" s="3">
        <f>parking_demand_data_2024_ver0!N535</f>
        <v>0</v>
      </c>
      <c r="P535" s="3">
        <f>parking_demand_data_2024_ver0!O535</f>
        <v>0</v>
      </c>
      <c r="Q535" s="3">
        <f>parking_demand_data_2024_ver0!P535</f>
        <v>0</v>
      </c>
      <c r="R535" s="3">
        <f>parking_demand_data_2024_ver0!Q535</f>
        <v>0</v>
      </c>
      <c r="S535" s="3">
        <f>parking_demand_data_2024_ver0!R535</f>
        <v>0</v>
      </c>
      <c r="T535" s="3">
        <f>parking_demand_data_2024_ver0!S535</f>
        <v>0</v>
      </c>
    </row>
    <row r="536" spans="1:20" x14ac:dyDescent="0.25">
      <c r="A536">
        <v>18045</v>
      </c>
      <c r="B536" t="s">
        <v>51</v>
      </c>
      <c r="C536">
        <v>6</v>
      </c>
      <c r="D536" s="3">
        <f>parking_demand_data_2024_ver0!D536*calibration!$I$31</f>
        <v>0</v>
      </c>
      <c r="E536" s="3">
        <f>parking_demand_data_2024_ver0!E536*calibration!$I$31</f>
        <v>3.4972667419299799</v>
      </c>
      <c r="F536" s="3">
        <f t="shared" si="8"/>
        <v>3.4972667419299799</v>
      </c>
      <c r="G536" s="3">
        <f>parking_demand_data_2024_ver0!F536</f>
        <v>0</v>
      </c>
      <c r="H536" s="3">
        <f>parking_demand_data_2024_ver0!G536</f>
        <v>0</v>
      </c>
      <c r="I536" s="3">
        <f>parking_demand_data_2024_ver0!H536</f>
        <v>0</v>
      </c>
      <c r="J536" s="3">
        <f>parking_demand_data_2024_ver0!I536</f>
        <v>0</v>
      </c>
      <c r="K536" s="3">
        <f>parking_demand_data_2024_ver0!J536</f>
        <v>0</v>
      </c>
      <c r="L536" s="3">
        <f>parking_demand_data_2024_ver0!K536</f>
        <v>0</v>
      </c>
      <c r="M536" s="3">
        <f>parking_demand_data_2024_ver0!L536</f>
        <v>0</v>
      </c>
      <c r="N536" s="3">
        <f>parking_demand_data_2024_ver0!M536</f>
        <v>0</v>
      </c>
      <c r="O536" s="3">
        <f>parking_demand_data_2024_ver0!N536</f>
        <v>0</v>
      </c>
      <c r="P536" s="3">
        <f>parking_demand_data_2024_ver0!O536</f>
        <v>0</v>
      </c>
      <c r="Q536" s="3">
        <f>parking_demand_data_2024_ver0!P536</f>
        <v>0</v>
      </c>
      <c r="R536" s="3">
        <f>parking_demand_data_2024_ver0!Q536</f>
        <v>0</v>
      </c>
      <c r="S536" s="3">
        <f>parking_demand_data_2024_ver0!R536</f>
        <v>0</v>
      </c>
      <c r="T536" s="3">
        <f>parking_demand_data_2024_ver0!S536</f>
        <v>0</v>
      </c>
    </row>
    <row r="537" spans="1:20" x14ac:dyDescent="0.25">
      <c r="A537">
        <v>18045</v>
      </c>
      <c r="B537" t="s">
        <v>51</v>
      </c>
      <c r="C537">
        <v>7</v>
      </c>
      <c r="D537" s="3">
        <f>parking_demand_data_2024_ver0!D537*calibration!$I$31</f>
        <v>0</v>
      </c>
      <c r="E537" s="3">
        <f>parking_demand_data_2024_ver0!E537*calibration!$I$31</f>
        <v>5.76020404553174</v>
      </c>
      <c r="F537" s="3">
        <f t="shared" si="8"/>
        <v>5.76020404553174</v>
      </c>
      <c r="G537" s="3">
        <f>parking_demand_data_2024_ver0!F537</f>
        <v>0</v>
      </c>
      <c r="H537" s="3">
        <f>parking_demand_data_2024_ver0!G537</f>
        <v>0</v>
      </c>
      <c r="I537" s="3">
        <f>parking_demand_data_2024_ver0!H537</f>
        <v>0</v>
      </c>
      <c r="J537" s="3">
        <f>parking_demand_data_2024_ver0!I537</f>
        <v>0</v>
      </c>
      <c r="K537" s="3">
        <f>parking_demand_data_2024_ver0!J537</f>
        <v>0</v>
      </c>
      <c r="L537" s="3">
        <f>parking_demand_data_2024_ver0!K537</f>
        <v>0</v>
      </c>
      <c r="M537" s="3">
        <f>parking_demand_data_2024_ver0!L537</f>
        <v>0</v>
      </c>
      <c r="N537" s="3">
        <f>parking_demand_data_2024_ver0!M537</f>
        <v>0</v>
      </c>
      <c r="O537" s="3">
        <f>parking_demand_data_2024_ver0!N537</f>
        <v>0</v>
      </c>
      <c r="P537" s="3">
        <f>parking_demand_data_2024_ver0!O537</f>
        <v>0</v>
      </c>
      <c r="Q537" s="3">
        <f>parking_demand_data_2024_ver0!P537</f>
        <v>0</v>
      </c>
      <c r="R537" s="3">
        <f>parking_demand_data_2024_ver0!Q537</f>
        <v>0</v>
      </c>
      <c r="S537" s="3">
        <f>parking_demand_data_2024_ver0!R537</f>
        <v>0</v>
      </c>
      <c r="T537" s="3">
        <f>parking_demand_data_2024_ver0!S537</f>
        <v>0</v>
      </c>
    </row>
    <row r="538" spans="1:20" x14ac:dyDescent="0.25">
      <c r="A538">
        <v>18045</v>
      </c>
      <c r="B538" t="s">
        <v>51</v>
      </c>
      <c r="C538">
        <v>8</v>
      </c>
      <c r="D538" s="3">
        <f>parking_demand_data_2024_ver0!D538*calibration!$I$31</f>
        <v>0</v>
      </c>
      <c r="E538" s="3">
        <f>parking_demand_data_2024_ver0!E538*calibration!$I$31</f>
        <v>8.9488884278796696</v>
      </c>
      <c r="F538" s="3">
        <f t="shared" si="8"/>
        <v>8.9488884278796696</v>
      </c>
      <c r="G538" s="3">
        <f>parking_demand_data_2024_ver0!F538</f>
        <v>0</v>
      </c>
      <c r="H538" s="3">
        <f>parking_demand_data_2024_ver0!G538</f>
        <v>0</v>
      </c>
      <c r="I538" s="3">
        <f>parking_demand_data_2024_ver0!H538</f>
        <v>0</v>
      </c>
      <c r="J538" s="3">
        <f>parking_demand_data_2024_ver0!I538</f>
        <v>0</v>
      </c>
      <c r="K538" s="3">
        <f>parking_demand_data_2024_ver0!J538</f>
        <v>0</v>
      </c>
      <c r="L538" s="3">
        <f>parking_demand_data_2024_ver0!K538</f>
        <v>0</v>
      </c>
      <c r="M538" s="3">
        <f>parking_demand_data_2024_ver0!L538</f>
        <v>0</v>
      </c>
      <c r="N538" s="3">
        <f>parking_demand_data_2024_ver0!M538</f>
        <v>0</v>
      </c>
      <c r="O538" s="3">
        <f>parking_demand_data_2024_ver0!N538</f>
        <v>0</v>
      </c>
      <c r="P538" s="3">
        <f>parking_demand_data_2024_ver0!O538</f>
        <v>0</v>
      </c>
      <c r="Q538" s="3">
        <f>parking_demand_data_2024_ver0!P538</f>
        <v>0</v>
      </c>
      <c r="R538" s="3">
        <f>parking_demand_data_2024_ver0!Q538</f>
        <v>0</v>
      </c>
      <c r="S538" s="3">
        <f>parking_demand_data_2024_ver0!R538</f>
        <v>0</v>
      </c>
      <c r="T538" s="3">
        <f>parking_demand_data_2024_ver0!S538</f>
        <v>0</v>
      </c>
    </row>
    <row r="539" spans="1:20" x14ac:dyDescent="0.25">
      <c r="A539">
        <v>18045</v>
      </c>
      <c r="B539" t="s">
        <v>51</v>
      </c>
      <c r="C539">
        <v>9</v>
      </c>
      <c r="D539" s="3">
        <f>parking_demand_data_2024_ver0!D539*calibration!$I$31</f>
        <v>0</v>
      </c>
      <c r="E539" s="3">
        <f>parking_demand_data_2024_ver0!E539*calibration!$I$31</f>
        <v>10.8518129786356</v>
      </c>
      <c r="F539" s="3">
        <f t="shared" si="8"/>
        <v>10.8518129786356</v>
      </c>
      <c r="G539" s="3">
        <f>parking_demand_data_2024_ver0!F539</f>
        <v>0</v>
      </c>
      <c r="H539" s="3">
        <f>parking_demand_data_2024_ver0!G539</f>
        <v>0</v>
      </c>
      <c r="I539" s="3">
        <f>parking_demand_data_2024_ver0!H539</f>
        <v>0</v>
      </c>
      <c r="J539" s="3">
        <f>parking_demand_data_2024_ver0!I539</f>
        <v>0</v>
      </c>
      <c r="K539" s="3">
        <f>parking_demand_data_2024_ver0!J539</f>
        <v>0</v>
      </c>
      <c r="L539" s="3">
        <f>parking_demand_data_2024_ver0!K539</f>
        <v>0</v>
      </c>
      <c r="M539" s="3">
        <f>parking_demand_data_2024_ver0!L539</f>
        <v>0</v>
      </c>
      <c r="N539" s="3">
        <f>parking_demand_data_2024_ver0!M539</f>
        <v>0</v>
      </c>
      <c r="O539" s="3">
        <f>parking_demand_data_2024_ver0!N539</f>
        <v>0</v>
      </c>
      <c r="P539" s="3">
        <f>parking_demand_data_2024_ver0!O539</f>
        <v>0</v>
      </c>
      <c r="Q539" s="3">
        <f>parking_demand_data_2024_ver0!P539</f>
        <v>0</v>
      </c>
      <c r="R539" s="3">
        <f>parking_demand_data_2024_ver0!Q539</f>
        <v>0</v>
      </c>
      <c r="S539" s="3">
        <f>parking_demand_data_2024_ver0!R539</f>
        <v>0</v>
      </c>
      <c r="T539" s="3">
        <f>parking_demand_data_2024_ver0!S539</f>
        <v>0</v>
      </c>
    </row>
    <row r="540" spans="1:20" x14ac:dyDescent="0.25">
      <c r="A540">
        <v>18045</v>
      </c>
      <c r="B540" t="s">
        <v>51</v>
      </c>
      <c r="C540">
        <v>10</v>
      </c>
      <c r="D540" s="3">
        <f>parking_demand_data_2024_ver0!D540*calibration!$I$31</f>
        <v>0</v>
      </c>
      <c r="E540" s="3">
        <f>parking_demand_data_2024_ver0!E540*calibration!$I$31</f>
        <v>8.7431668548249597</v>
      </c>
      <c r="F540" s="3">
        <f t="shared" si="8"/>
        <v>8.7431668548249597</v>
      </c>
      <c r="G540" s="3">
        <f>parking_demand_data_2024_ver0!F540</f>
        <v>0</v>
      </c>
      <c r="H540" s="3">
        <f>parking_demand_data_2024_ver0!G540</f>
        <v>0</v>
      </c>
      <c r="I540" s="3">
        <f>parking_demand_data_2024_ver0!H540</f>
        <v>0</v>
      </c>
      <c r="J540" s="3">
        <f>parking_demand_data_2024_ver0!I540</f>
        <v>0</v>
      </c>
      <c r="K540" s="3">
        <f>parking_demand_data_2024_ver0!J540</f>
        <v>0</v>
      </c>
      <c r="L540" s="3">
        <f>parking_demand_data_2024_ver0!K540</f>
        <v>0</v>
      </c>
      <c r="M540" s="3">
        <f>parking_demand_data_2024_ver0!L540</f>
        <v>0</v>
      </c>
      <c r="N540" s="3">
        <f>parking_demand_data_2024_ver0!M540</f>
        <v>0</v>
      </c>
      <c r="O540" s="3">
        <f>parking_demand_data_2024_ver0!N540</f>
        <v>0</v>
      </c>
      <c r="P540" s="3">
        <f>parking_demand_data_2024_ver0!O540</f>
        <v>0</v>
      </c>
      <c r="Q540" s="3">
        <f>parking_demand_data_2024_ver0!P540</f>
        <v>0</v>
      </c>
      <c r="R540" s="3">
        <f>parking_demand_data_2024_ver0!Q540</f>
        <v>0</v>
      </c>
      <c r="S540" s="3">
        <f>parking_demand_data_2024_ver0!R540</f>
        <v>0</v>
      </c>
      <c r="T540" s="3">
        <f>parking_demand_data_2024_ver0!S540</f>
        <v>0</v>
      </c>
    </row>
    <row r="541" spans="1:20" x14ac:dyDescent="0.25">
      <c r="A541">
        <v>18045</v>
      </c>
      <c r="B541" t="s">
        <v>51</v>
      </c>
      <c r="C541">
        <v>11</v>
      </c>
      <c r="D541" s="3">
        <f>parking_demand_data_2024_ver0!D541*calibration!$I$31</f>
        <v>0</v>
      </c>
      <c r="E541" s="3">
        <f>parking_demand_data_2024_ver0!E541*calibration!$I$31</f>
        <v>6.12021679837747</v>
      </c>
      <c r="F541" s="3">
        <f t="shared" si="8"/>
        <v>6.12021679837747</v>
      </c>
      <c r="G541" s="3">
        <f>parking_demand_data_2024_ver0!F541</f>
        <v>0</v>
      </c>
      <c r="H541" s="3">
        <f>parking_demand_data_2024_ver0!G541</f>
        <v>0</v>
      </c>
      <c r="I541" s="3">
        <f>parking_demand_data_2024_ver0!H541</f>
        <v>0</v>
      </c>
      <c r="J541" s="3">
        <f>parking_demand_data_2024_ver0!I541</f>
        <v>0</v>
      </c>
      <c r="K541" s="3">
        <f>parking_demand_data_2024_ver0!J541</f>
        <v>0</v>
      </c>
      <c r="L541" s="3">
        <f>parking_demand_data_2024_ver0!K541</f>
        <v>0</v>
      </c>
      <c r="M541" s="3">
        <f>parking_demand_data_2024_ver0!L541</f>
        <v>0</v>
      </c>
      <c r="N541" s="3">
        <f>parking_demand_data_2024_ver0!M541</f>
        <v>0</v>
      </c>
      <c r="O541" s="3">
        <f>parking_demand_data_2024_ver0!N541</f>
        <v>0</v>
      </c>
      <c r="P541" s="3">
        <f>parking_demand_data_2024_ver0!O541</f>
        <v>0</v>
      </c>
      <c r="Q541" s="3">
        <f>parking_demand_data_2024_ver0!P541</f>
        <v>0</v>
      </c>
      <c r="R541" s="3">
        <f>parking_demand_data_2024_ver0!Q541</f>
        <v>0</v>
      </c>
      <c r="S541" s="3">
        <f>parking_demand_data_2024_ver0!R541</f>
        <v>0</v>
      </c>
      <c r="T541" s="3">
        <f>parking_demand_data_2024_ver0!S541</f>
        <v>0</v>
      </c>
    </row>
    <row r="542" spans="1:20" x14ac:dyDescent="0.25">
      <c r="A542">
        <v>18045</v>
      </c>
      <c r="B542" t="s">
        <v>51</v>
      </c>
      <c r="C542">
        <v>12</v>
      </c>
      <c r="D542" s="3">
        <f>parking_demand_data_2024_ver0!D542*calibration!$I$31</f>
        <v>0</v>
      </c>
      <c r="E542" s="3">
        <f>parking_demand_data_2024_ver0!E542*calibration!$I$31</f>
        <v>4.3715834274124798</v>
      </c>
      <c r="F542" s="3">
        <f t="shared" si="8"/>
        <v>4.3715834274124798</v>
      </c>
      <c r="G542" s="3">
        <f>parking_demand_data_2024_ver0!F542</f>
        <v>0</v>
      </c>
      <c r="H542" s="3">
        <f>parking_demand_data_2024_ver0!G542</f>
        <v>0</v>
      </c>
      <c r="I542" s="3">
        <f>parking_demand_data_2024_ver0!H542</f>
        <v>0</v>
      </c>
      <c r="J542" s="3">
        <f>parking_demand_data_2024_ver0!I542</f>
        <v>0</v>
      </c>
      <c r="K542" s="3">
        <f>parking_demand_data_2024_ver0!J542</f>
        <v>0</v>
      </c>
      <c r="L542" s="3">
        <f>parking_demand_data_2024_ver0!K542</f>
        <v>0</v>
      </c>
      <c r="M542" s="3">
        <f>parking_demand_data_2024_ver0!L542</f>
        <v>0</v>
      </c>
      <c r="N542" s="3">
        <f>parking_demand_data_2024_ver0!M542</f>
        <v>0</v>
      </c>
      <c r="O542" s="3">
        <f>parking_demand_data_2024_ver0!N542</f>
        <v>0</v>
      </c>
      <c r="P542" s="3">
        <f>parking_demand_data_2024_ver0!O542</f>
        <v>0</v>
      </c>
      <c r="Q542" s="3">
        <f>parking_demand_data_2024_ver0!P542</f>
        <v>0</v>
      </c>
      <c r="R542" s="3">
        <f>parking_demand_data_2024_ver0!Q542</f>
        <v>0</v>
      </c>
      <c r="S542" s="3">
        <f>parking_demand_data_2024_ver0!R542</f>
        <v>0</v>
      </c>
      <c r="T542" s="3">
        <f>parking_demand_data_2024_ver0!S542</f>
        <v>0</v>
      </c>
    </row>
    <row r="543" spans="1:20" x14ac:dyDescent="0.25">
      <c r="A543">
        <v>18045</v>
      </c>
      <c r="B543" t="s">
        <v>51</v>
      </c>
      <c r="C543">
        <v>13</v>
      </c>
      <c r="D543" s="3">
        <f>parking_demand_data_2024_ver0!D543*calibration!$I$31</f>
        <v>0</v>
      </c>
      <c r="E543" s="3">
        <f>parking_demand_data_2024_ver0!E543*calibration!$I$31</f>
        <v>3.9601402813030702</v>
      </c>
      <c r="F543" s="3">
        <f t="shared" si="8"/>
        <v>3.9601402813030702</v>
      </c>
      <c r="G543" s="3">
        <f>parking_demand_data_2024_ver0!F543</f>
        <v>0</v>
      </c>
      <c r="H543" s="3">
        <f>parking_demand_data_2024_ver0!G543</f>
        <v>0</v>
      </c>
      <c r="I543" s="3">
        <f>parking_demand_data_2024_ver0!H543</f>
        <v>0</v>
      </c>
      <c r="J543" s="3">
        <f>parking_demand_data_2024_ver0!I543</f>
        <v>0</v>
      </c>
      <c r="K543" s="3">
        <f>parking_demand_data_2024_ver0!J543</f>
        <v>0</v>
      </c>
      <c r="L543" s="3">
        <f>parking_demand_data_2024_ver0!K543</f>
        <v>0</v>
      </c>
      <c r="M543" s="3">
        <f>parking_demand_data_2024_ver0!L543</f>
        <v>0</v>
      </c>
      <c r="N543" s="3">
        <f>parking_demand_data_2024_ver0!M543</f>
        <v>0</v>
      </c>
      <c r="O543" s="3">
        <f>parking_demand_data_2024_ver0!N543</f>
        <v>0</v>
      </c>
      <c r="P543" s="3">
        <f>parking_demand_data_2024_ver0!O543</f>
        <v>0</v>
      </c>
      <c r="Q543" s="3">
        <f>parking_demand_data_2024_ver0!P543</f>
        <v>0</v>
      </c>
      <c r="R543" s="3">
        <f>parking_demand_data_2024_ver0!Q543</f>
        <v>0</v>
      </c>
      <c r="S543" s="3">
        <f>parking_demand_data_2024_ver0!R543</f>
        <v>0</v>
      </c>
      <c r="T543" s="3">
        <f>parking_demand_data_2024_ver0!S543</f>
        <v>0</v>
      </c>
    </row>
    <row r="544" spans="1:20" x14ac:dyDescent="0.25">
      <c r="A544">
        <v>18045</v>
      </c>
      <c r="B544" t="s">
        <v>51</v>
      </c>
      <c r="C544">
        <v>14</v>
      </c>
      <c r="D544" s="3">
        <f>parking_demand_data_2024_ver0!D544*calibration!$I$31</f>
        <v>0</v>
      </c>
      <c r="E544" s="3">
        <f>parking_demand_data_2024_ver0!E544*calibration!$I$31</f>
        <v>3.1886843823479301</v>
      </c>
      <c r="F544" s="3">
        <f t="shared" si="8"/>
        <v>3.1886843823479301</v>
      </c>
      <c r="G544" s="3">
        <f>parking_demand_data_2024_ver0!F544</f>
        <v>0</v>
      </c>
      <c r="H544" s="3">
        <f>parking_demand_data_2024_ver0!G544</f>
        <v>0</v>
      </c>
      <c r="I544" s="3">
        <f>parking_demand_data_2024_ver0!H544</f>
        <v>0</v>
      </c>
      <c r="J544" s="3">
        <f>parking_demand_data_2024_ver0!I544</f>
        <v>0</v>
      </c>
      <c r="K544" s="3">
        <f>parking_demand_data_2024_ver0!J544</f>
        <v>0</v>
      </c>
      <c r="L544" s="3">
        <f>parking_demand_data_2024_ver0!K544</f>
        <v>0</v>
      </c>
      <c r="M544" s="3">
        <f>parking_demand_data_2024_ver0!L544</f>
        <v>0</v>
      </c>
      <c r="N544" s="3">
        <f>parking_demand_data_2024_ver0!M544</f>
        <v>0</v>
      </c>
      <c r="O544" s="3">
        <f>parking_demand_data_2024_ver0!N544</f>
        <v>0</v>
      </c>
      <c r="P544" s="3">
        <f>parking_demand_data_2024_ver0!O544</f>
        <v>0</v>
      </c>
      <c r="Q544" s="3">
        <f>parking_demand_data_2024_ver0!P544</f>
        <v>0</v>
      </c>
      <c r="R544" s="3">
        <f>parking_demand_data_2024_ver0!Q544</f>
        <v>0</v>
      </c>
      <c r="S544" s="3">
        <f>parking_demand_data_2024_ver0!R544</f>
        <v>0</v>
      </c>
      <c r="T544" s="3">
        <f>parking_demand_data_2024_ver0!S544</f>
        <v>0</v>
      </c>
    </row>
    <row r="545" spans="1:20" x14ac:dyDescent="0.25">
      <c r="A545">
        <v>18045</v>
      </c>
      <c r="B545" t="s">
        <v>51</v>
      </c>
      <c r="C545">
        <v>15</v>
      </c>
      <c r="D545" s="3">
        <f>parking_demand_data_2024_ver0!D545*calibration!$I$31</f>
        <v>0</v>
      </c>
      <c r="E545" s="3">
        <f>parking_demand_data_2024_ver0!E545*calibration!$I$31</f>
        <v>2.1086461238107201</v>
      </c>
      <c r="F545" s="3">
        <f t="shared" si="8"/>
        <v>2.1086461238107201</v>
      </c>
      <c r="G545" s="3">
        <f>parking_demand_data_2024_ver0!F545</f>
        <v>0</v>
      </c>
      <c r="H545" s="3">
        <f>parking_demand_data_2024_ver0!G545</f>
        <v>0</v>
      </c>
      <c r="I545" s="3">
        <f>parking_demand_data_2024_ver0!H545</f>
        <v>0</v>
      </c>
      <c r="J545" s="3">
        <f>parking_demand_data_2024_ver0!I545</f>
        <v>0</v>
      </c>
      <c r="K545" s="3">
        <f>parking_demand_data_2024_ver0!J545</f>
        <v>0</v>
      </c>
      <c r="L545" s="3">
        <f>parking_demand_data_2024_ver0!K545</f>
        <v>0</v>
      </c>
      <c r="M545" s="3">
        <f>parking_demand_data_2024_ver0!L545</f>
        <v>0</v>
      </c>
      <c r="N545" s="3">
        <f>parking_demand_data_2024_ver0!M545</f>
        <v>0</v>
      </c>
      <c r="O545" s="3">
        <f>parking_demand_data_2024_ver0!N545</f>
        <v>0</v>
      </c>
      <c r="P545" s="3">
        <f>parking_demand_data_2024_ver0!O545</f>
        <v>0</v>
      </c>
      <c r="Q545" s="3">
        <f>parking_demand_data_2024_ver0!P545</f>
        <v>0</v>
      </c>
      <c r="R545" s="3">
        <f>parking_demand_data_2024_ver0!Q545</f>
        <v>0</v>
      </c>
      <c r="S545" s="3">
        <f>parking_demand_data_2024_ver0!R545</f>
        <v>0</v>
      </c>
      <c r="T545" s="3">
        <f>parking_demand_data_2024_ver0!S545</f>
        <v>0</v>
      </c>
    </row>
    <row r="546" spans="1:20" x14ac:dyDescent="0.25">
      <c r="A546">
        <v>18045</v>
      </c>
      <c r="B546" t="s">
        <v>51</v>
      </c>
      <c r="C546">
        <v>16</v>
      </c>
      <c r="D546" s="3">
        <f>parking_demand_data_2024_ver0!D546*calibration!$I$31</f>
        <v>0</v>
      </c>
      <c r="E546" s="3">
        <f>parking_demand_data_2024_ver0!E546*calibration!$I$31</f>
        <v>1.69720297770131</v>
      </c>
      <c r="F546" s="3">
        <f t="shared" si="8"/>
        <v>1.69720297770131</v>
      </c>
      <c r="G546" s="3">
        <f>parking_demand_data_2024_ver0!F546</f>
        <v>0</v>
      </c>
      <c r="H546" s="3">
        <f>parking_demand_data_2024_ver0!G546</f>
        <v>0</v>
      </c>
      <c r="I546" s="3">
        <f>parking_demand_data_2024_ver0!H546</f>
        <v>0</v>
      </c>
      <c r="J546" s="3">
        <f>parking_demand_data_2024_ver0!I546</f>
        <v>0</v>
      </c>
      <c r="K546" s="3">
        <f>parking_demand_data_2024_ver0!J546</f>
        <v>0</v>
      </c>
      <c r="L546" s="3">
        <f>parking_demand_data_2024_ver0!K546</f>
        <v>0</v>
      </c>
      <c r="M546" s="3">
        <f>parking_demand_data_2024_ver0!L546</f>
        <v>0</v>
      </c>
      <c r="N546" s="3">
        <f>parking_demand_data_2024_ver0!M546</f>
        <v>0</v>
      </c>
      <c r="O546" s="3">
        <f>parking_demand_data_2024_ver0!N546</f>
        <v>0</v>
      </c>
      <c r="P546" s="3">
        <f>parking_demand_data_2024_ver0!O546</f>
        <v>0</v>
      </c>
      <c r="Q546" s="3">
        <f>parking_demand_data_2024_ver0!P546</f>
        <v>0</v>
      </c>
      <c r="R546" s="3">
        <f>parking_demand_data_2024_ver0!Q546</f>
        <v>0</v>
      </c>
      <c r="S546" s="3">
        <f>parking_demand_data_2024_ver0!R546</f>
        <v>0</v>
      </c>
      <c r="T546" s="3">
        <f>parking_demand_data_2024_ver0!S546</f>
        <v>0</v>
      </c>
    </row>
    <row r="547" spans="1:20" x14ac:dyDescent="0.25">
      <c r="A547">
        <v>18045</v>
      </c>
      <c r="B547" t="s">
        <v>51</v>
      </c>
      <c r="C547">
        <v>17</v>
      </c>
      <c r="D547" s="3">
        <f>parking_demand_data_2024_ver0!D547*calibration!$I$31</f>
        <v>0</v>
      </c>
      <c r="E547" s="3">
        <f>parking_demand_data_2024_ver0!E547*calibration!$I$31</f>
        <v>1.33719022485558</v>
      </c>
      <c r="F547" s="3">
        <f t="shared" si="8"/>
        <v>1.33719022485558</v>
      </c>
      <c r="G547" s="3">
        <f>parking_demand_data_2024_ver0!F547</f>
        <v>0</v>
      </c>
      <c r="H547" s="3">
        <f>parking_demand_data_2024_ver0!G547</f>
        <v>0</v>
      </c>
      <c r="I547" s="3">
        <f>parking_demand_data_2024_ver0!H547</f>
        <v>0</v>
      </c>
      <c r="J547" s="3">
        <f>parking_demand_data_2024_ver0!I547</f>
        <v>0</v>
      </c>
      <c r="K547" s="3">
        <f>parking_demand_data_2024_ver0!J547</f>
        <v>0</v>
      </c>
      <c r="L547" s="3">
        <f>parking_demand_data_2024_ver0!K547</f>
        <v>0</v>
      </c>
      <c r="M547" s="3">
        <f>parking_demand_data_2024_ver0!L547</f>
        <v>0</v>
      </c>
      <c r="N547" s="3">
        <f>parking_demand_data_2024_ver0!M547</f>
        <v>0</v>
      </c>
      <c r="O547" s="3">
        <f>parking_demand_data_2024_ver0!N547</f>
        <v>0</v>
      </c>
      <c r="P547" s="3">
        <f>parking_demand_data_2024_ver0!O547</f>
        <v>0</v>
      </c>
      <c r="Q547" s="3">
        <f>parking_demand_data_2024_ver0!P547</f>
        <v>0</v>
      </c>
      <c r="R547" s="3">
        <f>parking_demand_data_2024_ver0!Q547</f>
        <v>0</v>
      </c>
      <c r="S547" s="3">
        <f>parking_demand_data_2024_ver0!R547</f>
        <v>0</v>
      </c>
      <c r="T547" s="3">
        <f>parking_demand_data_2024_ver0!S547</f>
        <v>0</v>
      </c>
    </row>
    <row r="548" spans="1:20" x14ac:dyDescent="0.25">
      <c r="A548">
        <v>18045</v>
      </c>
      <c r="B548" t="s">
        <v>51</v>
      </c>
      <c r="C548">
        <v>18</v>
      </c>
      <c r="D548" s="3">
        <f>parking_demand_data_2024_ver0!D548*calibration!$I$31</f>
        <v>0</v>
      </c>
      <c r="E548" s="3">
        <f>parking_demand_data_2024_ver0!E548*calibration!$I$31</f>
        <v>1.2857598315919001</v>
      </c>
      <c r="F548" s="3">
        <f t="shared" si="8"/>
        <v>1.2857598315919001</v>
      </c>
      <c r="G548" s="3">
        <f>parking_demand_data_2024_ver0!F548</f>
        <v>0</v>
      </c>
      <c r="H548" s="3">
        <f>parking_demand_data_2024_ver0!G548</f>
        <v>0</v>
      </c>
      <c r="I548" s="3">
        <f>parking_demand_data_2024_ver0!H548</f>
        <v>0</v>
      </c>
      <c r="J548" s="3">
        <f>parking_demand_data_2024_ver0!I548</f>
        <v>0</v>
      </c>
      <c r="K548" s="3">
        <f>parking_demand_data_2024_ver0!J548</f>
        <v>0</v>
      </c>
      <c r="L548" s="3">
        <f>parking_demand_data_2024_ver0!K548</f>
        <v>0</v>
      </c>
      <c r="M548" s="3">
        <f>parking_demand_data_2024_ver0!L548</f>
        <v>0</v>
      </c>
      <c r="N548" s="3">
        <f>parking_demand_data_2024_ver0!M548</f>
        <v>0</v>
      </c>
      <c r="O548" s="3">
        <f>parking_demand_data_2024_ver0!N548</f>
        <v>0</v>
      </c>
      <c r="P548" s="3">
        <f>parking_demand_data_2024_ver0!O548</f>
        <v>0</v>
      </c>
      <c r="Q548" s="3">
        <f>parking_demand_data_2024_ver0!P548</f>
        <v>0</v>
      </c>
      <c r="R548" s="3">
        <f>parking_demand_data_2024_ver0!Q548</f>
        <v>0</v>
      </c>
      <c r="S548" s="3">
        <f>parking_demand_data_2024_ver0!R548</f>
        <v>0</v>
      </c>
      <c r="T548" s="3">
        <f>parking_demand_data_2024_ver0!S548</f>
        <v>0</v>
      </c>
    </row>
    <row r="549" spans="1:20" x14ac:dyDescent="0.25">
      <c r="A549">
        <v>18045</v>
      </c>
      <c r="B549" t="s">
        <v>51</v>
      </c>
      <c r="C549">
        <v>19</v>
      </c>
      <c r="D549" s="3">
        <f>parking_demand_data_2024_ver0!D549*calibration!$I$31</f>
        <v>0</v>
      </c>
      <c r="E549" s="3">
        <f>parking_demand_data_2024_ver0!E549*calibration!$I$31</f>
        <v>1.38862061811925</v>
      </c>
      <c r="F549" s="3">
        <f t="shared" si="8"/>
        <v>1.38862061811925</v>
      </c>
      <c r="G549" s="3">
        <f>parking_demand_data_2024_ver0!F549</f>
        <v>0</v>
      </c>
      <c r="H549" s="3">
        <f>parking_demand_data_2024_ver0!G549</f>
        <v>0</v>
      </c>
      <c r="I549" s="3">
        <f>parking_demand_data_2024_ver0!H549</f>
        <v>0</v>
      </c>
      <c r="J549" s="3">
        <f>parking_demand_data_2024_ver0!I549</f>
        <v>0</v>
      </c>
      <c r="K549" s="3">
        <f>parking_demand_data_2024_ver0!J549</f>
        <v>0</v>
      </c>
      <c r="L549" s="3">
        <f>parking_demand_data_2024_ver0!K549</f>
        <v>0</v>
      </c>
      <c r="M549" s="3">
        <f>parking_demand_data_2024_ver0!L549</f>
        <v>0</v>
      </c>
      <c r="N549" s="3">
        <f>parking_demand_data_2024_ver0!M549</f>
        <v>0</v>
      </c>
      <c r="O549" s="3">
        <f>parking_demand_data_2024_ver0!N549</f>
        <v>0</v>
      </c>
      <c r="P549" s="3">
        <f>parking_demand_data_2024_ver0!O549</f>
        <v>0</v>
      </c>
      <c r="Q549" s="3">
        <f>parking_demand_data_2024_ver0!P549</f>
        <v>0</v>
      </c>
      <c r="R549" s="3">
        <f>parking_demand_data_2024_ver0!Q549</f>
        <v>0</v>
      </c>
      <c r="S549" s="3">
        <f>parking_demand_data_2024_ver0!R549</f>
        <v>0</v>
      </c>
      <c r="T549" s="3">
        <f>parking_demand_data_2024_ver0!S549</f>
        <v>0</v>
      </c>
    </row>
    <row r="550" spans="1:20" x14ac:dyDescent="0.25">
      <c r="A550">
        <v>18045</v>
      </c>
      <c r="B550" t="s">
        <v>51</v>
      </c>
      <c r="C550">
        <v>20</v>
      </c>
      <c r="D550" s="3">
        <f>parking_demand_data_2024_ver0!D550*calibration!$I$31</f>
        <v>0</v>
      </c>
      <c r="E550" s="3">
        <f>parking_demand_data_2024_ver0!E550*calibration!$I$31</f>
        <v>0.77145589895514399</v>
      </c>
      <c r="F550" s="3">
        <f t="shared" si="8"/>
        <v>0.77145589895514399</v>
      </c>
      <c r="G550" s="3">
        <f>parking_demand_data_2024_ver0!F550</f>
        <v>0</v>
      </c>
      <c r="H550" s="3">
        <f>parking_demand_data_2024_ver0!G550</f>
        <v>0</v>
      </c>
      <c r="I550" s="3">
        <f>parking_demand_data_2024_ver0!H550</f>
        <v>0</v>
      </c>
      <c r="J550" s="3">
        <f>parking_demand_data_2024_ver0!I550</f>
        <v>0</v>
      </c>
      <c r="K550" s="3">
        <f>parking_demand_data_2024_ver0!J550</f>
        <v>0</v>
      </c>
      <c r="L550" s="3">
        <f>parking_demand_data_2024_ver0!K550</f>
        <v>0</v>
      </c>
      <c r="M550" s="3">
        <f>parking_demand_data_2024_ver0!L550</f>
        <v>0</v>
      </c>
      <c r="N550" s="3">
        <f>parking_demand_data_2024_ver0!M550</f>
        <v>0</v>
      </c>
      <c r="O550" s="3">
        <f>parking_demand_data_2024_ver0!N550</f>
        <v>0</v>
      </c>
      <c r="P550" s="3">
        <f>parking_demand_data_2024_ver0!O550</f>
        <v>0</v>
      </c>
      <c r="Q550" s="3">
        <f>parking_demand_data_2024_ver0!P550</f>
        <v>0</v>
      </c>
      <c r="R550" s="3">
        <f>parking_demand_data_2024_ver0!Q550</f>
        <v>0</v>
      </c>
      <c r="S550" s="3">
        <f>parking_demand_data_2024_ver0!R550</f>
        <v>0</v>
      </c>
      <c r="T550" s="3">
        <f>parking_demand_data_2024_ver0!S550</f>
        <v>0</v>
      </c>
    </row>
    <row r="551" spans="1:20" x14ac:dyDescent="0.25">
      <c r="A551">
        <v>18045</v>
      </c>
      <c r="B551" t="s">
        <v>51</v>
      </c>
      <c r="C551">
        <v>21</v>
      </c>
      <c r="D551" s="3">
        <f>parking_demand_data_2024_ver0!D551*calibration!$I$31</f>
        <v>0</v>
      </c>
      <c r="E551" s="3">
        <f>parking_demand_data_2024_ver0!E551*calibration!$I$31</f>
        <v>0.72002550569146795</v>
      </c>
      <c r="F551" s="3">
        <f t="shared" si="8"/>
        <v>0.72002550569146795</v>
      </c>
      <c r="G551" s="3">
        <f>parking_demand_data_2024_ver0!F551</f>
        <v>0</v>
      </c>
      <c r="H551" s="3">
        <f>parking_demand_data_2024_ver0!G551</f>
        <v>0</v>
      </c>
      <c r="I551" s="3">
        <f>parking_demand_data_2024_ver0!H551</f>
        <v>0</v>
      </c>
      <c r="J551" s="3">
        <f>parking_demand_data_2024_ver0!I551</f>
        <v>0</v>
      </c>
      <c r="K551" s="3">
        <f>parking_demand_data_2024_ver0!J551</f>
        <v>0</v>
      </c>
      <c r="L551" s="3">
        <f>parking_demand_data_2024_ver0!K551</f>
        <v>0</v>
      </c>
      <c r="M551" s="3">
        <f>parking_demand_data_2024_ver0!L551</f>
        <v>0</v>
      </c>
      <c r="N551" s="3">
        <f>parking_demand_data_2024_ver0!M551</f>
        <v>0</v>
      </c>
      <c r="O551" s="3">
        <f>parking_demand_data_2024_ver0!N551</f>
        <v>0</v>
      </c>
      <c r="P551" s="3">
        <f>parking_demand_data_2024_ver0!O551</f>
        <v>0</v>
      </c>
      <c r="Q551" s="3">
        <f>parking_demand_data_2024_ver0!P551</f>
        <v>0</v>
      </c>
      <c r="R551" s="3">
        <f>parking_demand_data_2024_ver0!Q551</f>
        <v>0</v>
      </c>
      <c r="S551" s="3">
        <f>parking_demand_data_2024_ver0!R551</f>
        <v>0</v>
      </c>
      <c r="T551" s="3">
        <f>parking_demand_data_2024_ver0!S551</f>
        <v>0</v>
      </c>
    </row>
    <row r="552" spans="1:20" x14ac:dyDescent="0.25">
      <c r="A552">
        <v>18045</v>
      </c>
      <c r="B552" t="s">
        <v>51</v>
      </c>
      <c r="C552">
        <v>22</v>
      </c>
      <c r="D552" s="3">
        <f>parking_demand_data_2024_ver0!D552*calibration!$I$31</f>
        <v>0</v>
      </c>
      <c r="E552" s="3">
        <f>parking_demand_data_2024_ver0!E552*calibration!$I$31</f>
        <v>0.87431668548249697</v>
      </c>
      <c r="F552" s="3">
        <f t="shared" si="8"/>
        <v>0.87431668548249697</v>
      </c>
      <c r="G552" s="3">
        <f>parking_demand_data_2024_ver0!F552</f>
        <v>0</v>
      </c>
      <c r="H552" s="3">
        <f>parking_demand_data_2024_ver0!G552</f>
        <v>0</v>
      </c>
      <c r="I552" s="3">
        <f>parking_demand_data_2024_ver0!H552</f>
        <v>0</v>
      </c>
      <c r="J552" s="3">
        <f>parking_demand_data_2024_ver0!I552</f>
        <v>0</v>
      </c>
      <c r="K552" s="3">
        <f>parking_demand_data_2024_ver0!J552</f>
        <v>0</v>
      </c>
      <c r="L552" s="3">
        <f>parking_demand_data_2024_ver0!K552</f>
        <v>0</v>
      </c>
      <c r="M552" s="3">
        <f>parking_demand_data_2024_ver0!L552</f>
        <v>0</v>
      </c>
      <c r="N552" s="3">
        <f>parking_demand_data_2024_ver0!M552</f>
        <v>0</v>
      </c>
      <c r="O552" s="3">
        <f>parking_demand_data_2024_ver0!N552</f>
        <v>0</v>
      </c>
      <c r="P552" s="3">
        <f>parking_demand_data_2024_ver0!O552</f>
        <v>0</v>
      </c>
      <c r="Q552" s="3">
        <f>parking_demand_data_2024_ver0!P552</f>
        <v>0</v>
      </c>
      <c r="R552" s="3">
        <f>parking_demand_data_2024_ver0!Q552</f>
        <v>0</v>
      </c>
      <c r="S552" s="3">
        <f>parking_demand_data_2024_ver0!R552</f>
        <v>0</v>
      </c>
      <c r="T552" s="3">
        <f>parking_demand_data_2024_ver0!S552</f>
        <v>0</v>
      </c>
    </row>
    <row r="553" spans="1:20" x14ac:dyDescent="0.25">
      <c r="A553">
        <v>18045</v>
      </c>
      <c r="B553" t="s">
        <v>51</v>
      </c>
      <c r="C553">
        <v>23</v>
      </c>
      <c r="D553" s="3">
        <f>parking_demand_data_2024_ver0!D553*calibration!$I$31</f>
        <v>0</v>
      </c>
      <c r="E553" s="3">
        <f>parking_demand_data_2024_ver0!E553*calibration!$I$31</f>
        <v>1.2343294383282299</v>
      </c>
      <c r="F553" s="3">
        <f t="shared" si="8"/>
        <v>1.2343294383282299</v>
      </c>
      <c r="G553" s="3">
        <f>parking_demand_data_2024_ver0!F553</f>
        <v>0</v>
      </c>
      <c r="H553" s="3">
        <f>parking_demand_data_2024_ver0!G553</f>
        <v>0</v>
      </c>
      <c r="I553" s="3">
        <f>parking_demand_data_2024_ver0!H553</f>
        <v>0</v>
      </c>
      <c r="J553" s="3">
        <f>parking_demand_data_2024_ver0!I553</f>
        <v>0</v>
      </c>
      <c r="K553" s="3">
        <f>parking_demand_data_2024_ver0!J553</f>
        <v>0</v>
      </c>
      <c r="L553" s="3">
        <f>parking_demand_data_2024_ver0!K553</f>
        <v>0</v>
      </c>
      <c r="M553" s="3">
        <f>parking_demand_data_2024_ver0!L553</f>
        <v>0</v>
      </c>
      <c r="N553" s="3">
        <f>parking_demand_data_2024_ver0!M553</f>
        <v>0</v>
      </c>
      <c r="O553" s="3">
        <f>parking_demand_data_2024_ver0!N553</f>
        <v>0</v>
      </c>
      <c r="P553" s="3">
        <f>parking_demand_data_2024_ver0!O553</f>
        <v>0</v>
      </c>
      <c r="Q553" s="3">
        <f>parking_demand_data_2024_ver0!P553</f>
        <v>0</v>
      </c>
      <c r="R553" s="3">
        <f>parking_demand_data_2024_ver0!Q553</f>
        <v>0</v>
      </c>
      <c r="S553" s="3">
        <f>parking_demand_data_2024_ver0!R553</f>
        <v>0</v>
      </c>
      <c r="T553" s="3">
        <f>parking_demand_data_2024_ver0!S553</f>
        <v>0</v>
      </c>
    </row>
    <row r="554" spans="1:20" x14ac:dyDescent="0.25">
      <c r="A554">
        <v>18047</v>
      </c>
      <c r="B554" t="s">
        <v>52</v>
      </c>
      <c r="C554">
        <v>0</v>
      </c>
      <c r="D554" s="3">
        <f>parking_demand_data_2024_ver0!D554*calibration!$I$31</f>
        <v>0.364074264938268</v>
      </c>
      <c r="E554" s="3">
        <f>parking_demand_data_2024_ver0!E554*calibration!$I$31</f>
        <v>5.6011425375118197E-2</v>
      </c>
      <c r="F554" s="3">
        <f t="shared" si="8"/>
        <v>0.42008569031338622</v>
      </c>
      <c r="G554" s="3">
        <f>parking_demand_data_2024_ver0!F554</f>
        <v>1</v>
      </c>
      <c r="H554" s="3">
        <f>parking_demand_data_2024_ver0!G554</f>
        <v>0</v>
      </c>
      <c r="I554" s="3">
        <f>parking_demand_data_2024_ver0!H554</f>
        <v>0</v>
      </c>
      <c r="J554" s="3">
        <f>parking_demand_data_2024_ver0!I554</f>
        <v>1</v>
      </c>
      <c r="K554" s="3">
        <f>parking_demand_data_2024_ver0!J554</f>
        <v>0</v>
      </c>
      <c r="L554" s="3">
        <f>parking_demand_data_2024_ver0!K554</f>
        <v>0</v>
      </c>
      <c r="M554" s="3">
        <f>parking_demand_data_2024_ver0!L554</f>
        <v>0</v>
      </c>
      <c r="N554" s="3">
        <f>parking_demand_data_2024_ver0!M554</f>
        <v>15</v>
      </c>
      <c r="O554" s="3">
        <f>parking_demand_data_2024_ver0!N554</f>
        <v>0</v>
      </c>
      <c r="P554" s="3">
        <f>parking_demand_data_2024_ver0!O554</f>
        <v>0</v>
      </c>
      <c r="Q554" s="3">
        <f>parking_demand_data_2024_ver0!P554</f>
        <v>15</v>
      </c>
      <c r="R554" s="3">
        <f>parking_demand_data_2024_ver0!Q554</f>
        <v>0</v>
      </c>
      <c r="S554" s="3">
        <f>parking_demand_data_2024_ver0!R554</f>
        <v>0</v>
      </c>
      <c r="T554" s="3">
        <f>parking_demand_data_2024_ver0!S554</f>
        <v>0</v>
      </c>
    </row>
    <row r="555" spans="1:20" x14ac:dyDescent="0.25">
      <c r="A555">
        <v>18047</v>
      </c>
      <c r="B555" t="s">
        <v>52</v>
      </c>
      <c r="C555">
        <v>1</v>
      </c>
      <c r="D555" s="3">
        <f>parking_demand_data_2024_ver0!D555*calibration!$I$31</f>
        <v>0.39207997762582703</v>
      </c>
      <c r="E555" s="3">
        <f>parking_demand_data_2024_ver0!E555*calibration!$I$31</f>
        <v>0.11202285075023601</v>
      </c>
      <c r="F555" s="3">
        <f t="shared" si="8"/>
        <v>0.50410282837606302</v>
      </c>
      <c r="G555" s="3">
        <f>parking_demand_data_2024_ver0!F555</f>
        <v>1</v>
      </c>
      <c r="H555" s="3">
        <f>parking_demand_data_2024_ver0!G555</f>
        <v>0</v>
      </c>
      <c r="I555" s="3">
        <f>parking_demand_data_2024_ver0!H555</f>
        <v>0</v>
      </c>
      <c r="J555" s="3">
        <f>parking_demand_data_2024_ver0!I555</f>
        <v>1</v>
      </c>
      <c r="K555" s="3">
        <f>parking_demand_data_2024_ver0!J555</f>
        <v>0</v>
      </c>
      <c r="L555" s="3">
        <f>parking_demand_data_2024_ver0!K555</f>
        <v>0</v>
      </c>
      <c r="M555" s="3">
        <f>parking_demand_data_2024_ver0!L555</f>
        <v>0</v>
      </c>
      <c r="N555" s="3">
        <f>parking_demand_data_2024_ver0!M555</f>
        <v>15</v>
      </c>
      <c r="O555" s="3">
        <f>parking_demand_data_2024_ver0!N555</f>
        <v>0</v>
      </c>
      <c r="P555" s="3">
        <f>parking_demand_data_2024_ver0!O555</f>
        <v>0</v>
      </c>
      <c r="Q555" s="3">
        <f>parking_demand_data_2024_ver0!P555</f>
        <v>15</v>
      </c>
      <c r="R555" s="3">
        <f>parking_demand_data_2024_ver0!Q555</f>
        <v>0</v>
      </c>
      <c r="S555" s="3">
        <f>parking_demand_data_2024_ver0!R555</f>
        <v>0</v>
      </c>
      <c r="T555" s="3">
        <f>parking_demand_data_2024_ver0!S555</f>
        <v>0</v>
      </c>
    </row>
    <row r="556" spans="1:20" x14ac:dyDescent="0.25">
      <c r="A556">
        <v>18047</v>
      </c>
      <c r="B556" t="s">
        <v>52</v>
      </c>
      <c r="C556">
        <v>2</v>
      </c>
      <c r="D556" s="3">
        <f>parking_demand_data_2024_ver0!D556*calibration!$I$31</f>
        <v>0.39207997762582703</v>
      </c>
      <c r="E556" s="3">
        <f>parking_demand_data_2024_ver0!E556*calibration!$I$31</f>
        <v>0.16803427612535399</v>
      </c>
      <c r="F556" s="3">
        <f t="shared" si="8"/>
        <v>0.56011425375118096</v>
      </c>
      <c r="G556" s="3">
        <f>parking_demand_data_2024_ver0!F556</f>
        <v>1</v>
      </c>
      <c r="H556" s="3">
        <f>parking_demand_data_2024_ver0!G556</f>
        <v>0</v>
      </c>
      <c r="I556" s="3">
        <f>parking_demand_data_2024_ver0!H556</f>
        <v>0</v>
      </c>
      <c r="J556" s="3">
        <f>parking_demand_data_2024_ver0!I556</f>
        <v>1</v>
      </c>
      <c r="K556" s="3">
        <f>parking_demand_data_2024_ver0!J556</f>
        <v>0</v>
      </c>
      <c r="L556" s="3">
        <f>parking_demand_data_2024_ver0!K556</f>
        <v>0</v>
      </c>
      <c r="M556" s="3">
        <f>parking_demand_data_2024_ver0!L556</f>
        <v>0</v>
      </c>
      <c r="N556" s="3">
        <f>parking_demand_data_2024_ver0!M556</f>
        <v>15</v>
      </c>
      <c r="O556" s="3">
        <f>parking_demand_data_2024_ver0!N556</f>
        <v>0</v>
      </c>
      <c r="P556" s="3">
        <f>parking_demand_data_2024_ver0!O556</f>
        <v>0</v>
      </c>
      <c r="Q556" s="3">
        <f>parking_demand_data_2024_ver0!P556</f>
        <v>15</v>
      </c>
      <c r="R556" s="3">
        <f>parking_demand_data_2024_ver0!Q556</f>
        <v>0</v>
      </c>
      <c r="S556" s="3">
        <f>parking_demand_data_2024_ver0!R556</f>
        <v>0</v>
      </c>
      <c r="T556" s="3">
        <f>parking_demand_data_2024_ver0!S556</f>
        <v>0</v>
      </c>
    </row>
    <row r="557" spans="1:20" x14ac:dyDescent="0.25">
      <c r="A557">
        <v>18047</v>
      </c>
      <c r="B557" t="s">
        <v>52</v>
      </c>
      <c r="C557">
        <v>3</v>
      </c>
      <c r="D557" s="3">
        <f>parking_demand_data_2024_ver0!D557*calibration!$I$31</f>
        <v>0.39207997762582703</v>
      </c>
      <c r="E557" s="3">
        <f>parking_demand_data_2024_ver0!E557*calibration!$I$31</f>
        <v>0.11202285075023601</v>
      </c>
      <c r="F557" s="3">
        <f t="shared" si="8"/>
        <v>0.50410282837606302</v>
      </c>
      <c r="G557" s="3">
        <f>parking_demand_data_2024_ver0!F557</f>
        <v>1</v>
      </c>
      <c r="H557" s="3">
        <f>parking_demand_data_2024_ver0!G557</f>
        <v>0</v>
      </c>
      <c r="I557" s="3">
        <f>parking_demand_data_2024_ver0!H557</f>
        <v>0</v>
      </c>
      <c r="J557" s="3">
        <f>parking_demand_data_2024_ver0!I557</f>
        <v>1</v>
      </c>
      <c r="K557" s="3">
        <f>parking_demand_data_2024_ver0!J557</f>
        <v>0</v>
      </c>
      <c r="L557" s="3">
        <f>parking_demand_data_2024_ver0!K557</f>
        <v>0</v>
      </c>
      <c r="M557" s="3">
        <f>parking_demand_data_2024_ver0!L557</f>
        <v>0</v>
      </c>
      <c r="N557" s="3">
        <f>parking_demand_data_2024_ver0!M557</f>
        <v>15</v>
      </c>
      <c r="O557" s="3">
        <f>parking_demand_data_2024_ver0!N557</f>
        <v>0</v>
      </c>
      <c r="P557" s="3">
        <f>parking_demand_data_2024_ver0!O557</f>
        <v>0</v>
      </c>
      <c r="Q557" s="3">
        <f>parking_demand_data_2024_ver0!P557</f>
        <v>15</v>
      </c>
      <c r="R557" s="3">
        <f>parking_demand_data_2024_ver0!Q557</f>
        <v>0</v>
      </c>
      <c r="S557" s="3">
        <f>parking_demand_data_2024_ver0!R557</f>
        <v>0</v>
      </c>
      <c r="T557" s="3">
        <f>parking_demand_data_2024_ver0!S557</f>
        <v>0</v>
      </c>
    </row>
    <row r="558" spans="1:20" x14ac:dyDescent="0.25">
      <c r="A558">
        <v>18047</v>
      </c>
      <c r="B558" t="s">
        <v>52</v>
      </c>
      <c r="C558">
        <v>4</v>
      </c>
      <c r="D558" s="3">
        <f>parking_demand_data_2024_ver0!D558*calibration!$I$31</f>
        <v>0.39207997762582703</v>
      </c>
      <c r="E558" s="3">
        <f>parking_demand_data_2024_ver0!E558*calibration!$I$31</f>
        <v>0.19603998881291301</v>
      </c>
      <c r="F558" s="3">
        <f t="shared" si="8"/>
        <v>0.58811996643873998</v>
      </c>
      <c r="G558" s="3">
        <f>parking_demand_data_2024_ver0!F558</f>
        <v>1</v>
      </c>
      <c r="H558" s="3">
        <f>parking_demand_data_2024_ver0!G558</f>
        <v>0</v>
      </c>
      <c r="I558" s="3">
        <f>parking_demand_data_2024_ver0!H558</f>
        <v>0</v>
      </c>
      <c r="J558" s="3">
        <f>parking_demand_data_2024_ver0!I558</f>
        <v>1</v>
      </c>
      <c r="K558" s="3">
        <f>parking_demand_data_2024_ver0!J558</f>
        <v>0</v>
      </c>
      <c r="L558" s="3">
        <f>parking_demand_data_2024_ver0!K558</f>
        <v>0</v>
      </c>
      <c r="M558" s="3">
        <f>parking_demand_data_2024_ver0!L558</f>
        <v>0</v>
      </c>
      <c r="N558" s="3">
        <f>parking_demand_data_2024_ver0!M558</f>
        <v>15</v>
      </c>
      <c r="O558" s="3">
        <f>parking_demand_data_2024_ver0!N558</f>
        <v>0</v>
      </c>
      <c r="P558" s="3">
        <f>parking_demand_data_2024_ver0!O558</f>
        <v>0</v>
      </c>
      <c r="Q558" s="3">
        <f>parking_demand_data_2024_ver0!P558</f>
        <v>15</v>
      </c>
      <c r="R558" s="3">
        <f>parking_demand_data_2024_ver0!Q558</f>
        <v>0</v>
      </c>
      <c r="S558" s="3">
        <f>parking_demand_data_2024_ver0!R558</f>
        <v>0</v>
      </c>
      <c r="T558" s="3">
        <f>parking_demand_data_2024_ver0!S558</f>
        <v>0</v>
      </c>
    </row>
    <row r="559" spans="1:20" x14ac:dyDescent="0.25">
      <c r="A559">
        <v>18047</v>
      </c>
      <c r="B559" t="s">
        <v>52</v>
      </c>
      <c r="C559">
        <v>5</v>
      </c>
      <c r="D559" s="3">
        <f>parking_demand_data_2024_ver0!D559*calibration!$I$31</f>
        <v>0.364074264938268</v>
      </c>
      <c r="E559" s="3">
        <f>parking_demand_data_2024_ver0!E559*calibration!$I$31</f>
        <v>0.16803427612535399</v>
      </c>
      <c r="F559" s="3">
        <f t="shared" si="8"/>
        <v>0.53210854106362193</v>
      </c>
      <c r="G559" s="3">
        <f>parking_demand_data_2024_ver0!F559</f>
        <v>1</v>
      </c>
      <c r="H559" s="3">
        <f>parking_demand_data_2024_ver0!G559</f>
        <v>0</v>
      </c>
      <c r="I559" s="3">
        <f>parking_demand_data_2024_ver0!H559</f>
        <v>0</v>
      </c>
      <c r="J559" s="3">
        <f>parking_demand_data_2024_ver0!I559</f>
        <v>1</v>
      </c>
      <c r="K559" s="3">
        <f>parking_demand_data_2024_ver0!J559</f>
        <v>0</v>
      </c>
      <c r="L559" s="3">
        <f>parking_demand_data_2024_ver0!K559</f>
        <v>0</v>
      </c>
      <c r="M559" s="3">
        <f>parking_demand_data_2024_ver0!L559</f>
        <v>0</v>
      </c>
      <c r="N559" s="3">
        <f>parking_demand_data_2024_ver0!M559</f>
        <v>15</v>
      </c>
      <c r="O559" s="3">
        <f>parking_demand_data_2024_ver0!N559</f>
        <v>0</v>
      </c>
      <c r="P559" s="3">
        <f>parking_demand_data_2024_ver0!O559</f>
        <v>0</v>
      </c>
      <c r="Q559" s="3">
        <f>parking_demand_data_2024_ver0!P559</f>
        <v>15</v>
      </c>
      <c r="R559" s="3">
        <f>parking_demand_data_2024_ver0!Q559</f>
        <v>0</v>
      </c>
      <c r="S559" s="3">
        <f>parking_demand_data_2024_ver0!R559</f>
        <v>0</v>
      </c>
      <c r="T559" s="3">
        <f>parking_demand_data_2024_ver0!S559</f>
        <v>0</v>
      </c>
    </row>
    <row r="560" spans="1:20" x14ac:dyDescent="0.25">
      <c r="A560">
        <v>18047</v>
      </c>
      <c r="B560" t="s">
        <v>52</v>
      </c>
      <c r="C560">
        <v>6</v>
      </c>
      <c r="D560" s="3">
        <f>parking_demand_data_2024_ver0!D560*calibration!$I$31</f>
        <v>0.364074264938268</v>
      </c>
      <c r="E560" s="3">
        <f>parking_demand_data_2024_ver0!E560*calibration!$I$31</f>
        <v>0.14002856343779499</v>
      </c>
      <c r="F560" s="3">
        <f t="shared" si="8"/>
        <v>0.50410282837606302</v>
      </c>
      <c r="G560" s="3">
        <f>parking_demand_data_2024_ver0!F560</f>
        <v>1</v>
      </c>
      <c r="H560" s="3">
        <f>parking_demand_data_2024_ver0!G560</f>
        <v>0</v>
      </c>
      <c r="I560" s="3">
        <f>parking_demand_data_2024_ver0!H560</f>
        <v>0</v>
      </c>
      <c r="J560" s="3">
        <f>parking_demand_data_2024_ver0!I560</f>
        <v>1</v>
      </c>
      <c r="K560" s="3">
        <f>parking_demand_data_2024_ver0!J560</f>
        <v>0</v>
      </c>
      <c r="L560" s="3">
        <f>parking_demand_data_2024_ver0!K560</f>
        <v>0</v>
      </c>
      <c r="M560" s="3">
        <f>parking_demand_data_2024_ver0!L560</f>
        <v>0</v>
      </c>
      <c r="N560" s="3">
        <f>parking_demand_data_2024_ver0!M560</f>
        <v>15</v>
      </c>
      <c r="O560" s="3">
        <f>parking_demand_data_2024_ver0!N560</f>
        <v>0</v>
      </c>
      <c r="P560" s="3">
        <f>parking_demand_data_2024_ver0!O560</f>
        <v>0</v>
      </c>
      <c r="Q560" s="3">
        <f>parking_demand_data_2024_ver0!P560</f>
        <v>15</v>
      </c>
      <c r="R560" s="3">
        <f>parking_demand_data_2024_ver0!Q560</f>
        <v>0</v>
      </c>
      <c r="S560" s="3">
        <f>parking_demand_data_2024_ver0!R560</f>
        <v>0</v>
      </c>
      <c r="T560" s="3">
        <f>parking_demand_data_2024_ver0!S560</f>
        <v>0</v>
      </c>
    </row>
    <row r="561" spans="1:20" x14ac:dyDescent="0.25">
      <c r="A561">
        <v>18047</v>
      </c>
      <c r="B561" t="s">
        <v>52</v>
      </c>
      <c r="C561">
        <v>7</v>
      </c>
      <c r="D561" s="3">
        <f>parking_demand_data_2024_ver0!D561*calibration!$I$31</f>
        <v>0.39207997762582703</v>
      </c>
      <c r="E561" s="3">
        <f>parking_demand_data_2024_ver0!E561*calibration!$I$31</f>
        <v>0.19603998881291301</v>
      </c>
      <c r="F561" s="3">
        <f t="shared" si="8"/>
        <v>0.58811996643873998</v>
      </c>
      <c r="G561" s="3">
        <f>parking_demand_data_2024_ver0!F561</f>
        <v>1</v>
      </c>
      <c r="H561" s="3">
        <f>parking_demand_data_2024_ver0!G561</f>
        <v>0</v>
      </c>
      <c r="I561" s="3">
        <f>parking_demand_data_2024_ver0!H561</f>
        <v>0</v>
      </c>
      <c r="J561" s="3">
        <f>parking_demand_data_2024_ver0!I561</f>
        <v>1</v>
      </c>
      <c r="K561" s="3">
        <f>parking_demand_data_2024_ver0!J561</f>
        <v>0</v>
      </c>
      <c r="L561" s="3">
        <f>parking_demand_data_2024_ver0!K561</f>
        <v>0</v>
      </c>
      <c r="M561" s="3">
        <f>parking_demand_data_2024_ver0!L561</f>
        <v>0</v>
      </c>
      <c r="N561" s="3">
        <f>parking_demand_data_2024_ver0!M561</f>
        <v>15</v>
      </c>
      <c r="O561" s="3">
        <f>parking_demand_data_2024_ver0!N561</f>
        <v>0</v>
      </c>
      <c r="P561" s="3">
        <f>parking_demand_data_2024_ver0!O561</f>
        <v>0</v>
      </c>
      <c r="Q561" s="3">
        <f>parking_demand_data_2024_ver0!P561</f>
        <v>15</v>
      </c>
      <c r="R561" s="3">
        <f>parking_demand_data_2024_ver0!Q561</f>
        <v>0</v>
      </c>
      <c r="S561" s="3">
        <f>parking_demand_data_2024_ver0!R561</f>
        <v>0</v>
      </c>
      <c r="T561" s="3">
        <f>parking_demand_data_2024_ver0!S561</f>
        <v>0</v>
      </c>
    </row>
    <row r="562" spans="1:20" x14ac:dyDescent="0.25">
      <c r="A562">
        <v>18047</v>
      </c>
      <c r="B562" t="s">
        <v>52</v>
      </c>
      <c r="C562">
        <v>8</v>
      </c>
      <c r="D562" s="3">
        <f>parking_demand_data_2024_ver0!D562*calibration!$I$31</f>
        <v>0.89618280600189204</v>
      </c>
      <c r="E562" s="3">
        <f>parking_demand_data_2024_ver0!E562*calibration!$I$31</f>
        <v>0.67213710450141895</v>
      </c>
      <c r="F562" s="3">
        <f t="shared" si="8"/>
        <v>1.568319910503311</v>
      </c>
      <c r="G562" s="3">
        <f>parking_demand_data_2024_ver0!F562</f>
        <v>1</v>
      </c>
      <c r="H562" s="3">
        <f>parking_demand_data_2024_ver0!G562</f>
        <v>0</v>
      </c>
      <c r="I562" s="3">
        <f>parking_demand_data_2024_ver0!H562</f>
        <v>0</v>
      </c>
      <c r="J562" s="3">
        <f>parking_demand_data_2024_ver0!I562</f>
        <v>1</v>
      </c>
      <c r="K562" s="3">
        <f>parking_demand_data_2024_ver0!J562</f>
        <v>0</v>
      </c>
      <c r="L562" s="3">
        <f>parking_demand_data_2024_ver0!K562</f>
        <v>0</v>
      </c>
      <c r="M562" s="3">
        <f>parking_demand_data_2024_ver0!L562</f>
        <v>0</v>
      </c>
      <c r="N562" s="3">
        <f>parking_demand_data_2024_ver0!M562</f>
        <v>15</v>
      </c>
      <c r="O562" s="3">
        <f>parking_demand_data_2024_ver0!N562</f>
        <v>0</v>
      </c>
      <c r="P562" s="3">
        <f>parking_demand_data_2024_ver0!O562</f>
        <v>0</v>
      </c>
      <c r="Q562" s="3">
        <f>parking_demand_data_2024_ver0!P562</f>
        <v>15</v>
      </c>
      <c r="R562" s="3">
        <f>parking_demand_data_2024_ver0!Q562</f>
        <v>0</v>
      </c>
      <c r="S562" s="3">
        <f>parking_demand_data_2024_ver0!R562</f>
        <v>0</v>
      </c>
      <c r="T562" s="3">
        <f>parking_demand_data_2024_ver0!S562</f>
        <v>0</v>
      </c>
    </row>
    <row r="563" spans="1:20" x14ac:dyDescent="0.25">
      <c r="A563">
        <v>18047</v>
      </c>
      <c r="B563" t="s">
        <v>52</v>
      </c>
      <c r="C563">
        <v>9</v>
      </c>
      <c r="D563" s="3">
        <f>parking_demand_data_2024_ver0!D563*calibration!$I$31</f>
        <v>1.0922227948148</v>
      </c>
      <c r="E563" s="3">
        <f>parking_demand_data_2024_ver0!E563*calibration!$I$31</f>
        <v>1.2602570709401599</v>
      </c>
      <c r="F563" s="3">
        <f t="shared" si="8"/>
        <v>2.3524798657549599</v>
      </c>
      <c r="G563" s="3">
        <f>parking_demand_data_2024_ver0!F563</f>
        <v>1</v>
      </c>
      <c r="H563" s="3">
        <f>parking_demand_data_2024_ver0!G563</f>
        <v>0</v>
      </c>
      <c r="I563" s="3">
        <f>parking_demand_data_2024_ver0!H563</f>
        <v>0</v>
      </c>
      <c r="J563" s="3">
        <f>parking_demand_data_2024_ver0!I563</f>
        <v>1</v>
      </c>
      <c r="K563" s="3">
        <f>parking_demand_data_2024_ver0!J563</f>
        <v>0</v>
      </c>
      <c r="L563" s="3">
        <f>parking_demand_data_2024_ver0!K563</f>
        <v>0</v>
      </c>
      <c r="M563" s="3">
        <f>parking_demand_data_2024_ver0!L563</f>
        <v>0</v>
      </c>
      <c r="N563" s="3">
        <f>parking_demand_data_2024_ver0!M563</f>
        <v>15</v>
      </c>
      <c r="O563" s="3">
        <f>parking_demand_data_2024_ver0!N563</f>
        <v>0</v>
      </c>
      <c r="P563" s="3">
        <f>parking_demand_data_2024_ver0!O563</f>
        <v>0</v>
      </c>
      <c r="Q563" s="3">
        <f>parking_demand_data_2024_ver0!P563</f>
        <v>15</v>
      </c>
      <c r="R563" s="3">
        <f>parking_demand_data_2024_ver0!Q563</f>
        <v>0</v>
      </c>
      <c r="S563" s="3">
        <f>parking_demand_data_2024_ver0!R563</f>
        <v>0</v>
      </c>
      <c r="T563" s="3">
        <f>parking_demand_data_2024_ver0!S563</f>
        <v>0</v>
      </c>
    </row>
    <row r="564" spans="1:20" x14ac:dyDescent="0.25">
      <c r="A564">
        <v>18047</v>
      </c>
      <c r="B564" t="s">
        <v>52</v>
      </c>
      <c r="C564">
        <v>10</v>
      </c>
      <c r="D564" s="3">
        <f>parking_demand_data_2024_ver0!D564*calibration!$I$31</f>
        <v>1.0922227948148</v>
      </c>
      <c r="E564" s="3">
        <f>parking_demand_data_2024_ver0!E564*calibration!$I$31</f>
        <v>2.1844455896296102</v>
      </c>
      <c r="F564" s="3">
        <f t="shared" si="8"/>
        <v>3.2766683844444104</v>
      </c>
      <c r="G564" s="3">
        <f>parking_demand_data_2024_ver0!F564</f>
        <v>1</v>
      </c>
      <c r="H564" s="3">
        <f>parking_demand_data_2024_ver0!G564</f>
        <v>0</v>
      </c>
      <c r="I564" s="3">
        <f>parking_demand_data_2024_ver0!H564</f>
        <v>0</v>
      </c>
      <c r="J564" s="3">
        <f>parking_demand_data_2024_ver0!I564</f>
        <v>1</v>
      </c>
      <c r="K564" s="3">
        <f>parking_demand_data_2024_ver0!J564</f>
        <v>0</v>
      </c>
      <c r="L564" s="3">
        <f>parking_demand_data_2024_ver0!K564</f>
        <v>0</v>
      </c>
      <c r="M564" s="3">
        <f>parking_demand_data_2024_ver0!L564</f>
        <v>0</v>
      </c>
      <c r="N564" s="3">
        <f>parking_demand_data_2024_ver0!M564</f>
        <v>15</v>
      </c>
      <c r="O564" s="3">
        <f>parking_demand_data_2024_ver0!N564</f>
        <v>0</v>
      </c>
      <c r="P564" s="3">
        <f>parking_demand_data_2024_ver0!O564</f>
        <v>0</v>
      </c>
      <c r="Q564" s="3">
        <f>parking_demand_data_2024_ver0!P564</f>
        <v>15</v>
      </c>
      <c r="R564" s="3">
        <f>parking_demand_data_2024_ver0!Q564</f>
        <v>0</v>
      </c>
      <c r="S564" s="3">
        <f>parking_demand_data_2024_ver0!R564</f>
        <v>0</v>
      </c>
      <c r="T564" s="3">
        <f>parking_demand_data_2024_ver0!S564</f>
        <v>0</v>
      </c>
    </row>
    <row r="565" spans="1:20" x14ac:dyDescent="0.25">
      <c r="A565">
        <v>18047</v>
      </c>
      <c r="B565" t="s">
        <v>52</v>
      </c>
      <c r="C565">
        <v>11</v>
      </c>
      <c r="D565" s="3">
        <f>parking_demand_data_2024_ver0!D565*calibration!$I$31</f>
        <v>1.40028563437795</v>
      </c>
      <c r="E565" s="3">
        <f>parking_demand_data_2024_ver0!E565*calibration!$I$31</f>
        <v>2.9966112575688202</v>
      </c>
      <c r="F565" s="3">
        <f t="shared" si="8"/>
        <v>4.3968968919467706</v>
      </c>
      <c r="G565" s="3">
        <f>parking_demand_data_2024_ver0!F565</f>
        <v>1</v>
      </c>
      <c r="H565" s="3">
        <f>parking_demand_data_2024_ver0!G565</f>
        <v>0</v>
      </c>
      <c r="I565" s="3">
        <f>parking_demand_data_2024_ver0!H565</f>
        <v>0</v>
      </c>
      <c r="J565" s="3">
        <f>parking_demand_data_2024_ver0!I565</f>
        <v>1</v>
      </c>
      <c r="K565" s="3">
        <f>parking_demand_data_2024_ver0!J565</f>
        <v>0</v>
      </c>
      <c r="L565" s="3">
        <f>parking_demand_data_2024_ver0!K565</f>
        <v>0</v>
      </c>
      <c r="M565" s="3">
        <f>parking_demand_data_2024_ver0!L565</f>
        <v>0</v>
      </c>
      <c r="N565" s="3">
        <f>parking_demand_data_2024_ver0!M565</f>
        <v>15</v>
      </c>
      <c r="O565" s="3">
        <f>parking_demand_data_2024_ver0!N565</f>
        <v>0</v>
      </c>
      <c r="P565" s="3">
        <f>parking_demand_data_2024_ver0!O565</f>
        <v>0</v>
      </c>
      <c r="Q565" s="3">
        <f>parking_demand_data_2024_ver0!P565</f>
        <v>15</v>
      </c>
      <c r="R565" s="3">
        <f>parking_demand_data_2024_ver0!Q565</f>
        <v>0</v>
      </c>
      <c r="S565" s="3">
        <f>parking_demand_data_2024_ver0!R565</f>
        <v>0</v>
      </c>
      <c r="T565" s="3">
        <f>parking_demand_data_2024_ver0!S565</f>
        <v>0</v>
      </c>
    </row>
    <row r="566" spans="1:20" x14ac:dyDescent="0.25">
      <c r="A566">
        <v>18047</v>
      </c>
      <c r="B566" t="s">
        <v>52</v>
      </c>
      <c r="C566">
        <v>12</v>
      </c>
      <c r="D566" s="3">
        <f>parking_demand_data_2024_ver0!D566*calibration!$I$31</f>
        <v>1.37227992169039</v>
      </c>
      <c r="E566" s="3">
        <f>parking_demand_data_2024_ver0!E566*calibration!$I$31</f>
        <v>2.0444170261918102</v>
      </c>
      <c r="F566" s="3">
        <f t="shared" si="8"/>
        <v>3.4166969478822002</v>
      </c>
      <c r="G566" s="3">
        <f>parking_demand_data_2024_ver0!F566</f>
        <v>1</v>
      </c>
      <c r="H566" s="3">
        <f>parking_demand_data_2024_ver0!G566</f>
        <v>0</v>
      </c>
      <c r="I566" s="3">
        <f>parking_demand_data_2024_ver0!H566</f>
        <v>0</v>
      </c>
      <c r="J566" s="3">
        <f>parking_demand_data_2024_ver0!I566</f>
        <v>1</v>
      </c>
      <c r="K566" s="3">
        <f>parking_demand_data_2024_ver0!J566</f>
        <v>0</v>
      </c>
      <c r="L566" s="3">
        <f>parking_demand_data_2024_ver0!K566</f>
        <v>0</v>
      </c>
      <c r="M566" s="3">
        <f>parking_demand_data_2024_ver0!L566</f>
        <v>0</v>
      </c>
      <c r="N566" s="3">
        <f>parking_demand_data_2024_ver0!M566</f>
        <v>15</v>
      </c>
      <c r="O566" s="3">
        <f>parking_demand_data_2024_ver0!N566</f>
        <v>0</v>
      </c>
      <c r="P566" s="3">
        <f>parking_demand_data_2024_ver0!O566</f>
        <v>0</v>
      </c>
      <c r="Q566" s="3">
        <f>parking_demand_data_2024_ver0!P566</f>
        <v>15</v>
      </c>
      <c r="R566" s="3">
        <f>parking_demand_data_2024_ver0!Q566</f>
        <v>0</v>
      </c>
      <c r="S566" s="3">
        <f>parking_demand_data_2024_ver0!R566</f>
        <v>0</v>
      </c>
      <c r="T566" s="3">
        <f>parking_demand_data_2024_ver0!S566</f>
        <v>0</v>
      </c>
    </row>
    <row r="567" spans="1:20" x14ac:dyDescent="0.25">
      <c r="A567">
        <v>18047</v>
      </c>
      <c r="B567" t="s">
        <v>52</v>
      </c>
      <c r="C567">
        <v>13</v>
      </c>
      <c r="D567" s="3">
        <f>parking_demand_data_2024_ver0!D567*calibration!$I$31</f>
        <v>0.61612567912630001</v>
      </c>
      <c r="E567" s="3">
        <f>parking_demand_data_2024_ver0!E567*calibration!$I$31</f>
        <v>1.1482342201899201</v>
      </c>
      <c r="F567" s="3">
        <f t="shared" si="8"/>
        <v>1.7643598993162199</v>
      </c>
      <c r="G567" s="3">
        <f>parking_demand_data_2024_ver0!F567</f>
        <v>1</v>
      </c>
      <c r="H567" s="3">
        <f>parking_demand_data_2024_ver0!G567</f>
        <v>0</v>
      </c>
      <c r="I567" s="3">
        <f>parking_demand_data_2024_ver0!H567</f>
        <v>0</v>
      </c>
      <c r="J567" s="3">
        <f>parking_demand_data_2024_ver0!I567</f>
        <v>1</v>
      </c>
      <c r="K567" s="3">
        <f>parking_demand_data_2024_ver0!J567</f>
        <v>0</v>
      </c>
      <c r="L567" s="3">
        <f>parking_demand_data_2024_ver0!K567</f>
        <v>0</v>
      </c>
      <c r="M567" s="3">
        <f>parking_demand_data_2024_ver0!L567</f>
        <v>0</v>
      </c>
      <c r="N567" s="3">
        <f>parking_demand_data_2024_ver0!M567</f>
        <v>15</v>
      </c>
      <c r="O567" s="3">
        <f>parking_demand_data_2024_ver0!N567</f>
        <v>0</v>
      </c>
      <c r="P567" s="3">
        <f>parking_demand_data_2024_ver0!O567</f>
        <v>0</v>
      </c>
      <c r="Q567" s="3">
        <f>parking_demand_data_2024_ver0!P567</f>
        <v>15</v>
      </c>
      <c r="R567" s="3">
        <f>parking_demand_data_2024_ver0!Q567</f>
        <v>0</v>
      </c>
      <c r="S567" s="3">
        <f>parking_demand_data_2024_ver0!R567</f>
        <v>0</v>
      </c>
      <c r="T567" s="3">
        <f>parking_demand_data_2024_ver0!S567</f>
        <v>0</v>
      </c>
    </row>
    <row r="568" spans="1:20" x14ac:dyDescent="0.25">
      <c r="A568">
        <v>18047</v>
      </c>
      <c r="B568" t="s">
        <v>52</v>
      </c>
      <c r="C568">
        <v>14</v>
      </c>
      <c r="D568" s="3">
        <f>parking_demand_data_2024_ver0!D568*calibration!$I$31</f>
        <v>0.364074264938268</v>
      </c>
      <c r="E568" s="3">
        <f>parking_demand_data_2024_ver0!E568*calibration!$I$31</f>
        <v>8.4017138062677299E-2</v>
      </c>
      <c r="F568" s="3">
        <f t="shared" si="8"/>
        <v>0.4480914030009453</v>
      </c>
      <c r="G568" s="3">
        <f>parking_demand_data_2024_ver0!F568</f>
        <v>1</v>
      </c>
      <c r="H568" s="3">
        <f>parking_demand_data_2024_ver0!G568</f>
        <v>0</v>
      </c>
      <c r="I568" s="3">
        <f>parking_demand_data_2024_ver0!H568</f>
        <v>0</v>
      </c>
      <c r="J568" s="3">
        <f>parking_demand_data_2024_ver0!I568</f>
        <v>1</v>
      </c>
      <c r="K568" s="3">
        <f>parking_demand_data_2024_ver0!J568</f>
        <v>0</v>
      </c>
      <c r="L568" s="3">
        <f>parking_demand_data_2024_ver0!K568</f>
        <v>0</v>
      </c>
      <c r="M568" s="3">
        <f>parking_demand_data_2024_ver0!L568</f>
        <v>0</v>
      </c>
      <c r="N568" s="3">
        <f>parking_demand_data_2024_ver0!M568</f>
        <v>15</v>
      </c>
      <c r="O568" s="3">
        <f>parking_demand_data_2024_ver0!N568</f>
        <v>0</v>
      </c>
      <c r="P568" s="3">
        <f>parking_demand_data_2024_ver0!O568</f>
        <v>0</v>
      </c>
      <c r="Q568" s="3">
        <f>parking_demand_data_2024_ver0!P568</f>
        <v>15</v>
      </c>
      <c r="R568" s="3">
        <f>parking_demand_data_2024_ver0!Q568</f>
        <v>0</v>
      </c>
      <c r="S568" s="3">
        <f>parking_demand_data_2024_ver0!R568</f>
        <v>0</v>
      </c>
      <c r="T568" s="3">
        <f>parking_demand_data_2024_ver0!S568</f>
        <v>0</v>
      </c>
    </row>
    <row r="569" spans="1:20" x14ac:dyDescent="0.25">
      <c r="A569">
        <v>18047</v>
      </c>
      <c r="B569" t="s">
        <v>52</v>
      </c>
      <c r="C569">
        <v>15</v>
      </c>
      <c r="D569" s="3">
        <f>parking_demand_data_2024_ver0!D569*calibration!$I$31</f>
        <v>0.25205141418803201</v>
      </c>
      <c r="E569" s="3">
        <f>parking_demand_data_2024_ver0!E569*calibration!$I$31</f>
        <v>0</v>
      </c>
      <c r="F569" s="3">
        <f t="shared" si="8"/>
        <v>0.25205141418803201</v>
      </c>
      <c r="G569" s="3">
        <f>parking_demand_data_2024_ver0!F569</f>
        <v>1</v>
      </c>
      <c r="H569" s="3">
        <f>parking_demand_data_2024_ver0!G569</f>
        <v>0</v>
      </c>
      <c r="I569" s="3">
        <f>parking_demand_data_2024_ver0!H569</f>
        <v>0</v>
      </c>
      <c r="J569" s="3">
        <f>parking_demand_data_2024_ver0!I569</f>
        <v>1</v>
      </c>
      <c r="K569" s="3">
        <f>parking_demand_data_2024_ver0!J569</f>
        <v>0</v>
      </c>
      <c r="L569" s="3">
        <f>parking_demand_data_2024_ver0!K569</f>
        <v>0</v>
      </c>
      <c r="M569" s="3">
        <f>parking_demand_data_2024_ver0!L569</f>
        <v>0</v>
      </c>
      <c r="N569" s="3">
        <f>parking_demand_data_2024_ver0!M569</f>
        <v>15</v>
      </c>
      <c r="O569" s="3">
        <f>parking_demand_data_2024_ver0!N569</f>
        <v>0</v>
      </c>
      <c r="P569" s="3">
        <f>parking_demand_data_2024_ver0!O569</f>
        <v>0</v>
      </c>
      <c r="Q569" s="3">
        <f>parking_demand_data_2024_ver0!P569</f>
        <v>15</v>
      </c>
      <c r="R569" s="3">
        <f>parking_demand_data_2024_ver0!Q569</f>
        <v>0</v>
      </c>
      <c r="S569" s="3">
        <f>parking_demand_data_2024_ver0!R569</f>
        <v>0</v>
      </c>
      <c r="T569" s="3">
        <f>parking_demand_data_2024_ver0!S569</f>
        <v>0</v>
      </c>
    </row>
    <row r="570" spans="1:20" x14ac:dyDescent="0.25">
      <c r="A570">
        <v>18047</v>
      </c>
      <c r="B570" t="s">
        <v>52</v>
      </c>
      <c r="C570">
        <v>16</v>
      </c>
      <c r="D570" s="3">
        <f>parking_demand_data_2024_ver0!D570*calibration!$I$31</f>
        <v>0.19603998881291301</v>
      </c>
      <c r="E570" s="3">
        <f>parking_demand_data_2024_ver0!E570*calibration!$I$31</f>
        <v>0</v>
      </c>
      <c r="F570" s="3">
        <f t="shared" si="8"/>
        <v>0.19603998881291301</v>
      </c>
      <c r="G570" s="3">
        <f>parking_demand_data_2024_ver0!F570</f>
        <v>1</v>
      </c>
      <c r="H570" s="3">
        <f>parking_demand_data_2024_ver0!G570</f>
        <v>0</v>
      </c>
      <c r="I570" s="3">
        <f>parking_demand_data_2024_ver0!H570</f>
        <v>0</v>
      </c>
      <c r="J570" s="3">
        <f>parking_demand_data_2024_ver0!I570</f>
        <v>1</v>
      </c>
      <c r="K570" s="3">
        <f>parking_demand_data_2024_ver0!J570</f>
        <v>0</v>
      </c>
      <c r="L570" s="3">
        <f>parking_demand_data_2024_ver0!K570</f>
        <v>0</v>
      </c>
      <c r="M570" s="3">
        <f>parking_demand_data_2024_ver0!L570</f>
        <v>0</v>
      </c>
      <c r="N570" s="3">
        <f>parking_demand_data_2024_ver0!M570</f>
        <v>15</v>
      </c>
      <c r="O570" s="3">
        <f>parking_demand_data_2024_ver0!N570</f>
        <v>0</v>
      </c>
      <c r="P570" s="3">
        <f>parking_demand_data_2024_ver0!O570</f>
        <v>0</v>
      </c>
      <c r="Q570" s="3">
        <f>parking_demand_data_2024_ver0!P570</f>
        <v>15</v>
      </c>
      <c r="R570" s="3">
        <f>parking_demand_data_2024_ver0!Q570</f>
        <v>0</v>
      </c>
      <c r="S570" s="3">
        <f>parking_demand_data_2024_ver0!R570</f>
        <v>0</v>
      </c>
      <c r="T570" s="3">
        <f>parking_demand_data_2024_ver0!S570</f>
        <v>0</v>
      </c>
    </row>
    <row r="571" spans="1:20" x14ac:dyDescent="0.25">
      <c r="A571">
        <v>18047</v>
      </c>
      <c r="B571" t="s">
        <v>52</v>
      </c>
      <c r="C571">
        <v>17</v>
      </c>
      <c r="D571" s="3">
        <f>parking_demand_data_2024_ver0!D571*calibration!$I$31</f>
        <v>0.25205141418803201</v>
      </c>
      <c r="E571" s="3">
        <f>parking_demand_data_2024_ver0!E571*calibration!$I$31</f>
        <v>0</v>
      </c>
      <c r="F571" s="3">
        <f t="shared" si="8"/>
        <v>0.25205141418803201</v>
      </c>
      <c r="G571" s="3">
        <f>parking_demand_data_2024_ver0!F571</f>
        <v>1</v>
      </c>
      <c r="H571" s="3">
        <f>parking_demand_data_2024_ver0!G571</f>
        <v>0</v>
      </c>
      <c r="I571" s="3">
        <f>parking_demand_data_2024_ver0!H571</f>
        <v>0</v>
      </c>
      <c r="J571" s="3">
        <f>parking_demand_data_2024_ver0!I571</f>
        <v>1</v>
      </c>
      <c r="K571" s="3">
        <f>parking_demand_data_2024_ver0!J571</f>
        <v>0</v>
      </c>
      <c r="L571" s="3">
        <f>parking_demand_data_2024_ver0!K571</f>
        <v>0</v>
      </c>
      <c r="M571" s="3">
        <f>parking_demand_data_2024_ver0!L571</f>
        <v>0</v>
      </c>
      <c r="N571" s="3">
        <f>parking_demand_data_2024_ver0!M571</f>
        <v>15</v>
      </c>
      <c r="O571" s="3">
        <f>parking_demand_data_2024_ver0!N571</f>
        <v>0</v>
      </c>
      <c r="P571" s="3">
        <f>parking_demand_data_2024_ver0!O571</f>
        <v>0</v>
      </c>
      <c r="Q571" s="3">
        <f>parking_demand_data_2024_ver0!P571</f>
        <v>15</v>
      </c>
      <c r="R571" s="3">
        <f>parking_demand_data_2024_ver0!Q571</f>
        <v>0</v>
      </c>
      <c r="S571" s="3">
        <f>parking_demand_data_2024_ver0!R571</f>
        <v>0</v>
      </c>
      <c r="T571" s="3">
        <f>parking_demand_data_2024_ver0!S571</f>
        <v>0</v>
      </c>
    </row>
    <row r="572" spans="1:20" x14ac:dyDescent="0.25">
      <c r="A572">
        <v>18047</v>
      </c>
      <c r="B572" t="s">
        <v>52</v>
      </c>
      <c r="C572">
        <v>18</v>
      </c>
      <c r="D572" s="3">
        <f>parking_demand_data_2024_ver0!D572*calibration!$I$31</f>
        <v>0.16803427612535399</v>
      </c>
      <c r="E572" s="3">
        <f>parking_demand_data_2024_ver0!E572*calibration!$I$31</f>
        <v>0</v>
      </c>
      <c r="F572" s="3">
        <f t="shared" si="8"/>
        <v>0.16803427612535399</v>
      </c>
      <c r="G572" s="3">
        <f>parking_demand_data_2024_ver0!F572</f>
        <v>1</v>
      </c>
      <c r="H572" s="3">
        <f>parking_demand_data_2024_ver0!G572</f>
        <v>0</v>
      </c>
      <c r="I572" s="3">
        <f>parking_demand_data_2024_ver0!H572</f>
        <v>0</v>
      </c>
      <c r="J572" s="3">
        <f>parking_demand_data_2024_ver0!I572</f>
        <v>1</v>
      </c>
      <c r="K572" s="3">
        <f>parking_demand_data_2024_ver0!J572</f>
        <v>0</v>
      </c>
      <c r="L572" s="3">
        <f>parking_demand_data_2024_ver0!K572</f>
        <v>0</v>
      </c>
      <c r="M572" s="3">
        <f>parking_demand_data_2024_ver0!L572</f>
        <v>0</v>
      </c>
      <c r="N572" s="3">
        <f>parking_demand_data_2024_ver0!M572</f>
        <v>15</v>
      </c>
      <c r="O572" s="3">
        <f>parking_demand_data_2024_ver0!N572</f>
        <v>0</v>
      </c>
      <c r="P572" s="3">
        <f>parking_demand_data_2024_ver0!O572</f>
        <v>0</v>
      </c>
      <c r="Q572" s="3">
        <f>parking_demand_data_2024_ver0!P572</f>
        <v>15</v>
      </c>
      <c r="R572" s="3">
        <f>parking_demand_data_2024_ver0!Q572</f>
        <v>0</v>
      </c>
      <c r="S572" s="3">
        <f>parking_demand_data_2024_ver0!R572</f>
        <v>0</v>
      </c>
      <c r="T572" s="3">
        <f>parking_demand_data_2024_ver0!S572</f>
        <v>0</v>
      </c>
    </row>
    <row r="573" spans="1:20" x14ac:dyDescent="0.25">
      <c r="A573">
        <v>18047</v>
      </c>
      <c r="B573" t="s">
        <v>52</v>
      </c>
      <c r="C573">
        <v>19</v>
      </c>
      <c r="D573" s="3">
        <f>parking_demand_data_2024_ver0!D573*calibration!$I$31</f>
        <v>0.25205141418803201</v>
      </c>
      <c r="E573" s="3">
        <f>parking_demand_data_2024_ver0!E573*calibration!$I$31</f>
        <v>0</v>
      </c>
      <c r="F573" s="3">
        <f t="shared" si="8"/>
        <v>0.25205141418803201</v>
      </c>
      <c r="G573" s="3">
        <f>parking_demand_data_2024_ver0!F573</f>
        <v>1</v>
      </c>
      <c r="H573" s="3">
        <f>parking_demand_data_2024_ver0!G573</f>
        <v>0</v>
      </c>
      <c r="I573" s="3">
        <f>parking_demand_data_2024_ver0!H573</f>
        <v>0</v>
      </c>
      <c r="J573" s="3">
        <f>parking_demand_data_2024_ver0!I573</f>
        <v>1</v>
      </c>
      <c r="K573" s="3">
        <f>parking_demand_data_2024_ver0!J573</f>
        <v>0</v>
      </c>
      <c r="L573" s="3">
        <f>parking_demand_data_2024_ver0!K573</f>
        <v>0</v>
      </c>
      <c r="M573" s="3">
        <f>parking_demand_data_2024_ver0!L573</f>
        <v>0</v>
      </c>
      <c r="N573" s="3">
        <f>parking_demand_data_2024_ver0!M573</f>
        <v>15</v>
      </c>
      <c r="O573" s="3">
        <f>parking_demand_data_2024_ver0!N573</f>
        <v>0</v>
      </c>
      <c r="P573" s="3">
        <f>parking_demand_data_2024_ver0!O573</f>
        <v>0</v>
      </c>
      <c r="Q573" s="3">
        <f>parking_demand_data_2024_ver0!P573</f>
        <v>15</v>
      </c>
      <c r="R573" s="3">
        <f>parking_demand_data_2024_ver0!Q573</f>
        <v>0</v>
      </c>
      <c r="S573" s="3">
        <f>parking_demand_data_2024_ver0!R573</f>
        <v>0</v>
      </c>
      <c r="T573" s="3">
        <f>parking_demand_data_2024_ver0!S573</f>
        <v>0</v>
      </c>
    </row>
    <row r="574" spans="1:20" x14ac:dyDescent="0.25">
      <c r="A574">
        <v>18047</v>
      </c>
      <c r="B574" t="s">
        <v>52</v>
      </c>
      <c r="C574">
        <v>20</v>
      </c>
      <c r="D574" s="3">
        <f>parking_demand_data_2024_ver0!D574*calibration!$I$31</f>
        <v>0.28005712687559098</v>
      </c>
      <c r="E574" s="3">
        <f>parking_demand_data_2024_ver0!E574*calibration!$I$31</f>
        <v>0</v>
      </c>
      <c r="F574" s="3">
        <f t="shared" si="8"/>
        <v>0.28005712687559098</v>
      </c>
      <c r="G574" s="3">
        <f>parking_demand_data_2024_ver0!F574</f>
        <v>1</v>
      </c>
      <c r="H574" s="3">
        <f>parking_demand_data_2024_ver0!G574</f>
        <v>0</v>
      </c>
      <c r="I574" s="3">
        <f>parking_demand_data_2024_ver0!H574</f>
        <v>0</v>
      </c>
      <c r="J574" s="3">
        <f>parking_demand_data_2024_ver0!I574</f>
        <v>1</v>
      </c>
      <c r="K574" s="3">
        <f>parking_demand_data_2024_ver0!J574</f>
        <v>0</v>
      </c>
      <c r="L574" s="3">
        <f>parking_demand_data_2024_ver0!K574</f>
        <v>0</v>
      </c>
      <c r="M574" s="3">
        <f>parking_demand_data_2024_ver0!L574</f>
        <v>0</v>
      </c>
      <c r="N574" s="3">
        <f>parking_demand_data_2024_ver0!M574</f>
        <v>15</v>
      </c>
      <c r="O574" s="3">
        <f>parking_demand_data_2024_ver0!N574</f>
        <v>0</v>
      </c>
      <c r="P574" s="3">
        <f>parking_demand_data_2024_ver0!O574</f>
        <v>0</v>
      </c>
      <c r="Q574" s="3">
        <f>parking_demand_data_2024_ver0!P574</f>
        <v>15</v>
      </c>
      <c r="R574" s="3">
        <f>parking_demand_data_2024_ver0!Q574</f>
        <v>0</v>
      </c>
      <c r="S574" s="3">
        <f>parking_demand_data_2024_ver0!R574</f>
        <v>0</v>
      </c>
      <c r="T574" s="3">
        <f>parking_demand_data_2024_ver0!S574</f>
        <v>0</v>
      </c>
    </row>
    <row r="575" spans="1:20" x14ac:dyDescent="0.25">
      <c r="A575">
        <v>18047</v>
      </c>
      <c r="B575" t="s">
        <v>52</v>
      </c>
      <c r="C575">
        <v>21</v>
      </c>
      <c r="D575" s="3">
        <f>parking_demand_data_2024_ver0!D575*calibration!$I$31</f>
        <v>0.33606855225070897</v>
      </c>
      <c r="E575" s="3">
        <f>parking_demand_data_2024_ver0!E575*calibration!$I$31</f>
        <v>0</v>
      </c>
      <c r="F575" s="3">
        <f t="shared" si="8"/>
        <v>0.33606855225070897</v>
      </c>
      <c r="G575" s="3">
        <f>parking_demand_data_2024_ver0!F575</f>
        <v>1</v>
      </c>
      <c r="H575" s="3">
        <f>parking_demand_data_2024_ver0!G575</f>
        <v>0</v>
      </c>
      <c r="I575" s="3">
        <f>parking_demand_data_2024_ver0!H575</f>
        <v>0</v>
      </c>
      <c r="J575" s="3">
        <f>parking_demand_data_2024_ver0!I575</f>
        <v>1</v>
      </c>
      <c r="K575" s="3">
        <f>parking_demand_data_2024_ver0!J575</f>
        <v>0</v>
      </c>
      <c r="L575" s="3">
        <f>parking_demand_data_2024_ver0!K575</f>
        <v>0</v>
      </c>
      <c r="M575" s="3">
        <f>parking_demand_data_2024_ver0!L575</f>
        <v>0</v>
      </c>
      <c r="N575" s="3">
        <f>parking_demand_data_2024_ver0!M575</f>
        <v>15</v>
      </c>
      <c r="O575" s="3">
        <f>parking_demand_data_2024_ver0!N575</f>
        <v>0</v>
      </c>
      <c r="P575" s="3">
        <f>parking_demand_data_2024_ver0!O575</f>
        <v>0</v>
      </c>
      <c r="Q575" s="3">
        <f>parking_demand_data_2024_ver0!P575</f>
        <v>15</v>
      </c>
      <c r="R575" s="3">
        <f>parking_demand_data_2024_ver0!Q575</f>
        <v>0</v>
      </c>
      <c r="S575" s="3">
        <f>parking_demand_data_2024_ver0!R575</f>
        <v>0</v>
      </c>
      <c r="T575" s="3">
        <f>parking_demand_data_2024_ver0!S575</f>
        <v>0</v>
      </c>
    </row>
    <row r="576" spans="1:20" x14ac:dyDescent="0.25">
      <c r="A576">
        <v>18047</v>
      </c>
      <c r="B576" t="s">
        <v>52</v>
      </c>
      <c r="C576">
        <v>22</v>
      </c>
      <c r="D576" s="3">
        <f>parking_demand_data_2024_ver0!D576*calibration!$I$31</f>
        <v>0.33606855225070897</v>
      </c>
      <c r="E576" s="3">
        <f>parking_demand_data_2024_ver0!E576*calibration!$I$31</f>
        <v>0</v>
      </c>
      <c r="F576" s="3">
        <f t="shared" si="8"/>
        <v>0.33606855225070897</v>
      </c>
      <c r="G576" s="3">
        <f>parking_demand_data_2024_ver0!F576</f>
        <v>1</v>
      </c>
      <c r="H576" s="3">
        <f>parking_demand_data_2024_ver0!G576</f>
        <v>0</v>
      </c>
      <c r="I576" s="3">
        <f>parking_demand_data_2024_ver0!H576</f>
        <v>0</v>
      </c>
      <c r="J576" s="3">
        <f>parking_demand_data_2024_ver0!I576</f>
        <v>1</v>
      </c>
      <c r="K576" s="3">
        <f>parking_demand_data_2024_ver0!J576</f>
        <v>0</v>
      </c>
      <c r="L576" s="3">
        <f>parking_demand_data_2024_ver0!K576</f>
        <v>0</v>
      </c>
      <c r="M576" s="3">
        <f>parking_demand_data_2024_ver0!L576</f>
        <v>0</v>
      </c>
      <c r="N576" s="3">
        <f>parking_demand_data_2024_ver0!M576</f>
        <v>15</v>
      </c>
      <c r="O576" s="3">
        <f>parking_demand_data_2024_ver0!N576</f>
        <v>0</v>
      </c>
      <c r="P576" s="3">
        <f>parking_demand_data_2024_ver0!O576</f>
        <v>0</v>
      </c>
      <c r="Q576" s="3">
        <f>parking_demand_data_2024_ver0!P576</f>
        <v>15</v>
      </c>
      <c r="R576" s="3">
        <f>parking_demand_data_2024_ver0!Q576</f>
        <v>0</v>
      </c>
      <c r="S576" s="3">
        <f>parking_demand_data_2024_ver0!R576</f>
        <v>0</v>
      </c>
      <c r="T576" s="3">
        <f>parking_demand_data_2024_ver0!S576</f>
        <v>0</v>
      </c>
    </row>
    <row r="577" spans="1:20" x14ac:dyDescent="0.25">
      <c r="A577">
        <v>18047</v>
      </c>
      <c r="B577" t="s">
        <v>52</v>
      </c>
      <c r="C577">
        <v>23</v>
      </c>
      <c r="D577" s="3">
        <f>parking_demand_data_2024_ver0!D577*calibration!$I$31</f>
        <v>0.33606855225070897</v>
      </c>
      <c r="E577" s="3">
        <f>parking_demand_data_2024_ver0!E577*calibration!$I$31</f>
        <v>5.6011425375118197E-2</v>
      </c>
      <c r="F577" s="3">
        <f t="shared" si="8"/>
        <v>0.39207997762582719</v>
      </c>
      <c r="G577" s="3">
        <f>parking_demand_data_2024_ver0!F577</f>
        <v>1</v>
      </c>
      <c r="H577" s="3">
        <f>parking_demand_data_2024_ver0!G577</f>
        <v>0</v>
      </c>
      <c r="I577" s="3">
        <f>parking_demand_data_2024_ver0!H577</f>
        <v>0</v>
      </c>
      <c r="J577" s="3">
        <f>parking_demand_data_2024_ver0!I577</f>
        <v>1</v>
      </c>
      <c r="K577" s="3">
        <f>parking_demand_data_2024_ver0!J577</f>
        <v>0</v>
      </c>
      <c r="L577" s="3">
        <f>parking_demand_data_2024_ver0!K577</f>
        <v>0</v>
      </c>
      <c r="M577" s="3">
        <f>parking_demand_data_2024_ver0!L577</f>
        <v>0</v>
      </c>
      <c r="N577" s="3">
        <f>parking_demand_data_2024_ver0!M577</f>
        <v>15</v>
      </c>
      <c r="O577" s="3">
        <f>parking_demand_data_2024_ver0!N577</f>
        <v>0</v>
      </c>
      <c r="P577" s="3">
        <f>parking_demand_data_2024_ver0!O577</f>
        <v>0</v>
      </c>
      <c r="Q577" s="3">
        <f>parking_demand_data_2024_ver0!P577</f>
        <v>15</v>
      </c>
      <c r="R577" s="3">
        <f>parking_demand_data_2024_ver0!Q577</f>
        <v>0</v>
      </c>
      <c r="S577" s="3">
        <f>parking_demand_data_2024_ver0!R577</f>
        <v>0</v>
      </c>
      <c r="T577" s="3">
        <f>parking_demand_data_2024_ver0!S577</f>
        <v>0</v>
      </c>
    </row>
    <row r="578" spans="1:20" x14ac:dyDescent="0.25">
      <c r="A578">
        <v>18049</v>
      </c>
      <c r="B578" t="s">
        <v>53</v>
      </c>
      <c r="C578">
        <v>0</v>
      </c>
      <c r="D578" s="3">
        <f>parking_demand_data_2024_ver0!D578*calibration!$I$31</f>
        <v>13.9137050389641</v>
      </c>
      <c r="E578" s="3">
        <f>parking_demand_data_2024_ver0!E578*calibration!$I$31</f>
        <v>0.24268090184239699</v>
      </c>
      <c r="F578" s="3">
        <f t="shared" si="8"/>
        <v>14.156385940806496</v>
      </c>
      <c r="G578" s="3">
        <f>parking_demand_data_2024_ver0!F578</f>
        <v>1</v>
      </c>
      <c r="H578" s="3">
        <f>parking_demand_data_2024_ver0!G578</f>
        <v>0</v>
      </c>
      <c r="I578" s="3">
        <f>parking_demand_data_2024_ver0!H578</f>
        <v>1</v>
      </c>
      <c r="J578" s="3">
        <f>parking_demand_data_2024_ver0!I578</f>
        <v>0</v>
      </c>
      <c r="K578" s="3">
        <f>parking_demand_data_2024_ver0!J578</f>
        <v>0</v>
      </c>
      <c r="L578" s="3">
        <f>parking_demand_data_2024_ver0!K578</f>
        <v>0</v>
      </c>
      <c r="M578" s="3">
        <f>parking_demand_data_2024_ver0!L578</f>
        <v>0</v>
      </c>
      <c r="N578" s="3">
        <f>parking_demand_data_2024_ver0!M578</f>
        <v>50</v>
      </c>
      <c r="O578" s="3">
        <f>parking_demand_data_2024_ver0!N578</f>
        <v>0</v>
      </c>
      <c r="P578" s="3">
        <f>parking_demand_data_2024_ver0!O578</f>
        <v>50</v>
      </c>
      <c r="Q578" s="3">
        <f>parking_demand_data_2024_ver0!P578</f>
        <v>0</v>
      </c>
      <c r="R578" s="3">
        <f>parking_demand_data_2024_ver0!Q578</f>
        <v>0</v>
      </c>
      <c r="S578" s="3">
        <f>parking_demand_data_2024_ver0!R578</f>
        <v>0</v>
      </c>
      <c r="T578" s="3">
        <f>parking_demand_data_2024_ver0!S578</f>
        <v>0</v>
      </c>
    </row>
    <row r="579" spans="1:20" x14ac:dyDescent="0.25">
      <c r="A579">
        <v>18049</v>
      </c>
      <c r="B579" t="s">
        <v>53</v>
      </c>
      <c r="C579">
        <v>1</v>
      </c>
      <c r="D579" s="3">
        <f>parking_demand_data_2024_ver0!D579*calibration!$I$31</f>
        <v>14.4799604765963</v>
      </c>
      <c r="E579" s="3">
        <f>parking_demand_data_2024_ver0!E579*calibration!$I$31</f>
        <v>0.24268090184239699</v>
      </c>
      <c r="F579" s="3">
        <f t="shared" ref="F579:F642" si="9">SUM(D579:E579)</f>
        <v>14.722641378438697</v>
      </c>
      <c r="G579" s="3">
        <f>parking_demand_data_2024_ver0!F579</f>
        <v>1</v>
      </c>
      <c r="H579" s="3">
        <f>parking_demand_data_2024_ver0!G579</f>
        <v>0</v>
      </c>
      <c r="I579" s="3">
        <f>parking_demand_data_2024_ver0!H579</f>
        <v>1</v>
      </c>
      <c r="J579" s="3">
        <f>parking_demand_data_2024_ver0!I579</f>
        <v>0</v>
      </c>
      <c r="K579" s="3">
        <f>parking_demand_data_2024_ver0!J579</f>
        <v>0</v>
      </c>
      <c r="L579" s="3">
        <f>parking_demand_data_2024_ver0!K579</f>
        <v>0</v>
      </c>
      <c r="M579" s="3">
        <f>parking_demand_data_2024_ver0!L579</f>
        <v>0</v>
      </c>
      <c r="N579" s="3">
        <f>parking_demand_data_2024_ver0!M579</f>
        <v>50</v>
      </c>
      <c r="O579" s="3">
        <f>parking_demand_data_2024_ver0!N579</f>
        <v>0</v>
      </c>
      <c r="P579" s="3">
        <f>parking_demand_data_2024_ver0!O579</f>
        <v>50</v>
      </c>
      <c r="Q579" s="3">
        <f>parking_demand_data_2024_ver0!P579</f>
        <v>0</v>
      </c>
      <c r="R579" s="3">
        <f>parking_demand_data_2024_ver0!Q579</f>
        <v>0</v>
      </c>
      <c r="S579" s="3">
        <f>parking_demand_data_2024_ver0!R579</f>
        <v>0</v>
      </c>
      <c r="T579" s="3">
        <f>parking_demand_data_2024_ver0!S579</f>
        <v>0</v>
      </c>
    </row>
    <row r="580" spans="1:20" x14ac:dyDescent="0.25">
      <c r="A580">
        <v>18049</v>
      </c>
      <c r="B580" t="s">
        <v>53</v>
      </c>
      <c r="C580">
        <v>2</v>
      </c>
      <c r="D580" s="3">
        <f>parking_demand_data_2024_ver0!D580*calibration!$I$31</f>
        <v>14.3586200256751</v>
      </c>
      <c r="E580" s="3">
        <f>parking_demand_data_2024_ver0!E580*calibration!$I$31</f>
        <v>0.20223408486866401</v>
      </c>
      <c r="F580" s="3">
        <f t="shared" si="9"/>
        <v>14.560854110543763</v>
      </c>
      <c r="G580" s="3">
        <f>parking_demand_data_2024_ver0!F580</f>
        <v>1</v>
      </c>
      <c r="H580" s="3">
        <f>parking_demand_data_2024_ver0!G580</f>
        <v>0</v>
      </c>
      <c r="I580" s="3">
        <f>parking_demand_data_2024_ver0!H580</f>
        <v>1</v>
      </c>
      <c r="J580" s="3">
        <f>parking_demand_data_2024_ver0!I580</f>
        <v>0</v>
      </c>
      <c r="K580" s="3">
        <f>parking_demand_data_2024_ver0!J580</f>
        <v>0</v>
      </c>
      <c r="L580" s="3">
        <f>parking_demand_data_2024_ver0!K580</f>
        <v>0</v>
      </c>
      <c r="M580" s="3">
        <f>parking_demand_data_2024_ver0!L580</f>
        <v>0</v>
      </c>
      <c r="N580" s="3">
        <f>parking_demand_data_2024_ver0!M580</f>
        <v>50</v>
      </c>
      <c r="O580" s="3">
        <f>parking_demand_data_2024_ver0!N580</f>
        <v>0</v>
      </c>
      <c r="P580" s="3">
        <f>parking_demand_data_2024_ver0!O580</f>
        <v>50</v>
      </c>
      <c r="Q580" s="3">
        <f>parking_demand_data_2024_ver0!P580</f>
        <v>0</v>
      </c>
      <c r="R580" s="3">
        <f>parking_demand_data_2024_ver0!Q580</f>
        <v>0</v>
      </c>
      <c r="S580" s="3">
        <f>parking_demand_data_2024_ver0!R580</f>
        <v>0</v>
      </c>
      <c r="T580" s="3">
        <f>parking_demand_data_2024_ver0!S580</f>
        <v>0</v>
      </c>
    </row>
    <row r="581" spans="1:20" x14ac:dyDescent="0.25">
      <c r="A581">
        <v>18049</v>
      </c>
      <c r="B581" t="s">
        <v>53</v>
      </c>
      <c r="C581">
        <v>3</v>
      </c>
      <c r="D581" s="3">
        <f>parking_demand_data_2024_ver0!D581*calibration!$I$31</f>
        <v>14.5204072935701</v>
      </c>
      <c r="E581" s="3">
        <f>parking_demand_data_2024_ver0!E581*calibration!$I$31</f>
        <v>0.20223408486866401</v>
      </c>
      <c r="F581" s="3">
        <f t="shared" si="9"/>
        <v>14.722641378438764</v>
      </c>
      <c r="G581" s="3">
        <f>parking_demand_data_2024_ver0!F581</f>
        <v>1</v>
      </c>
      <c r="H581" s="3">
        <f>parking_demand_data_2024_ver0!G581</f>
        <v>0</v>
      </c>
      <c r="I581" s="3">
        <f>parking_demand_data_2024_ver0!H581</f>
        <v>1</v>
      </c>
      <c r="J581" s="3">
        <f>parking_demand_data_2024_ver0!I581</f>
        <v>0</v>
      </c>
      <c r="K581" s="3">
        <f>parking_demand_data_2024_ver0!J581</f>
        <v>0</v>
      </c>
      <c r="L581" s="3">
        <f>parking_demand_data_2024_ver0!K581</f>
        <v>0</v>
      </c>
      <c r="M581" s="3">
        <f>parking_demand_data_2024_ver0!L581</f>
        <v>0</v>
      </c>
      <c r="N581" s="3">
        <f>parking_demand_data_2024_ver0!M581</f>
        <v>50</v>
      </c>
      <c r="O581" s="3">
        <f>parking_demand_data_2024_ver0!N581</f>
        <v>0</v>
      </c>
      <c r="P581" s="3">
        <f>parking_demand_data_2024_ver0!O581</f>
        <v>50</v>
      </c>
      <c r="Q581" s="3">
        <f>parking_demand_data_2024_ver0!P581</f>
        <v>0</v>
      </c>
      <c r="R581" s="3">
        <f>parking_demand_data_2024_ver0!Q581</f>
        <v>0</v>
      </c>
      <c r="S581" s="3">
        <f>parking_demand_data_2024_ver0!R581</f>
        <v>0</v>
      </c>
      <c r="T581" s="3">
        <f>parking_demand_data_2024_ver0!S581</f>
        <v>0</v>
      </c>
    </row>
    <row r="582" spans="1:20" x14ac:dyDescent="0.25">
      <c r="A582">
        <v>18049</v>
      </c>
      <c r="B582" t="s">
        <v>53</v>
      </c>
      <c r="C582">
        <v>4</v>
      </c>
      <c r="D582" s="3">
        <f>parking_demand_data_2024_ver0!D582*calibration!$I$31</f>
        <v>14.399066842648899</v>
      </c>
      <c r="E582" s="3">
        <f>parking_demand_data_2024_ver0!E582*calibration!$I$31</f>
        <v>0.889829973422124</v>
      </c>
      <c r="F582" s="3">
        <f t="shared" si="9"/>
        <v>15.288896816071023</v>
      </c>
      <c r="G582" s="3">
        <f>parking_demand_data_2024_ver0!F582</f>
        <v>1</v>
      </c>
      <c r="H582" s="3">
        <f>parking_demand_data_2024_ver0!G582</f>
        <v>0</v>
      </c>
      <c r="I582" s="3">
        <f>parking_demand_data_2024_ver0!H582</f>
        <v>1</v>
      </c>
      <c r="J582" s="3">
        <f>parking_demand_data_2024_ver0!I582</f>
        <v>0</v>
      </c>
      <c r="K582" s="3">
        <f>parking_demand_data_2024_ver0!J582</f>
        <v>0</v>
      </c>
      <c r="L582" s="3">
        <f>parking_demand_data_2024_ver0!K582</f>
        <v>0</v>
      </c>
      <c r="M582" s="3">
        <f>parking_demand_data_2024_ver0!L582</f>
        <v>0</v>
      </c>
      <c r="N582" s="3">
        <f>parking_demand_data_2024_ver0!M582</f>
        <v>50</v>
      </c>
      <c r="O582" s="3">
        <f>parking_demand_data_2024_ver0!N582</f>
        <v>0</v>
      </c>
      <c r="P582" s="3">
        <f>parking_demand_data_2024_ver0!O582</f>
        <v>50</v>
      </c>
      <c r="Q582" s="3">
        <f>parking_demand_data_2024_ver0!P582</f>
        <v>0</v>
      </c>
      <c r="R582" s="3">
        <f>parking_demand_data_2024_ver0!Q582</f>
        <v>0</v>
      </c>
      <c r="S582" s="3">
        <f>parking_demand_data_2024_ver0!R582</f>
        <v>0</v>
      </c>
      <c r="T582" s="3">
        <f>parking_demand_data_2024_ver0!S582</f>
        <v>0</v>
      </c>
    </row>
    <row r="583" spans="1:20" x14ac:dyDescent="0.25">
      <c r="A583">
        <v>18049</v>
      </c>
      <c r="B583" t="s">
        <v>53</v>
      </c>
      <c r="C583">
        <v>5</v>
      </c>
      <c r="D583" s="3">
        <f>parking_demand_data_2024_ver0!D583*calibration!$I$31</f>
        <v>13.549683686200501</v>
      </c>
      <c r="E583" s="3">
        <f>parking_demand_data_2024_ver0!E583*calibration!$I$31</f>
        <v>1.0516172413170499</v>
      </c>
      <c r="F583" s="3">
        <f t="shared" si="9"/>
        <v>14.601300927517551</v>
      </c>
      <c r="G583" s="3">
        <f>parking_demand_data_2024_ver0!F583</f>
        <v>1</v>
      </c>
      <c r="H583" s="3">
        <f>parking_demand_data_2024_ver0!G583</f>
        <v>0</v>
      </c>
      <c r="I583" s="3">
        <f>parking_demand_data_2024_ver0!H583</f>
        <v>1</v>
      </c>
      <c r="J583" s="3">
        <f>parking_demand_data_2024_ver0!I583</f>
        <v>0</v>
      </c>
      <c r="K583" s="3">
        <f>parking_demand_data_2024_ver0!J583</f>
        <v>0</v>
      </c>
      <c r="L583" s="3">
        <f>parking_demand_data_2024_ver0!K583</f>
        <v>0</v>
      </c>
      <c r="M583" s="3">
        <f>parking_demand_data_2024_ver0!L583</f>
        <v>0</v>
      </c>
      <c r="N583" s="3">
        <f>parking_demand_data_2024_ver0!M583</f>
        <v>50</v>
      </c>
      <c r="O583" s="3">
        <f>parking_demand_data_2024_ver0!N583</f>
        <v>0</v>
      </c>
      <c r="P583" s="3">
        <f>parking_demand_data_2024_ver0!O583</f>
        <v>50</v>
      </c>
      <c r="Q583" s="3">
        <f>parking_demand_data_2024_ver0!P583</f>
        <v>0</v>
      </c>
      <c r="R583" s="3">
        <f>parking_demand_data_2024_ver0!Q583</f>
        <v>0</v>
      </c>
      <c r="S583" s="3">
        <f>parking_demand_data_2024_ver0!R583</f>
        <v>0</v>
      </c>
      <c r="T583" s="3">
        <f>parking_demand_data_2024_ver0!S583</f>
        <v>0</v>
      </c>
    </row>
    <row r="584" spans="1:20" x14ac:dyDescent="0.25">
      <c r="A584">
        <v>18049</v>
      </c>
      <c r="B584" t="s">
        <v>53</v>
      </c>
      <c r="C584">
        <v>6</v>
      </c>
      <c r="D584" s="3">
        <f>parking_demand_data_2024_ver0!D584*calibration!$I$31</f>
        <v>12.4576196279097</v>
      </c>
      <c r="E584" s="3">
        <f>parking_demand_data_2024_ver0!E584*calibration!$I$31</f>
        <v>0.76848952250092495</v>
      </c>
      <c r="F584" s="3">
        <f t="shared" si="9"/>
        <v>13.226109150410625</v>
      </c>
      <c r="G584" s="3">
        <f>parking_demand_data_2024_ver0!F584</f>
        <v>1</v>
      </c>
      <c r="H584" s="3">
        <f>parking_demand_data_2024_ver0!G584</f>
        <v>0</v>
      </c>
      <c r="I584" s="3">
        <f>parking_demand_data_2024_ver0!H584</f>
        <v>1</v>
      </c>
      <c r="J584" s="3">
        <f>parking_demand_data_2024_ver0!I584</f>
        <v>0</v>
      </c>
      <c r="K584" s="3">
        <f>parking_demand_data_2024_ver0!J584</f>
        <v>0</v>
      </c>
      <c r="L584" s="3">
        <f>parking_demand_data_2024_ver0!K584</f>
        <v>0</v>
      </c>
      <c r="M584" s="3">
        <f>parking_demand_data_2024_ver0!L584</f>
        <v>0</v>
      </c>
      <c r="N584" s="3">
        <f>parking_demand_data_2024_ver0!M584</f>
        <v>50</v>
      </c>
      <c r="O584" s="3">
        <f>parking_demand_data_2024_ver0!N584</f>
        <v>0</v>
      </c>
      <c r="P584" s="3">
        <f>parking_demand_data_2024_ver0!O584</f>
        <v>50</v>
      </c>
      <c r="Q584" s="3">
        <f>parking_demand_data_2024_ver0!P584</f>
        <v>0</v>
      </c>
      <c r="R584" s="3">
        <f>parking_demand_data_2024_ver0!Q584</f>
        <v>0</v>
      </c>
      <c r="S584" s="3">
        <f>parking_demand_data_2024_ver0!R584</f>
        <v>0</v>
      </c>
      <c r="T584" s="3">
        <f>parking_demand_data_2024_ver0!S584</f>
        <v>0</v>
      </c>
    </row>
    <row r="585" spans="1:20" x14ac:dyDescent="0.25">
      <c r="A585">
        <v>18049</v>
      </c>
      <c r="B585" t="s">
        <v>53</v>
      </c>
      <c r="C585">
        <v>7</v>
      </c>
      <c r="D585" s="3">
        <f>parking_demand_data_2024_ver0!D585*calibration!$I$31</f>
        <v>9.5454488058009606</v>
      </c>
      <c r="E585" s="3">
        <f>parking_demand_data_2024_ver0!E585*calibration!$I$31</f>
        <v>1.25385132618572</v>
      </c>
      <c r="F585" s="3">
        <f t="shared" si="9"/>
        <v>10.79930013198668</v>
      </c>
      <c r="G585" s="3">
        <f>parking_demand_data_2024_ver0!F585</f>
        <v>1</v>
      </c>
      <c r="H585" s="3">
        <f>parking_demand_data_2024_ver0!G585</f>
        <v>0</v>
      </c>
      <c r="I585" s="3">
        <f>parking_demand_data_2024_ver0!H585</f>
        <v>1</v>
      </c>
      <c r="J585" s="3">
        <f>parking_demand_data_2024_ver0!I585</f>
        <v>0</v>
      </c>
      <c r="K585" s="3">
        <f>parking_demand_data_2024_ver0!J585</f>
        <v>0</v>
      </c>
      <c r="L585" s="3">
        <f>parking_demand_data_2024_ver0!K585</f>
        <v>0</v>
      </c>
      <c r="M585" s="3">
        <f>parking_demand_data_2024_ver0!L585</f>
        <v>0</v>
      </c>
      <c r="N585" s="3">
        <f>parking_demand_data_2024_ver0!M585</f>
        <v>50</v>
      </c>
      <c r="O585" s="3">
        <f>parking_demand_data_2024_ver0!N585</f>
        <v>0</v>
      </c>
      <c r="P585" s="3">
        <f>parking_demand_data_2024_ver0!O585</f>
        <v>50</v>
      </c>
      <c r="Q585" s="3">
        <f>parking_demand_data_2024_ver0!P585</f>
        <v>0</v>
      </c>
      <c r="R585" s="3">
        <f>parking_demand_data_2024_ver0!Q585</f>
        <v>0</v>
      </c>
      <c r="S585" s="3">
        <f>parking_demand_data_2024_ver0!R585</f>
        <v>0</v>
      </c>
      <c r="T585" s="3">
        <f>parking_demand_data_2024_ver0!S585</f>
        <v>0</v>
      </c>
    </row>
    <row r="586" spans="1:20" x14ac:dyDescent="0.25">
      <c r="A586">
        <v>18049</v>
      </c>
      <c r="B586" t="s">
        <v>53</v>
      </c>
      <c r="C586">
        <v>8</v>
      </c>
      <c r="D586" s="3">
        <f>parking_demand_data_2024_ver0!D586*calibration!$I$31</f>
        <v>6.7141716176396598</v>
      </c>
      <c r="E586" s="3">
        <f>parking_demand_data_2024_ver0!E586*calibration!$I$31</f>
        <v>2.22457493355531</v>
      </c>
      <c r="F586" s="3">
        <f t="shared" si="9"/>
        <v>8.9387465511949706</v>
      </c>
      <c r="G586" s="3">
        <f>parking_demand_data_2024_ver0!F586</f>
        <v>1</v>
      </c>
      <c r="H586" s="3">
        <f>parking_demand_data_2024_ver0!G586</f>
        <v>0</v>
      </c>
      <c r="I586" s="3">
        <f>parking_demand_data_2024_ver0!H586</f>
        <v>1</v>
      </c>
      <c r="J586" s="3">
        <f>parking_demand_data_2024_ver0!I586</f>
        <v>0</v>
      </c>
      <c r="K586" s="3">
        <f>parking_demand_data_2024_ver0!J586</f>
        <v>0</v>
      </c>
      <c r="L586" s="3">
        <f>parking_demand_data_2024_ver0!K586</f>
        <v>0</v>
      </c>
      <c r="M586" s="3">
        <f>parking_demand_data_2024_ver0!L586</f>
        <v>0</v>
      </c>
      <c r="N586" s="3">
        <f>parking_demand_data_2024_ver0!M586</f>
        <v>50</v>
      </c>
      <c r="O586" s="3">
        <f>parking_demand_data_2024_ver0!N586</f>
        <v>0</v>
      </c>
      <c r="P586" s="3">
        <f>parking_demand_data_2024_ver0!O586</f>
        <v>50</v>
      </c>
      <c r="Q586" s="3">
        <f>parking_demand_data_2024_ver0!P586</f>
        <v>0</v>
      </c>
      <c r="R586" s="3">
        <f>parking_demand_data_2024_ver0!Q586</f>
        <v>0</v>
      </c>
      <c r="S586" s="3">
        <f>parking_demand_data_2024_ver0!R586</f>
        <v>0</v>
      </c>
      <c r="T586" s="3">
        <f>parking_demand_data_2024_ver0!S586</f>
        <v>0</v>
      </c>
    </row>
    <row r="587" spans="1:20" x14ac:dyDescent="0.25">
      <c r="A587">
        <v>18049</v>
      </c>
      <c r="B587" t="s">
        <v>53</v>
      </c>
      <c r="C587">
        <v>9</v>
      </c>
      <c r="D587" s="3">
        <f>parking_demand_data_2024_ver0!D587*calibration!$I$31</f>
        <v>4.81317121987421</v>
      </c>
      <c r="E587" s="3">
        <f>parking_demand_data_2024_ver0!E587*calibration!$I$31</f>
        <v>4.81317121987421</v>
      </c>
      <c r="F587" s="3">
        <f t="shared" si="9"/>
        <v>9.6263424397484201</v>
      </c>
      <c r="G587" s="3">
        <f>parking_demand_data_2024_ver0!F587</f>
        <v>1</v>
      </c>
      <c r="H587" s="3">
        <f>parking_demand_data_2024_ver0!G587</f>
        <v>0</v>
      </c>
      <c r="I587" s="3">
        <f>parking_demand_data_2024_ver0!H587</f>
        <v>1</v>
      </c>
      <c r="J587" s="3">
        <f>parking_demand_data_2024_ver0!I587</f>
        <v>0</v>
      </c>
      <c r="K587" s="3">
        <f>parking_demand_data_2024_ver0!J587</f>
        <v>0</v>
      </c>
      <c r="L587" s="3">
        <f>parking_demand_data_2024_ver0!K587</f>
        <v>0</v>
      </c>
      <c r="M587" s="3">
        <f>parking_demand_data_2024_ver0!L587</f>
        <v>0</v>
      </c>
      <c r="N587" s="3">
        <f>parking_demand_data_2024_ver0!M587</f>
        <v>50</v>
      </c>
      <c r="O587" s="3">
        <f>parking_demand_data_2024_ver0!N587</f>
        <v>0</v>
      </c>
      <c r="P587" s="3">
        <f>parking_demand_data_2024_ver0!O587</f>
        <v>50</v>
      </c>
      <c r="Q587" s="3">
        <f>parking_demand_data_2024_ver0!P587</f>
        <v>0</v>
      </c>
      <c r="R587" s="3">
        <f>parking_demand_data_2024_ver0!Q587</f>
        <v>0</v>
      </c>
      <c r="S587" s="3">
        <f>parking_demand_data_2024_ver0!R587</f>
        <v>0</v>
      </c>
      <c r="T587" s="3">
        <f>parking_demand_data_2024_ver0!S587</f>
        <v>0</v>
      </c>
    </row>
    <row r="588" spans="1:20" x14ac:dyDescent="0.25">
      <c r="A588">
        <v>18049</v>
      </c>
      <c r="B588" t="s">
        <v>53</v>
      </c>
      <c r="C588">
        <v>10</v>
      </c>
      <c r="D588" s="3">
        <f>parking_demand_data_2024_ver0!D588*calibration!$I$31</f>
        <v>3.7211071615834199</v>
      </c>
      <c r="E588" s="3">
        <f>parking_demand_data_2024_ver0!E588*calibration!$I$31</f>
        <v>3.8020007955308901</v>
      </c>
      <c r="F588" s="3">
        <f t="shared" si="9"/>
        <v>7.52310795711431</v>
      </c>
      <c r="G588" s="3">
        <f>parking_demand_data_2024_ver0!F588</f>
        <v>1</v>
      </c>
      <c r="H588" s="3">
        <f>parking_demand_data_2024_ver0!G588</f>
        <v>0</v>
      </c>
      <c r="I588" s="3">
        <f>parking_demand_data_2024_ver0!H588</f>
        <v>1</v>
      </c>
      <c r="J588" s="3">
        <f>parking_demand_data_2024_ver0!I588</f>
        <v>0</v>
      </c>
      <c r="K588" s="3">
        <f>parking_demand_data_2024_ver0!J588</f>
        <v>0</v>
      </c>
      <c r="L588" s="3">
        <f>parking_demand_data_2024_ver0!K588</f>
        <v>0</v>
      </c>
      <c r="M588" s="3">
        <f>parking_demand_data_2024_ver0!L588</f>
        <v>0</v>
      </c>
      <c r="N588" s="3">
        <f>parking_demand_data_2024_ver0!M588</f>
        <v>50</v>
      </c>
      <c r="O588" s="3">
        <f>parking_demand_data_2024_ver0!N588</f>
        <v>0</v>
      </c>
      <c r="P588" s="3">
        <f>parking_demand_data_2024_ver0!O588</f>
        <v>50</v>
      </c>
      <c r="Q588" s="3">
        <f>parking_demand_data_2024_ver0!P588</f>
        <v>0</v>
      </c>
      <c r="R588" s="3">
        <f>parking_demand_data_2024_ver0!Q588</f>
        <v>0</v>
      </c>
      <c r="S588" s="3">
        <f>parking_demand_data_2024_ver0!R588</f>
        <v>0</v>
      </c>
      <c r="T588" s="3">
        <f>parking_demand_data_2024_ver0!S588</f>
        <v>0</v>
      </c>
    </row>
    <row r="589" spans="1:20" x14ac:dyDescent="0.25">
      <c r="A589">
        <v>18049</v>
      </c>
      <c r="B589" t="s">
        <v>53</v>
      </c>
      <c r="C589">
        <v>11</v>
      </c>
      <c r="D589" s="3">
        <f>parking_demand_data_2024_ver0!D589*calibration!$I$31</f>
        <v>3.3166389918460899</v>
      </c>
      <c r="E589" s="3">
        <f>parking_demand_data_2024_ver0!E589*calibration!$I$31</f>
        <v>2.1436812996078398</v>
      </c>
      <c r="F589" s="3">
        <f t="shared" si="9"/>
        <v>5.4603202914539297</v>
      </c>
      <c r="G589" s="3">
        <f>parking_demand_data_2024_ver0!F589</f>
        <v>1</v>
      </c>
      <c r="H589" s="3">
        <f>parking_demand_data_2024_ver0!G589</f>
        <v>0</v>
      </c>
      <c r="I589" s="3">
        <f>parking_demand_data_2024_ver0!H589</f>
        <v>1</v>
      </c>
      <c r="J589" s="3">
        <f>parking_demand_data_2024_ver0!I589</f>
        <v>0</v>
      </c>
      <c r="K589" s="3">
        <f>parking_demand_data_2024_ver0!J589</f>
        <v>0</v>
      </c>
      <c r="L589" s="3">
        <f>parking_demand_data_2024_ver0!K589</f>
        <v>0</v>
      </c>
      <c r="M589" s="3">
        <f>parking_demand_data_2024_ver0!L589</f>
        <v>0</v>
      </c>
      <c r="N589" s="3">
        <f>parking_demand_data_2024_ver0!M589</f>
        <v>50</v>
      </c>
      <c r="O589" s="3">
        <f>parking_demand_data_2024_ver0!N589</f>
        <v>0</v>
      </c>
      <c r="P589" s="3">
        <f>parking_demand_data_2024_ver0!O589</f>
        <v>50</v>
      </c>
      <c r="Q589" s="3">
        <f>parking_demand_data_2024_ver0!P589</f>
        <v>0</v>
      </c>
      <c r="R589" s="3">
        <f>parking_demand_data_2024_ver0!Q589</f>
        <v>0</v>
      </c>
      <c r="S589" s="3">
        <f>parking_demand_data_2024_ver0!R589</f>
        <v>0</v>
      </c>
      <c r="T589" s="3">
        <f>parking_demand_data_2024_ver0!S589</f>
        <v>0</v>
      </c>
    </row>
    <row r="590" spans="1:20" x14ac:dyDescent="0.25">
      <c r="A590">
        <v>18049</v>
      </c>
      <c r="B590" t="s">
        <v>53</v>
      </c>
      <c r="C590">
        <v>12</v>
      </c>
      <c r="D590" s="3">
        <f>parking_demand_data_2024_ver0!D590*calibration!$I$31</f>
        <v>3.7211071615834199</v>
      </c>
      <c r="E590" s="3">
        <f>parking_demand_data_2024_ver0!E590*calibration!$I$31</f>
        <v>1.33474496013318</v>
      </c>
      <c r="F590" s="3">
        <f t="shared" si="9"/>
        <v>5.0558521217166001</v>
      </c>
      <c r="G590" s="3">
        <f>parking_demand_data_2024_ver0!F590</f>
        <v>1</v>
      </c>
      <c r="H590" s="3">
        <f>parking_demand_data_2024_ver0!G590</f>
        <v>0</v>
      </c>
      <c r="I590" s="3">
        <f>parking_demand_data_2024_ver0!H590</f>
        <v>1</v>
      </c>
      <c r="J590" s="3">
        <f>parking_demand_data_2024_ver0!I590</f>
        <v>0</v>
      </c>
      <c r="K590" s="3">
        <f>parking_demand_data_2024_ver0!J590</f>
        <v>0</v>
      </c>
      <c r="L590" s="3">
        <f>parking_demand_data_2024_ver0!K590</f>
        <v>0</v>
      </c>
      <c r="M590" s="3">
        <f>parking_demand_data_2024_ver0!L590</f>
        <v>0</v>
      </c>
      <c r="N590" s="3">
        <f>parking_demand_data_2024_ver0!M590</f>
        <v>50</v>
      </c>
      <c r="O590" s="3">
        <f>parking_demand_data_2024_ver0!N590</f>
        <v>0</v>
      </c>
      <c r="P590" s="3">
        <f>parking_demand_data_2024_ver0!O590</f>
        <v>50</v>
      </c>
      <c r="Q590" s="3">
        <f>parking_demand_data_2024_ver0!P590</f>
        <v>0</v>
      </c>
      <c r="R590" s="3">
        <f>parking_demand_data_2024_ver0!Q590</f>
        <v>0</v>
      </c>
      <c r="S590" s="3">
        <f>parking_demand_data_2024_ver0!R590</f>
        <v>0</v>
      </c>
      <c r="T590" s="3">
        <f>parking_demand_data_2024_ver0!S590</f>
        <v>0</v>
      </c>
    </row>
    <row r="591" spans="1:20" x14ac:dyDescent="0.25">
      <c r="A591">
        <v>18049</v>
      </c>
      <c r="B591" t="s">
        <v>53</v>
      </c>
      <c r="C591">
        <v>13</v>
      </c>
      <c r="D591" s="3">
        <f>parking_demand_data_2024_ver0!D591*calibration!$I$31</f>
        <v>3.3166389918460899</v>
      </c>
      <c r="E591" s="3">
        <f>parking_demand_data_2024_ver0!E591*calibration!$I$31</f>
        <v>1.0920640582907799</v>
      </c>
      <c r="F591" s="3">
        <f t="shared" si="9"/>
        <v>4.4087030501368698</v>
      </c>
      <c r="G591" s="3">
        <f>parking_demand_data_2024_ver0!F591</f>
        <v>1</v>
      </c>
      <c r="H591" s="3">
        <f>parking_demand_data_2024_ver0!G591</f>
        <v>0</v>
      </c>
      <c r="I591" s="3">
        <f>parking_demand_data_2024_ver0!H591</f>
        <v>1</v>
      </c>
      <c r="J591" s="3">
        <f>parking_demand_data_2024_ver0!I591</f>
        <v>0</v>
      </c>
      <c r="K591" s="3">
        <f>parking_demand_data_2024_ver0!J591</f>
        <v>0</v>
      </c>
      <c r="L591" s="3">
        <f>parking_demand_data_2024_ver0!K591</f>
        <v>0</v>
      </c>
      <c r="M591" s="3">
        <f>parking_demand_data_2024_ver0!L591</f>
        <v>0</v>
      </c>
      <c r="N591" s="3">
        <f>parking_demand_data_2024_ver0!M591</f>
        <v>50</v>
      </c>
      <c r="O591" s="3">
        <f>parking_demand_data_2024_ver0!N591</f>
        <v>0</v>
      </c>
      <c r="P591" s="3">
        <f>parking_demand_data_2024_ver0!O591</f>
        <v>50</v>
      </c>
      <c r="Q591" s="3">
        <f>parking_demand_data_2024_ver0!P591</f>
        <v>0</v>
      </c>
      <c r="R591" s="3">
        <f>parking_demand_data_2024_ver0!Q591</f>
        <v>0</v>
      </c>
      <c r="S591" s="3">
        <f>parking_demand_data_2024_ver0!R591</f>
        <v>0</v>
      </c>
      <c r="T591" s="3">
        <f>parking_demand_data_2024_ver0!S591</f>
        <v>0</v>
      </c>
    </row>
    <row r="592" spans="1:20" x14ac:dyDescent="0.25">
      <c r="A592">
        <v>18049</v>
      </c>
      <c r="B592" t="s">
        <v>53</v>
      </c>
      <c r="C592">
        <v>14</v>
      </c>
      <c r="D592" s="3">
        <f>parking_demand_data_2024_ver0!D592*calibration!$I$31</f>
        <v>3.3975326257935601</v>
      </c>
      <c r="E592" s="3">
        <f>parking_demand_data_2024_ver0!E592*calibration!$I$31</f>
        <v>0.60670225460599303</v>
      </c>
      <c r="F592" s="3">
        <f t="shared" si="9"/>
        <v>4.0042348803995527</v>
      </c>
      <c r="G592" s="3">
        <f>parking_demand_data_2024_ver0!F592</f>
        <v>1</v>
      </c>
      <c r="H592" s="3">
        <f>parking_demand_data_2024_ver0!G592</f>
        <v>0</v>
      </c>
      <c r="I592" s="3">
        <f>parking_demand_data_2024_ver0!H592</f>
        <v>1</v>
      </c>
      <c r="J592" s="3">
        <f>parking_demand_data_2024_ver0!I592</f>
        <v>0</v>
      </c>
      <c r="K592" s="3">
        <f>parking_demand_data_2024_ver0!J592</f>
        <v>0</v>
      </c>
      <c r="L592" s="3">
        <f>parking_demand_data_2024_ver0!K592</f>
        <v>0</v>
      </c>
      <c r="M592" s="3">
        <f>parking_demand_data_2024_ver0!L592</f>
        <v>0</v>
      </c>
      <c r="N592" s="3">
        <f>parking_demand_data_2024_ver0!M592</f>
        <v>50</v>
      </c>
      <c r="O592" s="3">
        <f>parking_demand_data_2024_ver0!N592</f>
        <v>0</v>
      </c>
      <c r="P592" s="3">
        <f>parking_demand_data_2024_ver0!O592</f>
        <v>50</v>
      </c>
      <c r="Q592" s="3">
        <f>parking_demand_data_2024_ver0!P592</f>
        <v>0</v>
      </c>
      <c r="R592" s="3">
        <f>parking_demand_data_2024_ver0!Q592</f>
        <v>0</v>
      </c>
      <c r="S592" s="3">
        <f>parking_demand_data_2024_ver0!R592</f>
        <v>0</v>
      </c>
      <c r="T592" s="3">
        <f>parking_demand_data_2024_ver0!S592</f>
        <v>0</v>
      </c>
    </row>
    <row r="593" spans="1:20" x14ac:dyDescent="0.25">
      <c r="A593">
        <v>18049</v>
      </c>
      <c r="B593" t="s">
        <v>53</v>
      </c>
      <c r="C593">
        <v>15</v>
      </c>
      <c r="D593" s="3">
        <f>parking_demand_data_2024_ver0!D593*calibration!$I$31</f>
        <v>3.8424476125046199</v>
      </c>
      <c r="E593" s="3">
        <f>parking_demand_data_2024_ver0!E593*calibration!$I$31</f>
        <v>0.48536180368479498</v>
      </c>
      <c r="F593" s="3">
        <f t="shared" si="9"/>
        <v>4.3278094161894147</v>
      </c>
      <c r="G593" s="3">
        <f>parking_demand_data_2024_ver0!F593</f>
        <v>1</v>
      </c>
      <c r="H593" s="3">
        <f>parking_demand_data_2024_ver0!G593</f>
        <v>0</v>
      </c>
      <c r="I593" s="3">
        <f>parking_demand_data_2024_ver0!H593</f>
        <v>1</v>
      </c>
      <c r="J593" s="3">
        <f>parking_demand_data_2024_ver0!I593</f>
        <v>0</v>
      </c>
      <c r="K593" s="3">
        <f>parking_demand_data_2024_ver0!J593</f>
        <v>0</v>
      </c>
      <c r="L593" s="3">
        <f>parking_demand_data_2024_ver0!K593</f>
        <v>0</v>
      </c>
      <c r="M593" s="3">
        <f>parking_demand_data_2024_ver0!L593</f>
        <v>0</v>
      </c>
      <c r="N593" s="3">
        <f>parking_demand_data_2024_ver0!M593</f>
        <v>50</v>
      </c>
      <c r="O593" s="3">
        <f>parking_demand_data_2024_ver0!N593</f>
        <v>0</v>
      </c>
      <c r="P593" s="3">
        <f>parking_demand_data_2024_ver0!O593</f>
        <v>50</v>
      </c>
      <c r="Q593" s="3">
        <f>parking_demand_data_2024_ver0!P593</f>
        <v>0</v>
      </c>
      <c r="R593" s="3">
        <f>parking_demand_data_2024_ver0!Q593</f>
        <v>0</v>
      </c>
      <c r="S593" s="3">
        <f>parking_demand_data_2024_ver0!R593</f>
        <v>0</v>
      </c>
      <c r="T593" s="3">
        <f>parking_demand_data_2024_ver0!S593</f>
        <v>0</v>
      </c>
    </row>
    <row r="594" spans="1:20" x14ac:dyDescent="0.25">
      <c r="A594">
        <v>18049</v>
      </c>
      <c r="B594" t="s">
        <v>53</v>
      </c>
      <c r="C594">
        <v>16</v>
      </c>
      <c r="D594" s="3">
        <f>parking_demand_data_2024_ver0!D594*calibration!$I$31</f>
        <v>3.9637880634258198</v>
      </c>
      <c r="E594" s="3">
        <f>parking_demand_data_2024_ver0!E594*calibration!$I$31</f>
        <v>0.28312771881613003</v>
      </c>
      <c r="F594" s="3">
        <f t="shared" si="9"/>
        <v>4.2469157822419499</v>
      </c>
      <c r="G594" s="3">
        <f>parking_demand_data_2024_ver0!F594</f>
        <v>1</v>
      </c>
      <c r="H594" s="3">
        <f>parking_demand_data_2024_ver0!G594</f>
        <v>0</v>
      </c>
      <c r="I594" s="3">
        <f>parking_demand_data_2024_ver0!H594</f>
        <v>1</v>
      </c>
      <c r="J594" s="3">
        <f>parking_demand_data_2024_ver0!I594</f>
        <v>0</v>
      </c>
      <c r="K594" s="3">
        <f>parking_demand_data_2024_ver0!J594</f>
        <v>0</v>
      </c>
      <c r="L594" s="3">
        <f>parking_demand_data_2024_ver0!K594</f>
        <v>0</v>
      </c>
      <c r="M594" s="3">
        <f>parking_demand_data_2024_ver0!L594</f>
        <v>0</v>
      </c>
      <c r="N594" s="3">
        <f>parking_demand_data_2024_ver0!M594</f>
        <v>50</v>
      </c>
      <c r="O594" s="3">
        <f>parking_demand_data_2024_ver0!N594</f>
        <v>0</v>
      </c>
      <c r="P594" s="3">
        <f>parking_demand_data_2024_ver0!O594</f>
        <v>50</v>
      </c>
      <c r="Q594" s="3">
        <f>parking_demand_data_2024_ver0!P594</f>
        <v>0</v>
      </c>
      <c r="R594" s="3">
        <f>parking_demand_data_2024_ver0!Q594</f>
        <v>0</v>
      </c>
      <c r="S594" s="3">
        <f>parking_demand_data_2024_ver0!R594</f>
        <v>0</v>
      </c>
      <c r="T594" s="3">
        <f>parking_demand_data_2024_ver0!S594</f>
        <v>0</v>
      </c>
    </row>
    <row r="595" spans="1:20" x14ac:dyDescent="0.25">
      <c r="A595">
        <v>18049</v>
      </c>
      <c r="B595" t="s">
        <v>53</v>
      </c>
      <c r="C595">
        <v>17</v>
      </c>
      <c r="D595" s="3">
        <f>parking_demand_data_2024_ver0!D595*calibration!$I$31</f>
        <v>4.8940648538216802</v>
      </c>
      <c r="E595" s="3">
        <f>parking_demand_data_2024_ver0!E595*calibration!$I$31</f>
        <v>0.24268090184239699</v>
      </c>
      <c r="F595" s="3">
        <f t="shared" si="9"/>
        <v>5.1367457556640774</v>
      </c>
      <c r="G595" s="3">
        <f>parking_demand_data_2024_ver0!F595</f>
        <v>1</v>
      </c>
      <c r="H595" s="3">
        <f>parking_demand_data_2024_ver0!G595</f>
        <v>0</v>
      </c>
      <c r="I595" s="3">
        <f>parking_demand_data_2024_ver0!H595</f>
        <v>1</v>
      </c>
      <c r="J595" s="3">
        <f>parking_demand_data_2024_ver0!I595</f>
        <v>0</v>
      </c>
      <c r="K595" s="3">
        <f>parking_demand_data_2024_ver0!J595</f>
        <v>0</v>
      </c>
      <c r="L595" s="3">
        <f>parking_demand_data_2024_ver0!K595</f>
        <v>0</v>
      </c>
      <c r="M595" s="3">
        <f>parking_demand_data_2024_ver0!L595</f>
        <v>0</v>
      </c>
      <c r="N595" s="3">
        <f>parking_demand_data_2024_ver0!M595</f>
        <v>50</v>
      </c>
      <c r="O595" s="3">
        <f>parking_demand_data_2024_ver0!N595</f>
        <v>0</v>
      </c>
      <c r="P595" s="3">
        <f>parking_demand_data_2024_ver0!O595</f>
        <v>50</v>
      </c>
      <c r="Q595" s="3">
        <f>parking_demand_data_2024_ver0!P595</f>
        <v>0</v>
      </c>
      <c r="R595" s="3">
        <f>parking_demand_data_2024_ver0!Q595</f>
        <v>0</v>
      </c>
      <c r="S595" s="3">
        <f>parking_demand_data_2024_ver0!R595</f>
        <v>0</v>
      </c>
      <c r="T595" s="3">
        <f>parking_demand_data_2024_ver0!S595</f>
        <v>0</v>
      </c>
    </row>
    <row r="596" spans="1:20" x14ac:dyDescent="0.25">
      <c r="A596">
        <v>18049</v>
      </c>
      <c r="B596" t="s">
        <v>53</v>
      </c>
      <c r="C596">
        <v>18</v>
      </c>
      <c r="D596" s="3">
        <f>parking_demand_data_2024_ver0!D596*calibration!$I$31</f>
        <v>6.2692566309286004</v>
      </c>
      <c r="E596" s="3">
        <f>parking_demand_data_2024_ver0!E596*calibration!$I$31</f>
        <v>0.24268090184239699</v>
      </c>
      <c r="F596" s="3">
        <f t="shared" si="9"/>
        <v>6.5119375327709976</v>
      </c>
      <c r="G596" s="3">
        <f>parking_demand_data_2024_ver0!F596</f>
        <v>1</v>
      </c>
      <c r="H596" s="3">
        <f>parking_demand_data_2024_ver0!G596</f>
        <v>0</v>
      </c>
      <c r="I596" s="3">
        <f>parking_demand_data_2024_ver0!H596</f>
        <v>1</v>
      </c>
      <c r="J596" s="3">
        <f>parking_demand_data_2024_ver0!I596</f>
        <v>0</v>
      </c>
      <c r="K596" s="3">
        <f>parking_demand_data_2024_ver0!J596</f>
        <v>0</v>
      </c>
      <c r="L596" s="3">
        <f>parking_demand_data_2024_ver0!K596</f>
        <v>0</v>
      </c>
      <c r="M596" s="3">
        <f>parking_demand_data_2024_ver0!L596</f>
        <v>0</v>
      </c>
      <c r="N596" s="3">
        <f>parking_demand_data_2024_ver0!M596</f>
        <v>50</v>
      </c>
      <c r="O596" s="3">
        <f>parking_demand_data_2024_ver0!N596</f>
        <v>0</v>
      </c>
      <c r="P596" s="3">
        <f>parking_demand_data_2024_ver0!O596</f>
        <v>50</v>
      </c>
      <c r="Q596" s="3">
        <f>parking_demand_data_2024_ver0!P596</f>
        <v>0</v>
      </c>
      <c r="R596" s="3">
        <f>parking_demand_data_2024_ver0!Q596</f>
        <v>0</v>
      </c>
      <c r="S596" s="3">
        <f>parking_demand_data_2024_ver0!R596</f>
        <v>0</v>
      </c>
      <c r="T596" s="3">
        <f>parking_demand_data_2024_ver0!S596</f>
        <v>0</v>
      </c>
    </row>
    <row r="597" spans="1:20" x14ac:dyDescent="0.25">
      <c r="A597">
        <v>18049</v>
      </c>
      <c r="B597" t="s">
        <v>53</v>
      </c>
      <c r="C597">
        <v>19</v>
      </c>
      <c r="D597" s="3">
        <f>parking_demand_data_2024_ver0!D597*calibration!$I$31</f>
        <v>7.6848952250092504</v>
      </c>
      <c r="E597" s="3">
        <f>parking_demand_data_2024_ver0!E597*calibration!$I$31</f>
        <v>0.24268090184239699</v>
      </c>
      <c r="F597" s="3">
        <f t="shared" si="9"/>
        <v>7.9275761268516476</v>
      </c>
      <c r="G597" s="3">
        <f>parking_demand_data_2024_ver0!F597</f>
        <v>1</v>
      </c>
      <c r="H597" s="3">
        <f>parking_demand_data_2024_ver0!G597</f>
        <v>0</v>
      </c>
      <c r="I597" s="3">
        <f>parking_demand_data_2024_ver0!H597</f>
        <v>1</v>
      </c>
      <c r="J597" s="3">
        <f>parking_demand_data_2024_ver0!I597</f>
        <v>0</v>
      </c>
      <c r="K597" s="3">
        <f>parking_demand_data_2024_ver0!J597</f>
        <v>0</v>
      </c>
      <c r="L597" s="3">
        <f>parking_demand_data_2024_ver0!K597</f>
        <v>0</v>
      </c>
      <c r="M597" s="3">
        <f>parking_demand_data_2024_ver0!L597</f>
        <v>0</v>
      </c>
      <c r="N597" s="3">
        <f>parking_demand_data_2024_ver0!M597</f>
        <v>50</v>
      </c>
      <c r="O597" s="3">
        <f>parking_demand_data_2024_ver0!N597</f>
        <v>0</v>
      </c>
      <c r="P597" s="3">
        <f>parking_demand_data_2024_ver0!O597</f>
        <v>50</v>
      </c>
      <c r="Q597" s="3">
        <f>parking_demand_data_2024_ver0!P597</f>
        <v>0</v>
      </c>
      <c r="R597" s="3">
        <f>parking_demand_data_2024_ver0!Q597</f>
        <v>0</v>
      </c>
      <c r="S597" s="3">
        <f>parking_demand_data_2024_ver0!R597</f>
        <v>0</v>
      </c>
      <c r="T597" s="3">
        <f>parking_demand_data_2024_ver0!S597</f>
        <v>0</v>
      </c>
    </row>
    <row r="598" spans="1:20" x14ac:dyDescent="0.25">
      <c r="A598">
        <v>18049</v>
      </c>
      <c r="B598" t="s">
        <v>53</v>
      </c>
      <c r="C598">
        <v>20</v>
      </c>
      <c r="D598" s="3">
        <f>parking_demand_data_2024_ver0!D598*calibration!$I$31</f>
        <v>9.1005338190899003</v>
      </c>
      <c r="E598" s="3">
        <f>parking_demand_data_2024_ver0!E598*calibration!$I$31</f>
        <v>0.24268090184239699</v>
      </c>
      <c r="F598" s="3">
        <f t="shared" si="9"/>
        <v>9.3432147209322967</v>
      </c>
      <c r="G598" s="3">
        <f>parking_demand_data_2024_ver0!F598</f>
        <v>1</v>
      </c>
      <c r="H598" s="3">
        <f>parking_demand_data_2024_ver0!G598</f>
        <v>0</v>
      </c>
      <c r="I598" s="3">
        <f>parking_demand_data_2024_ver0!H598</f>
        <v>1</v>
      </c>
      <c r="J598" s="3">
        <f>parking_demand_data_2024_ver0!I598</f>
        <v>0</v>
      </c>
      <c r="K598" s="3">
        <f>parking_demand_data_2024_ver0!J598</f>
        <v>0</v>
      </c>
      <c r="L598" s="3">
        <f>parking_demand_data_2024_ver0!K598</f>
        <v>0</v>
      </c>
      <c r="M598" s="3">
        <f>parking_demand_data_2024_ver0!L598</f>
        <v>0</v>
      </c>
      <c r="N598" s="3">
        <f>parking_demand_data_2024_ver0!M598</f>
        <v>50</v>
      </c>
      <c r="O598" s="3">
        <f>parking_demand_data_2024_ver0!N598</f>
        <v>0</v>
      </c>
      <c r="P598" s="3">
        <f>parking_demand_data_2024_ver0!O598</f>
        <v>50</v>
      </c>
      <c r="Q598" s="3">
        <f>parking_demand_data_2024_ver0!P598</f>
        <v>0</v>
      </c>
      <c r="R598" s="3">
        <f>parking_demand_data_2024_ver0!Q598</f>
        <v>0</v>
      </c>
      <c r="S598" s="3">
        <f>parking_demand_data_2024_ver0!R598</f>
        <v>0</v>
      </c>
      <c r="T598" s="3">
        <f>parking_demand_data_2024_ver0!S598</f>
        <v>0</v>
      </c>
    </row>
    <row r="599" spans="1:20" x14ac:dyDescent="0.25">
      <c r="A599">
        <v>18049</v>
      </c>
      <c r="B599" t="s">
        <v>53</v>
      </c>
      <c r="C599">
        <v>21</v>
      </c>
      <c r="D599" s="3">
        <f>parking_demand_data_2024_ver0!D599*calibration!$I$31</f>
        <v>10.6375128640917</v>
      </c>
      <c r="E599" s="3">
        <f>parking_demand_data_2024_ver0!E599*calibration!$I$31</f>
        <v>0.24268090184239699</v>
      </c>
      <c r="F599" s="3">
        <f t="shared" si="9"/>
        <v>10.880193765934097</v>
      </c>
      <c r="G599" s="3">
        <f>parking_demand_data_2024_ver0!F599</f>
        <v>1</v>
      </c>
      <c r="H599" s="3">
        <f>parking_demand_data_2024_ver0!G599</f>
        <v>0</v>
      </c>
      <c r="I599" s="3">
        <f>parking_demand_data_2024_ver0!H599</f>
        <v>1</v>
      </c>
      <c r="J599" s="3">
        <f>parking_demand_data_2024_ver0!I599</f>
        <v>0</v>
      </c>
      <c r="K599" s="3">
        <f>parking_demand_data_2024_ver0!J599</f>
        <v>0</v>
      </c>
      <c r="L599" s="3">
        <f>parking_demand_data_2024_ver0!K599</f>
        <v>0</v>
      </c>
      <c r="M599" s="3">
        <f>parking_demand_data_2024_ver0!L599</f>
        <v>0</v>
      </c>
      <c r="N599" s="3">
        <f>parking_demand_data_2024_ver0!M599</f>
        <v>50</v>
      </c>
      <c r="O599" s="3">
        <f>parking_demand_data_2024_ver0!N599</f>
        <v>0</v>
      </c>
      <c r="P599" s="3">
        <f>parking_demand_data_2024_ver0!O599</f>
        <v>50</v>
      </c>
      <c r="Q599" s="3">
        <f>parking_demand_data_2024_ver0!P599</f>
        <v>0</v>
      </c>
      <c r="R599" s="3">
        <f>parking_demand_data_2024_ver0!Q599</f>
        <v>0</v>
      </c>
      <c r="S599" s="3">
        <f>parking_demand_data_2024_ver0!R599</f>
        <v>0</v>
      </c>
      <c r="T599" s="3">
        <f>parking_demand_data_2024_ver0!S599</f>
        <v>0</v>
      </c>
    </row>
    <row r="600" spans="1:20" x14ac:dyDescent="0.25">
      <c r="A600">
        <v>18049</v>
      </c>
      <c r="B600" t="s">
        <v>53</v>
      </c>
      <c r="C600">
        <v>22</v>
      </c>
      <c r="D600" s="3">
        <f>parking_demand_data_2024_ver0!D600*calibration!$I$31</f>
        <v>11.972257824224901</v>
      </c>
      <c r="E600" s="3">
        <f>parking_demand_data_2024_ver0!E600*calibration!$I$31</f>
        <v>0.24268090184239699</v>
      </c>
      <c r="F600" s="3">
        <f t="shared" si="9"/>
        <v>12.214938726067297</v>
      </c>
      <c r="G600" s="3">
        <f>parking_demand_data_2024_ver0!F600</f>
        <v>1</v>
      </c>
      <c r="H600" s="3">
        <f>parking_demand_data_2024_ver0!G600</f>
        <v>0</v>
      </c>
      <c r="I600" s="3">
        <f>parking_demand_data_2024_ver0!H600</f>
        <v>1</v>
      </c>
      <c r="J600" s="3">
        <f>parking_demand_data_2024_ver0!I600</f>
        <v>0</v>
      </c>
      <c r="K600" s="3">
        <f>parking_demand_data_2024_ver0!J600</f>
        <v>0</v>
      </c>
      <c r="L600" s="3">
        <f>parking_demand_data_2024_ver0!K600</f>
        <v>0</v>
      </c>
      <c r="M600" s="3">
        <f>parking_demand_data_2024_ver0!L600</f>
        <v>0</v>
      </c>
      <c r="N600" s="3">
        <f>parking_demand_data_2024_ver0!M600</f>
        <v>50</v>
      </c>
      <c r="O600" s="3">
        <f>parking_demand_data_2024_ver0!N600</f>
        <v>0</v>
      </c>
      <c r="P600" s="3">
        <f>parking_demand_data_2024_ver0!O600</f>
        <v>50</v>
      </c>
      <c r="Q600" s="3">
        <f>parking_demand_data_2024_ver0!P600</f>
        <v>0</v>
      </c>
      <c r="R600" s="3">
        <f>parking_demand_data_2024_ver0!Q600</f>
        <v>0</v>
      </c>
      <c r="S600" s="3">
        <f>parking_demand_data_2024_ver0!R600</f>
        <v>0</v>
      </c>
      <c r="T600" s="3">
        <f>parking_demand_data_2024_ver0!S600</f>
        <v>0</v>
      </c>
    </row>
    <row r="601" spans="1:20" x14ac:dyDescent="0.25">
      <c r="A601">
        <v>18049</v>
      </c>
      <c r="B601" t="s">
        <v>53</v>
      </c>
      <c r="C601">
        <v>23</v>
      </c>
      <c r="D601" s="3">
        <f>parking_demand_data_2024_ver0!D601*calibration!$I$31</f>
        <v>13.1047686994894</v>
      </c>
      <c r="E601" s="3">
        <f>parking_demand_data_2024_ver0!E601*calibration!$I$31</f>
        <v>0.24268090184239699</v>
      </c>
      <c r="F601" s="3">
        <f t="shared" si="9"/>
        <v>13.347449601331796</v>
      </c>
      <c r="G601" s="3">
        <f>parking_demand_data_2024_ver0!F601</f>
        <v>1</v>
      </c>
      <c r="H601" s="3">
        <f>parking_demand_data_2024_ver0!G601</f>
        <v>0</v>
      </c>
      <c r="I601" s="3">
        <f>parking_demand_data_2024_ver0!H601</f>
        <v>1</v>
      </c>
      <c r="J601" s="3">
        <f>parking_demand_data_2024_ver0!I601</f>
        <v>0</v>
      </c>
      <c r="K601" s="3">
        <f>parking_demand_data_2024_ver0!J601</f>
        <v>0</v>
      </c>
      <c r="L601" s="3">
        <f>parking_demand_data_2024_ver0!K601</f>
        <v>0</v>
      </c>
      <c r="M601" s="3">
        <f>parking_demand_data_2024_ver0!L601</f>
        <v>0</v>
      </c>
      <c r="N601" s="3">
        <f>parking_demand_data_2024_ver0!M601</f>
        <v>50</v>
      </c>
      <c r="O601" s="3">
        <f>parking_demand_data_2024_ver0!N601</f>
        <v>0</v>
      </c>
      <c r="P601" s="3">
        <f>parking_demand_data_2024_ver0!O601</f>
        <v>50</v>
      </c>
      <c r="Q601" s="3">
        <f>parking_demand_data_2024_ver0!P601</f>
        <v>0</v>
      </c>
      <c r="R601" s="3">
        <f>parking_demand_data_2024_ver0!Q601</f>
        <v>0</v>
      </c>
      <c r="S601" s="3">
        <f>parking_demand_data_2024_ver0!R601</f>
        <v>0</v>
      </c>
      <c r="T601" s="3">
        <f>parking_demand_data_2024_ver0!S601</f>
        <v>0</v>
      </c>
    </row>
    <row r="602" spans="1:20" x14ac:dyDescent="0.25">
      <c r="A602">
        <v>18051</v>
      </c>
      <c r="B602" t="s">
        <v>54</v>
      </c>
      <c r="C602">
        <v>0</v>
      </c>
      <c r="D602" s="3">
        <f>parking_demand_data_2024_ver0!D602*calibration!$I$31</f>
        <v>253</v>
      </c>
      <c r="E602" s="3">
        <f>parking_demand_data_2024_ver0!E602*calibration!$I$31</f>
        <v>1.68373842592592</v>
      </c>
      <c r="F602" s="3">
        <f t="shared" si="9"/>
        <v>254.68373842592592</v>
      </c>
      <c r="G602" s="3">
        <f>parking_demand_data_2024_ver0!F602</f>
        <v>3</v>
      </c>
      <c r="H602" s="3">
        <f>parking_demand_data_2024_ver0!G602</f>
        <v>1</v>
      </c>
      <c r="I602" s="3">
        <f>parking_demand_data_2024_ver0!H602</f>
        <v>2</v>
      </c>
      <c r="J602" s="3">
        <f>parking_demand_data_2024_ver0!I602</f>
        <v>0</v>
      </c>
      <c r="K602" s="3">
        <f>parking_demand_data_2024_ver0!J602</f>
        <v>0</v>
      </c>
      <c r="L602" s="3">
        <f>parking_demand_data_2024_ver0!K602</f>
        <v>0</v>
      </c>
      <c r="M602" s="3">
        <f>parking_demand_data_2024_ver0!L602</f>
        <v>0</v>
      </c>
      <c r="N602" s="3">
        <f>parking_demand_data_2024_ver0!M602</f>
        <v>220</v>
      </c>
      <c r="O602" s="3">
        <f>parking_demand_data_2024_ver0!N602</f>
        <v>100</v>
      </c>
      <c r="P602" s="3">
        <f>parking_demand_data_2024_ver0!O602</f>
        <v>120</v>
      </c>
      <c r="Q602" s="3">
        <f>parking_demand_data_2024_ver0!P602</f>
        <v>0</v>
      </c>
      <c r="R602" s="3">
        <f>parking_demand_data_2024_ver0!Q602</f>
        <v>0</v>
      </c>
      <c r="S602" s="3">
        <f>parking_demand_data_2024_ver0!R602</f>
        <v>0</v>
      </c>
      <c r="T602" s="3">
        <f>parking_demand_data_2024_ver0!S602</f>
        <v>0</v>
      </c>
    </row>
    <row r="603" spans="1:20" x14ac:dyDescent="0.25">
      <c r="A603">
        <v>18051</v>
      </c>
      <c r="B603" t="s">
        <v>54</v>
      </c>
      <c r="C603">
        <v>1</v>
      </c>
      <c r="D603" s="3">
        <f>parking_demand_data_2024_ver0!D603*calibration!$I$31</f>
        <v>251.145447530864</v>
      </c>
      <c r="E603" s="3">
        <f>parking_demand_data_2024_ver0!E603*calibration!$I$31</f>
        <v>1.68373842592592</v>
      </c>
      <c r="F603" s="3">
        <f t="shared" si="9"/>
        <v>252.82918595678993</v>
      </c>
      <c r="G603" s="3">
        <f>parking_demand_data_2024_ver0!F603</f>
        <v>3</v>
      </c>
      <c r="H603" s="3">
        <f>parking_demand_data_2024_ver0!G603</f>
        <v>1</v>
      </c>
      <c r="I603" s="3">
        <f>parking_demand_data_2024_ver0!H603</f>
        <v>2</v>
      </c>
      <c r="J603" s="3">
        <f>parking_demand_data_2024_ver0!I603</f>
        <v>0</v>
      </c>
      <c r="K603" s="3">
        <f>parking_demand_data_2024_ver0!J603</f>
        <v>0</v>
      </c>
      <c r="L603" s="3">
        <f>parking_demand_data_2024_ver0!K603</f>
        <v>0</v>
      </c>
      <c r="M603" s="3">
        <f>parking_demand_data_2024_ver0!L603</f>
        <v>0</v>
      </c>
      <c r="N603" s="3">
        <f>parking_demand_data_2024_ver0!M603</f>
        <v>220</v>
      </c>
      <c r="O603" s="3">
        <f>parking_demand_data_2024_ver0!N603</f>
        <v>100</v>
      </c>
      <c r="P603" s="3">
        <f>parking_demand_data_2024_ver0!O603</f>
        <v>120</v>
      </c>
      <c r="Q603" s="3">
        <f>parking_demand_data_2024_ver0!P603</f>
        <v>0</v>
      </c>
      <c r="R603" s="3">
        <f>parking_demand_data_2024_ver0!Q603</f>
        <v>0</v>
      </c>
      <c r="S603" s="3">
        <f>parking_demand_data_2024_ver0!R603</f>
        <v>0</v>
      </c>
      <c r="T603" s="3">
        <f>parking_demand_data_2024_ver0!S603</f>
        <v>0</v>
      </c>
    </row>
    <row r="604" spans="1:20" x14ac:dyDescent="0.25">
      <c r="A604">
        <v>18051</v>
      </c>
      <c r="B604" t="s">
        <v>54</v>
      </c>
      <c r="C604">
        <v>2</v>
      </c>
      <c r="D604" s="3">
        <f>parking_demand_data_2024_ver0!D604*calibration!$I$31</f>
        <v>247.509548611111</v>
      </c>
      <c r="E604" s="3">
        <f>parking_demand_data_2024_ver0!E604*calibration!$I$31</f>
        <v>1.87895447530864</v>
      </c>
      <c r="F604" s="3">
        <f t="shared" si="9"/>
        <v>249.38850308641963</v>
      </c>
      <c r="G604" s="3">
        <f>parking_demand_data_2024_ver0!F604</f>
        <v>3</v>
      </c>
      <c r="H604" s="3">
        <f>parking_demand_data_2024_ver0!G604</f>
        <v>1</v>
      </c>
      <c r="I604" s="3">
        <f>parking_demand_data_2024_ver0!H604</f>
        <v>2</v>
      </c>
      <c r="J604" s="3">
        <f>parking_demand_data_2024_ver0!I604</f>
        <v>0</v>
      </c>
      <c r="K604" s="3">
        <f>parking_demand_data_2024_ver0!J604</f>
        <v>0</v>
      </c>
      <c r="L604" s="3">
        <f>parking_demand_data_2024_ver0!K604</f>
        <v>0</v>
      </c>
      <c r="M604" s="3">
        <f>parking_demand_data_2024_ver0!L604</f>
        <v>0</v>
      </c>
      <c r="N604" s="3">
        <f>parking_demand_data_2024_ver0!M604</f>
        <v>220</v>
      </c>
      <c r="O604" s="3">
        <f>parking_demand_data_2024_ver0!N604</f>
        <v>100</v>
      </c>
      <c r="P604" s="3">
        <f>parking_demand_data_2024_ver0!O604</f>
        <v>120</v>
      </c>
      <c r="Q604" s="3">
        <f>parking_demand_data_2024_ver0!P604</f>
        <v>0</v>
      </c>
      <c r="R604" s="3">
        <f>parking_demand_data_2024_ver0!Q604</f>
        <v>0</v>
      </c>
      <c r="S604" s="3">
        <f>parking_demand_data_2024_ver0!R604</f>
        <v>0</v>
      </c>
      <c r="T604" s="3">
        <f>parking_demand_data_2024_ver0!S604</f>
        <v>0</v>
      </c>
    </row>
    <row r="605" spans="1:20" x14ac:dyDescent="0.25">
      <c r="A605">
        <v>18051</v>
      </c>
      <c r="B605" t="s">
        <v>54</v>
      </c>
      <c r="C605">
        <v>3</v>
      </c>
      <c r="D605" s="3">
        <f>parking_demand_data_2024_ver0!D605*calibration!$I$31</f>
        <v>241.04301697530801</v>
      </c>
      <c r="E605" s="3">
        <f>parking_demand_data_2024_ver0!E605*calibration!$I$31</f>
        <v>1.9521604938271599</v>
      </c>
      <c r="F605" s="3">
        <f t="shared" si="9"/>
        <v>242.99517746913517</v>
      </c>
      <c r="G605" s="3">
        <f>parking_demand_data_2024_ver0!F605</f>
        <v>3</v>
      </c>
      <c r="H605" s="3">
        <f>parking_demand_data_2024_ver0!G605</f>
        <v>1</v>
      </c>
      <c r="I605" s="3">
        <f>parking_demand_data_2024_ver0!H605</f>
        <v>2</v>
      </c>
      <c r="J605" s="3">
        <f>parking_demand_data_2024_ver0!I605</f>
        <v>0</v>
      </c>
      <c r="K605" s="3">
        <f>parking_demand_data_2024_ver0!J605</f>
        <v>0</v>
      </c>
      <c r="L605" s="3">
        <f>parking_demand_data_2024_ver0!K605</f>
        <v>0</v>
      </c>
      <c r="M605" s="3">
        <f>parking_demand_data_2024_ver0!L605</f>
        <v>0</v>
      </c>
      <c r="N605" s="3">
        <f>parking_demand_data_2024_ver0!M605</f>
        <v>220</v>
      </c>
      <c r="O605" s="3">
        <f>parking_demand_data_2024_ver0!N605</f>
        <v>100</v>
      </c>
      <c r="P605" s="3">
        <f>parking_demand_data_2024_ver0!O605</f>
        <v>120</v>
      </c>
      <c r="Q605" s="3">
        <f>parking_demand_data_2024_ver0!P605</f>
        <v>0</v>
      </c>
      <c r="R605" s="3">
        <f>parking_demand_data_2024_ver0!Q605</f>
        <v>0</v>
      </c>
      <c r="S605" s="3">
        <f>parking_demand_data_2024_ver0!R605</f>
        <v>0</v>
      </c>
      <c r="T605" s="3">
        <f>parking_demand_data_2024_ver0!S605</f>
        <v>0</v>
      </c>
    </row>
    <row r="606" spans="1:20" x14ac:dyDescent="0.25">
      <c r="A606">
        <v>18051</v>
      </c>
      <c r="B606" t="s">
        <v>54</v>
      </c>
      <c r="C606">
        <v>4</v>
      </c>
      <c r="D606" s="3">
        <f>parking_demand_data_2024_ver0!D606*calibration!$I$31</f>
        <v>229.696084104938</v>
      </c>
      <c r="E606" s="3">
        <f>parking_demand_data_2024_ver0!E606*calibration!$I$31</f>
        <v>2.3425925925925899</v>
      </c>
      <c r="F606" s="3">
        <f t="shared" si="9"/>
        <v>232.03867669753058</v>
      </c>
      <c r="G606" s="3">
        <f>parking_demand_data_2024_ver0!F606</f>
        <v>3</v>
      </c>
      <c r="H606" s="3">
        <f>parking_demand_data_2024_ver0!G606</f>
        <v>1</v>
      </c>
      <c r="I606" s="3">
        <f>parking_demand_data_2024_ver0!H606</f>
        <v>2</v>
      </c>
      <c r="J606" s="3">
        <f>parking_demand_data_2024_ver0!I606</f>
        <v>0</v>
      </c>
      <c r="K606" s="3">
        <f>parking_demand_data_2024_ver0!J606</f>
        <v>0</v>
      </c>
      <c r="L606" s="3">
        <f>parking_demand_data_2024_ver0!K606</f>
        <v>0</v>
      </c>
      <c r="M606" s="3">
        <f>parking_demand_data_2024_ver0!L606</f>
        <v>0</v>
      </c>
      <c r="N606" s="3">
        <f>parking_demand_data_2024_ver0!M606</f>
        <v>220</v>
      </c>
      <c r="O606" s="3">
        <f>parking_demand_data_2024_ver0!N606</f>
        <v>100</v>
      </c>
      <c r="P606" s="3">
        <f>parking_demand_data_2024_ver0!O606</f>
        <v>120</v>
      </c>
      <c r="Q606" s="3">
        <f>parking_demand_data_2024_ver0!P606</f>
        <v>0</v>
      </c>
      <c r="R606" s="3">
        <f>parking_demand_data_2024_ver0!Q606</f>
        <v>0</v>
      </c>
      <c r="S606" s="3">
        <f>parking_demand_data_2024_ver0!R606</f>
        <v>0</v>
      </c>
      <c r="T606" s="3">
        <f>parking_demand_data_2024_ver0!S606</f>
        <v>0</v>
      </c>
    </row>
    <row r="607" spans="1:20" x14ac:dyDescent="0.25">
      <c r="A607">
        <v>18051</v>
      </c>
      <c r="B607" t="s">
        <v>54</v>
      </c>
      <c r="C607">
        <v>5</v>
      </c>
      <c r="D607" s="3">
        <f>parking_demand_data_2024_ver0!D607*calibration!$I$31</f>
        <v>213.95679012345599</v>
      </c>
      <c r="E607" s="3">
        <f>parking_demand_data_2024_ver0!E607*calibration!$I$31</f>
        <v>2.6354166666666599</v>
      </c>
      <c r="F607" s="3">
        <f t="shared" si="9"/>
        <v>216.59220679012265</v>
      </c>
      <c r="G607" s="3">
        <f>parking_demand_data_2024_ver0!F607</f>
        <v>3</v>
      </c>
      <c r="H607" s="3">
        <f>parking_demand_data_2024_ver0!G607</f>
        <v>1</v>
      </c>
      <c r="I607" s="3">
        <f>parking_demand_data_2024_ver0!H607</f>
        <v>2</v>
      </c>
      <c r="J607" s="3">
        <f>parking_demand_data_2024_ver0!I607</f>
        <v>0</v>
      </c>
      <c r="K607" s="3">
        <f>parking_demand_data_2024_ver0!J607</f>
        <v>0</v>
      </c>
      <c r="L607" s="3">
        <f>parking_demand_data_2024_ver0!K607</f>
        <v>0</v>
      </c>
      <c r="M607" s="3">
        <f>parking_demand_data_2024_ver0!L607</f>
        <v>0</v>
      </c>
      <c r="N607" s="3">
        <f>parking_demand_data_2024_ver0!M607</f>
        <v>220</v>
      </c>
      <c r="O607" s="3">
        <f>parking_demand_data_2024_ver0!N607</f>
        <v>100</v>
      </c>
      <c r="P607" s="3">
        <f>parking_demand_data_2024_ver0!O607</f>
        <v>120</v>
      </c>
      <c r="Q607" s="3">
        <f>parking_demand_data_2024_ver0!P607</f>
        <v>0</v>
      </c>
      <c r="R607" s="3">
        <f>parking_demand_data_2024_ver0!Q607</f>
        <v>0</v>
      </c>
      <c r="S607" s="3">
        <f>parking_demand_data_2024_ver0!R607</f>
        <v>0</v>
      </c>
      <c r="T607" s="3">
        <f>parking_demand_data_2024_ver0!S607</f>
        <v>0</v>
      </c>
    </row>
    <row r="608" spans="1:20" x14ac:dyDescent="0.25">
      <c r="A608">
        <v>18051</v>
      </c>
      <c r="B608" t="s">
        <v>54</v>
      </c>
      <c r="C608">
        <v>6</v>
      </c>
      <c r="D608" s="3">
        <f>parking_demand_data_2024_ver0!D608*calibration!$I$31</f>
        <v>190.45765817901199</v>
      </c>
      <c r="E608" s="3">
        <f>parking_demand_data_2024_ver0!E608*calibration!$I$31</f>
        <v>2.80623070987654</v>
      </c>
      <c r="F608" s="3">
        <f t="shared" si="9"/>
        <v>193.26388888888852</v>
      </c>
      <c r="G608" s="3">
        <f>parking_demand_data_2024_ver0!F608</f>
        <v>3</v>
      </c>
      <c r="H608" s="3">
        <f>parking_demand_data_2024_ver0!G608</f>
        <v>1</v>
      </c>
      <c r="I608" s="3">
        <f>parking_demand_data_2024_ver0!H608</f>
        <v>2</v>
      </c>
      <c r="J608" s="3">
        <f>parking_demand_data_2024_ver0!I608</f>
        <v>0</v>
      </c>
      <c r="K608" s="3">
        <f>parking_demand_data_2024_ver0!J608</f>
        <v>0</v>
      </c>
      <c r="L608" s="3">
        <f>parking_demand_data_2024_ver0!K608</f>
        <v>0</v>
      </c>
      <c r="M608" s="3">
        <f>parking_demand_data_2024_ver0!L608</f>
        <v>0</v>
      </c>
      <c r="N608" s="3">
        <f>parking_demand_data_2024_ver0!M608</f>
        <v>220</v>
      </c>
      <c r="O608" s="3">
        <f>parking_demand_data_2024_ver0!N608</f>
        <v>100</v>
      </c>
      <c r="P608" s="3">
        <f>parking_demand_data_2024_ver0!O608</f>
        <v>120</v>
      </c>
      <c r="Q608" s="3">
        <f>parking_demand_data_2024_ver0!P608</f>
        <v>0</v>
      </c>
      <c r="R608" s="3">
        <f>parking_demand_data_2024_ver0!Q608</f>
        <v>0</v>
      </c>
      <c r="S608" s="3">
        <f>parking_demand_data_2024_ver0!R608</f>
        <v>0</v>
      </c>
      <c r="T608" s="3">
        <f>parking_demand_data_2024_ver0!S608</f>
        <v>0</v>
      </c>
    </row>
    <row r="609" spans="1:20" x14ac:dyDescent="0.25">
      <c r="A609">
        <v>18051</v>
      </c>
      <c r="B609" t="s">
        <v>54</v>
      </c>
      <c r="C609">
        <v>7</v>
      </c>
      <c r="D609" s="3">
        <f>parking_demand_data_2024_ver0!D609*calibration!$I$31</f>
        <v>159.662326388888</v>
      </c>
      <c r="E609" s="3">
        <f>parking_demand_data_2024_ver0!E609*calibration!$I$31</f>
        <v>3.41628086419753</v>
      </c>
      <c r="F609" s="3">
        <f t="shared" si="9"/>
        <v>163.07860725308552</v>
      </c>
      <c r="G609" s="3">
        <f>parking_demand_data_2024_ver0!F609</f>
        <v>3</v>
      </c>
      <c r="H609" s="3">
        <f>parking_demand_data_2024_ver0!G609</f>
        <v>1</v>
      </c>
      <c r="I609" s="3">
        <f>parking_demand_data_2024_ver0!H609</f>
        <v>2</v>
      </c>
      <c r="J609" s="3">
        <f>parking_demand_data_2024_ver0!I609</f>
        <v>0</v>
      </c>
      <c r="K609" s="3">
        <f>parking_demand_data_2024_ver0!J609</f>
        <v>0</v>
      </c>
      <c r="L609" s="3">
        <f>parking_demand_data_2024_ver0!K609</f>
        <v>0</v>
      </c>
      <c r="M609" s="3">
        <f>parking_demand_data_2024_ver0!L609</f>
        <v>0</v>
      </c>
      <c r="N609" s="3">
        <f>parking_demand_data_2024_ver0!M609</f>
        <v>220</v>
      </c>
      <c r="O609" s="3">
        <f>parking_demand_data_2024_ver0!N609</f>
        <v>100</v>
      </c>
      <c r="P609" s="3">
        <f>parking_demand_data_2024_ver0!O609</f>
        <v>120</v>
      </c>
      <c r="Q609" s="3">
        <f>parking_demand_data_2024_ver0!P609</f>
        <v>0</v>
      </c>
      <c r="R609" s="3">
        <f>parking_demand_data_2024_ver0!Q609</f>
        <v>0</v>
      </c>
      <c r="S609" s="3">
        <f>parking_demand_data_2024_ver0!R609</f>
        <v>0</v>
      </c>
      <c r="T609" s="3">
        <f>parking_demand_data_2024_ver0!S609</f>
        <v>0</v>
      </c>
    </row>
    <row r="610" spans="1:20" x14ac:dyDescent="0.25">
      <c r="A610">
        <v>18051</v>
      </c>
      <c r="B610" t="s">
        <v>54</v>
      </c>
      <c r="C610">
        <v>8</v>
      </c>
      <c r="D610" s="3">
        <f>parking_demand_data_2024_ver0!D610*calibration!$I$31</f>
        <v>126.939236111111</v>
      </c>
      <c r="E610" s="3">
        <f>parking_demand_data_2024_ver0!E610*calibration!$I$31</f>
        <v>4.4167631172839501</v>
      </c>
      <c r="F610" s="3">
        <f t="shared" si="9"/>
        <v>131.35599922839495</v>
      </c>
      <c r="G610" s="3">
        <f>parking_demand_data_2024_ver0!F610</f>
        <v>3</v>
      </c>
      <c r="H610" s="3">
        <f>parking_demand_data_2024_ver0!G610</f>
        <v>1</v>
      </c>
      <c r="I610" s="3">
        <f>parking_demand_data_2024_ver0!H610</f>
        <v>2</v>
      </c>
      <c r="J610" s="3">
        <f>parking_demand_data_2024_ver0!I610</f>
        <v>0</v>
      </c>
      <c r="K610" s="3">
        <f>parking_demand_data_2024_ver0!J610</f>
        <v>0</v>
      </c>
      <c r="L610" s="3">
        <f>parking_demand_data_2024_ver0!K610</f>
        <v>0</v>
      </c>
      <c r="M610" s="3">
        <f>parking_demand_data_2024_ver0!L610</f>
        <v>0</v>
      </c>
      <c r="N610" s="3">
        <f>parking_demand_data_2024_ver0!M610</f>
        <v>220</v>
      </c>
      <c r="O610" s="3">
        <f>parking_demand_data_2024_ver0!N610</f>
        <v>100</v>
      </c>
      <c r="P610" s="3">
        <f>parking_demand_data_2024_ver0!O610</f>
        <v>120</v>
      </c>
      <c r="Q610" s="3">
        <f>parking_demand_data_2024_ver0!P610</f>
        <v>0</v>
      </c>
      <c r="R610" s="3">
        <f>parking_demand_data_2024_ver0!Q610</f>
        <v>0</v>
      </c>
      <c r="S610" s="3">
        <f>parking_demand_data_2024_ver0!R610</f>
        <v>0</v>
      </c>
      <c r="T610" s="3">
        <f>parking_demand_data_2024_ver0!S610</f>
        <v>0</v>
      </c>
    </row>
    <row r="611" spans="1:20" x14ac:dyDescent="0.25">
      <c r="A611">
        <v>18051</v>
      </c>
      <c r="B611" t="s">
        <v>54</v>
      </c>
      <c r="C611">
        <v>9</v>
      </c>
      <c r="D611" s="3">
        <f>parking_demand_data_2024_ver0!D611*calibration!$I$31</f>
        <v>108.78414351851799</v>
      </c>
      <c r="E611" s="3">
        <f>parking_demand_data_2024_ver0!E611*calibration!$I$31</f>
        <v>5.8076774691358004</v>
      </c>
      <c r="F611" s="3">
        <f t="shared" si="9"/>
        <v>114.59182098765379</v>
      </c>
      <c r="G611" s="3">
        <f>parking_demand_data_2024_ver0!F611</f>
        <v>3</v>
      </c>
      <c r="H611" s="3">
        <f>parking_demand_data_2024_ver0!G611</f>
        <v>1</v>
      </c>
      <c r="I611" s="3">
        <f>parking_demand_data_2024_ver0!H611</f>
        <v>2</v>
      </c>
      <c r="J611" s="3">
        <f>parking_demand_data_2024_ver0!I611</f>
        <v>0</v>
      </c>
      <c r="K611" s="3">
        <f>parking_demand_data_2024_ver0!J611</f>
        <v>0</v>
      </c>
      <c r="L611" s="3">
        <f>parking_demand_data_2024_ver0!K611</f>
        <v>0</v>
      </c>
      <c r="M611" s="3">
        <f>parking_demand_data_2024_ver0!L611</f>
        <v>0</v>
      </c>
      <c r="N611" s="3">
        <f>parking_demand_data_2024_ver0!M611</f>
        <v>220</v>
      </c>
      <c r="O611" s="3">
        <f>parking_demand_data_2024_ver0!N611</f>
        <v>100</v>
      </c>
      <c r="P611" s="3">
        <f>parking_demand_data_2024_ver0!O611</f>
        <v>120</v>
      </c>
      <c r="Q611" s="3">
        <f>parking_demand_data_2024_ver0!P611</f>
        <v>0</v>
      </c>
      <c r="R611" s="3">
        <f>parking_demand_data_2024_ver0!Q611</f>
        <v>0</v>
      </c>
      <c r="S611" s="3">
        <f>parking_demand_data_2024_ver0!R611</f>
        <v>0</v>
      </c>
      <c r="T611" s="3">
        <f>parking_demand_data_2024_ver0!S611</f>
        <v>0</v>
      </c>
    </row>
    <row r="612" spans="1:20" x14ac:dyDescent="0.25">
      <c r="A612">
        <v>18051</v>
      </c>
      <c r="B612" t="s">
        <v>54</v>
      </c>
      <c r="C612">
        <v>10</v>
      </c>
      <c r="D612" s="3">
        <f>parking_demand_data_2024_ver0!D612*calibration!$I$31</f>
        <v>104.098958333333</v>
      </c>
      <c r="E612" s="3">
        <f>parking_demand_data_2024_ver0!E612*calibration!$I$31</f>
        <v>5.00241126543209</v>
      </c>
      <c r="F612" s="3">
        <f t="shared" si="9"/>
        <v>109.10136959876509</v>
      </c>
      <c r="G612" s="3">
        <f>parking_demand_data_2024_ver0!F612</f>
        <v>3</v>
      </c>
      <c r="H612" s="3">
        <f>parking_demand_data_2024_ver0!G612</f>
        <v>1</v>
      </c>
      <c r="I612" s="3">
        <f>parking_demand_data_2024_ver0!H612</f>
        <v>2</v>
      </c>
      <c r="J612" s="3">
        <f>parking_demand_data_2024_ver0!I612</f>
        <v>0</v>
      </c>
      <c r="K612" s="3">
        <f>parking_demand_data_2024_ver0!J612</f>
        <v>0</v>
      </c>
      <c r="L612" s="3">
        <f>parking_demand_data_2024_ver0!K612</f>
        <v>0</v>
      </c>
      <c r="M612" s="3">
        <f>parking_demand_data_2024_ver0!L612</f>
        <v>0</v>
      </c>
      <c r="N612" s="3">
        <f>parking_demand_data_2024_ver0!M612</f>
        <v>220</v>
      </c>
      <c r="O612" s="3">
        <f>parking_demand_data_2024_ver0!N612</f>
        <v>100</v>
      </c>
      <c r="P612" s="3">
        <f>parking_demand_data_2024_ver0!O612</f>
        <v>120</v>
      </c>
      <c r="Q612" s="3">
        <f>parking_demand_data_2024_ver0!P612</f>
        <v>0</v>
      </c>
      <c r="R612" s="3">
        <f>parking_demand_data_2024_ver0!Q612</f>
        <v>0</v>
      </c>
      <c r="S612" s="3">
        <f>parking_demand_data_2024_ver0!R612</f>
        <v>0</v>
      </c>
      <c r="T612" s="3">
        <f>parking_demand_data_2024_ver0!S612</f>
        <v>0</v>
      </c>
    </row>
    <row r="613" spans="1:20" x14ac:dyDescent="0.25">
      <c r="A613">
        <v>18051</v>
      </c>
      <c r="B613" t="s">
        <v>54</v>
      </c>
      <c r="C613">
        <v>11</v>
      </c>
      <c r="D613" s="3">
        <f>parking_demand_data_2024_ver0!D613*calibration!$I$31</f>
        <v>109.418595679012</v>
      </c>
      <c r="E613" s="3">
        <f>parking_demand_data_2024_ver0!E613*calibration!$I$31</f>
        <v>5.2952353395061698</v>
      </c>
      <c r="F613" s="3">
        <f t="shared" si="9"/>
        <v>114.71383101851816</v>
      </c>
      <c r="G613" s="3">
        <f>parking_demand_data_2024_ver0!F613</f>
        <v>3</v>
      </c>
      <c r="H613" s="3">
        <f>parking_demand_data_2024_ver0!G613</f>
        <v>1</v>
      </c>
      <c r="I613" s="3">
        <f>parking_demand_data_2024_ver0!H613</f>
        <v>2</v>
      </c>
      <c r="J613" s="3">
        <f>parking_demand_data_2024_ver0!I613</f>
        <v>0</v>
      </c>
      <c r="K613" s="3">
        <f>parking_demand_data_2024_ver0!J613</f>
        <v>0</v>
      </c>
      <c r="L613" s="3">
        <f>parking_demand_data_2024_ver0!K613</f>
        <v>0</v>
      </c>
      <c r="M613" s="3">
        <f>parking_demand_data_2024_ver0!L613</f>
        <v>0</v>
      </c>
      <c r="N613" s="3">
        <f>parking_demand_data_2024_ver0!M613</f>
        <v>220</v>
      </c>
      <c r="O613" s="3">
        <f>parking_demand_data_2024_ver0!N613</f>
        <v>100</v>
      </c>
      <c r="P613" s="3">
        <f>parking_demand_data_2024_ver0!O613</f>
        <v>120</v>
      </c>
      <c r="Q613" s="3">
        <f>parking_demand_data_2024_ver0!P613</f>
        <v>0</v>
      </c>
      <c r="R613" s="3">
        <f>parking_demand_data_2024_ver0!Q613</f>
        <v>0</v>
      </c>
      <c r="S613" s="3">
        <f>parking_demand_data_2024_ver0!R613</f>
        <v>0</v>
      </c>
      <c r="T613" s="3">
        <f>parking_demand_data_2024_ver0!S613</f>
        <v>0</v>
      </c>
    </row>
    <row r="614" spans="1:20" x14ac:dyDescent="0.25">
      <c r="A614">
        <v>18051</v>
      </c>
      <c r="B614" t="s">
        <v>54</v>
      </c>
      <c r="C614">
        <v>12</v>
      </c>
      <c r="D614" s="3">
        <f>parking_demand_data_2024_ver0!D614*calibration!$I$31</f>
        <v>111.541570216049</v>
      </c>
      <c r="E614" s="3">
        <f>parking_demand_data_2024_ver0!E614*calibration!$I$31</f>
        <v>3.75790895061728</v>
      </c>
      <c r="F614" s="3">
        <f t="shared" si="9"/>
        <v>115.29947916666627</v>
      </c>
      <c r="G614" s="3">
        <f>parking_demand_data_2024_ver0!F614</f>
        <v>3</v>
      </c>
      <c r="H614" s="3">
        <f>parking_demand_data_2024_ver0!G614</f>
        <v>1</v>
      </c>
      <c r="I614" s="3">
        <f>parking_demand_data_2024_ver0!H614</f>
        <v>2</v>
      </c>
      <c r="J614" s="3">
        <f>parking_demand_data_2024_ver0!I614</f>
        <v>0</v>
      </c>
      <c r="K614" s="3">
        <f>parking_demand_data_2024_ver0!J614</f>
        <v>0</v>
      </c>
      <c r="L614" s="3">
        <f>parking_demand_data_2024_ver0!K614</f>
        <v>0</v>
      </c>
      <c r="M614" s="3">
        <f>parking_demand_data_2024_ver0!L614</f>
        <v>0</v>
      </c>
      <c r="N614" s="3">
        <f>parking_demand_data_2024_ver0!M614</f>
        <v>220</v>
      </c>
      <c r="O614" s="3">
        <f>parking_demand_data_2024_ver0!N614</f>
        <v>100</v>
      </c>
      <c r="P614" s="3">
        <f>parking_demand_data_2024_ver0!O614</f>
        <v>120</v>
      </c>
      <c r="Q614" s="3">
        <f>parking_demand_data_2024_ver0!P614</f>
        <v>0</v>
      </c>
      <c r="R614" s="3">
        <f>parking_demand_data_2024_ver0!Q614</f>
        <v>0</v>
      </c>
      <c r="S614" s="3">
        <f>parking_demand_data_2024_ver0!R614</f>
        <v>0</v>
      </c>
      <c r="T614" s="3">
        <f>parking_demand_data_2024_ver0!S614</f>
        <v>0</v>
      </c>
    </row>
    <row r="615" spans="1:20" x14ac:dyDescent="0.25">
      <c r="A615">
        <v>18051</v>
      </c>
      <c r="B615" t="s">
        <v>54</v>
      </c>
      <c r="C615">
        <v>13</v>
      </c>
      <c r="D615" s="3">
        <f>parking_demand_data_2024_ver0!D615*calibration!$I$31</f>
        <v>114.250192901234</v>
      </c>
      <c r="E615" s="3">
        <f>parking_demand_data_2024_ver0!E615*calibration!$I$31</f>
        <v>2.7086226851851798</v>
      </c>
      <c r="F615" s="3">
        <f t="shared" si="9"/>
        <v>116.95881558641918</v>
      </c>
      <c r="G615" s="3">
        <f>parking_demand_data_2024_ver0!F615</f>
        <v>3</v>
      </c>
      <c r="H615" s="3">
        <f>parking_demand_data_2024_ver0!G615</f>
        <v>1</v>
      </c>
      <c r="I615" s="3">
        <f>parking_demand_data_2024_ver0!H615</f>
        <v>2</v>
      </c>
      <c r="J615" s="3">
        <f>parking_demand_data_2024_ver0!I615</f>
        <v>0</v>
      </c>
      <c r="K615" s="3">
        <f>parking_demand_data_2024_ver0!J615</f>
        <v>0</v>
      </c>
      <c r="L615" s="3">
        <f>parking_demand_data_2024_ver0!K615</f>
        <v>0</v>
      </c>
      <c r="M615" s="3">
        <f>parking_demand_data_2024_ver0!L615</f>
        <v>0</v>
      </c>
      <c r="N615" s="3">
        <f>parking_demand_data_2024_ver0!M615</f>
        <v>220</v>
      </c>
      <c r="O615" s="3">
        <f>parking_demand_data_2024_ver0!N615</f>
        <v>100</v>
      </c>
      <c r="P615" s="3">
        <f>parking_demand_data_2024_ver0!O615</f>
        <v>120</v>
      </c>
      <c r="Q615" s="3">
        <f>parking_demand_data_2024_ver0!P615</f>
        <v>0</v>
      </c>
      <c r="R615" s="3">
        <f>parking_demand_data_2024_ver0!Q615</f>
        <v>0</v>
      </c>
      <c r="S615" s="3">
        <f>parking_demand_data_2024_ver0!R615</f>
        <v>0</v>
      </c>
      <c r="T615" s="3">
        <f>parking_demand_data_2024_ver0!S615</f>
        <v>0</v>
      </c>
    </row>
    <row r="616" spans="1:20" x14ac:dyDescent="0.25">
      <c r="A616">
        <v>18051</v>
      </c>
      <c r="B616" t="s">
        <v>54</v>
      </c>
      <c r="C616">
        <v>14</v>
      </c>
      <c r="D616" s="3">
        <f>parking_demand_data_2024_ver0!D616*calibration!$I$31</f>
        <v>121.326774691358</v>
      </c>
      <c r="E616" s="3">
        <f>parking_demand_data_2024_ver0!E616*calibration!$I$31</f>
        <v>1.68373842592592</v>
      </c>
      <c r="F616" s="3">
        <f t="shared" si="9"/>
        <v>123.01051311728392</v>
      </c>
      <c r="G616" s="3">
        <f>parking_demand_data_2024_ver0!F616</f>
        <v>3</v>
      </c>
      <c r="H616" s="3">
        <f>parking_demand_data_2024_ver0!G616</f>
        <v>1</v>
      </c>
      <c r="I616" s="3">
        <f>parking_demand_data_2024_ver0!H616</f>
        <v>2</v>
      </c>
      <c r="J616" s="3">
        <f>parking_demand_data_2024_ver0!I616</f>
        <v>0</v>
      </c>
      <c r="K616" s="3">
        <f>parking_demand_data_2024_ver0!J616</f>
        <v>0</v>
      </c>
      <c r="L616" s="3">
        <f>parking_demand_data_2024_ver0!K616</f>
        <v>0</v>
      </c>
      <c r="M616" s="3">
        <f>parking_demand_data_2024_ver0!L616</f>
        <v>0</v>
      </c>
      <c r="N616" s="3">
        <f>parking_demand_data_2024_ver0!M616</f>
        <v>220</v>
      </c>
      <c r="O616" s="3">
        <f>parking_demand_data_2024_ver0!N616</f>
        <v>100</v>
      </c>
      <c r="P616" s="3">
        <f>parking_demand_data_2024_ver0!O616</f>
        <v>120</v>
      </c>
      <c r="Q616" s="3">
        <f>parking_demand_data_2024_ver0!P616</f>
        <v>0</v>
      </c>
      <c r="R616" s="3">
        <f>parking_demand_data_2024_ver0!Q616</f>
        <v>0</v>
      </c>
      <c r="S616" s="3">
        <f>parking_demand_data_2024_ver0!R616</f>
        <v>0</v>
      </c>
      <c r="T616" s="3">
        <f>parking_demand_data_2024_ver0!S616</f>
        <v>0</v>
      </c>
    </row>
    <row r="617" spans="1:20" x14ac:dyDescent="0.25">
      <c r="A617">
        <v>18051</v>
      </c>
      <c r="B617" t="s">
        <v>54</v>
      </c>
      <c r="C617">
        <v>15</v>
      </c>
      <c r="D617" s="3">
        <f>parking_demand_data_2024_ver0!D617*calibration!$I$31</f>
        <v>130.42872299382699</v>
      </c>
      <c r="E617" s="3">
        <f>parking_demand_data_2024_ver0!E617*calibration!$I$31</f>
        <v>0.90287422839506104</v>
      </c>
      <c r="F617" s="3">
        <f t="shared" si="9"/>
        <v>131.33159722222206</v>
      </c>
      <c r="G617" s="3">
        <f>parking_demand_data_2024_ver0!F617</f>
        <v>3</v>
      </c>
      <c r="H617" s="3">
        <f>parking_demand_data_2024_ver0!G617</f>
        <v>1</v>
      </c>
      <c r="I617" s="3">
        <f>parking_demand_data_2024_ver0!H617</f>
        <v>2</v>
      </c>
      <c r="J617" s="3">
        <f>parking_demand_data_2024_ver0!I617</f>
        <v>0</v>
      </c>
      <c r="K617" s="3">
        <f>parking_demand_data_2024_ver0!J617</f>
        <v>0</v>
      </c>
      <c r="L617" s="3">
        <f>parking_demand_data_2024_ver0!K617</f>
        <v>0</v>
      </c>
      <c r="M617" s="3">
        <f>parking_demand_data_2024_ver0!L617</f>
        <v>0</v>
      </c>
      <c r="N617" s="3">
        <f>parking_demand_data_2024_ver0!M617</f>
        <v>220</v>
      </c>
      <c r="O617" s="3">
        <f>parking_demand_data_2024_ver0!N617</f>
        <v>100</v>
      </c>
      <c r="P617" s="3">
        <f>parking_demand_data_2024_ver0!O617</f>
        <v>120</v>
      </c>
      <c r="Q617" s="3">
        <f>parking_demand_data_2024_ver0!P617</f>
        <v>0</v>
      </c>
      <c r="R617" s="3">
        <f>parking_demand_data_2024_ver0!Q617</f>
        <v>0</v>
      </c>
      <c r="S617" s="3">
        <f>parking_demand_data_2024_ver0!R617</f>
        <v>0</v>
      </c>
      <c r="T617" s="3">
        <f>parking_demand_data_2024_ver0!S617</f>
        <v>0</v>
      </c>
    </row>
    <row r="618" spans="1:20" x14ac:dyDescent="0.25">
      <c r="A618">
        <v>18051</v>
      </c>
      <c r="B618" t="s">
        <v>54</v>
      </c>
      <c r="C618">
        <v>16</v>
      </c>
      <c r="D618" s="3">
        <f>parking_demand_data_2024_ver0!D618*calibration!$I$31</f>
        <v>146.97328317901199</v>
      </c>
      <c r="E618" s="3">
        <f>parking_demand_data_2024_ver0!E618*calibration!$I$31</f>
        <v>0.87847222222222199</v>
      </c>
      <c r="F618" s="3">
        <f t="shared" si="9"/>
        <v>147.85175540123421</v>
      </c>
      <c r="G618" s="3">
        <f>parking_demand_data_2024_ver0!F618</f>
        <v>3</v>
      </c>
      <c r="H618" s="3">
        <f>parking_demand_data_2024_ver0!G618</f>
        <v>1</v>
      </c>
      <c r="I618" s="3">
        <f>parking_demand_data_2024_ver0!H618</f>
        <v>2</v>
      </c>
      <c r="J618" s="3">
        <f>parking_demand_data_2024_ver0!I618</f>
        <v>0</v>
      </c>
      <c r="K618" s="3">
        <f>parking_demand_data_2024_ver0!J618</f>
        <v>0</v>
      </c>
      <c r="L618" s="3">
        <f>parking_demand_data_2024_ver0!K618</f>
        <v>0</v>
      </c>
      <c r="M618" s="3">
        <f>parking_demand_data_2024_ver0!L618</f>
        <v>0</v>
      </c>
      <c r="N618" s="3">
        <f>parking_demand_data_2024_ver0!M618</f>
        <v>220</v>
      </c>
      <c r="O618" s="3">
        <f>parking_demand_data_2024_ver0!N618</f>
        <v>100</v>
      </c>
      <c r="P618" s="3">
        <f>parking_demand_data_2024_ver0!O618</f>
        <v>120</v>
      </c>
      <c r="Q618" s="3">
        <f>parking_demand_data_2024_ver0!P618</f>
        <v>0</v>
      </c>
      <c r="R618" s="3">
        <f>parking_demand_data_2024_ver0!Q618</f>
        <v>0</v>
      </c>
      <c r="S618" s="3">
        <f>parking_demand_data_2024_ver0!R618</f>
        <v>0</v>
      </c>
      <c r="T618" s="3">
        <f>parking_demand_data_2024_ver0!S618</f>
        <v>0</v>
      </c>
    </row>
    <row r="619" spans="1:20" x14ac:dyDescent="0.25">
      <c r="A619">
        <v>18051</v>
      </c>
      <c r="B619" t="s">
        <v>54</v>
      </c>
      <c r="C619">
        <v>17</v>
      </c>
      <c r="D619" s="3">
        <f>parking_demand_data_2024_ver0!D619*calibration!$I$31</f>
        <v>170.03317901234499</v>
      </c>
      <c r="E619" s="3">
        <f>parking_demand_data_2024_ver0!E619*calibration!$I$31</f>
        <v>0.82966820987654299</v>
      </c>
      <c r="F619" s="3">
        <f t="shared" si="9"/>
        <v>170.86284722222152</v>
      </c>
      <c r="G619" s="3">
        <f>parking_demand_data_2024_ver0!F619</f>
        <v>3</v>
      </c>
      <c r="H619" s="3">
        <f>parking_demand_data_2024_ver0!G619</f>
        <v>1</v>
      </c>
      <c r="I619" s="3">
        <f>parking_demand_data_2024_ver0!H619</f>
        <v>2</v>
      </c>
      <c r="J619" s="3">
        <f>parking_demand_data_2024_ver0!I619</f>
        <v>0</v>
      </c>
      <c r="K619" s="3">
        <f>parking_demand_data_2024_ver0!J619</f>
        <v>0</v>
      </c>
      <c r="L619" s="3">
        <f>parking_demand_data_2024_ver0!K619</f>
        <v>0</v>
      </c>
      <c r="M619" s="3">
        <f>parking_demand_data_2024_ver0!L619</f>
        <v>0</v>
      </c>
      <c r="N619" s="3">
        <f>parking_demand_data_2024_ver0!M619</f>
        <v>220</v>
      </c>
      <c r="O619" s="3">
        <f>parking_demand_data_2024_ver0!N619</f>
        <v>100</v>
      </c>
      <c r="P619" s="3">
        <f>parking_demand_data_2024_ver0!O619</f>
        <v>120</v>
      </c>
      <c r="Q619" s="3">
        <f>parking_demand_data_2024_ver0!P619</f>
        <v>0</v>
      </c>
      <c r="R619" s="3">
        <f>parking_demand_data_2024_ver0!Q619</f>
        <v>0</v>
      </c>
      <c r="S619" s="3">
        <f>parking_demand_data_2024_ver0!R619</f>
        <v>0</v>
      </c>
      <c r="T619" s="3">
        <f>parking_demand_data_2024_ver0!S619</f>
        <v>0</v>
      </c>
    </row>
    <row r="620" spans="1:20" x14ac:dyDescent="0.25">
      <c r="A620">
        <v>18051</v>
      </c>
      <c r="B620" t="s">
        <v>54</v>
      </c>
      <c r="C620">
        <v>18</v>
      </c>
      <c r="D620" s="3">
        <f>parking_demand_data_2024_ver0!D620*calibration!$I$31</f>
        <v>192.84905478395001</v>
      </c>
      <c r="E620" s="3">
        <f>parking_demand_data_2024_ver0!E620*calibration!$I$31</f>
        <v>0.82966820987654299</v>
      </c>
      <c r="F620" s="3">
        <f t="shared" si="9"/>
        <v>193.67872299382654</v>
      </c>
      <c r="G620" s="3">
        <f>parking_demand_data_2024_ver0!F620</f>
        <v>3</v>
      </c>
      <c r="H620" s="3">
        <f>parking_demand_data_2024_ver0!G620</f>
        <v>1</v>
      </c>
      <c r="I620" s="3">
        <f>parking_demand_data_2024_ver0!H620</f>
        <v>2</v>
      </c>
      <c r="J620" s="3">
        <f>parking_demand_data_2024_ver0!I620</f>
        <v>0</v>
      </c>
      <c r="K620" s="3">
        <f>parking_demand_data_2024_ver0!J620</f>
        <v>0</v>
      </c>
      <c r="L620" s="3">
        <f>parking_demand_data_2024_ver0!K620</f>
        <v>0</v>
      </c>
      <c r="M620" s="3">
        <f>parking_demand_data_2024_ver0!L620</f>
        <v>0</v>
      </c>
      <c r="N620" s="3">
        <f>parking_demand_data_2024_ver0!M620</f>
        <v>220</v>
      </c>
      <c r="O620" s="3">
        <f>parking_demand_data_2024_ver0!N620</f>
        <v>100</v>
      </c>
      <c r="P620" s="3">
        <f>parking_demand_data_2024_ver0!O620</f>
        <v>120</v>
      </c>
      <c r="Q620" s="3">
        <f>parking_demand_data_2024_ver0!P620</f>
        <v>0</v>
      </c>
      <c r="R620" s="3">
        <f>parking_demand_data_2024_ver0!Q620</f>
        <v>0</v>
      </c>
      <c r="S620" s="3">
        <f>parking_demand_data_2024_ver0!R620</f>
        <v>0</v>
      </c>
      <c r="T620" s="3">
        <f>parking_demand_data_2024_ver0!S620</f>
        <v>0</v>
      </c>
    </row>
    <row r="621" spans="1:20" x14ac:dyDescent="0.25">
      <c r="A621">
        <v>18051</v>
      </c>
      <c r="B621" t="s">
        <v>54</v>
      </c>
      <c r="C621">
        <v>19</v>
      </c>
      <c r="D621" s="3">
        <f>parking_demand_data_2024_ver0!D621*calibration!$I$31</f>
        <v>213.249131944444</v>
      </c>
      <c r="E621" s="3">
        <f>parking_demand_data_2024_ver0!E621*calibration!$I$31</f>
        <v>0.75646219135802395</v>
      </c>
      <c r="F621" s="3">
        <f t="shared" si="9"/>
        <v>214.00559413580203</v>
      </c>
      <c r="G621" s="3">
        <f>parking_demand_data_2024_ver0!F621</f>
        <v>3</v>
      </c>
      <c r="H621" s="3">
        <f>parking_demand_data_2024_ver0!G621</f>
        <v>1</v>
      </c>
      <c r="I621" s="3">
        <f>parking_demand_data_2024_ver0!H621</f>
        <v>2</v>
      </c>
      <c r="J621" s="3">
        <f>parking_demand_data_2024_ver0!I621</f>
        <v>0</v>
      </c>
      <c r="K621" s="3">
        <f>parking_demand_data_2024_ver0!J621</f>
        <v>0</v>
      </c>
      <c r="L621" s="3">
        <f>parking_demand_data_2024_ver0!K621</f>
        <v>0</v>
      </c>
      <c r="M621" s="3">
        <f>parking_demand_data_2024_ver0!L621</f>
        <v>0</v>
      </c>
      <c r="N621" s="3">
        <f>parking_demand_data_2024_ver0!M621</f>
        <v>220</v>
      </c>
      <c r="O621" s="3">
        <f>parking_demand_data_2024_ver0!N621</f>
        <v>100</v>
      </c>
      <c r="P621" s="3">
        <f>parking_demand_data_2024_ver0!O621</f>
        <v>120</v>
      </c>
      <c r="Q621" s="3">
        <f>parking_demand_data_2024_ver0!P621</f>
        <v>0</v>
      </c>
      <c r="R621" s="3">
        <f>parking_demand_data_2024_ver0!Q621</f>
        <v>0</v>
      </c>
      <c r="S621" s="3">
        <f>parking_demand_data_2024_ver0!R621</f>
        <v>0</v>
      </c>
      <c r="T621" s="3">
        <f>parking_demand_data_2024_ver0!S621</f>
        <v>0</v>
      </c>
    </row>
    <row r="622" spans="1:20" x14ac:dyDescent="0.25">
      <c r="A622">
        <v>18051</v>
      </c>
      <c r="B622" t="s">
        <v>54</v>
      </c>
      <c r="C622">
        <v>20</v>
      </c>
      <c r="D622" s="3">
        <f>parking_demand_data_2024_ver0!D622*calibration!$I$31</f>
        <v>228.842013888888</v>
      </c>
      <c r="E622" s="3">
        <f>parking_demand_data_2024_ver0!E622*calibration!$I$31</f>
        <v>0.87847222222222199</v>
      </c>
      <c r="F622" s="3">
        <f t="shared" si="9"/>
        <v>229.72048611111023</v>
      </c>
      <c r="G622" s="3">
        <f>parking_demand_data_2024_ver0!F622</f>
        <v>3</v>
      </c>
      <c r="H622" s="3">
        <f>parking_demand_data_2024_ver0!G622</f>
        <v>1</v>
      </c>
      <c r="I622" s="3">
        <f>parking_demand_data_2024_ver0!H622</f>
        <v>2</v>
      </c>
      <c r="J622" s="3">
        <f>parking_demand_data_2024_ver0!I622</f>
        <v>0</v>
      </c>
      <c r="K622" s="3">
        <f>parking_demand_data_2024_ver0!J622</f>
        <v>0</v>
      </c>
      <c r="L622" s="3">
        <f>parking_demand_data_2024_ver0!K622</f>
        <v>0</v>
      </c>
      <c r="M622" s="3">
        <f>parking_demand_data_2024_ver0!L622</f>
        <v>0</v>
      </c>
      <c r="N622" s="3">
        <f>parking_demand_data_2024_ver0!M622</f>
        <v>220</v>
      </c>
      <c r="O622" s="3">
        <f>parking_demand_data_2024_ver0!N622</f>
        <v>100</v>
      </c>
      <c r="P622" s="3">
        <f>parking_demand_data_2024_ver0!O622</f>
        <v>120</v>
      </c>
      <c r="Q622" s="3">
        <f>parking_demand_data_2024_ver0!P622</f>
        <v>0</v>
      </c>
      <c r="R622" s="3">
        <f>parking_demand_data_2024_ver0!Q622</f>
        <v>0</v>
      </c>
      <c r="S622" s="3">
        <f>parking_demand_data_2024_ver0!R622</f>
        <v>0</v>
      </c>
      <c r="T622" s="3">
        <f>parking_demand_data_2024_ver0!S622</f>
        <v>0</v>
      </c>
    </row>
    <row r="623" spans="1:20" x14ac:dyDescent="0.25">
      <c r="A623">
        <v>18051</v>
      </c>
      <c r="B623" t="s">
        <v>54</v>
      </c>
      <c r="C623">
        <v>21</v>
      </c>
      <c r="D623" s="3">
        <f>parking_demand_data_2024_ver0!D623*calibration!$I$31</f>
        <v>240.60378086419701</v>
      </c>
      <c r="E623" s="3">
        <f>parking_demand_data_2024_ver0!E623*calibration!$I$31</f>
        <v>1.4153163580246899</v>
      </c>
      <c r="F623" s="3">
        <f t="shared" si="9"/>
        <v>242.01909722222169</v>
      </c>
      <c r="G623" s="3">
        <f>parking_demand_data_2024_ver0!F623</f>
        <v>3</v>
      </c>
      <c r="H623" s="3">
        <f>parking_demand_data_2024_ver0!G623</f>
        <v>1</v>
      </c>
      <c r="I623" s="3">
        <f>parking_demand_data_2024_ver0!H623</f>
        <v>2</v>
      </c>
      <c r="J623" s="3">
        <f>parking_demand_data_2024_ver0!I623</f>
        <v>0</v>
      </c>
      <c r="K623" s="3">
        <f>parking_demand_data_2024_ver0!J623</f>
        <v>0</v>
      </c>
      <c r="L623" s="3">
        <f>parking_demand_data_2024_ver0!K623</f>
        <v>0</v>
      </c>
      <c r="M623" s="3">
        <f>parking_demand_data_2024_ver0!L623</f>
        <v>0</v>
      </c>
      <c r="N623" s="3">
        <f>parking_demand_data_2024_ver0!M623</f>
        <v>220</v>
      </c>
      <c r="O623" s="3">
        <f>parking_demand_data_2024_ver0!N623</f>
        <v>100</v>
      </c>
      <c r="P623" s="3">
        <f>parking_demand_data_2024_ver0!O623</f>
        <v>120</v>
      </c>
      <c r="Q623" s="3">
        <f>parking_demand_data_2024_ver0!P623</f>
        <v>0</v>
      </c>
      <c r="R623" s="3">
        <f>parking_demand_data_2024_ver0!Q623</f>
        <v>0</v>
      </c>
      <c r="S623" s="3">
        <f>parking_demand_data_2024_ver0!R623</f>
        <v>0</v>
      </c>
      <c r="T623" s="3">
        <f>parking_demand_data_2024_ver0!S623</f>
        <v>0</v>
      </c>
    </row>
    <row r="624" spans="1:20" x14ac:dyDescent="0.25">
      <c r="A624">
        <v>18051</v>
      </c>
      <c r="B624" t="s">
        <v>54</v>
      </c>
      <c r="C624">
        <v>22</v>
      </c>
      <c r="D624" s="3">
        <f>parking_demand_data_2024_ver0!D624*calibration!$I$31</f>
        <v>246.43586033950601</v>
      </c>
      <c r="E624" s="3">
        <f>parking_demand_data_2024_ver0!E624*calibration!$I$31</f>
        <v>1.53732638888888</v>
      </c>
      <c r="F624" s="3">
        <f t="shared" si="9"/>
        <v>247.97318672839489</v>
      </c>
      <c r="G624" s="3">
        <f>parking_demand_data_2024_ver0!F624</f>
        <v>3</v>
      </c>
      <c r="H624" s="3">
        <f>parking_demand_data_2024_ver0!G624</f>
        <v>1</v>
      </c>
      <c r="I624" s="3">
        <f>parking_demand_data_2024_ver0!H624</f>
        <v>2</v>
      </c>
      <c r="J624" s="3">
        <f>parking_demand_data_2024_ver0!I624</f>
        <v>0</v>
      </c>
      <c r="K624" s="3">
        <f>parking_demand_data_2024_ver0!J624</f>
        <v>0</v>
      </c>
      <c r="L624" s="3">
        <f>parking_demand_data_2024_ver0!K624</f>
        <v>0</v>
      </c>
      <c r="M624" s="3">
        <f>parking_demand_data_2024_ver0!L624</f>
        <v>0</v>
      </c>
      <c r="N624" s="3">
        <f>parking_demand_data_2024_ver0!M624</f>
        <v>220</v>
      </c>
      <c r="O624" s="3">
        <f>parking_demand_data_2024_ver0!N624</f>
        <v>100</v>
      </c>
      <c r="P624" s="3">
        <f>parking_demand_data_2024_ver0!O624</f>
        <v>120</v>
      </c>
      <c r="Q624" s="3">
        <f>parking_demand_data_2024_ver0!P624</f>
        <v>0</v>
      </c>
      <c r="R624" s="3">
        <f>parking_demand_data_2024_ver0!Q624</f>
        <v>0</v>
      </c>
      <c r="S624" s="3">
        <f>parking_demand_data_2024_ver0!R624</f>
        <v>0</v>
      </c>
      <c r="T624" s="3">
        <f>parking_demand_data_2024_ver0!S624</f>
        <v>0</v>
      </c>
    </row>
    <row r="625" spans="1:20" x14ac:dyDescent="0.25">
      <c r="A625">
        <v>18051</v>
      </c>
      <c r="B625" t="s">
        <v>54</v>
      </c>
      <c r="C625">
        <v>23</v>
      </c>
      <c r="D625" s="3">
        <f>parking_demand_data_2024_ver0!D625*calibration!$I$31</f>
        <v>250.51099537037001</v>
      </c>
      <c r="E625" s="3">
        <f>parking_demand_data_2024_ver0!E625*calibration!$I$31</f>
        <v>1.5861304012345601</v>
      </c>
      <c r="F625" s="3">
        <f t="shared" si="9"/>
        <v>252.09712577160457</v>
      </c>
      <c r="G625" s="3">
        <f>parking_demand_data_2024_ver0!F625</f>
        <v>3</v>
      </c>
      <c r="H625" s="3">
        <f>parking_demand_data_2024_ver0!G625</f>
        <v>1</v>
      </c>
      <c r="I625" s="3">
        <f>parking_demand_data_2024_ver0!H625</f>
        <v>2</v>
      </c>
      <c r="J625" s="3">
        <f>parking_demand_data_2024_ver0!I625</f>
        <v>0</v>
      </c>
      <c r="K625" s="3">
        <f>parking_demand_data_2024_ver0!J625</f>
        <v>0</v>
      </c>
      <c r="L625" s="3">
        <f>parking_demand_data_2024_ver0!K625</f>
        <v>0</v>
      </c>
      <c r="M625" s="3">
        <f>parking_demand_data_2024_ver0!L625</f>
        <v>0</v>
      </c>
      <c r="N625" s="3">
        <f>parking_demand_data_2024_ver0!M625</f>
        <v>220</v>
      </c>
      <c r="O625" s="3">
        <f>parking_demand_data_2024_ver0!N625</f>
        <v>100</v>
      </c>
      <c r="P625" s="3">
        <f>parking_demand_data_2024_ver0!O625</f>
        <v>120</v>
      </c>
      <c r="Q625" s="3">
        <f>parking_demand_data_2024_ver0!P625</f>
        <v>0</v>
      </c>
      <c r="R625" s="3">
        <f>parking_demand_data_2024_ver0!Q625</f>
        <v>0</v>
      </c>
      <c r="S625" s="3">
        <f>parking_demand_data_2024_ver0!R625</f>
        <v>0</v>
      </c>
      <c r="T625" s="3">
        <f>parking_demand_data_2024_ver0!S625</f>
        <v>0</v>
      </c>
    </row>
    <row r="626" spans="1:20" x14ac:dyDescent="0.25">
      <c r="A626">
        <v>18053</v>
      </c>
      <c r="B626" t="s">
        <v>55</v>
      </c>
      <c r="C626">
        <v>0</v>
      </c>
      <c r="D626" s="3">
        <f>parking_demand_data_2024_ver0!D626*calibration!$I$31</f>
        <v>131.65601954966101</v>
      </c>
      <c r="E626" s="3">
        <f>parking_demand_data_2024_ver0!E626*calibration!$I$31</f>
        <v>4.7610413900430002</v>
      </c>
      <c r="F626" s="3">
        <f t="shared" si="9"/>
        <v>136.41706093970402</v>
      </c>
      <c r="G626" s="3">
        <f>parking_demand_data_2024_ver0!F626</f>
        <v>6</v>
      </c>
      <c r="H626" s="3">
        <f>parking_demand_data_2024_ver0!G626</f>
        <v>0</v>
      </c>
      <c r="I626" s="3">
        <f>parking_demand_data_2024_ver0!H626</f>
        <v>1</v>
      </c>
      <c r="J626" s="3">
        <f>parking_demand_data_2024_ver0!I626</f>
        <v>5</v>
      </c>
      <c r="K626" s="3">
        <f>parking_demand_data_2024_ver0!J626</f>
        <v>0</v>
      </c>
      <c r="L626" s="3">
        <f>parking_demand_data_2024_ver0!K626</f>
        <v>0</v>
      </c>
      <c r="M626" s="3">
        <f>parking_demand_data_2024_ver0!L626</f>
        <v>0</v>
      </c>
      <c r="N626" s="3">
        <f>parking_demand_data_2024_ver0!M626</f>
        <v>149</v>
      </c>
      <c r="O626" s="3">
        <f>parking_demand_data_2024_ver0!N626</f>
        <v>0</v>
      </c>
      <c r="P626" s="3">
        <f>parking_demand_data_2024_ver0!O626</f>
        <v>64</v>
      </c>
      <c r="Q626" s="3">
        <f>parking_demand_data_2024_ver0!P626</f>
        <v>85</v>
      </c>
      <c r="R626" s="3">
        <f>parking_demand_data_2024_ver0!Q626</f>
        <v>0</v>
      </c>
      <c r="S626" s="3">
        <f>parking_demand_data_2024_ver0!R626</f>
        <v>0</v>
      </c>
      <c r="T626" s="3">
        <f>parking_demand_data_2024_ver0!S626</f>
        <v>0</v>
      </c>
    </row>
    <row r="627" spans="1:20" x14ac:dyDescent="0.25">
      <c r="A627">
        <v>18053</v>
      </c>
      <c r="B627" t="s">
        <v>55</v>
      </c>
      <c r="C627">
        <v>1</v>
      </c>
      <c r="D627" s="3">
        <f>parking_demand_data_2024_ver0!D627*calibration!$I$31</f>
        <v>134.76392156816101</v>
      </c>
      <c r="E627" s="3">
        <f>parking_demand_data_2024_ver0!E627*calibration!$I$31</f>
        <v>5.5214855009526502</v>
      </c>
      <c r="F627" s="3">
        <f t="shared" si="9"/>
        <v>140.28540706911366</v>
      </c>
      <c r="G627" s="3">
        <f>parking_demand_data_2024_ver0!F627</f>
        <v>6</v>
      </c>
      <c r="H627" s="3">
        <f>parking_demand_data_2024_ver0!G627</f>
        <v>0</v>
      </c>
      <c r="I627" s="3">
        <f>parking_demand_data_2024_ver0!H627</f>
        <v>1</v>
      </c>
      <c r="J627" s="3">
        <f>parking_demand_data_2024_ver0!I627</f>
        <v>5</v>
      </c>
      <c r="K627" s="3">
        <f>parking_demand_data_2024_ver0!J627</f>
        <v>0</v>
      </c>
      <c r="L627" s="3">
        <f>parking_demand_data_2024_ver0!K627</f>
        <v>0</v>
      </c>
      <c r="M627" s="3">
        <f>parking_demand_data_2024_ver0!L627</f>
        <v>0</v>
      </c>
      <c r="N627" s="3">
        <f>parking_demand_data_2024_ver0!M627</f>
        <v>149</v>
      </c>
      <c r="O627" s="3">
        <f>parking_demand_data_2024_ver0!N627</f>
        <v>0</v>
      </c>
      <c r="P627" s="3">
        <f>parking_demand_data_2024_ver0!O627</f>
        <v>64</v>
      </c>
      <c r="Q627" s="3">
        <f>parking_demand_data_2024_ver0!P627</f>
        <v>85</v>
      </c>
      <c r="R627" s="3">
        <f>parking_demand_data_2024_ver0!Q627</f>
        <v>0</v>
      </c>
      <c r="S627" s="3">
        <f>parking_demand_data_2024_ver0!R627</f>
        <v>0</v>
      </c>
      <c r="T627" s="3">
        <f>parking_demand_data_2024_ver0!S627</f>
        <v>0</v>
      </c>
    </row>
    <row r="628" spans="1:20" x14ac:dyDescent="0.25">
      <c r="A628">
        <v>18053</v>
      </c>
      <c r="B628" t="s">
        <v>55</v>
      </c>
      <c r="C628">
        <v>2</v>
      </c>
      <c r="D628" s="3">
        <f>parking_demand_data_2024_ver0!D628*calibration!$I$31</f>
        <v>137.177505050614</v>
      </c>
      <c r="E628" s="3">
        <f>parking_demand_data_2024_ver0!E628*calibration!$I$31</f>
        <v>5.8851761626920496</v>
      </c>
      <c r="F628" s="3">
        <f t="shared" si="9"/>
        <v>143.06268121330606</v>
      </c>
      <c r="G628" s="3">
        <f>parking_demand_data_2024_ver0!F628</f>
        <v>6</v>
      </c>
      <c r="H628" s="3">
        <f>parking_demand_data_2024_ver0!G628</f>
        <v>0</v>
      </c>
      <c r="I628" s="3">
        <f>parking_demand_data_2024_ver0!H628</f>
        <v>1</v>
      </c>
      <c r="J628" s="3">
        <f>parking_demand_data_2024_ver0!I628</f>
        <v>5</v>
      </c>
      <c r="K628" s="3">
        <f>parking_demand_data_2024_ver0!J628</f>
        <v>0</v>
      </c>
      <c r="L628" s="3">
        <f>parking_demand_data_2024_ver0!K628</f>
        <v>0</v>
      </c>
      <c r="M628" s="3">
        <f>parking_demand_data_2024_ver0!L628</f>
        <v>0</v>
      </c>
      <c r="N628" s="3">
        <f>parking_demand_data_2024_ver0!M628</f>
        <v>149</v>
      </c>
      <c r="O628" s="3">
        <f>parking_demand_data_2024_ver0!N628</f>
        <v>0</v>
      </c>
      <c r="P628" s="3">
        <f>parking_demand_data_2024_ver0!O628</f>
        <v>64</v>
      </c>
      <c r="Q628" s="3">
        <f>parking_demand_data_2024_ver0!P628</f>
        <v>85</v>
      </c>
      <c r="R628" s="3">
        <f>parking_demand_data_2024_ver0!Q628</f>
        <v>0</v>
      </c>
      <c r="S628" s="3">
        <f>parking_demand_data_2024_ver0!R628</f>
        <v>0</v>
      </c>
      <c r="T628" s="3">
        <f>parking_demand_data_2024_ver0!S628</f>
        <v>0</v>
      </c>
    </row>
    <row r="629" spans="1:20" x14ac:dyDescent="0.25">
      <c r="A629">
        <v>18053</v>
      </c>
      <c r="B629" t="s">
        <v>55</v>
      </c>
      <c r="C629">
        <v>3</v>
      </c>
      <c r="D629" s="3">
        <f>parking_demand_data_2024_ver0!D629*calibration!$I$31</f>
        <v>133.30915892120399</v>
      </c>
      <c r="E629" s="3">
        <f>parking_demand_data_2024_ver0!E629*calibration!$I$31</f>
        <v>6.18274124956974</v>
      </c>
      <c r="F629" s="3">
        <f t="shared" si="9"/>
        <v>139.49190017077373</v>
      </c>
      <c r="G629" s="3">
        <f>parking_demand_data_2024_ver0!F629</f>
        <v>6</v>
      </c>
      <c r="H629" s="3">
        <f>parking_demand_data_2024_ver0!G629</f>
        <v>0</v>
      </c>
      <c r="I629" s="3">
        <f>parking_demand_data_2024_ver0!H629</f>
        <v>1</v>
      </c>
      <c r="J629" s="3">
        <f>parking_demand_data_2024_ver0!I629</f>
        <v>5</v>
      </c>
      <c r="K629" s="3">
        <f>parking_demand_data_2024_ver0!J629</f>
        <v>0</v>
      </c>
      <c r="L629" s="3">
        <f>parking_demand_data_2024_ver0!K629</f>
        <v>0</v>
      </c>
      <c r="M629" s="3">
        <f>parking_demand_data_2024_ver0!L629</f>
        <v>0</v>
      </c>
      <c r="N629" s="3">
        <f>parking_demand_data_2024_ver0!M629</f>
        <v>149</v>
      </c>
      <c r="O629" s="3">
        <f>parking_demand_data_2024_ver0!N629</f>
        <v>0</v>
      </c>
      <c r="P629" s="3">
        <f>parking_demand_data_2024_ver0!O629</f>
        <v>64</v>
      </c>
      <c r="Q629" s="3">
        <f>parking_demand_data_2024_ver0!P629</f>
        <v>85</v>
      </c>
      <c r="R629" s="3">
        <f>parking_demand_data_2024_ver0!Q629</f>
        <v>0</v>
      </c>
      <c r="S629" s="3">
        <f>parking_demand_data_2024_ver0!R629</f>
        <v>0</v>
      </c>
      <c r="T629" s="3">
        <f>parking_demand_data_2024_ver0!S629</f>
        <v>0</v>
      </c>
    </row>
    <row r="630" spans="1:20" x14ac:dyDescent="0.25">
      <c r="A630">
        <v>18053</v>
      </c>
      <c r="B630" t="s">
        <v>55</v>
      </c>
      <c r="C630">
        <v>4</v>
      </c>
      <c r="D630" s="3">
        <f>parking_demand_data_2024_ver0!D630*calibration!$I$31</f>
        <v>127.457045545943</v>
      </c>
      <c r="E630" s="3">
        <f>parking_demand_data_2024_ver0!E630*calibration!$I$31</f>
        <v>6.0504900998463196</v>
      </c>
      <c r="F630" s="3">
        <f t="shared" si="9"/>
        <v>133.50753564578932</v>
      </c>
      <c r="G630" s="3">
        <f>parking_demand_data_2024_ver0!F630</f>
        <v>6</v>
      </c>
      <c r="H630" s="3">
        <f>parking_demand_data_2024_ver0!G630</f>
        <v>0</v>
      </c>
      <c r="I630" s="3">
        <f>parking_demand_data_2024_ver0!H630</f>
        <v>1</v>
      </c>
      <c r="J630" s="3">
        <f>parking_demand_data_2024_ver0!I630</f>
        <v>5</v>
      </c>
      <c r="K630" s="3">
        <f>parking_demand_data_2024_ver0!J630</f>
        <v>0</v>
      </c>
      <c r="L630" s="3">
        <f>parking_demand_data_2024_ver0!K630</f>
        <v>0</v>
      </c>
      <c r="M630" s="3">
        <f>parking_demand_data_2024_ver0!L630</f>
        <v>0</v>
      </c>
      <c r="N630" s="3">
        <f>parking_demand_data_2024_ver0!M630</f>
        <v>149</v>
      </c>
      <c r="O630" s="3">
        <f>parking_demand_data_2024_ver0!N630</f>
        <v>0</v>
      </c>
      <c r="P630" s="3">
        <f>parking_demand_data_2024_ver0!O630</f>
        <v>64</v>
      </c>
      <c r="Q630" s="3">
        <f>parking_demand_data_2024_ver0!P630</f>
        <v>85</v>
      </c>
      <c r="R630" s="3">
        <f>parking_demand_data_2024_ver0!Q630</f>
        <v>0</v>
      </c>
      <c r="S630" s="3">
        <f>parking_demand_data_2024_ver0!R630</f>
        <v>0</v>
      </c>
      <c r="T630" s="3">
        <f>parking_demand_data_2024_ver0!S630</f>
        <v>0</v>
      </c>
    </row>
    <row r="631" spans="1:20" x14ac:dyDescent="0.25">
      <c r="A631">
        <v>18053</v>
      </c>
      <c r="B631" t="s">
        <v>55</v>
      </c>
      <c r="C631">
        <v>5</v>
      </c>
      <c r="D631" s="3">
        <f>parking_demand_data_2024_ver0!D631*calibration!$I$31</f>
        <v>125.109587638352</v>
      </c>
      <c r="E631" s="3">
        <f>parking_demand_data_2024_ver0!E631*calibration!$I$31</f>
        <v>5.9182389501229</v>
      </c>
      <c r="F631" s="3">
        <f t="shared" si="9"/>
        <v>131.02782658847491</v>
      </c>
      <c r="G631" s="3">
        <f>parking_demand_data_2024_ver0!F631</f>
        <v>6</v>
      </c>
      <c r="H631" s="3">
        <f>parking_demand_data_2024_ver0!G631</f>
        <v>0</v>
      </c>
      <c r="I631" s="3">
        <f>parking_demand_data_2024_ver0!H631</f>
        <v>1</v>
      </c>
      <c r="J631" s="3">
        <f>parking_demand_data_2024_ver0!I631</f>
        <v>5</v>
      </c>
      <c r="K631" s="3">
        <f>parking_demand_data_2024_ver0!J631</f>
        <v>0</v>
      </c>
      <c r="L631" s="3">
        <f>parking_demand_data_2024_ver0!K631</f>
        <v>0</v>
      </c>
      <c r="M631" s="3">
        <f>parking_demand_data_2024_ver0!L631</f>
        <v>0</v>
      </c>
      <c r="N631" s="3">
        <f>parking_demand_data_2024_ver0!M631</f>
        <v>149</v>
      </c>
      <c r="O631" s="3">
        <f>parking_demand_data_2024_ver0!N631</f>
        <v>0</v>
      </c>
      <c r="P631" s="3">
        <f>parking_demand_data_2024_ver0!O631</f>
        <v>64</v>
      </c>
      <c r="Q631" s="3">
        <f>parking_demand_data_2024_ver0!P631</f>
        <v>85</v>
      </c>
      <c r="R631" s="3">
        <f>parking_demand_data_2024_ver0!Q631</f>
        <v>0</v>
      </c>
      <c r="S631" s="3">
        <f>parking_demand_data_2024_ver0!R631</f>
        <v>0</v>
      </c>
      <c r="T631" s="3">
        <f>parking_demand_data_2024_ver0!S631</f>
        <v>0</v>
      </c>
    </row>
    <row r="632" spans="1:20" x14ac:dyDescent="0.25">
      <c r="A632">
        <v>18053</v>
      </c>
      <c r="B632" t="s">
        <v>55</v>
      </c>
      <c r="C632">
        <v>6</v>
      </c>
      <c r="D632" s="3">
        <f>parking_demand_data_2024_ver0!D632*calibration!$I$31</f>
        <v>119.687290499692</v>
      </c>
      <c r="E632" s="3">
        <f>parking_demand_data_2024_ver0!E632*calibration!$I$31</f>
        <v>5.9513017375537602</v>
      </c>
      <c r="F632" s="3">
        <f t="shared" si="9"/>
        <v>125.63859223724576</v>
      </c>
      <c r="G632" s="3">
        <f>parking_demand_data_2024_ver0!F632</f>
        <v>6</v>
      </c>
      <c r="H632" s="3">
        <f>parking_demand_data_2024_ver0!G632</f>
        <v>0</v>
      </c>
      <c r="I632" s="3">
        <f>parking_demand_data_2024_ver0!H632</f>
        <v>1</v>
      </c>
      <c r="J632" s="3">
        <f>parking_demand_data_2024_ver0!I632</f>
        <v>5</v>
      </c>
      <c r="K632" s="3">
        <f>parking_demand_data_2024_ver0!J632</f>
        <v>0</v>
      </c>
      <c r="L632" s="3">
        <f>parking_demand_data_2024_ver0!K632</f>
        <v>0</v>
      </c>
      <c r="M632" s="3">
        <f>parking_demand_data_2024_ver0!L632</f>
        <v>0</v>
      </c>
      <c r="N632" s="3">
        <f>parking_demand_data_2024_ver0!M632</f>
        <v>149</v>
      </c>
      <c r="O632" s="3">
        <f>parking_demand_data_2024_ver0!N632</f>
        <v>0</v>
      </c>
      <c r="P632" s="3">
        <f>parking_demand_data_2024_ver0!O632</f>
        <v>64</v>
      </c>
      <c r="Q632" s="3">
        <f>parking_demand_data_2024_ver0!P632</f>
        <v>85</v>
      </c>
      <c r="R632" s="3">
        <f>parking_demand_data_2024_ver0!Q632</f>
        <v>0</v>
      </c>
      <c r="S632" s="3">
        <f>parking_demand_data_2024_ver0!R632</f>
        <v>0</v>
      </c>
      <c r="T632" s="3">
        <f>parking_demand_data_2024_ver0!S632</f>
        <v>0</v>
      </c>
    </row>
    <row r="633" spans="1:20" x14ac:dyDescent="0.25">
      <c r="A633">
        <v>18053</v>
      </c>
      <c r="B633" t="s">
        <v>55</v>
      </c>
      <c r="C633">
        <v>7</v>
      </c>
      <c r="D633" s="3">
        <f>parking_demand_data_2024_ver0!D633*calibration!$I$31</f>
        <v>107.156494063398</v>
      </c>
      <c r="E633" s="3">
        <f>parking_demand_data_2024_ver0!E633*calibration!$I$31</f>
        <v>7.4391271719422001</v>
      </c>
      <c r="F633" s="3">
        <f t="shared" si="9"/>
        <v>114.5956212353402</v>
      </c>
      <c r="G633" s="3">
        <f>parking_demand_data_2024_ver0!F633</f>
        <v>6</v>
      </c>
      <c r="H633" s="3">
        <f>parking_demand_data_2024_ver0!G633</f>
        <v>0</v>
      </c>
      <c r="I633" s="3">
        <f>parking_demand_data_2024_ver0!H633</f>
        <v>1</v>
      </c>
      <c r="J633" s="3">
        <f>parking_demand_data_2024_ver0!I633</f>
        <v>5</v>
      </c>
      <c r="K633" s="3">
        <f>parking_demand_data_2024_ver0!J633</f>
        <v>0</v>
      </c>
      <c r="L633" s="3">
        <f>parking_demand_data_2024_ver0!K633</f>
        <v>0</v>
      </c>
      <c r="M633" s="3">
        <f>parking_demand_data_2024_ver0!L633</f>
        <v>0</v>
      </c>
      <c r="N633" s="3">
        <f>parking_demand_data_2024_ver0!M633</f>
        <v>149</v>
      </c>
      <c r="O633" s="3">
        <f>parking_demand_data_2024_ver0!N633</f>
        <v>0</v>
      </c>
      <c r="P633" s="3">
        <f>parking_demand_data_2024_ver0!O633</f>
        <v>64</v>
      </c>
      <c r="Q633" s="3">
        <f>parking_demand_data_2024_ver0!P633</f>
        <v>85</v>
      </c>
      <c r="R633" s="3">
        <f>parking_demand_data_2024_ver0!Q633</f>
        <v>0</v>
      </c>
      <c r="S633" s="3">
        <f>parking_demand_data_2024_ver0!R633</f>
        <v>0</v>
      </c>
      <c r="T633" s="3">
        <f>parking_demand_data_2024_ver0!S633</f>
        <v>0</v>
      </c>
    </row>
    <row r="634" spans="1:20" x14ac:dyDescent="0.25">
      <c r="A634">
        <v>18053</v>
      </c>
      <c r="B634" t="s">
        <v>55</v>
      </c>
      <c r="C634">
        <v>8</v>
      </c>
      <c r="D634" s="3">
        <f>parking_demand_data_2024_ver0!D634*calibration!$I$31</f>
        <v>90.658163135402305</v>
      </c>
      <c r="E634" s="3">
        <f>parking_demand_data_2024_ver0!E634*calibration!$I$31</f>
        <v>6.34805518672401</v>
      </c>
      <c r="F634" s="3">
        <f t="shared" si="9"/>
        <v>97.006218322126315</v>
      </c>
      <c r="G634" s="3">
        <f>parking_demand_data_2024_ver0!F634</f>
        <v>6</v>
      </c>
      <c r="H634" s="3">
        <f>parking_demand_data_2024_ver0!G634</f>
        <v>0</v>
      </c>
      <c r="I634" s="3">
        <f>parking_demand_data_2024_ver0!H634</f>
        <v>1</v>
      </c>
      <c r="J634" s="3">
        <f>parking_demand_data_2024_ver0!I634</f>
        <v>5</v>
      </c>
      <c r="K634" s="3">
        <f>parking_demand_data_2024_ver0!J634</f>
        <v>0</v>
      </c>
      <c r="L634" s="3">
        <f>parking_demand_data_2024_ver0!K634</f>
        <v>0</v>
      </c>
      <c r="M634" s="3">
        <f>parking_demand_data_2024_ver0!L634</f>
        <v>0</v>
      </c>
      <c r="N634" s="3">
        <f>parking_demand_data_2024_ver0!M634</f>
        <v>149</v>
      </c>
      <c r="O634" s="3">
        <f>parking_demand_data_2024_ver0!N634</f>
        <v>0</v>
      </c>
      <c r="P634" s="3">
        <f>parking_demand_data_2024_ver0!O634</f>
        <v>64</v>
      </c>
      <c r="Q634" s="3">
        <f>parking_demand_data_2024_ver0!P634</f>
        <v>85</v>
      </c>
      <c r="R634" s="3">
        <f>parking_demand_data_2024_ver0!Q634</f>
        <v>0</v>
      </c>
      <c r="S634" s="3">
        <f>parking_demand_data_2024_ver0!R634</f>
        <v>0</v>
      </c>
      <c r="T634" s="3">
        <f>parking_demand_data_2024_ver0!S634</f>
        <v>0</v>
      </c>
    </row>
    <row r="635" spans="1:20" x14ac:dyDescent="0.25">
      <c r="A635">
        <v>18053</v>
      </c>
      <c r="B635" t="s">
        <v>55</v>
      </c>
      <c r="C635">
        <v>9</v>
      </c>
      <c r="D635" s="3">
        <f>parking_demand_data_2024_ver0!D635*calibration!$I$31</f>
        <v>83.185973176029194</v>
      </c>
      <c r="E635" s="3">
        <f>parking_demand_data_2024_ver0!E635*calibration!$I$31</f>
        <v>5.8521133752611902</v>
      </c>
      <c r="F635" s="3">
        <f t="shared" si="9"/>
        <v>89.038086551290377</v>
      </c>
      <c r="G635" s="3">
        <f>parking_demand_data_2024_ver0!F635</f>
        <v>6</v>
      </c>
      <c r="H635" s="3">
        <f>parking_demand_data_2024_ver0!G635</f>
        <v>0</v>
      </c>
      <c r="I635" s="3">
        <f>parking_demand_data_2024_ver0!H635</f>
        <v>1</v>
      </c>
      <c r="J635" s="3">
        <f>parking_demand_data_2024_ver0!I635</f>
        <v>5</v>
      </c>
      <c r="K635" s="3">
        <f>parking_demand_data_2024_ver0!J635</f>
        <v>0</v>
      </c>
      <c r="L635" s="3">
        <f>parking_demand_data_2024_ver0!K635</f>
        <v>0</v>
      </c>
      <c r="M635" s="3">
        <f>parking_demand_data_2024_ver0!L635</f>
        <v>0</v>
      </c>
      <c r="N635" s="3">
        <f>parking_demand_data_2024_ver0!M635</f>
        <v>149</v>
      </c>
      <c r="O635" s="3">
        <f>parking_demand_data_2024_ver0!N635</f>
        <v>0</v>
      </c>
      <c r="P635" s="3">
        <f>parking_demand_data_2024_ver0!O635</f>
        <v>64</v>
      </c>
      <c r="Q635" s="3">
        <f>parking_demand_data_2024_ver0!P635</f>
        <v>85</v>
      </c>
      <c r="R635" s="3">
        <f>parking_demand_data_2024_ver0!Q635</f>
        <v>0</v>
      </c>
      <c r="S635" s="3">
        <f>parking_demand_data_2024_ver0!R635</f>
        <v>0</v>
      </c>
      <c r="T635" s="3">
        <f>parking_demand_data_2024_ver0!S635</f>
        <v>0</v>
      </c>
    </row>
    <row r="636" spans="1:20" x14ac:dyDescent="0.25">
      <c r="A636">
        <v>18053</v>
      </c>
      <c r="B636" t="s">
        <v>55</v>
      </c>
      <c r="C636">
        <v>10</v>
      </c>
      <c r="D636" s="3">
        <f>parking_demand_data_2024_ver0!D636*calibration!$I$31</f>
        <v>76.242787815549804</v>
      </c>
      <c r="E636" s="3">
        <f>parking_demand_data_2024_ver0!E636*calibration!$I$31</f>
        <v>4.7941041774738604</v>
      </c>
      <c r="F636" s="3">
        <f t="shared" si="9"/>
        <v>81.036891993023659</v>
      </c>
      <c r="G636" s="3">
        <f>parking_demand_data_2024_ver0!F636</f>
        <v>6</v>
      </c>
      <c r="H636" s="3">
        <f>parking_demand_data_2024_ver0!G636</f>
        <v>0</v>
      </c>
      <c r="I636" s="3">
        <f>parking_demand_data_2024_ver0!H636</f>
        <v>1</v>
      </c>
      <c r="J636" s="3">
        <f>parking_demand_data_2024_ver0!I636</f>
        <v>5</v>
      </c>
      <c r="K636" s="3">
        <f>parking_demand_data_2024_ver0!J636</f>
        <v>0</v>
      </c>
      <c r="L636" s="3">
        <f>parking_demand_data_2024_ver0!K636</f>
        <v>0</v>
      </c>
      <c r="M636" s="3">
        <f>parking_demand_data_2024_ver0!L636</f>
        <v>0</v>
      </c>
      <c r="N636" s="3">
        <f>parking_demand_data_2024_ver0!M636</f>
        <v>149</v>
      </c>
      <c r="O636" s="3">
        <f>parking_demand_data_2024_ver0!N636</f>
        <v>0</v>
      </c>
      <c r="P636" s="3">
        <f>parking_demand_data_2024_ver0!O636</f>
        <v>64</v>
      </c>
      <c r="Q636" s="3">
        <f>parking_demand_data_2024_ver0!P636</f>
        <v>85</v>
      </c>
      <c r="R636" s="3">
        <f>parking_demand_data_2024_ver0!Q636</f>
        <v>0</v>
      </c>
      <c r="S636" s="3">
        <f>parking_demand_data_2024_ver0!R636</f>
        <v>0</v>
      </c>
      <c r="T636" s="3">
        <f>parking_demand_data_2024_ver0!S636</f>
        <v>0</v>
      </c>
    </row>
    <row r="637" spans="1:20" x14ac:dyDescent="0.25">
      <c r="A637">
        <v>18053</v>
      </c>
      <c r="B637" t="s">
        <v>55</v>
      </c>
      <c r="C637">
        <v>11</v>
      </c>
      <c r="D637" s="3">
        <f>parking_demand_data_2024_ver0!D637*calibration!$I$31</f>
        <v>75.945222728672107</v>
      </c>
      <c r="E637" s="3">
        <f>parking_demand_data_2024_ver0!E637*calibration!$I$31</f>
        <v>4.1659112162876299</v>
      </c>
      <c r="F637" s="3">
        <f t="shared" si="9"/>
        <v>80.111133944959732</v>
      </c>
      <c r="G637" s="3">
        <f>parking_demand_data_2024_ver0!F637</f>
        <v>6</v>
      </c>
      <c r="H637" s="3">
        <f>parking_demand_data_2024_ver0!G637</f>
        <v>0</v>
      </c>
      <c r="I637" s="3">
        <f>parking_demand_data_2024_ver0!H637</f>
        <v>1</v>
      </c>
      <c r="J637" s="3">
        <f>parking_demand_data_2024_ver0!I637</f>
        <v>5</v>
      </c>
      <c r="K637" s="3">
        <f>parking_demand_data_2024_ver0!J637</f>
        <v>0</v>
      </c>
      <c r="L637" s="3">
        <f>parking_demand_data_2024_ver0!K637</f>
        <v>0</v>
      </c>
      <c r="M637" s="3">
        <f>parking_demand_data_2024_ver0!L637</f>
        <v>0</v>
      </c>
      <c r="N637" s="3">
        <f>parking_demand_data_2024_ver0!M637</f>
        <v>149</v>
      </c>
      <c r="O637" s="3">
        <f>parking_demand_data_2024_ver0!N637</f>
        <v>0</v>
      </c>
      <c r="P637" s="3">
        <f>parking_demand_data_2024_ver0!O637</f>
        <v>64</v>
      </c>
      <c r="Q637" s="3">
        <f>parking_demand_data_2024_ver0!P637</f>
        <v>85</v>
      </c>
      <c r="R637" s="3">
        <f>parking_demand_data_2024_ver0!Q637</f>
        <v>0</v>
      </c>
      <c r="S637" s="3">
        <f>parking_demand_data_2024_ver0!R637</f>
        <v>0</v>
      </c>
      <c r="T637" s="3">
        <f>parking_demand_data_2024_ver0!S637</f>
        <v>0</v>
      </c>
    </row>
    <row r="638" spans="1:20" x14ac:dyDescent="0.25">
      <c r="A638">
        <v>18053</v>
      </c>
      <c r="B638" t="s">
        <v>55</v>
      </c>
      <c r="C638">
        <v>12</v>
      </c>
      <c r="D638" s="3">
        <f>parking_demand_data_2024_ver0!D638*calibration!$I$31</f>
        <v>78.292680636262801</v>
      </c>
      <c r="E638" s="3">
        <f>parking_demand_data_2024_ver0!E638*calibration!$I$31</f>
        <v>4.0667228539950697</v>
      </c>
      <c r="F638" s="3">
        <f t="shared" si="9"/>
        <v>82.359403490257876</v>
      </c>
      <c r="G638" s="3">
        <f>parking_demand_data_2024_ver0!F638</f>
        <v>6</v>
      </c>
      <c r="H638" s="3">
        <f>parking_demand_data_2024_ver0!G638</f>
        <v>0</v>
      </c>
      <c r="I638" s="3">
        <f>parking_demand_data_2024_ver0!H638</f>
        <v>1</v>
      </c>
      <c r="J638" s="3">
        <f>parking_demand_data_2024_ver0!I638</f>
        <v>5</v>
      </c>
      <c r="K638" s="3">
        <f>parking_demand_data_2024_ver0!J638</f>
        <v>0</v>
      </c>
      <c r="L638" s="3">
        <f>parking_demand_data_2024_ver0!K638</f>
        <v>0</v>
      </c>
      <c r="M638" s="3">
        <f>parking_demand_data_2024_ver0!L638</f>
        <v>0</v>
      </c>
      <c r="N638" s="3">
        <f>parking_demand_data_2024_ver0!M638</f>
        <v>149</v>
      </c>
      <c r="O638" s="3">
        <f>parking_demand_data_2024_ver0!N638</f>
        <v>0</v>
      </c>
      <c r="P638" s="3">
        <f>parking_demand_data_2024_ver0!O638</f>
        <v>64</v>
      </c>
      <c r="Q638" s="3">
        <f>parking_demand_data_2024_ver0!P638</f>
        <v>85</v>
      </c>
      <c r="R638" s="3">
        <f>parking_demand_data_2024_ver0!Q638</f>
        <v>0</v>
      </c>
      <c r="S638" s="3">
        <f>parking_demand_data_2024_ver0!R638</f>
        <v>0</v>
      </c>
      <c r="T638" s="3">
        <f>parking_demand_data_2024_ver0!S638</f>
        <v>0</v>
      </c>
    </row>
    <row r="639" spans="1:20" x14ac:dyDescent="0.25">
      <c r="A639">
        <v>18053</v>
      </c>
      <c r="B639" t="s">
        <v>55</v>
      </c>
      <c r="C639">
        <v>13</v>
      </c>
      <c r="D639" s="3">
        <f>parking_demand_data_2024_ver0!D639*calibration!$I$31</f>
        <v>79.317627046619293</v>
      </c>
      <c r="E639" s="3">
        <f>parking_demand_data_2024_ver0!E639*calibration!$I$31</f>
        <v>2.3474579075906501</v>
      </c>
      <c r="F639" s="3">
        <f t="shared" si="9"/>
        <v>81.665084954209945</v>
      </c>
      <c r="G639" s="3">
        <f>parking_demand_data_2024_ver0!F639</f>
        <v>6</v>
      </c>
      <c r="H639" s="3">
        <f>parking_demand_data_2024_ver0!G639</f>
        <v>0</v>
      </c>
      <c r="I639" s="3">
        <f>parking_demand_data_2024_ver0!H639</f>
        <v>1</v>
      </c>
      <c r="J639" s="3">
        <f>parking_demand_data_2024_ver0!I639</f>
        <v>5</v>
      </c>
      <c r="K639" s="3">
        <f>parking_demand_data_2024_ver0!J639</f>
        <v>0</v>
      </c>
      <c r="L639" s="3">
        <f>parking_demand_data_2024_ver0!K639</f>
        <v>0</v>
      </c>
      <c r="M639" s="3">
        <f>parking_demand_data_2024_ver0!L639</f>
        <v>0</v>
      </c>
      <c r="N639" s="3">
        <f>parking_demand_data_2024_ver0!M639</f>
        <v>149</v>
      </c>
      <c r="O639" s="3">
        <f>parking_demand_data_2024_ver0!N639</f>
        <v>0</v>
      </c>
      <c r="P639" s="3">
        <f>parking_demand_data_2024_ver0!O639</f>
        <v>64</v>
      </c>
      <c r="Q639" s="3">
        <f>parking_demand_data_2024_ver0!P639</f>
        <v>85</v>
      </c>
      <c r="R639" s="3">
        <f>parking_demand_data_2024_ver0!Q639</f>
        <v>0</v>
      </c>
      <c r="S639" s="3">
        <f>parking_demand_data_2024_ver0!R639</f>
        <v>0</v>
      </c>
      <c r="T639" s="3">
        <f>parking_demand_data_2024_ver0!S639</f>
        <v>0</v>
      </c>
    </row>
    <row r="640" spans="1:20" x14ac:dyDescent="0.25">
      <c r="A640">
        <v>18053</v>
      </c>
      <c r="B640" t="s">
        <v>55</v>
      </c>
      <c r="C640">
        <v>14</v>
      </c>
      <c r="D640" s="3">
        <f>parking_demand_data_2024_ver0!D640*calibration!$I$31</f>
        <v>81.202205930177996</v>
      </c>
      <c r="E640" s="3">
        <f>parking_demand_data_2024_ver0!E640*calibration!$I$31</f>
        <v>2.0498928207129601</v>
      </c>
      <c r="F640" s="3">
        <f t="shared" si="9"/>
        <v>83.252098750890951</v>
      </c>
      <c r="G640" s="3">
        <f>parking_demand_data_2024_ver0!F640</f>
        <v>6</v>
      </c>
      <c r="H640" s="3">
        <f>parking_demand_data_2024_ver0!G640</f>
        <v>0</v>
      </c>
      <c r="I640" s="3">
        <f>parking_demand_data_2024_ver0!H640</f>
        <v>1</v>
      </c>
      <c r="J640" s="3">
        <f>parking_demand_data_2024_ver0!I640</f>
        <v>5</v>
      </c>
      <c r="K640" s="3">
        <f>parking_demand_data_2024_ver0!J640</f>
        <v>0</v>
      </c>
      <c r="L640" s="3">
        <f>parking_demand_data_2024_ver0!K640</f>
        <v>0</v>
      </c>
      <c r="M640" s="3">
        <f>parking_demand_data_2024_ver0!L640</f>
        <v>0</v>
      </c>
      <c r="N640" s="3">
        <f>parking_demand_data_2024_ver0!M640</f>
        <v>149</v>
      </c>
      <c r="O640" s="3">
        <f>parking_demand_data_2024_ver0!N640</f>
        <v>0</v>
      </c>
      <c r="P640" s="3">
        <f>parking_demand_data_2024_ver0!O640</f>
        <v>64</v>
      </c>
      <c r="Q640" s="3">
        <f>parking_demand_data_2024_ver0!P640</f>
        <v>85</v>
      </c>
      <c r="R640" s="3">
        <f>parking_demand_data_2024_ver0!Q640</f>
        <v>0</v>
      </c>
      <c r="S640" s="3">
        <f>parking_demand_data_2024_ver0!R640</f>
        <v>0</v>
      </c>
      <c r="T640" s="3">
        <f>parking_demand_data_2024_ver0!S640</f>
        <v>0</v>
      </c>
    </row>
    <row r="641" spans="1:20" x14ac:dyDescent="0.25">
      <c r="A641">
        <v>18053</v>
      </c>
      <c r="B641" t="s">
        <v>55</v>
      </c>
      <c r="C641">
        <v>15</v>
      </c>
      <c r="D641" s="3">
        <f>parking_demand_data_2024_ver0!D641*calibration!$I$31</f>
        <v>88.442956377534998</v>
      </c>
      <c r="E641" s="3">
        <f>parking_demand_data_2024_ver0!E641*calibration!$I$31</f>
        <v>2.8103369316225999</v>
      </c>
      <c r="F641" s="3">
        <f t="shared" si="9"/>
        <v>91.253293309157598</v>
      </c>
      <c r="G641" s="3">
        <f>parking_demand_data_2024_ver0!F641</f>
        <v>6</v>
      </c>
      <c r="H641" s="3">
        <f>parking_demand_data_2024_ver0!G641</f>
        <v>0</v>
      </c>
      <c r="I641" s="3">
        <f>parking_demand_data_2024_ver0!H641</f>
        <v>1</v>
      </c>
      <c r="J641" s="3">
        <f>parking_demand_data_2024_ver0!I641</f>
        <v>5</v>
      </c>
      <c r="K641" s="3">
        <f>parking_demand_data_2024_ver0!J641</f>
        <v>0</v>
      </c>
      <c r="L641" s="3">
        <f>parking_demand_data_2024_ver0!K641</f>
        <v>0</v>
      </c>
      <c r="M641" s="3">
        <f>parking_demand_data_2024_ver0!L641</f>
        <v>0</v>
      </c>
      <c r="N641" s="3">
        <f>parking_demand_data_2024_ver0!M641</f>
        <v>149</v>
      </c>
      <c r="O641" s="3">
        <f>parking_demand_data_2024_ver0!N641</f>
        <v>0</v>
      </c>
      <c r="P641" s="3">
        <f>parking_demand_data_2024_ver0!O641</f>
        <v>64</v>
      </c>
      <c r="Q641" s="3">
        <f>parking_demand_data_2024_ver0!P641</f>
        <v>85</v>
      </c>
      <c r="R641" s="3">
        <f>parking_demand_data_2024_ver0!Q641</f>
        <v>0</v>
      </c>
      <c r="S641" s="3">
        <f>parking_demand_data_2024_ver0!R641</f>
        <v>0</v>
      </c>
      <c r="T641" s="3">
        <f>parking_demand_data_2024_ver0!S641</f>
        <v>0</v>
      </c>
    </row>
    <row r="642" spans="1:20" x14ac:dyDescent="0.25">
      <c r="A642">
        <v>18053</v>
      </c>
      <c r="B642" t="s">
        <v>55</v>
      </c>
      <c r="C642">
        <v>16</v>
      </c>
      <c r="D642" s="3">
        <f>parking_demand_data_2024_ver0!D642*calibration!$I$31</f>
        <v>94.1297558156419</v>
      </c>
      <c r="E642" s="3">
        <f>parking_demand_data_2024_ver0!E642*calibration!$I$31</f>
        <v>2.6780857818991901</v>
      </c>
      <c r="F642" s="3">
        <f t="shared" si="9"/>
        <v>96.807841597541085</v>
      </c>
      <c r="G642" s="3">
        <f>parking_demand_data_2024_ver0!F642</f>
        <v>6</v>
      </c>
      <c r="H642" s="3">
        <f>parking_demand_data_2024_ver0!G642</f>
        <v>0</v>
      </c>
      <c r="I642" s="3">
        <f>parking_demand_data_2024_ver0!H642</f>
        <v>1</v>
      </c>
      <c r="J642" s="3">
        <f>parking_demand_data_2024_ver0!I642</f>
        <v>5</v>
      </c>
      <c r="K642" s="3">
        <f>parking_demand_data_2024_ver0!J642</f>
        <v>0</v>
      </c>
      <c r="L642" s="3">
        <f>parking_demand_data_2024_ver0!K642</f>
        <v>0</v>
      </c>
      <c r="M642" s="3">
        <f>parking_demand_data_2024_ver0!L642</f>
        <v>0</v>
      </c>
      <c r="N642" s="3">
        <f>parking_demand_data_2024_ver0!M642</f>
        <v>149</v>
      </c>
      <c r="O642" s="3">
        <f>parking_demand_data_2024_ver0!N642</f>
        <v>0</v>
      </c>
      <c r="P642" s="3">
        <f>parking_demand_data_2024_ver0!O642</f>
        <v>64</v>
      </c>
      <c r="Q642" s="3">
        <f>parking_demand_data_2024_ver0!P642</f>
        <v>85</v>
      </c>
      <c r="R642" s="3">
        <f>parking_demand_data_2024_ver0!Q642</f>
        <v>0</v>
      </c>
      <c r="S642" s="3">
        <f>parking_demand_data_2024_ver0!R642</f>
        <v>0</v>
      </c>
      <c r="T642" s="3">
        <f>parking_demand_data_2024_ver0!S642</f>
        <v>0</v>
      </c>
    </row>
    <row r="643" spans="1:20" x14ac:dyDescent="0.25">
      <c r="A643">
        <v>18053</v>
      </c>
      <c r="B643" t="s">
        <v>55</v>
      </c>
      <c r="C643">
        <v>17</v>
      </c>
      <c r="D643" s="3">
        <f>parking_demand_data_2024_ver0!D643*calibration!$I$31</f>
        <v>97.634411283312502</v>
      </c>
      <c r="E643" s="3">
        <f>parking_demand_data_2024_ver0!E643*calibration!$I$31</f>
        <v>1.9837672458512501</v>
      </c>
      <c r="F643" s="3">
        <f t="shared" ref="F643:F706" si="10">SUM(D643:E643)</f>
        <v>99.618178529163757</v>
      </c>
      <c r="G643" s="3">
        <f>parking_demand_data_2024_ver0!F643</f>
        <v>6</v>
      </c>
      <c r="H643" s="3">
        <f>parking_demand_data_2024_ver0!G643</f>
        <v>0</v>
      </c>
      <c r="I643" s="3">
        <f>parking_demand_data_2024_ver0!H643</f>
        <v>1</v>
      </c>
      <c r="J643" s="3">
        <f>parking_demand_data_2024_ver0!I643</f>
        <v>5</v>
      </c>
      <c r="K643" s="3">
        <f>parking_demand_data_2024_ver0!J643</f>
        <v>0</v>
      </c>
      <c r="L643" s="3">
        <f>parking_demand_data_2024_ver0!K643</f>
        <v>0</v>
      </c>
      <c r="M643" s="3">
        <f>parking_demand_data_2024_ver0!L643</f>
        <v>0</v>
      </c>
      <c r="N643" s="3">
        <f>parking_demand_data_2024_ver0!M643</f>
        <v>149</v>
      </c>
      <c r="O643" s="3">
        <f>parking_demand_data_2024_ver0!N643</f>
        <v>0</v>
      </c>
      <c r="P643" s="3">
        <f>parking_demand_data_2024_ver0!O643</f>
        <v>64</v>
      </c>
      <c r="Q643" s="3">
        <f>parking_demand_data_2024_ver0!P643</f>
        <v>85</v>
      </c>
      <c r="R643" s="3">
        <f>parking_demand_data_2024_ver0!Q643</f>
        <v>0</v>
      </c>
      <c r="S643" s="3">
        <f>parking_demand_data_2024_ver0!R643</f>
        <v>0</v>
      </c>
      <c r="T643" s="3">
        <f>parking_demand_data_2024_ver0!S643</f>
        <v>0</v>
      </c>
    </row>
    <row r="644" spans="1:20" x14ac:dyDescent="0.25">
      <c r="A644">
        <v>18053</v>
      </c>
      <c r="B644" t="s">
        <v>55</v>
      </c>
      <c r="C644">
        <v>18</v>
      </c>
      <c r="D644" s="3">
        <f>parking_demand_data_2024_ver0!D644*calibration!$I$31</f>
        <v>104.213905982052</v>
      </c>
      <c r="E644" s="3">
        <f>parking_demand_data_2024_ver0!E644*calibration!$I$31</f>
        <v>1.9176416709895401</v>
      </c>
      <c r="F644" s="3">
        <f t="shared" si="10"/>
        <v>106.13154765304154</v>
      </c>
      <c r="G644" s="3">
        <f>parking_demand_data_2024_ver0!F644</f>
        <v>6</v>
      </c>
      <c r="H644" s="3">
        <f>parking_demand_data_2024_ver0!G644</f>
        <v>0</v>
      </c>
      <c r="I644" s="3">
        <f>parking_demand_data_2024_ver0!H644</f>
        <v>1</v>
      </c>
      <c r="J644" s="3">
        <f>parking_demand_data_2024_ver0!I644</f>
        <v>5</v>
      </c>
      <c r="K644" s="3">
        <f>parking_demand_data_2024_ver0!J644</f>
        <v>0</v>
      </c>
      <c r="L644" s="3">
        <f>parking_demand_data_2024_ver0!K644</f>
        <v>0</v>
      </c>
      <c r="M644" s="3">
        <f>parking_demand_data_2024_ver0!L644</f>
        <v>0</v>
      </c>
      <c r="N644" s="3">
        <f>parking_demand_data_2024_ver0!M644</f>
        <v>149</v>
      </c>
      <c r="O644" s="3">
        <f>parking_demand_data_2024_ver0!N644</f>
        <v>0</v>
      </c>
      <c r="P644" s="3">
        <f>parking_demand_data_2024_ver0!O644</f>
        <v>64</v>
      </c>
      <c r="Q644" s="3">
        <f>parking_demand_data_2024_ver0!P644</f>
        <v>85</v>
      </c>
      <c r="R644" s="3">
        <f>parking_demand_data_2024_ver0!Q644</f>
        <v>0</v>
      </c>
      <c r="S644" s="3">
        <f>parking_demand_data_2024_ver0!R644</f>
        <v>0</v>
      </c>
      <c r="T644" s="3">
        <f>parking_demand_data_2024_ver0!S644</f>
        <v>0</v>
      </c>
    </row>
    <row r="645" spans="1:20" x14ac:dyDescent="0.25">
      <c r="A645">
        <v>18053</v>
      </c>
      <c r="B645" t="s">
        <v>55</v>
      </c>
      <c r="C645">
        <v>19</v>
      </c>
      <c r="D645" s="3">
        <f>parking_demand_data_2024_ver0!D645*calibration!$I$31</f>
        <v>107.751624237153</v>
      </c>
      <c r="E645" s="3">
        <f>parking_demand_data_2024_ver0!E645*calibration!$I$31</f>
        <v>2.0168300332820999</v>
      </c>
      <c r="F645" s="3">
        <f t="shared" si="10"/>
        <v>109.7684542704351</v>
      </c>
      <c r="G645" s="3">
        <f>parking_demand_data_2024_ver0!F645</f>
        <v>6</v>
      </c>
      <c r="H645" s="3">
        <f>parking_demand_data_2024_ver0!G645</f>
        <v>0</v>
      </c>
      <c r="I645" s="3">
        <f>parking_demand_data_2024_ver0!H645</f>
        <v>1</v>
      </c>
      <c r="J645" s="3">
        <f>parking_demand_data_2024_ver0!I645</f>
        <v>5</v>
      </c>
      <c r="K645" s="3">
        <f>parking_demand_data_2024_ver0!J645</f>
        <v>0</v>
      </c>
      <c r="L645" s="3">
        <f>parking_demand_data_2024_ver0!K645</f>
        <v>0</v>
      </c>
      <c r="M645" s="3">
        <f>parking_demand_data_2024_ver0!L645</f>
        <v>0</v>
      </c>
      <c r="N645" s="3">
        <f>parking_demand_data_2024_ver0!M645</f>
        <v>149</v>
      </c>
      <c r="O645" s="3">
        <f>parking_demand_data_2024_ver0!N645</f>
        <v>0</v>
      </c>
      <c r="P645" s="3">
        <f>parking_demand_data_2024_ver0!O645</f>
        <v>64</v>
      </c>
      <c r="Q645" s="3">
        <f>parking_demand_data_2024_ver0!P645</f>
        <v>85</v>
      </c>
      <c r="R645" s="3">
        <f>parking_demand_data_2024_ver0!Q645</f>
        <v>0</v>
      </c>
      <c r="S645" s="3">
        <f>parking_demand_data_2024_ver0!R645</f>
        <v>0</v>
      </c>
      <c r="T645" s="3">
        <f>parking_demand_data_2024_ver0!S645</f>
        <v>0</v>
      </c>
    </row>
    <row r="646" spans="1:20" x14ac:dyDescent="0.25">
      <c r="A646">
        <v>18053</v>
      </c>
      <c r="B646" t="s">
        <v>55</v>
      </c>
      <c r="C646">
        <v>20</v>
      </c>
      <c r="D646" s="3">
        <f>parking_demand_data_2024_ver0!D646*calibration!$I$31</f>
        <v>116.05038388229799</v>
      </c>
      <c r="E646" s="3">
        <f>parking_demand_data_2024_ver0!E646*calibration!$I$31</f>
        <v>2.6119602070374799</v>
      </c>
      <c r="F646" s="3">
        <f t="shared" si="10"/>
        <v>118.66234408933548</v>
      </c>
      <c r="G646" s="3">
        <f>parking_demand_data_2024_ver0!F646</f>
        <v>6</v>
      </c>
      <c r="H646" s="3">
        <f>parking_demand_data_2024_ver0!G646</f>
        <v>0</v>
      </c>
      <c r="I646" s="3">
        <f>parking_demand_data_2024_ver0!H646</f>
        <v>1</v>
      </c>
      <c r="J646" s="3">
        <f>parking_demand_data_2024_ver0!I646</f>
        <v>5</v>
      </c>
      <c r="K646" s="3">
        <f>parking_demand_data_2024_ver0!J646</f>
        <v>0</v>
      </c>
      <c r="L646" s="3">
        <f>parking_demand_data_2024_ver0!K646</f>
        <v>0</v>
      </c>
      <c r="M646" s="3">
        <f>parking_demand_data_2024_ver0!L646</f>
        <v>0</v>
      </c>
      <c r="N646" s="3">
        <f>parking_demand_data_2024_ver0!M646</f>
        <v>149</v>
      </c>
      <c r="O646" s="3">
        <f>parking_demand_data_2024_ver0!N646</f>
        <v>0</v>
      </c>
      <c r="P646" s="3">
        <f>parking_demand_data_2024_ver0!O646</f>
        <v>64</v>
      </c>
      <c r="Q646" s="3">
        <f>parking_demand_data_2024_ver0!P646</f>
        <v>85</v>
      </c>
      <c r="R646" s="3">
        <f>parking_demand_data_2024_ver0!Q646</f>
        <v>0</v>
      </c>
      <c r="S646" s="3">
        <f>parking_demand_data_2024_ver0!R646</f>
        <v>0</v>
      </c>
      <c r="T646" s="3">
        <f>parking_demand_data_2024_ver0!S646</f>
        <v>0</v>
      </c>
    </row>
    <row r="647" spans="1:20" x14ac:dyDescent="0.25">
      <c r="A647">
        <v>18053</v>
      </c>
      <c r="B647" t="s">
        <v>55</v>
      </c>
      <c r="C647">
        <v>21</v>
      </c>
      <c r="D647" s="3">
        <f>parking_demand_data_2024_ver0!D647*calibration!$I$31</f>
        <v>122.299250706729</v>
      </c>
      <c r="E647" s="3">
        <f>parking_demand_data_2024_ver0!E647*calibration!$I$31</f>
        <v>2.8764625064843101</v>
      </c>
      <c r="F647" s="3">
        <f t="shared" si="10"/>
        <v>125.17571321321331</v>
      </c>
      <c r="G647" s="3">
        <f>parking_demand_data_2024_ver0!F647</f>
        <v>6</v>
      </c>
      <c r="H647" s="3">
        <f>parking_demand_data_2024_ver0!G647</f>
        <v>0</v>
      </c>
      <c r="I647" s="3">
        <f>parking_demand_data_2024_ver0!H647</f>
        <v>1</v>
      </c>
      <c r="J647" s="3">
        <f>parking_demand_data_2024_ver0!I647</f>
        <v>5</v>
      </c>
      <c r="K647" s="3">
        <f>parking_demand_data_2024_ver0!J647</f>
        <v>0</v>
      </c>
      <c r="L647" s="3">
        <f>parking_demand_data_2024_ver0!K647</f>
        <v>0</v>
      </c>
      <c r="M647" s="3">
        <f>parking_demand_data_2024_ver0!L647</f>
        <v>0</v>
      </c>
      <c r="N647" s="3">
        <f>parking_demand_data_2024_ver0!M647</f>
        <v>149</v>
      </c>
      <c r="O647" s="3">
        <f>parking_demand_data_2024_ver0!N647</f>
        <v>0</v>
      </c>
      <c r="P647" s="3">
        <f>parking_demand_data_2024_ver0!O647</f>
        <v>64</v>
      </c>
      <c r="Q647" s="3">
        <f>parking_demand_data_2024_ver0!P647</f>
        <v>85</v>
      </c>
      <c r="R647" s="3">
        <f>parking_demand_data_2024_ver0!Q647</f>
        <v>0</v>
      </c>
      <c r="S647" s="3">
        <f>parking_demand_data_2024_ver0!R647</f>
        <v>0</v>
      </c>
      <c r="T647" s="3">
        <f>parking_demand_data_2024_ver0!S647</f>
        <v>0</v>
      </c>
    </row>
    <row r="648" spans="1:20" x14ac:dyDescent="0.25">
      <c r="A648">
        <v>18053</v>
      </c>
      <c r="B648" t="s">
        <v>55</v>
      </c>
      <c r="C648">
        <v>22</v>
      </c>
      <c r="D648" s="3">
        <f>parking_demand_data_2024_ver0!D648*calibration!$I$31</f>
        <v>125.44021551266</v>
      </c>
      <c r="E648" s="3">
        <f>parking_demand_data_2024_ver0!E648*calibration!$I$31</f>
        <v>3.5377182551013999</v>
      </c>
      <c r="F648" s="3">
        <f t="shared" si="10"/>
        <v>128.97793376776141</v>
      </c>
      <c r="G648" s="3">
        <f>parking_demand_data_2024_ver0!F648</f>
        <v>6</v>
      </c>
      <c r="H648" s="3">
        <f>parking_demand_data_2024_ver0!G648</f>
        <v>0</v>
      </c>
      <c r="I648" s="3">
        <f>parking_demand_data_2024_ver0!H648</f>
        <v>1</v>
      </c>
      <c r="J648" s="3">
        <f>parking_demand_data_2024_ver0!I648</f>
        <v>5</v>
      </c>
      <c r="K648" s="3">
        <f>parking_demand_data_2024_ver0!J648</f>
        <v>0</v>
      </c>
      <c r="L648" s="3">
        <f>parking_demand_data_2024_ver0!K648</f>
        <v>0</v>
      </c>
      <c r="M648" s="3">
        <f>parking_demand_data_2024_ver0!L648</f>
        <v>0</v>
      </c>
      <c r="N648" s="3">
        <f>parking_demand_data_2024_ver0!M648</f>
        <v>149</v>
      </c>
      <c r="O648" s="3">
        <f>parking_demand_data_2024_ver0!N648</f>
        <v>0</v>
      </c>
      <c r="P648" s="3">
        <f>parking_demand_data_2024_ver0!O648</f>
        <v>64</v>
      </c>
      <c r="Q648" s="3">
        <f>parking_demand_data_2024_ver0!P648</f>
        <v>85</v>
      </c>
      <c r="R648" s="3">
        <f>parking_demand_data_2024_ver0!Q648</f>
        <v>0</v>
      </c>
      <c r="S648" s="3">
        <f>parking_demand_data_2024_ver0!R648</f>
        <v>0</v>
      </c>
      <c r="T648" s="3">
        <f>parking_demand_data_2024_ver0!S648</f>
        <v>0</v>
      </c>
    </row>
    <row r="649" spans="1:20" x14ac:dyDescent="0.25">
      <c r="A649">
        <v>18053</v>
      </c>
      <c r="B649" t="s">
        <v>55</v>
      </c>
      <c r="C649">
        <v>23</v>
      </c>
      <c r="D649" s="3">
        <f>parking_demand_data_2024_ver0!D649*calibration!$I$31</f>
        <v>128.71343146831501</v>
      </c>
      <c r="E649" s="3">
        <f>parking_demand_data_2024_ver0!E649*calibration!$I$31</f>
        <v>4.1659112162876299</v>
      </c>
      <c r="F649" s="3">
        <f t="shared" si="10"/>
        <v>132.87934268460265</v>
      </c>
      <c r="G649" s="3">
        <f>parking_demand_data_2024_ver0!F649</f>
        <v>6</v>
      </c>
      <c r="H649" s="3">
        <f>parking_demand_data_2024_ver0!G649</f>
        <v>0</v>
      </c>
      <c r="I649" s="3">
        <f>parking_demand_data_2024_ver0!H649</f>
        <v>1</v>
      </c>
      <c r="J649" s="3">
        <f>parking_demand_data_2024_ver0!I649</f>
        <v>5</v>
      </c>
      <c r="K649" s="3">
        <f>parking_demand_data_2024_ver0!J649</f>
        <v>0</v>
      </c>
      <c r="L649" s="3">
        <f>parking_demand_data_2024_ver0!K649</f>
        <v>0</v>
      </c>
      <c r="M649" s="3">
        <f>parking_demand_data_2024_ver0!L649</f>
        <v>0</v>
      </c>
      <c r="N649" s="3">
        <f>parking_demand_data_2024_ver0!M649</f>
        <v>149</v>
      </c>
      <c r="O649" s="3">
        <f>parking_demand_data_2024_ver0!N649</f>
        <v>0</v>
      </c>
      <c r="P649" s="3">
        <f>parking_demand_data_2024_ver0!O649</f>
        <v>64</v>
      </c>
      <c r="Q649" s="3">
        <f>parking_demand_data_2024_ver0!P649</f>
        <v>85</v>
      </c>
      <c r="R649" s="3">
        <f>parking_demand_data_2024_ver0!Q649</f>
        <v>0</v>
      </c>
      <c r="S649" s="3">
        <f>parking_demand_data_2024_ver0!R649</f>
        <v>0</v>
      </c>
      <c r="T649" s="3">
        <f>parking_demand_data_2024_ver0!S649</f>
        <v>0</v>
      </c>
    </row>
    <row r="650" spans="1:20" x14ac:dyDescent="0.25">
      <c r="A650">
        <v>18055</v>
      </c>
      <c r="B650" t="s">
        <v>56</v>
      </c>
      <c r="C650">
        <v>0</v>
      </c>
      <c r="D650" s="3">
        <f>parking_demand_data_2024_ver0!D650*calibration!$I$31</f>
        <v>1.06092200108448</v>
      </c>
      <c r="E650" s="3">
        <f>parking_demand_data_2024_ver0!E650*calibration!$I$31</f>
        <v>5.7214007915627798</v>
      </c>
      <c r="F650" s="3">
        <f t="shared" si="10"/>
        <v>6.7823227926472596</v>
      </c>
      <c r="G650" s="3">
        <f>parking_demand_data_2024_ver0!F650</f>
        <v>1</v>
      </c>
      <c r="H650" s="3">
        <f>parking_demand_data_2024_ver0!G650</f>
        <v>0</v>
      </c>
      <c r="I650" s="3">
        <f>parking_demand_data_2024_ver0!H650</f>
        <v>0</v>
      </c>
      <c r="J650" s="3">
        <f>parking_demand_data_2024_ver0!I650</f>
        <v>1</v>
      </c>
      <c r="K650" s="3">
        <f>parking_demand_data_2024_ver0!J650</f>
        <v>0</v>
      </c>
      <c r="L650" s="3">
        <f>parking_demand_data_2024_ver0!K650</f>
        <v>0</v>
      </c>
      <c r="M650" s="3">
        <f>parking_demand_data_2024_ver0!L650</f>
        <v>0</v>
      </c>
      <c r="N650" s="3">
        <f>parking_demand_data_2024_ver0!M650</f>
        <v>18</v>
      </c>
      <c r="O650" s="3">
        <f>parking_demand_data_2024_ver0!N650</f>
        <v>0</v>
      </c>
      <c r="P650" s="3">
        <f>parking_demand_data_2024_ver0!O650</f>
        <v>0</v>
      </c>
      <c r="Q650" s="3">
        <f>parking_demand_data_2024_ver0!P650</f>
        <v>18</v>
      </c>
      <c r="R650" s="3">
        <f>parking_demand_data_2024_ver0!Q650</f>
        <v>0</v>
      </c>
      <c r="S650" s="3">
        <f>parking_demand_data_2024_ver0!R650</f>
        <v>0</v>
      </c>
      <c r="T650" s="3">
        <f>parking_demand_data_2024_ver0!S650</f>
        <v>0</v>
      </c>
    </row>
    <row r="651" spans="1:20" x14ac:dyDescent="0.25">
      <c r="A651">
        <v>18055</v>
      </c>
      <c r="B651" t="s">
        <v>56</v>
      </c>
      <c r="C651">
        <v>1</v>
      </c>
      <c r="D651" s="3">
        <f>parking_demand_data_2024_ver0!D651*calibration!$I$31</f>
        <v>1.1367021440190901</v>
      </c>
      <c r="E651" s="3">
        <f>parking_demand_data_2024_ver0!E651*calibration!$I$31</f>
        <v>6.0624114347685101</v>
      </c>
      <c r="F651" s="3">
        <f t="shared" si="10"/>
        <v>7.1991135787875997</v>
      </c>
      <c r="G651" s="3">
        <f>parking_demand_data_2024_ver0!F651</f>
        <v>1</v>
      </c>
      <c r="H651" s="3">
        <f>parking_demand_data_2024_ver0!G651</f>
        <v>0</v>
      </c>
      <c r="I651" s="3">
        <f>parking_demand_data_2024_ver0!H651</f>
        <v>0</v>
      </c>
      <c r="J651" s="3">
        <f>parking_demand_data_2024_ver0!I651</f>
        <v>1</v>
      </c>
      <c r="K651" s="3">
        <f>parking_demand_data_2024_ver0!J651</f>
        <v>0</v>
      </c>
      <c r="L651" s="3">
        <f>parking_demand_data_2024_ver0!K651</f>
        <v>0</v>
      </c>
      <c r="M651" s="3">
        <f>parking_demand_data_2024_ver0!L651</f>
        <v>0</v>
      </c>
      <c r="N651" s="3">
        <f>parking_demand_data_2024_ver0!M651</f>
        <v>18</v>
      </c>
      <c r="O651" s="3">
        <f>parking_demand_data_2024_ver0!N651</f>
        <v>0</v>
      </c>
      <c r="P651" s="3">
        <f>parking_demand_data_2024_ver0!O651</f>
        <v>0</v>
      </c>
      <c r="Q651" s="3">
        <f>parking_demand_data_2024_ver0!P651</f>
        <v>18</v>
      </c>
      <c r="R651" s="3">
        <f>parking_demand_data_2024_ver0!Q651</f>
        <v>0</v>
      </c>
      <c r="S651" s="3">
        <f>parking_demand_data_2024_ver0!R651</f>
        <v>0</v>
      </c>
      <c r="T651" s="3">
        <f>parking_demand_data_2024_ver0!S651</f>
        <v>0</v>
      </c>
    </row>
    <row r="652" spans="1:20" x14ac:dyDescent="0.25">
      <c r="A652">
        <v>18055</v>
      </c>
      <c r="B652" t="s">
        <v>56</v>
      </c>
      <c r="C652">
        <v>2</v>
      </c>
      <c r="D652" s="3">
        <f>parking_demand_data_2024_ver0!D652*calibration!$I$31</f>
        <v>1.2882624298883001</v>
      </c>
      <c r="E652" s="3">
        <f>parking_demand_data_2024_ver0!E652*calibration!$I$31</f>
        <v>7.1612235073203001</v>
      </c>
      <c r="F652" s="3">
        <f t="shared" si="10"/>
        <v>8.4494859372085998</v>
      </c>
      <c r="G652" s="3">
        <f>parking_demand_data_2024_ver0!F652</f>
        <v>1</v>
      </c>
      <c r="H652" s="3">
        <f>parking_demand_data_2024_ver0!G652</f>
        <v>0</v>
      </c>
      <c r="I652" s="3">
        <f>parking_demand_data_2024_ver0!H652</f>
        <v>0</v>
      </c>
      <c r="J652" s="3">
        <f>parking_demand_data_2024_ver0!I652</f>
        <v>1</v>
      </c>
      <c r="K652" s="3">
        <f>parking_demand_data_2024_ver0!J652</f>
        <v>0</v>
      </c>
      <c r="L652" s="3">
        <f>parking_demand_data_2024_ver0!K652</f>
        <v>0</v>
      </c>
      <c r="M652" s="3">
        <f>parking_demand_data_2024_ver0!L652</f>
        <v>0</v>
      </c>
      <c r="N652" s="3">
        <f>parking_demand_data_2024_ver0!M652</f>
        <v>18</v>
      </c>
      <c r="O652" s="3">
        <f>parking_demand_data_2024_ver0!N652</f>
        <v>0</v>
      </c>
      <c r="P652" s="3">
        <f>parking_demand_data_2024_ver0!O652</f>
        <v>0</v>
      </c>
      <c r="Q652" s="3">
        <f>parking_demand_data_2024_ver0!P652</f>
        <v>18</v>
      </c>
      <c r="R652" s="3">
        <f>parking_demand_data_2024_ver0!Q652</f>
        <v>0</v>
      </c>
      <c r="S652" s="3">
        <f>parking_demand_data_2024_ver0!R652</f>
        <v>0</v>
      </c>
      <c r="T652" s="3">
        <f>parking_demand_data_2024_ver0!S652</f>
        <v>0</v>
      </c>
    </row>
    <row r="653" spans="1:20" x14ac:dyDescent="0.25">
      <c r="A653">
        <v>18055</v>
      </c>
      <c r="B653" t="s">
        <v>56</v>
      </c>
      <c r="C653">
        <v>3</v>
      </c>
      <c r="D653" s="3">
        <f>parking_demand_data_2024_ver0!D653*calibration!$I$31</f>
        <v>1.3261525013556099</v>
      </c>
      <c r="E653" s="3">
        <f>parking_demand_data_2024_ver0!E653*calibration!$I$31</f>
        <v>8.7147164374797299</v>
      </c>
      <c r="F653" s="3">
        <f t="shared" si="10"/>
        <v>10.04086893883534</v>
      </c>
      <c r="G653" s="3">
        <f>parking_demand_data_2024_ver0!F653</f>
        <v>1</v>
      </c>
      <c r="H653" s="3">
        <f>parking_demand_data_2024_ver0!G653</f>
        <v>0</v>
      </c>
      <c r="I653" s="3">
        <f>parking_demand_data_2024_ver0!H653</f>
        <v>0</v>
      </c>
      <c r="J653" s="3">
        <f>parking_demand_data_2024_ver0!I653</f>
        <v>1</v>
      </c>
      <c r="K653" s="3">
        <f>parking_demand_data_2024_ver0!J653</f>
        <v>0</v>
      </c>
      <c r="L653" s="3">
        <f>parking_demand_data_2024_ver0!K653</f>
        <v>0</v>
      </c>
      <c r="M653" s="3">
        <f>parking_demand_data_2024_ver0!L653</f>
        <v>0</v>
      </c>
      <c r="N653" s="3">
        <f>parking_demand_data_2024_ver0!M653</f>
        <v>18</v>
      </c>
      <c r="O653" s="3">
        <f>parking_demand_data_2024_ver0!N653</f>
        <v>0</v>
      </c>
      <c r="P653" s="3">
        <f>parking_demand_data_2024_ver0!O653</f>
        <v>0</v>
      </c>
      <c r="Q653" s="3">
        <f>parking_demand_data_2024_ver0!P653</f>
        <v>18</v>
      </c>
      <c r="R653" s="3">
        <f>parking_demand_data_2024_ver0!Q653</f>
        <v>0</v>
      </c>
      <c r="S653" s="3">
        <f>parking_demand_data_2024_ver0!R653</f>
        <v>0</v>
      </c>
      <c r="T653" s="3">
        <f>parking_demand_data_2024_ver0!S653</f>
        <v>0</v>
      </c>
    </row>
    <row r="654" spans="1:20" x14ac:dyDescent="0.25">
      <c r="A654">
        <v>18055</v>
      </c>
      <c r="B654" t="s">
        <v>56</v>
      </c>
      <c r="C654">
        <v>4</v>
      </c>
      <c r="D654" s="3">
        <f>parking_demand_data_2024_ver0!D654*calibration!$I$31</f>
        <v>1.36404257282291</v>
      </c>
      <c r="E654" s="3">
        <f>parking_demand_data_2024_ver0!E654*calibration!$I$31</f>
        <v>9.9650887959007406</v>
      </c>
      <c r="F654" s="3">
        <f t="shared" si="10"/>
        <v>11.329131368723651</v>
      </c>
      <c r="G654" s="3">
        <f>parking_demand_data_2024_ver0!F654</f>
        <v>1</v>
      </c>
      <c r="H654" s="3">
        <f>parking_demand_data_2024_ver0!G654</f>
        <v>0</v>
      </c>
      <c r="I654" s="3">
        <f>parking_demand_data_2024_ver0!H654</f>
        <v>0</v>
      </c>
      <c r="J654" s="3">
        <f>parking_demand_data_2024_ver0!I654</f>
        <v>1</v>
      </c>
      <c r="K654" s="3">
        <f>parking_demand_data_2024_ver0!J654</f>
        <v>0</v>
      </c>
      <c r="L654" s="3">
        <f>parking_demand_data_2024_ver0!K654</f>
        <v>0</v>
      </c>
      <c r="M654" s="3">
        <f>parking_demand_data_2024_ver0!L654</f>
        <v>0</v>
      </c>
      <c r="N654" s="3">
        <f>parking_demand_data_2024_ver0!M654</f>
        <v>18</v>
      </c>
      <c r="O654" s="3">
        <f>parking_demand_data_2024_ver0!N654</f>
        <v>0</v>
      </c>
      <c r="P654" s="3">
        <f>parking_demand_data_2024_ver0!O654</f>
        <v>0</v>
      </c>
      <c r="Q654" s="3">
        <f>parking_demand_data_2024_ver0!P654</f>
        <v>18</v>
      </c>
      <c r="R654" s="3">
        <f>parking_demand_data_2024_ver0!Q654</f>
        <v>0</v>
      </c>
      <c r="S654" s="3">
        <f>parking_demand_data_2024_ver0!R654</f>
        <v>0</v>
      </c>
      <c r="T654" s="3">
        <f>parking_demand_data_2024_ver0!S654</f>
        <v>0</v>
      </c>
    </row>
    <row r="655" spans="1:20" x14ac:dyDescent="0.25">
      <c r="A655">
        <v>18055</v>
      </c>
      <c r="B655" t="s">
        <v>56</v>
      </c>
      <c r="C655">
        <v>5</v>
      </c>
      <c r="D655" s="3">
        <f>parking_demand_data_2024_ver0!D655*calibration!$I$31</f>
        <v>1.4777127872248199</v>
      </c>
      <c r="E655" s="3">
        <f>parking_demand_data_2024_ver0!E655*calibration!$I$31</f>
        <v>10.040868938835301</v>
      </c>
      <c r="F655" s="3">
        <f t="shared" si="10"/>
        <v>11.51858172606012</v>
      </c>
      <c r="G655" s="3">
        <f>parking_demand_data_2024_ver0!F655</f>
        <v>1</v>
      </c>
      <c r="H655" s="3">
        <f>parking_demand_data_2024_ver0!G655</f>
        <v>0</v>
      </c>
      <c r="I655" s="3">
        <f>parking_demand_data_2024_ver0!H655</f>
        <v>0</v>
      </c>
      <c r="J655" s="3">
        <f>parking_demand_data_2024_ver0!I655</f>
        <v>1</v>
      </c>
      <c r="K655" s="3">
        <f>parking_demand_data_2024_ver0!J655</f>
        <v>0</v>
      </c>
      <c r="L655" s="3">
        <f>parking_demand_data_2024_ver0!K655</f>
        <v>0</v>
      </c>
      <c r="M655" s="3">
        <f>parking_demand_data_2024_ver0!L655</f>
        <v>0</v>
      </c>
      <c r="N655" s="3">
        <f>parking_demand_data_2024_ver0!M655</f>
        <v>18</v>
      </c>
      <c r="O655" s="3">
        <f>parking_demand_data_2024_ver0!N655</f>
        <v>0</v>
      </c>
      <c r="P655" s="3">
        <f>parking_demand_data_2024_ver0!O655</f>
        <v>0</v>
      </c>
      <c r="Q655" s="3">
        <f>parking_demand_data_2024_ver0!P655</f>
        <v>18</v>
      </c>
      <c r="R655" s="3">
        <f>parking_demand_data_2024_ver0!Q655</f>
        <v>0</v>
      </c>
      <c r="S655" s="3">
        <f>parking_demand_data_2024_ver0!R655</f>
        <v>0</v>
      </c>
      <c r="T655" s="3">
        <f>parking_demand_data_2024_ver0!S655</f>
        <v>0</v>
      </c>
    </row>
    <row r="656" spans="1:20" x14ac:dyDescent="0.25">
      <c r="A656">
        <v>18055</v>
      </c>
      <c r="B656" t="s">
        <v>56</v>
      </c>
      <c r="C656">
        <v>6</v>
      </c>
      <c r="D656" s="3">
        <f>parking_demand_data_2024_ver0!D656*calibration!$I$31</f>
        <v>1.36404257282291</v>
      </c>
      <c r="E656" s="3">
        <f>parking_demand_data_2024_ver0!E656*calibration!$I$31</f>
        <v>10.8365604396487</v>
      </c>
      <c r="F656" s="3">
        <f t="shared" si="10"/>
        <v>12.20060301247161</v>
      </c>
      <c r="G656" s="3">
        <f>parking_demand_data_2024_ver0!F656</f>
        <v>1</v>
      </c>
      <c r="H656" s="3">
        <f>parking_demand_data_2024_ver0!G656</f>
        <v>0</v>
      </c>
      <c r="I656" s="3">
        <f>parking_demand_data_2024_ver0!H656</f>
        <v>0</v>
      </c>
      <c r="J656" s="3">
        <f>parking_demand_data_2024_ver0!I656</f>
        <v>1</v>
      </c>
      <c r="K656" s="3">
        <f>parking_demand_data_2024_ver0!J656</f>
        <v>0</v>
      </c>
      <c r="L656" s="3">
        <f>parking_demand_data_2024_ver0!K656</f>
        <v>0</v>
      </c>
      <c r="M656" s="3">
        <f>parking_demand_data_2024_ver0!L656</f>
        <v>0</v>
      </c>
      <c r="N656" s="3">
        <f>parking_demand_data_2024_ver0!M656</f>
        <v>18</v>
      </c>
      <c r="O656" s="3">
        <f>parking_demand_data_2024_ver0!N656</f>
        <v>0</v>
      </c>
      <c r="P656" s="3">
        <f>parking_demand_data_2024_ver0!O656</f>
        <v>0</v>
      </c>
      <c r="Q656" s="3">
        <f>parking_demand_data_2024_ver0!P656</f>
        <v>18</v>
      </c>
      <c r="R656" s="3">
        <f>parking_demand_data_2024_ver0!Q656</f>
        <v>0</v>
      </c>
      <c r="S656" s="3">
        <f>parking_demand_data_2024_ver0!R656</f>
        <v>0</v>
      </c>
      <c r="T656" s="3">
        <f>parking_demand_data_2024_ver0!S656</f>
        <v>0</v>
      </c>
    </row>
    <row r="657" spans="1:20" x14ac:dyDescent="0.25">
      <c r="A657">
        <v>18055</v>
      </c>
      <c r="B657" t="s">
        <v>56</v>
      </c>
      <c r="C657">
        <v>7</v>
      </c>
      <c r="D657" s="3">
        <f>parking_demand_data_2024_ver0!D657*calibration!$I$31</f>
        <v>1.7808333589632499</v>
      </c>
      <c r="E657" s="3">
        <f>parking_demand_data_2024_ver0!E657*calibration!$I$31</f>
        <v>9.3209575809565806</v>
      </c>
      <c r="F657" s="3">
        <f t="shared" si="10"/>
        <v>11.10179093991983</v>
      </c>
      <c r="G657" s="3">
        <f>parking_demand_data_2024_ver0!F657</f>
        <v>1</v>
      </c>
      <c r="H657" s="3">
        <f>parking_demand_data_2024_ver0!G657</f>
        <v>0</v>
      </c>
      <c r="I657" s="3">
        <f>parking_demand_data_2024_ver0!H657</f>
        <v>0</v>
      </c>
      <c r="J657" s="3">
        <f>parking_demand_data_2024_ver0!I657</f>
        <v>1</v>
      </c>
      <c r="K657" s="3">
        <f>parking_demand_data_2024_ver0!J657</f>
        <v>0</v>
      </c>
      <c r="L657" s="3">
        <f>parking_demand_data_2024_ver0!K657</f>
        <v>0</v>
      </c>
      <c r="M657" s="3">
        <f>parking_demand_data_2024_ver0!L657</f>
        <v>0</v>
      </c>
      <c r="N657" s="3">
        <f>parking_demand_data_2024_ver0!M657</f>
        <v>18</v>
      </c>
      <c r="O657" s="3">
        <f>parking_demand_data_2024_ver0!N657</f>
        <v>0</v>
      </c>
      <c r="P657" s="3">
        <f>parking_demand_data_2024_ver0!O657</f>
        <v>0</v>
      </c>
      <c r="Q657" s="3">
        <f>parking_demand_data_2024_ver0!P657</f>
        <v>18</v>
      </c>
      <c r="R657" s="3">
        <f>parking_demand_data_2024_ver0!Q657</f>
        <v>0</v>
      </c>
      <c r="S657" s="3">
        <f>parking_demand_data_2024_ver0!R657</f>
        <v>0</v>
      </c>
      <c r="T657" s="3">
        <f>parking_demand_data_2024_ver0!S657</f>
        <v>0</v>
      </c>
    </row>
    <row r="658" spans="1:20" x14ac:dyDescent="0.25">
      <c r="A658">
        <v>18055</v>
      </c>
      <c r="B658" t="s">
        <v>56</v>
      </c>
      <c r="C658">
        <v>8</v>
      </c>
      <c r="D658" s="3">
        <f>parking_demand_data_2024_ver0!D658*calibration!$I$31</f>
        <v>2.2734042880381899</v>
      </c>
      <c r="E658" s="3">
        <f>parking_demand_data_2024_ver0!E658*calibration!$I$31</f>
        <v>6.7444327211799697</v>
      </c>
      <c r="F658" s="3">
        <f t="shared" si="10"/>
        <v>9.0178370092181588</v>
      </c>
      <c r="G658" s="3">
        <f>parking_demand_data_2024_ver0!F658</f>
        <v>1</v>
      </c>
      <c r="H658" s="3">
        <f>parking_demand_data_2024_ver0!G658</f>
        <v>0</v>
      </c>
      <c r="I658" s="3">
        <f>parking_demand_data_2024_ver0!H658</f>
        <v>0</v>
      </c>
      <c r="J658" s="3">
        <f>parking_demand_data_2024_ver0!I658</f>
        <v>1</v>
      </c>
      <c r="K658" s="3">
        <f>parking_demand_data_2024_ver0!J658</f>
        <v>0</v>
      </c>
      <c r="L658" s="3">
        <f>parking_demand_data_2024_ver0!K658</f>
        <v>0</v>
      </c>
      <c r="M658" s="3">
        <f>parking_demand_data_2024_ver0!L658</f>
        <v>0</v>
      </c>
      <c r="N658" s="3">
        <f>parking_demand_data_2024_ver0!M658</f>
        <v>18</v>
      </c>
      <c r="O658" s="3">
        <f>parking_demand_data_2024_ver0!N658</f>
        <v>0</v>
      </c>
      <c r="P658" s="3">
        <f>parking_demand_data_2024_ver0!O658</f>
        <v>0</v>
      </c>
      <c r="Q658" s="3">
        <f>parking_demand_data_2024_ver0!P658</f>
        <v>18</v>
      </c>
      <c r="R658" s="3">
        <f>parking_demand_data_2024_ver0!Q658</f>
        <v>0</v>
      </c>
      <c r="S658" s="3">
        <f>parking_demand_data_2024_ver0!R658</f>
        <v>0</v>
      </c>
      <c r="T658" s="3">
        <f>parking_demand_data_2024_ver0!S658</f>
        <v>0</v>
      </c>
    </row>
    <row r="659" spans="1:20" x14ac:dyDescent="0.25">
      <c r="A659">
        <v>18055</v>
      </c>
      <c r="B659" t="s">
        <v>56</v>
      </c>
      <c r="C659">
        <v>9</v>
      </c>
      <c r="D659" s="3">
        <f>parking_demand_data_2024_ver0!D659*calibration!$I$31</f>
        <v>2.31129435950549</v>
      </c>
      <c r="E659" s="3">
        <f>parking_demand_data_2024_ver0!E659*calibration!$I$31</f>
        <v>6.8202128641145698</v>
      </c>
      <c r="F659" s="3">
        <f t="shared" si="10"/>
        <v>9.1315072236200603</v>
      </c>
      <c r="G659" s="3">
        <f>parking_demand_data_2024_ver0!F659</f>
        <v>1</v>
      </c>
      <c r="H659" s="3">
        <f>parking_demand_data_2024_ver0!G659</f>
        <v>0</v>
      </c>
      <c r="I659" s="3">
        <f>parking_demand_data_2024_ver0!H659</f>
        <v>0</v>
      </c>
      <c r="J659" s="3">
        <f>parking_demand_data_2024_ver0!I659</f>
        <v>1</v>
      </c>
      <c r="K659" s="3">
        <f>parking_demand_data_2024_ver0!J659</f>
        <v>0</v>
      </c>
      <c r="L659" s="3">
        <f>parking_demand_data_2024_ver0!K659</f>
        <v>0</v>
      </c>
      <c r="M659" s="3">
        <f>parking_demand_data_2024_ver0!L659</f>
        <v>0</v>
      </c>
      <c r="N659" s="3">
        <f>parking_demand_data_2024_ver0!M659</f>
        <v>18</v>
      </c>
      <c r="O659" s="3">
        <f>parking_demand_data_2024_ver0!N659</f>
        <v>0</v>
      </c>
      <c r="P659" s="3">
        <f>parking_demand_data_2024_ver0!O659</f>
        <v>0</v>
      </c>
      <c r="Q659" s="3">
        <f>parking_demand_data_2024_ver0!P659</f>
        <v>18</v>
      </c>
      <c r="R659" s="3">
        <f>parking_demand_data_2024_ver0!Q659</f>
        <v>0</v>
      </c>
      <c r="S659" s="3">
        <f>parking_demand_data_2024_ver0!R659</f>
        <v>0</v>
      </c>
      <c r="T659" s="3">
        <f>parking_demand_data_2024_ver0!S659</f>
        <v>0</v>
      </c>
    </row>
    <row r="660" spans="1:20" x14ac:dyDescent="0.25">
      <c r="A660">
        <v>18055</v>
      </c>
      <c r="B660" t="s">
        <v>56</v>
      </c>
      <c r="C660">
        <v>10</v>
      </c>
      <c r="D660" s="3">
        <f>parking_demand_data_2024_ver0!D660*calibration!$I$31</f>
        <v>2.6523050027112198</v>
      </c>
      <c r="E660" s="3">
        <f>parking_demand_data_2024_ver0!E660*calibration!$I$31</f>
        <v>7.0854433643856902</v>
      </c>
      <c r="F660" s="3">
        <f t="shared" si="10"/>
        <v>9.7377483670969092</v>
      </c>
      <c r="G660" s="3">
        <f>parking_demand_data_2024_ver0!F660</f>
        <v>1</v>
      </c>
      <c r="H660" s="3">
        <f>parking_demand_data_2024_ver0!G660</f>
        <v>0</v>
      </c>
      <c r="I660" s="3">
        <f>parking_demand_data_2024_ver0!H660</f>
        <v>0</v>
      </c>
      <c r="J660" s="3">
        <f>parking_demand_data_2024_ver0!I660</f>
        <v>1</v>
      </c>
      <c r="K660" s="3">
        <f>parking_demand_data_2024_ver0!J660</f>
        <v>0</v>
      </c>
      <c r="L660" s="3">
        <f>parking_demand_data_2024_ver0!K660</f>
        <v>0</v>
      </c>
      <c r="M660" s="3">
        <f>parking_demand_data_2024_ver0!L660</f>
        <v>0</v>
      </c>
      <c r="N660" s="3">
        <f>parking_demand_data_2024_ver0!M660</f>
        <v>18</v>
      </c>
      <c r="O660" s="3">
        <f>parking_demand_data_2024_ver0!N660</f>
        <v>0</v>
      </c>
      <c r="P660" s="3">
        <f>parking_demand_data_2024_ver0!O660</f>
        <v>0</v>
      </c>
      <c r="Q660" s="3">
        <f>parking_demand_data_2024_ver0!P660</f>
        <v>18</v>
      </c>
      <c r="R660" s="3">
        <f>parking_demand_data_2024_ver0!Q660</f>
        <v>0</v>
      </c>
      <c r="S660" s="3">
        <f>parking_demand_data_2024_ver0!R660</f>
        <v>0</v>
      </c>
      <c r="T660" s="3">
        <f>parking_demand_data_2024_ver0!S660</f>
        <v>0</v>
      </c>
    </row>
    <row r="661" spans="1:20" x14ac:dyDescent="0.25">
      <c r="A661">
        <v>18055</v>
      </c>
      <c r="B661" t="s">
        <v>56</v>
      </c>
      <c r="C661">
        <v>11</v>
      </c>
      <c r="D661" s="3">
        <f>parking_demand_data_2024_ver0!D661*calibration!$I$31</f>
        <v>4.8878192192821102</v>
      </c>
      <c r="E661" s="3">
        <f>parking_demand_data_2024_ver0!E661*calibration!$I$31</f>
        <v>7.0854433643856902</v>
      </c>
      <c r="F661" s="3">
        <f t="shared" si="10"/>
        <v>11.9732625836678</v>
      </c>
      <c r="G661" s="3">
        <f>parking_demand_data_2024_ver0!F661</f>
        <v>1</v>
      </c>
      <c r="H661" s="3">
        <f>parking_demand_data_2024_ver0!G661</f>
        <v>0</v>
      </c>
      <c r="I661" s="3">
        <f>parking_demand_data_2024_ver0!H661</f>
        <v>0</v>
      </c>
      <c r="J661" s="3">
        <f>parking_demand_data_2024_ver0!I661</f>
        <v>1</v>
      </c>
      <c r="K661" s="3">
        <f>parking_demand_data_2024_ver0!J661</f>
        <v>0</v>
      </c>
      <c r="L661" s="3">
        <f>parking_demand_data_2024_ver0!K661</f>
        <v>0</v>
      </c>
      <c r="M661" s="3">
        <f>parking_demand_data_2024_ver0!L661</f>
        <v>0</v>
      </c>
      <c r="N661" s="3">
        <f>parking_demand_data_2024_ver0!M661</f>
        <v>18</v>
      </c>
      <c r="O661" s="3">
        <f>parking_demand_data_2024_ver0!N661</f>
        <v>0</v>
      </c>
      <c r="P661" s="3">
        <f>parking_demand_data_2024_ver0!O661</f>
        <v>0</v>
      </c>
      <c r="Q661" s="3">
        <f>parking_demand_data_2024_ver0!P661</f>
        <v>18</v>
      </c>
      <c r="R661" s="3">
        <f>parking_demand_data_2024_ver0!Q661</f>
        <v>0</v>
      </c>
      <c r="S661" s="3">
        <f>parking_demand_data_2024_ver0!R661</f>
        <v>0</v>
      </c>
      <c r="T661" s="3">
        <f>parking_demand_data_2024_ver0!S661</f>
        <v>0</v>
      </c>
    </row>
    <row r="662" spans="1:20" x14ac:dyDescent="0.25">
      <c r="A662">
        <v>18055</v>
      </c>
      <c r="B662" t="s">
        <v>56</v>
      </c>
      <c r="C662">
        <v>12</v>
      </c>
      <c r="D662" s="3">
        <f>parking_demand_data_2024_ver0!D662*calibration!$I$31</f>
        <v>4.2815780758052604</v>
      </c>
      <c r="E662" s="3">
        <f>parking_demand_data_2024_ver0!E662*calibration!$I$31</f>
        <v>7.1991135787875997</v>
      </c>
      <c r="F662" s="3">
        <f t="shared" si="10"/>
        <v>11.48069165459286</v>
      </c>
      <c r="G662" s="3">
        <f>parking_demand_data_2024_ver0!F662</f>
        <v>1</v>
      </c>
      <c r="H662" s="3">
        <f>parking_demand_data_2024_ver0!G662</f>
        <v>0</v>
      </c>
      <c r="I662" s="3">
        <f>parking_demand_data_2024_ver0!H662</f>
        <v>0</v>
      </c>
      <c r="J662" s="3">
        <f>parking_demand_data_2024_ver0!I662</f>
        <v>1</v>
      </c>
      <c r="K662" s="3">
        <f>parking_demand_data_2024_ver0!J662</f>
        <v>0</v>
      </c>
      <c r="L662" s="3">
        <f>parking_demand_data_2024_ver0!K662</f>
        <v>0</v>
      </c>
      <c r="M662" s="3">
        <f>parking_demand_data_2024_ver0!L662</f>
        <v>0</v>
      </c>
      <c r="N662" s="3">
        <f>parking_demand_data_2024_ver0!M662</f>
        <v>18</v>
      </c>
      <c r="O662" s="3">
        <f>parking_demand_data_2024_ver0!N662</f>
        <v>0</v>
      </c>
      <c r="P662" s="3">
        <f>parking_demand_data_2024_ver0!O662</f>
        <v>0</v>
      </c>
      <c r="Q662" s="3">
        <f>parking_demand_data_2024_ver0!P662</f>
        <v>18</v>
      </c>
      <c r="R662" s="3">
        <f>parking_demand_data_2024_ver0!Q662</f>
        <v>0</v>
      </c>
      <c r="S662" s="3">
        <f>parking_demand_data_2024_ver0!R662</f>
        <v>0</v>
      </c>
      <c r="T662" s="3">
        <f>parking_demand_data_2024_ver0!S662</f>
        <v>0</v>
      </c>
    </row>
    <row r="663" spans="1:20" x14ac:dyDescent="0.25">
      <c r="A663">
        <v>18055</v>
      </c>
      <c r="B663" t="s">
        <v>56</v>
      </c>
      <c r="C663">
        <v>13</v>
      </c>
      <c r="D663" s="3">
        <f>parking_demand_data_2024_ver0!D663*calibration!$I$31</f>
        <v>2.2355142165708801</v>
      </c>
      <c r="E663" s="3">
        <f>parking_demand_data_2024_ver0!E663*calibration!$I$31</f>
        <v>5.5698405056935698</v>
      </c>
      <c r="F663" s="3">
        <f t="shared" si="10"/>
        <v>7.8053547222644504</v>
      </c>
      <c r="G663" s="3">
        <f>parking_demand_data_2024_ver0!F663</f>
        <v>1</v>
      </c>
      <c r="H663" s="3">
        <f>parking_demand_data_2024_ver0!G663</f>
        <v>0</v>
      </c>
      <c r="I663" s="3">
        <f>parking_demand_data_2024_ver0!H663</f>
        <v>0</v>
      </c>
      <c r="J663" s="3">
        <f>parking_demand_data_2024_ver0!I663</f>
        <v>1</v>
      </c>
      <c r="K663" s="3">
        <f>parking_demand_data_2024_ver0!J663</f>
        <v>0</v>
      </c>
      <c r="L663" s="3">
        <f>parking_demand_data_2024_ver0!K663</f>
        <v>0</v>
      </c>
      <c r="M663" s="3">
        <f>parking_demand_data_2024_ver0!L663</f>
        <v>0</v>
      </c>
      <c r="N663" s="3">
        <f>parking_demand_data_2024_ver0!M663</f>
        <v>18</v>
      </c>
      <c r="O663" s="3">
        <f>parking_demand_data_2024_ver0!N663</f>
        <v>0</v>
      </c>
      <c r="P663" s="3">
        <f>parking_demand_data_2024_ver0!O663</f>
        <v>0</v>
      </c>
      <c r="Q663" s="3">
        <f>parking_demand_data_2024_ver0!P663</f>
        <v>18</v>
      </c>
      <c r="R663" s="3">
        <f>parking_demand_data_2024_ver0!Q663</f>
        <v>0</v>
      </c>
      <c r="S663" s="3">
        <f>parking_demand_data_2024_ver0!R663</f>
        <v>0</v>
      </c>
      <c r="T663" s="3">
        <f>parking_demand_data_2024_ver0!S663</f>
        <v>0</v>
      </c>
    </row>
    <row r="664" spans="1:20" x14ac:dyDescent="0.25">
      <c r="A664">
        <v>18055</v>
      </c>
      <c r="B664" t="s">
        <v>56</v>
      </c>
      <c r="C664">
        <v>14</v>
      </c>
      <c r="D664" s="3">
        <f>parking_demand_data_2024_ver0!D664*calibration!$I$31</f>
        <v>1.4777127872248199</v>
      </c>
      <c r="E664" s="3">
        <f>parking_demand_data_2024_ver0!E664*calibration!$I$31</f>
        <v>3.4479965035245899</v>
      </c>
      <c r="F664" s="3">
        <f t="shared" si="10"/>
        <v>4.9257092907494098</v>
      </c>
      <c r="G664" s="3">
        <f>parking_demand_data_2024_ver0!F664</f>
        <v>1</v>
      </c>
      <c r="H664" s="3">
        <f>parking_demand_data_2024_ver0!G664</f>
        <v>0</v>
      </c>
      <c r="I664" s="3">
        <f>parking_demand_data_2024_ver0!H664</f>
        <v>0</v>
      </c>
      <c r="J664" s="3">
        <f>parking_demand_data_2024_ver0!I664</f>
        <v>1</v>
      </c>
      <c r="K664" s="3">
        <f>parking_demand_data_2024_ver0!J664</f>
        <v>0</v>
      </c>
      <c r="L664" s="3">
        <f>parking_demand_data_2024_ver0!K664</f>
        <v>0</v>
      </c>
      <c r="M664" s="3">
        <f>parking_demand_data_2024_ver0!L664</f>
        <v>0</v>
      </c>
      <c r="N664" s="3">
        <f>parking_demand_data_2024_ver0!M664</f>
        <v>18</v>
      </c>
      <c r="O664" s="3">
        <f>parking_demand_data_2024_ver0!N664</f>
        <v>0</v>
      </c>
      <c r="P664" s="3">
        <f>parking_demand_data_2024_ver0!O664</f>
        <v>0</v>
      </c>
      <c r="Q664" s="3">
        <f>parking_demand_data_2024_ver0!P664</f>
        <v>18</v>
      </c>
      <c r="R664" s="3">
        <f>parking_demand_data_2024_ver0!Q664</f>
        <v>0</v>
      </c>
      <c r="S664" s="3">
        <f>parking_demand_data_2024_ver0!R664</f>
        <v>0</v>
      </c>
      <c r="T664" s="3">
        <f>parking_demand_data_2024_ver0!S664</f>
        <v>0</v>
      </c>
    </row>
    <row r="665" spans="1:20" x14ac:dyDescent="0.25">
      <c r="A665">
        <v>18055</v>
      </c>
      <c r="B665" t="s">
        <v>56</v>
      </c>
      <c r="C665">
        <v>15</v>
      </c>
      <c r="D665" s="3">
        <f>parking_demand_data_2024_ver0!D665*calibration!$I$31</f>
        <v>1.06092200108448</v>
      </c>
      <c r="E665" s="3">
        <f>parking_demand_data_2024_ver0!E665*calibration!$I$31</f>
        <v>2.15973407363628</v>
      </c>
      <c r="F665" s="3">
        <f t="shared" si="10"/>
        <v>3.2206560747207602</v>
      </c>
      <c r="G665" s="3">
        <f>parking_demand_data_2024_ver0!F665</f>
        <v>1</v>
      </c>
      <c r="H665" s="3">
        <f>parking_demand_data_2024_ver0!G665</f>
        <v>0</v>
      </c>
      <c r="I665" s="3">
        <f>parking_demand_data_2024_ver0!H665</f>
        <v>0</v>
      </c>
      <c r="J665" s="3">
        <f>parking_demand_data_2024_ver0!I665</f>
        <v>1</v>
      </c>
      <c r="K665" s="3">
        <f>parking_demand_data_2024_ver0!J665</f>
        <v>0</v>
      </c>
      <c r="L665" s="3">
        <f>parking_demand_data_2024_ver0!K665</f>
        <v>0</v>
      </c>
      <c r="M665" s="3">
        <f>parking_demand_data_2024_ver0!L665</f>
        <v>0</v>
      </c>
      <c r="N665" s="3">
        <f>parking_demand_data_2024_ver0!M665</f>
        <v>18</v>
      </c>
      <c r="O665" s="3">
        <f>parking_demand_data_2024_ver0!N665</f>
        <v>0</v>
      </c>
      <c r="P665" s="3">
        <f>parking_demand_data_2024_ver0!O665</f>
        <v>0</v>
      </c>
      <c r="Q665" s="3">
        <f>parking_demand_data_2024_ver0!P665</f>
        <v>18</v>
      </c>
      <c r="R665" s="3">
        <f>parking_demand_data_2024_ver0!Q665</f>
        <v>0</v>
      </c>
      <c r="S665" s="3">
        <f>parking_demand_data_2024_ver0!R665</f>
        <v>0</v>
      </c>
      <c r="T665" s="3">
        <f>parking_demand_data_2024_ver0!S665</f>
        <v>0</v>
      </c>
    </row>
    <row r="666" spans="1:20" x14ac:dyDescent="0.25">
      <c r="A666">
        <v>18055</v>
      </c>
      <c r="B666" t="s">
        <v>56</v>
      </c>
      <c r="C666">
        <v>16</v>
      </c>
      <c r="D666" s="3">
        <f>parking_demand_data_2024_ver0!D666*calibration!$I$31</f>
        <v>0.56835107200954804</v>
      </c>
      <c r="E666" s="3">
        <f>parking_demand_data_2024_ver0!E666*calibration!$I$31</f>
        <v>2.2734042880381899</v>
      </c>
      <c r="F666" s="3">
        <f t="shared" si="10"/>
        <v>2.8417553600477379</v>
      </c>
      <c r="G666" s="3">
        <f>parking_demand_data_2024_ver0!F666</f>
        <v>1</v>
      </c>
      <c r="H666" s="3">
        <f>parking_demand_data_2024_ver0!G666</f>
        <v>0</v>
      </c>
      <c r="I666" s="3">
        <f>parking_demand_data_2024_ver0!H666</f>
        <v>0</v>
      </c>
      <c r="J666" s="3">
        <f>parking_demand_data_2024_ver0!I666</f>
        <v>1</v>
      </c>
      <c r="K666" s="3">
        <f>parking_demand_data_2024_ver0!J666</f>
        <v>0</v>
      </c>
      <c r="L666" s="3">
        <f>parking_demand_data_2024_ver0!K666</f>
        <v>0</v>
      </c>
      <c r="M666" s="3">
        <f>parking_demand_data_2024_ver0!L666</f>
        <v>0</v>
      </c>
      <c r="N666" s="3">
        <f>parking_demand_data_2024_ver0!M666</f>
        <v>18</v>
      </c>
      <c r="O666" s="3">
        <f>parking_demand_data_2024_ver0!N666</f>
        <v>0</v>
      </c>
      <c r="P666" s="3">
        <f>parking_demand_data_2024_ver0!O666</f>
        <v>0</v>
      </c>
      <c r="Q666" s="3">
        <f>parking_demand_data_2024_ver0!P666</f>
        <v>18</v>
      </c>
      <c r="R666" s="3">
        <f>parking_demand_data_2024_ver0!Q666</f>
        <v>0</v>
      </c>
      <c r="S666" s="3">
        <f>parking_demand_data_2024_ver0!R666</f>
        <v>0</v>
      </c>
      <c r="T666" s="3">
        <f>parking_demand_data_2024_ver0!S666</f>
        <v>0</v>
      </c>
    </row>
    <row r="667" spans="1:20" x14ac:dyDescent="0.25">
      <c r="A667">
        <v>18055</v>
      </c>
      <c r="B667" t="s">
        <v>56</v>
      </c>
      <c r="C667">
        <v>17</v>
      </c>
      <c r="D667" s="3">
        <f>parking_demand_data_2024_ver0!D667*calibration!$I$31</f>
        <v>0.49257092907494099</v>
      </c>
      <c r="E667" s="3">
        <f>parking_demand_data_2024_ver0!E667*calibration!$I$31</f>
        <v>2.3491844309727901</v>
      </c>
      <c r="F667" s="3">
        <f t="shared" si="10"/>
        <v>2.8417553600477312</v>
      </c>
      <c r="G667" s="3">
        <f>parking_demand_data_2024_ver0!F667</f>
        <v>1</v>
      </c>
      <c r="H667" s="3">
        <f>parking_demand_data_2024_ver0!G667</f>
        <v>0</v>
      </c>
      <c r="I667" s="3">
        <f>parking_demand_data_2024_ver0!H667</f>
        <v>0</v>
      </c>
      <c r="J667" s="3">
        <f>parking_demand_data_2024_ver0!I667</f>
        <v>1</v>
      </c>
      <c r="K667" s="3">
        <f>parking_demand_data_2024_ver0!J667</f>
        <v>0</v>
      </c>
      <c r="L667" s="3">
        <f>parking_demand_data_2024_ver0!K667</f>
        <v>0</v>
      </c>
      <c r="M667" s="3">
        <f>parking_demand_data_2024_ver0!L667</f>
        <v>0</v>
      </c>
      <c r="N667" s="3">
        <f>parking_demand_data_2024_ver0!M667</f>
        <v>18</v>
      </c>
      <c r="O667" s="3">
        <f>parking_demand_data_2024_ver0!N667</f>
        <v>0</v>
      </c>
      <c r="P667" s="3">
        <f>parking_demand_data_2024_ver0!O667</f>
        <v>0</v>
      </c>
      <c r="Q667" s="3">
        <f>parking_demand_data_2024_ver0!P667</f>
        <v>18</v>
      </c>
      <c r="R667" s="3">
        <f>parking_demand_data_2024_ver0!Q667</f>
        <v>0</v>
      </c>
      <c r="S667" s="3">
        <f>parking_demand_data_2024_ver0!R667</f>
        <v>0</v>
      </c>
      <c r="T667" s="3">
        <f>parking_demand_data_2024_ver0!S667</f>
        <v>0</v>
      </c>
    </row>
    <row r="668" spans="1:20" x14ac:dyDescent="0.25">
      <c r="A668">
        <v>18055</v>
      </c>
      <c r="B668" t="s">
        <v>56</v>
      </c>
      <c r="C668">
        <v>18</v>
      </c>
      <c r="D668" s="3">
        <f>parking_demand_data_2024_ver0!D668*calibration!$I$31</f>
        <v>0.64413121494415404</v>
      </c>
      <c r="E668" s="3">
        <f>parking_demand_data_2024_ver0!E668*calibration!$I$31</f>
        <v>2.7659752171131302</v>
      </c>
      <c r="F668" s="3">
        <f t="shared" si="10"/>
        <v>3.410106432057284</v>
      </c>
      <c r="G668" s="3">
        <f>parking_demand_data_2024_ver0!F668</f>
        <v>1</v>
      </c>
      <c r="H668" s="3">
        <f>parking_demand_data_2024_ver0!G668</f>
        <v>0</v>
      </c>
      <c r="I668" s="3">
        <f>parking_demand_data_2024_ver0!H668</f>
        <v>0</v>
      </c>
      <c r="J668" s="3">
        <f>parking_demand_data_2024_ver0!I668</f>
        <v>1</v>
      </c>
      <c r="K668" s="3">
        <f>parking_demand_data_2024_ver0!J668</f>
        <v>0</v>
      </c>
      <c r="L668" s="3">
        <f>parking_demand_data_2024_ver0!K668</f>
        <v>0</v>
      </c>
      <c r="M668" s="3">
        <f>parking_demand_data_2024_ver0!L668</f>
        <v>0</v>
      </c>
      <c r="N668" s="3">
        <f>parking_demand_data_2024_ver0!M668</f>
        <v>18</v>
      </c>
      <c r="O668" s="3">
        <f>parking_demand_data_2024_ver0!N668</f>
        <v>0</v>
      </c>
      <c r="P668" s="3">
        <f>parking_demand_data_2024_ver0!O668</f>
        <v>0</v>
      </c>
      <c r="Q668" s="3">
        <f>parking_demand_data_2024_ver0!P668</f>
        <v>18</v>
      </c>
      <c r="R668" s="3">
        <f>parking_demand_data_2024_ver0!Q668</f>
        <v>0</v>
      </c>
      <c r="S668" s="3">
        <f>parking_demand_data_2024_ver0!R668</f>
        <v>0</v>
      </c>
      <c r="T668" s="3">
        <f>parking_demand_data_2024_ver0!S668</f>
        <v>0</v>
      </c>
    </row>
    <row r="669" spans="1:20" x14ac:dyDescent="0.25">
      <c r="A669">
        <v>18055</v>
      </c>
      <c r="B669" t="s">
        <v>56</v>
      </c>
      <c r="C669">
        <v>19</v>
      </c>
      <c r="D669" s="3">
        <f>parking_demand_data_2024_ver0!D669*calibration!$I$31</f>
        <v>0.60624114347685099</v>
      </c>
      <c r="E669" s="3">
        <f>parking_demand_data_2024_ver0!E669*calibration!$I$31</f>
        <v>2.1976241451035801</v>
      </c>
      <c r="F669" s="3">
        <f t="shared" si="10"/>
        <v>2.8038652885804312</v>
      </c>
      <c r="G669" s="3">
        <f>parking_demand_data_2024_ver0!F669</f>
        <v>1</v>
      </c>
      <c r="H669" s="3">
        <f>parking_demand_data_2024_ver0!G669</f>
        <v>0</v>
      </c>
      <c r="I669" s="3">
        <f>parking_demand_data_2024_ver0!H669</f>
        <v>0</v>
      </c>
      <c r="J669" s="3">
        <f>parking_demand_data_2024_ver0!I669</f>
        <v>1</v>
      </c>
      <c r="K669" s="3">
        <f>parking_demand_data_2024_ver0!J669</f>
        <v>0</v>
      </c>
      <c r="L669" s="3">
        <f>parking_demand_data_2024_ver0!K669</f>
        <v>0</v>
      </c>
      <c r="M669" s="3">
        <f>parking_demand_data_2024_ver0!L669</f>
        <v>0</v>
      </c>
      <c r="N669" s="3">
        <f>parking_demand_data_2024_ver0!M669</f>
        <v>18</v>
      </c>
      <c r="O669" s="3">
        <f>parking_demand_data_2024_ver0!N669</f>
        <v>0</v>
      </c>
      <c r="P669" s="3">
        <f>parking_demand_data_2024_ver0!O669</f>
        <v>0</v>
      </c>
      <c r="Q669" s="3">
        <f>parking_demand_data_2024_ver0!P669</f>
        <v>18</v>
      </c>
      <c r="R669" s="3">
        <f>parking_demand_data_2024_ver0!Q669</f>
        <v>0</v>
      </c>
      <c r="S669" s="3">
        <f>parking_demand_data_2024_ver0!R669</f>
        <v>0</v>
      </c>
      <c r="T669" s="3">
        <f>parking_demand_data_2024_ver0!S669</f>
        <v>0</v>
      </c>
    </row>
    <row r="670" spans="1:20" x14ac:dyDescent="0.25">
      <c r="A670">
        <v>18055</v>
      </c>
      <c r="B670" t="s">
        <v>56</v>
      </c>
      <c r="C670">
        <v>20</v>
      </c>
      <c r="D670" s="3">
        <f>parking_demand_data_2024_ver0!D670*calibration!$I$31</f>
        <v>0.68202128641145698</v>
      </c>
      <c r="E670" s="3">
        <f>parking_demand_data_2024_ver0!E670*calibration!$I$31</f>
        <v>2.3491844309727901</v>
      </c>
      <c r="F670" s="3">
        <f t="shared" si="10"/>
        <v>3.031205717384247</v>
      </c>
      <c r="G670" s="3">
        <f>parking_demand_data_2024_ver0!F670</f>
        <v>1</v>
      </c>
      <c r="H670" s="3">
        <f>parking_demand_data_2024_ver0!G670</f>
        <v>0</v>
      </c>
      <c r="I670" s="3">
        <f>parking_demand_data_2024_ver0!H670</f>
        <v>0</v>
      </c>
      <c r="J670" s="3">
        <f>parking_demand_data_2024_ver0!I670</f>
        <v>1</v>
      </c>
      <c r="K670" s="3">
        <f>parking_demand_data_2024_ver0!J670</f>
        <v>0</v>
      </c>
      <c r="L670" s="3">
        <f>parking_demand_data_2024_ver0!K670</f>
        <v>0</v>
      </c>
      <c r="M670" s="3">
        <f>parking_demand_data_2024_ver0!L670</f>
        <v>0</v>
      </c>
      <c r="N670" s="3">
        <f>parking_demand_data_2024_ver0!M670</f>
        <v>18</v>
      </c>
      <c r="O670" s="3">
        <f>parking_demand_data_2024_ver0!N670</f>
        <v>0</v>
      </c>
      <c r="P670" s="3">
        <f>parking_demand_data_2024_ver0!O670</f>
        <v>0</v>
      </c>
      <c r="Q670" s="3">
        <f>parking_demand_data_2024_ver0!P670</f>
        <v>18</v>
      </c>
      <c r="R670" s="3">
        <f>parking_demand_data_2024_ver0!Q670</f>
        <v>0</v>
      </c>
      <c r="S670" s="3">
        <f>parking_demand_data_2024_ver0!R670</f>
        <v>0</v>
      </c>
      <c r="T670" s="3">
        <f>parking_demand_data_2024_ver0!S670</f>
        <v>0</v>
      </c>
    </row>
    <row r="671" spans="1:20" x14ac:dyDescent="0.25">
      <c r="A671">
        <v>18055</v>
      </c>
      <c r="B671" t="s">
        <v>56</v>
      </c>
      <c r="C671">
        <v>21</v>
      </c>
      <c r="D671" s="3">
        <f>parking_demand_data_2024_ver0!D671*calibration!$I$31</f>
        <v>0.71991135787876004</v>
      </c>
      <c r="E671" s="3">
        <f>parking_demand_data_2024_ver0!E671*calibration!$I$31</f>
        <v>3.1827660032534602</v>
      </c>
      <c r="F671" s="3">
        <f t="shared" si="10"/>
        <v>3.9026773611322203</v>
      </c>
      <c r="G671" s="3">
        <f>parking_demand_data_2024_ver0!F671</f>
        <v>1</v>
      </c>
      <c r="H671" s="3">
        <f>parking_demand_data_2024_ver0!G671</f>
        <v>0</v>
      </c>
      <c r="I671" s="3">
        <f>parking_demand_data_2024_ver0!H671</f>
        <v>0</v>
      </c>
      <c r="J671" s="3">
        <f>parking_demand_data_2024_ver0!I671</f>
        <v>1</v>
      </c>
      <c r="K671" s="3">
        <f>parking_demand_data_2024_ver0!J671</f>
        <v>0</v>
      </c>
      <c r="L671" s="3">
        <f>parking_demand_data_2024_ver0!K671</f>
        <v>0</v>
      </c>
      <c r="M671" s="3">
        <f>parking_demand_data_2024_ver0!L671</f>
        <v>0</v>
      </c>
      <c r="N671" s="3">
        <f>parking_demand_data_2024_ver0!M671</f>
        <v>18</v>
      </c>
      <c r="O671" s="3">
        <f>parking_demand_data_2024_ver0!N671</f>
        <v>0</v>
      </c>
      <c r="P671" s="3">
        <f>parking_demand_data_2024_ver0!O671</f>
        <v>0</v>
      </c>
      <c r="Q671" s="3">
        <f>parking_demand_data_2024_ver0!P671</f>
        <v>18</v>
      </c>
      <c r="R671" s="3">
        <f>parking_demand_data_2024_ver0!Q671</f>
        <v>0</v>
      </c>
      <c r="S671" s="3">
        <f>parking_demand_data_2024_ver0!R671</f>
        <v>0</v>
      </c>
      <c r="T671" s="3">
        <f>parking_demand_data_2024_ver0!S671</f>
        <v>0</v>
      </c>
    </row>
    <row r="672" spans="1:20" x14ac:dyDescent="0.25">
      <c r="A672">
        <v>18055</v>
      </c>
      <c r="B672" t="s">
        <v>56</v>
      </c>
      <c r="C672">
        <v>22</v>
      </c>
      <c r="D672" s="3">
        <f>parking_demand_data_2024_ver0!D672*calibration!$I$31</f>
        <v>0.75780142934606398</v>
      </c>
      <c r="E672" s="3">
        <f>parking_demand_data_2024_ver0!E672*calibration!$I$31</f>
        <v>3.7890071467303099</v>
      </c>
      <c r="F672" s="3">
        <f t="shared" si="10"/>
        <v>4.5468085760763737</v>
      </c>
      <c r="G672" s="3">
        <f>parking_demand_data_2024_ver0!F672</f>
        <v>1</v>
      </c>
      <c r="H672" s="3">
        <f>parking_demand_data_2024_ver0!G672</f>
        <v>0</v>
      </c>
      <c r="I672" s="3">
        <f>parking_demand_data_2024_ver0!H672</f>
        <v>0</v>
      </c>
      <c r="J672" s="3">
        <f>parking_demand_data_2024_ver0!I672</f>
        <v>1</v>
      </c>
      <c r="K672" s="3">
        <f>parking_demand_data_2024_ver0!J672</f>
        <v>0</v>
      </c>
      <c r="L672" s="3">
        <f>parking_demand_data_2024_ver0!K672</f>
        <v>0</v>
      </c>
      <c r="M672" s="3">
        <f>parking_demand_data_2024_ver0!L672</f>
        <v>0</v>
      </c>
      <c r="N672" s="3">
        <f>parking_demand_data_2024_ver0!M672</f>
        <v>18</v>
      </c>
      <c r="O672" s="3">
        <f>parking_demand_data_2024_ver0!N672</f>
        <v>0</v>
      </c>
      <c r="P672" s="3">
        <f>parking_demand_data_2024_ver0!O672</f>
        <v>0</v>
      </c>
      <c r="Q672" s="3">
        <f>parking_demand_data_2024_ver0!P672</f>
        <v>18</v>
      </c>
      <c r="R672" s="3">
        <f>parking_demand_data_2024_ver0!Q672</f>
        <v>0</v>
      </c>
      <c r="S672" s="3">
        <f>parking_demand_data_2024_ver0!R672</f>
        <v>0</v>
      </c>
      <c r="T672" s="3">
        <f>parking_demand_data_2024_ver0!S672</f>
        <v>0</v>
      </c>
    </row>
    <row r="673" spans="1:20" x14ac:dyDescent="0.25">
      <c r="A673">
        <v>18055</v>
      </c>
      <c r="B673" t="s">
        <v>56</v>
      </c>
      <c r="C673">
        <v>23</v>
      </c>
      <c r="D673" s="3">
        <f>parking_demand_data_2024_ver0!D673*calibration!$I$31</f>
        <v>1.0230319296171799</v>
      </c>
      <c r="E673" s="3">
        <f>parking_demand_data_2024_ver0!E673*calibration!$I$31</f>
        <v>5.1530497195532297</v>
      </c>
      <c r="F673" s="3">
        <f t="shared" si="10"/>
        <v>6.1760816491704098</v>
      </c>
      <c r="G673" s="3">
        <f>parking_demand_data_2024_ver0!F673</f>
        <v>1</v>
      </c>
      <c r="H673" s="3">
        <f>parking_demand_data_2024_ver0!G673</f>
        <v>0</v>
      </c>
      <c r="I673" s="3">
        <f>parking_demand_data_2024_ver0!H673</f>
        <v>0</v>
      </c>
      <c r="J673" s="3">
        <f>parking_demand_data_2024_ver0!I673</f>
        <v>1</v>
      </c>
      <c r="K673" s="3">
        <f>parking_demand_data_2024_ver0!J673</f>
        <v>0</v>
      </c>
      <c r="L673" s="3">
        <f>parking_demand_data_2024_ver0!K673</f>
        <v>0</v>
      </c>
      <c r="M673" s="3">
        <f>parking_demand_data_2024_ver0!L673</f>
        <v>0</v>
      </c>
      <c r="N673" s="3">
        <f>parking_demand_data_2024_ver0!M673</f>
        <v>18</v>
      </c>
      <c r="O673" s="3">
        <f>parking_demand_data_2024_ver0!N673</f>
        <v>0</v>
      </c>
      <c r="P673" s="3">
        <f>parking_demand_data_2024_ver0!O673</f>
        <v>0</v>
      </c>
      <c r="Q673" s="3">
        <f>parking_demand_data_2024_ver0!P673</f>
        <v>18</v>
      </c>
      <c r="R673" s="3">
        <f>parking_demand_data_2024_ver0!Q673</f>
        <v>0</v>
      </c>
      <c r="S673" s="3">
        <f>parking_demand_data_2024_ver0!R673</f>
        <v>0</v>
      </c>
      <c r="T673" s="3">
        <f>parking_demand_data_2024_ver0!S673</f>
        <v>0</v>
      </c>
    </row>
    <row r="674" spans="1:20" x14ac:dyDescent="0.25">
      <c r="A674">
        <v>18057</v>
      </c>
      <c r="B674" t="s">
        <v>57</v>
      </c>
      <c r="C674">
        <v>0</v>
      </c>
      <c r="D674" s="3">
        <f>parking_demand_data_2024_ver0!D674*calibration!$I$31</f>
        <v>10.3426027483425</v>
      </c>
      <c r="E674" s="3">
        <f>parking_demand_data_2024_ver0!E674*calibration!$I$31</f>
        <v>4.6963859418494103</v>
      </c>
      <c r="F674" s="3">
        <f t="shared" si="10"/>
        <v>15.038988690191911</v>
      </c>
      <c r="G674" s="3">
        <f>parking_demand_data_2024_ver0!F674</f>
        <v>1</v>
      </c>
      <c r="H674" s="3">
        <f>parking_demand_data_2024_ver0!G674</f>
        <v>0</v>
      </c>
      <c r="I674" s="3">
        <f>parking_demand_data_2024_ver0!H674</f>
        <v>0</v>
      </c>
      <c r="J674" s="3">
        <f>parking_demand_data_2024_ver0!I674</f>
        <v>1</v>
      </c>
      <c r="K674" s="3">
        <f>parking_demand_data_2024_ver0!J674</f>
        <v>0</v>
      </c>
      <c r="L674" s="3">
        <f>parking_demand_data_2024_ver0!K674</f>
        <v>0</v>
      </c>
      <c r="M674" s="3">
        <f>parking_demand_data_2024_ver0!L674</f>
        <v>0</v>
      </c>
      <c r="N674" s="3">
        <f>parking_demand_data_2024_ver0!M674</f>
        <v>20</v>
      </c>
      <c r="O674" s="3">
        <f>parking_demand_data_2024_ver0!N674</f>
        <v>0</v>
      </c>
      <c r="P674" s="3">
        <f>parking_demand_data_2024_ver0!O674</f>
        <v>0</v>
      </c>
      <c r="Q674" s="3">
        <f>parking_demand_data_2024_ver0!P674</f>
        <v>20</v>
      </c>
      <c r="R674" s="3">
        <f>parking_demand_data_2024_ver0!Q674</f>
        <v>0</v>
      </c>
      <c r="S674" s="3">
        <f>parking_demand_data_2024_ver0!R674</f>
        <v>0</v>
      </c>
      <c r="T674" s="3">
        <f>parking_demand_data_2024_ver0!S674</f>
        <v>0</v>
      </c>
    </row>
    <row r="675" spans="1:20" x14ac:dyDescent="0.25">
      <c r="A675">
        <v>18057</v>
      </c>
      <c r="B675" t="s">
        <v>57</v>
      </c>
      <c r="C675">
        <v>1</v>
      </c>
      <c r="D675" s="3">
        <f>parking_demand_data_2024_ver0!D675*calibration!$I$31</f>
        <v>10.6592130365571</v>
      </c>
      <c r="E675" s="3">
        <f>parking_demand_data_2024_ver0!E675*calibration!$I$31</f>
        <v>4.4853124163730396</v>
      </c>
      <c r="F675" s="3">
        <f t="shared" si="10"/>
        <v>15.144525452930139</v>
      </c>
      <c r="G675" s="3">
        <f>parking_demand_data_2024_ver0!F675</f>
        <v>1</v>
      </c>
      <c r="H675" s="3">
        <f>parking_demand_data_2024_ver0!G675</f>
        <v>0</v>
      </c>
      <c r="I675" s="3">
        <f>parking_demand_data_2024_ver0!H675</f>
        <v>0</v>
      </c>
      <c r="J675" s="3">
        <f>parking_demand_data_2024_ver0!I675</f>
        <v>1</v>
      </c>
      <c r="K675" s="3">
        <f>parking_demand_data_2024_ver0!J675</f>
        <v>0</v>
      </c>
      <c r="L675" s="3">
        <f>parking_demand_data_2024_ver0!K675</f>
        <v>0</v>
      </c>
      <c r="M675" s="3">
        <f>parking_demand_data_2024_ver0!L675</f>
        <v>0</v>
      </c>
      <c r="N675" s="3">
        <f>parking_demand_data_2024_ver0!M675</f>
        <v>20</v>
      </c>
      <c r="O675" s="3">
        <f>parking_demand_data_2024_ver0!N675</f>
        <v>0</v>
      </c>
      <c r="P675" s="3">
        <f>parking_demand_data_2024_ver0!O675</f>
        <v>0</v>
      </c>
      <c r="Q675" s="3">
        <f>parking_demand_data_2024_ver0!P675</f>
        <v>20</v>
      </c>
      <c r="R675" s="3">
        <f>parking_demand_data_2024_ver0!Q675</f>
        <v>0</v>
      </c>
      <c r="S675" s="3">
        <f>parking_demand_data_2024_ver0!R675</f>
        <v>0</v>
      </c>
      <c r="T675" s="3">
        <f>parking_demand_data_2024_ver0!S675</f>
        <v>0</v>
      </c>
    </row>
    <row r="676" spans="1:20" x14ac:dyDescent="0.25">
      <c r="A676">
        <v>18057</v>
      </c>
      <c r="B676" t="s">
        <v>57</v>
      </c>
      <c r="C676">
        <v>2</v>
      </c>
      <c r="D676" s="3">
        <f>parking_demand_data_2024_ver0!D676*calibration!$I$31</f>
        <v>10.553676273818899</v>
      </c>
      <c r="E676" s="3">
        <f>parking_demand_data_2024_ver0!E676*calibration!$I$31</f>
        <v>4.4853124163730396</v>
      </c>
      <c r="F676" s="3">
        <f t="shared" si="10"/>
        <v>15.038988690191939</v>
      </c>
      <c r="G676" s="3">
        <f>parking_demand_data_2024_ver0!F676</f>
        <v>1</v>
      </c>
      <c r="H676" s="3">
        <f>parking_demand_data_2024_ver0!G676</f>
        <v>0</v>
      </c>
      <c r="I676" s="3">
        <f>parking_demand_data_2024_ver0!H676</f>
        <v>0</v>
      </c>
      <c r="J676" s="3">
        <f>parking_demand_data_2024_ver0!I676</f>
        <v>1</v>
      </c>
      <c r="K676" s="3">
        <f>parking_demand_data_2024_ver0!J676</f>
        <v>0</v>
      </c>
      <c r="L676" s="3">
        <f>parking_demand_data_2024_ver0!K676</f>
        <v>0</v>
      </c>
      <c r="M676" s="3">
        <f>parking_demand_data_2024_ver0!L676</f>
        <v>0</v>
      </c>
      <c r="N676" s="3">
        <f>parking_demand_data_2024_ver0!M676</f>
        <v>20</v>
      </c>
      <c r="O676" s="3">
        <f>parking_demand_data_2024_ver0!N676</f>
        <v>0</v>
      </c>
      <c r="P676" s="3">
        <f>parking_demand_data_2024_ver0!O676</f>
        <v>0</v>
      </c>
      <c r="Q676" s="3">
        <f>parking_demand_data_2024_ver0!P676</f>
        <v>20</v>
      </c>
      <c r="R676" s="3">
        <f>parking_demand_data_2024_ver0!Q676</f>
        <v>0</v>
      </c>
      <c r="S676" s="3">
        <f>parking_demand_data_2024_ver0!R676</f>
        <v>0</v>
      </c>
      <c r="T676" s="3">
        <f>parking_demand_data_2024_ver0!S676</f>
        <v>0</v>
      </c>
    </row>
    <row r="677" spans="1:20" x14ac:dyDescent="0.25">
      <c r="A677">
        <v>18057</v>
      </c>
      <c r="B677" t="s">
        <v>57</v>
      </c>
      <c r="C677">
        <v>3</v>
      </c>
      <c r="D677" s="3">
        <f>parking_demand_data_2024_ver0!D677*calibration!$I$31</f>
        <v>10.7119814179262</v>
      </c>
      <c r="E677" s="3">
        <f>parking_demand_data_2024_ver0!E677*calibration!$I$31</f>
        <v>4.7491543232185096</v>
      </c>
      <c r="F677" s="3">
        <f t="shared" si="10"/>
        <v>15.461135741144709</v>
      </c>
      <c r="G677" s="3">
        <f>parking_demand_data_2024_ver0!F677</f>
        <v>1</v>
      </c>
      <c r="H677" s="3">
        <f>parking_demand_data_2024_ver0!G677</f>
        <v>0</v>
      </c>
      <c r="I677" s="3">
        <f>parking_demand_data_2024_ver0!H677</f>
        <v>0</v>
      </c>
      <c r="J677" s="3">
        <f>parking_demand_data_2024_ver0!I677</f>
        <v>1</v>
      </c>
      <c r="K677" s="3">
        <f>parking_demand_data_2024_ver0!J677</f>
        <v>0</v>
      </c>
      <c r="L677" s="3">
        <f>parking_demand_data_2024_ver0!K677</f>
        <v>0</v>
      </c>
      <c r="M677" s="3">
        <f>parking_demand_data_2024_ver0!L677</f>
        <v>0</v>
      </c>
      <c r="N677" s="3">
        <f>parking_demand_data_2024_ver0!M677</f>
        <v>20</v>
      </c>
      <c r="O677" s="3">
        <f>parking_demand_data_2024_ver0!N677</f>
        <v>0</v>
      </c>
      <c r="P677" s="3">
        <f>parking_demand_data_2024_ver0!O677</f>
        <v>0</v>
      </c>
      <c r="Q677" s="3">
        <f>parking_demand_data_2024_ver0!P677</f>
        <v>20</v>
      </c>
      <c r="R677" s="3">
        <f>parking_demand_data_2024_ver0!Q677</f>
        <v>0</v>
      </c>
      <c r="S677" s="3">
        <f>parking_demand_data_2024_ver0!R677</f>
        <v>0</v>
      </c>
      <c r="T677" s="3">
        <f>parking_demand_data_2024_ver0!S677</f>
        <v>0</v>
      </c>
    </row>
    <row r="678" spans="1:20" x14ac:dyDescent="0.25">
      <c r="A678">
        <v>18057</v>
      </c>
      <c r="B678" t="s">
        <v>57</v>
      </c>
      <c r="C678">
        <v>4</v>
      </c>
      <c r="D678" s="3">
        <f>parking_demand_data_2024_ver0!D678*calibration!$I$31</f>
        <v>10.817518180664299</v>
      </c>
      <c r="E678" s="3">
        <f>parking_demand_data_2024_ver0!E678*calibration!$I$31</f>
        <v>5.4879116623858302</v>
      </c>
      <c r="F678" s="3">
        <f t="shared" si="10"/>
        <v>16.305429843050128</v>
      </c>
      <c r="G678" s="3">
        <f>parking_demand_data_2024_ver0!F678</f>
        <v>1</v>
      </c>
      <c r="H678" s="3">
        <f>parking_demand_data_2024_ver0!G678</f>
        <v>0</v>
      </c>
      <c r="I678" s="3">
        <f>parking_demand_data_2024_ver0!H678</f>
        <v>0</v>
      </c>
      <c r="J678" s="3">
        <f>parking_demand_data_2024_ver0!I678</f>
        <v>1</v>
      </c>
      <c r="K678" s="3">
        <f>parking_demand_data_2024_ver0!J678</f>
        <v>0</v>
      </c>
      <c r="L678" s="3">
        <f>parking_demand_data_2024_ver0!K678</f>
        <v>0</v>
      </c>
      <c r="M678" s="3">
        <f>parking_demand_data_2024_ver0!L678</f>
        <v>0</v>
      </c>
      <c r="N678" s="3">
        <f>parking_demand_data_2024_ver0!M678</f>
        <v>20</v>
      </c>
      <c r="O678" s="3">
        <f>parking_demand_data_2024_ver0!N678</f>
        <v>0</v>
      </c>
      <c r="P678" s="3">
        <f>parking_demand_data_2024_ver0!O678</f>
        <v>0</v>
      </c>
      <c r="Q678" s="3">
        <f>parking_demand_data_2024_ver0!P678</f>
        <v>20</v>
      </c>
      <c r="R678" s="3">
        <f>parking_demand_data_2024_ver0!Q678</f>
        <v>0</v>
      </c>
      <c r="S678" s="3">
        <f>parking_demand_data_2024_ver0!R678</f>
        <v>0</v>
      </c>
      <c r="T678" s="3">
        <f>parking_demand_data_2024_ver0!S678</f>
        <v>0</v>
      </c>
    </row>
    <row r="679" spans="1:20" x14ac:dyDescent="0.25">
      <c r="A679">
        <v>18057</v>
      </c>
      <c r="B679" t="s">
        <v>57</v>
      </c>
      <c r="C679">
        <v>5</v>
      </c>
      <c r="D679" s="3">
        <f>parking_demand_data_2024_ver0!D679*calibration!$I$31</f>
        <v>10.817518180664299</v>
      </c>
      <c r="E679" s="3">
        <f>parking_demand_data_2024_ver0!E679*calibration!$I$31</f>
        <v>6.3322057642913503</v>
      </c>
      <c r="F679" s="3">
        <f t="shared" si="10"/>
        <v>17.14972394495565</v>
      </c>
      <c r="G679" s="3">
        <f>parking_demand_data_2024_ver0!F679</f>
        <v>1</v>
      </c>
      <c r="H679" s="3">
        <f>parking_demand_data_2024_ver0!G679</f>
        <v>0</v>
      </c>
      <c r="I679" s="3">
        <f>parking_demand_data_2024_ver0!H679</f>
        <v>0</v>
      </c>
      <c r="J679" s="3">
        <f>parking_demand_data_2024_ver0!I679</f>
        <v>1</v>
      </c>
      <c r="K679" s="3">
        <f>parking_demand_data_2024_ver0!J679</f>
        <v>0</v>
      </c>
      <c r="L679" s="3">
        <f>parking_demand_data_2024_ver0!K679</f>
        <v>0</v>
      </c>
      <c r="M679" s="3">
        <f>parking_demand_data_2024_ver0!L679</f>
        <v>0</v>
      </c>
      <c r="N679" s="3">
        <f>parking_demand_data_2024_ver0!M679</f>
        <v>20</v>
      </c>
      <c r="O679" s="3">
        <f>parking_demand_data_2024_ver0!N679</f>
        <v>0</v>
      </c>
      <c r="P679" s="3">
        <f>parking_demand_data_2024_ver0!O679</f>
        <v>0</v>
      </c>
      <c r="Q679" s="3">
        <f>parking_demand_data_2024_ver0!P679</f>
        <v>20</v>
      </c>
      <c r="R679" s="3">
        <f>parking_demand_data_2024_ver0!Q679</f>
        <v>0</v>
      </c>
      <c r="S679" s="3">
        <f>parking_demand_data_2024_ver0!R679</f>
        <v>0</v>
      </c>
      <c r="T679" s="3">
        <f>parking_demand_data_2024_ver0!S679</f>
        <v>0</v>
      </c>
    </row>
    <row r="680" spans="1:20" x14ac:dyDescent="0.25">
      <c r="A680">
        <v>18057</v>
      </c>
      <c r="B680" t="s">
        <v>57</v>
      </c>
      <c r="C680">
        <v>6</v>
      </c>
      <c r="D680" s="3">
        <f>parking_demand_data_2024_ver0!D680*calibration!$I$31</f>
        <v>10.7647497992953</v>
      </c>
      <c r="E680" s="3">
        <f>parking_demand_data_2024_ver0!E680*calibration!$I$31</f>
        <v>7.1764998661968598</v>
      </c>
      <c r="F680" s="3">
        <f t="shared" si="10"/>
        <v>17.941249665492158</v>
      </c>
      <c r="G680" s="3">
        <f>parking_demand_data_2024_ver0!F680</f>
        <v>1</v>
      </c>
      <c r="H680" s="3">
        <f>parking_demand_data_2024_ver0!G680</f>
        <v>0</v>
      </c>
      <c r="I680" s="3">
        <f>parking_demand_data_2024_ver0!H680</f>
        <v>0</v>
      </c>
      <c r="J680" s="3">
        <f>parking_demand_data_2024_ver0!I680</f>
        <v>1</v>
      </c>
      <c r="K680" s="3">
        <f>parking_demand_data_2024_ver0!J680</f>
        <v>0</v>
      </c>
      <c r="L680" s="3">
        <f>parking_demand_data_2024_ver0!K680</f>
        <v>0</v>
      </c>
      <c r="M680" s="3">
        <f>parking_demand_data_2024_ver0!L680</f>
        <v>0</v>
      </c>
      <c r="N680" s="3">
        <f>parking_demand_data_2024_ver0!M680</f>
        <v>20</v>
      </c>
      <c r="O680" s="3">
        <f>parking_demand_data_2024_ver0!N680</f>
        <v>0</v>
      </c>
      <c r="P680" s="3">
        <f>parking_demand_data_2024_ver0!O680</f>
        <v>0</v>
      </c>
      <c r="Q680" s="3">
        <f>parking_demand_data_2024_ver0!P680</f>
        <v>20</v>
      </c>
      <c r="R680" s="3">
        <f>parking_demand_data_2024_ver0!Q680</f>
        <v>0</v>
      </c>
      <c r="S680" s="3">
        <f>parking_demand_data_2024_ver0!R680</f>
        <v>0</v>
      </c>
      <c r="T680" s="3">
        <f>parking_demand_data_2024_ver0!S680</f>
        <v>0</v>
      </c>
    </row>
    <row r="681" spans="1:20" x14ac:dyDescent="0.25">
      <c r="A681">
        <v>18057</v>
      </c>
      <c r="B681" t="s">
        <v>57</v>
      </c>
      <c r="C681">
        <v>7</v>
      </c>
      <c r="D681" s="3">
        <f>parking_demand_data_2024_ver0!D681*calibration!$I$31</f>
        <v>9.3400035023297399</v>
      </c>
      <c r="E681" s="3">
        <f>parking_demand_data_2024_ver0!E681*calibration!$I$31</f>
        <v>6.9654263407204802</v>
      </c>
      <c r="F681" s="3">
        <f t="shared" si="10"/>
        <v>16.30542984305022</v>
      </c>
      <c r="G681" s="3">
        <f>parking_demand_data_2024_ver0!F681</f>
        <v>1</v>
      </c>
      <c r="H681" s="3">
        <f>parking_demand_data_2024_ver0!G681</f>
        <v>0</v>
      </c>
      <c r="I681" s="3">
        <f>parking_demand_data_2024_ver0!H681</f>
        <v>0</v>
      </c>
      <c r="J681" s="3">
        <f>parking_demand_data_2024_ver0!I681</f>
        <v>1</v>
      </c>
      <c r="K681" s="3">
        <f>parking_demand_data_2024_ver0!J681</f>
        <v>0</v>
      </c>
      <c r="L681" s="3">
        <f>parking_demand_data_2024_ver0!K681</f>
        <v>0</v>
      </c>
      <c r="M681" s="3">
        <f>parking_demand_data_2024_ver0!L681</f>
        <v>0</v>
      </c>
      <c r="N681" s="3">
        <f>parking_demand_data_2024_ver0!M681</f>
        <v>20</v>
      </c>
      <c r="O681" s="3">
        <f>parking_demand_data_2024_ver0!N681</f>
        <v>0</v>
      </c>
      <c r="P681" s="3">
        <f>parking_demand_data_2024_ver0!O681</f>
        <v>0</v>
      </c>
      <c r="Q681" s="3">
        <f>parking_demand_data_2024_ver0!P681</f>
        <v>20</v>
      </c>
      <c r="R681" s="3">
        <f>parking_demand_data_2024_ver0!Q681</f>
        <v>0</v>
      </c>
      <c r="S681" s="3">
        <f>parking_demand_data_2024_ver0!R681</f>
        <v>0</v>
      </c>
      <c r="T681" s="3">
        <f>parking_demand_data_2024_ver0!S681</f>
        <v>0</v>
      </c>
    </row>
    <row r="682" spans="1:20" x14ac:dyDescent="0.25">
      <c r="A682">
        <v>18057</v>
      </c>
      <c r="B682" t="s">
        <v>57</v>
      </c>
      <c r="C682">
        <v>8</v>
      </c>
      <c r="D682" s="3">
        <f>parking_demand_data_2024_ver0!D682*calibration!$I$31</f>
        <v>7.1764998661968598</v>
      </c>
      <c r="E682" s="3">
        <f>parking_demand_data_2024_ver0!E682*calibration!$I$31</f>
        <v>7.5986469171496198</v>
      </c>
      <c r="F682" s="3">
        <f t="shared" si="10"/>
        <v>14.775146783346479</v>
      </c>
      <c r="G682" s="3">
        <f>parking_demand_data_2024_ver0!F682</f>
        <v>1</v>
      </c>
      <c r="H682" s="3">
        <f>parking_demand_data_2024_ver0!G682</f>
        <v>0</v>
      </c>
      <c r="I682" s="3">
        <f>parking_demand_data_2024_ver0!H682</f>
        <v>0</v>
      </c>
      <c r="J682" s="3">
        <f>parking_demand_data_2024_ver0!I682</f>
        <v>1</v>
      </c>
      <c r="K682" s="3">
        <f>parking_demand_data_2024_ver0!J682</f>
        <v>0</v>
      </c>
      <c r="L682" s="3">
        <f>parking_demand_data_2024_ver0!K682</f>
        <v>0</v>
      </c>
      <c r="M682" s="3">
        <f>parking_demand_data_2024_ver0!L682</f>
        <v>0</v>
      </c>
      <c r="N682" s="3">
        <f>parking_demand_data_2024_ver0!M682</f>
        <v>20</v>
      </c>
      <c r="O682" s="3">
        <f>parking_demand_data_2024_ver0!N682</f>
        <v>0</v>
      </c>
      <c r="P682" s="3">
        <f>parking_demand_data_2024_ver0!O682</f>
        <v>0</v>
      </c>
      <c r="Q682" s="3">
        <f>parking_demand_data_2024_ver0!P682</f>
        <v>20</v>
      </c>
      <c r="R682" s="3">
        <f>parking_demand_data_2024_ver0!Q682</f>
        <v>0</v>
      </c>
      <c r="S682" s="3">
        <f>parking_demand_data_2024_ver0!R682</f>
        <v>0</v>
      </c>
      <c r="T682" s="3">
        <f>parking_demand_data_2024_ver0!S682</f>
        <v>0</v>
      </c>
    </row>
    <row r="683" spans="1:20" x14ac:dyDescent="0.25">
      <c r="A683">
        <v>18057</v>
      </c>
      <c r="B683" t="s">
        <v>57</v>
      </c>
      <c r="C683">
        <v>9</v>
      </c>
      <c r="D683" s="3">
        <f>parking_demand_data_2024_ver0!D683*calibration!$I$31</f>
        <v>4.9074594673257899</v>
      </c>
      <c r="E683" s="3">
        <f>parking_demand_data_2024_ver0!E683*calibration!$I$31</f>
        <v>9.3927718836988294</v>
      </c>
      <c r="F683" s="3">
        <f t="shared" si="10"/>
        <v>14.300231351024619</v>
      </c>
      <c r="G683" s="3">
        <f>parking_demand_data_2024_ver0!F683</f>
        <v>1</v>
      </c>
      <c r="H683" s="3">
        <f>parking_demand_data_2024_ver0!G683</f>
        <v>0</v>
      </c>
      <c r="I683" s="3">
        <f>parking_demand_data_2024_ver0!H683</f>
        <v>0</v>
      </c>
      <c r="J683" s="3">
        <f>parking_demand_data_2024_ver0!I683</f>
        <v>1</v>
      </c>
      <c r="K683" s="3">
        <f>parking_demand_data_2024_ver0!J683</f>
        <v>0</v>
      </c>
      <c r="L683" s="3">
        <f>parking_demand_data_2024_ver0!K683</f>
        <v>0</v>
      </c>
      <c r="M683" s="3">
        <f>parking_demand_data_2024_ver0!L683</f>
        <v>0</v>
      </c>
      <c r="N683" s="3">
        <f>parking_demand_data_2024_ver0!M683</f>
        <v>20</v>
      </c>
      <c r="O683" s="3">
        <f>parking_demand_data_2024_ver0!N683</f>
        <v>0</v>
      </c>
      <c r="P683" s="3">
        <f>parking_demand_data_2024_ver0!O683</f>
        <v>0</v>
      </c>
      <c r="Q683" s="3">
        <f>parking_demand_data_2024_ver0!P683</f>
        <v>20</v>
      </c>
      <c r="R683" s="3">
        <f>parking_demand_data_2024_ver0!Q683</f>
        <v>0</v>
      </c>
      <c r="S683" s="3">
        <f>parking_demand_data_2024_ver0!R683</f>
        <v>0</v>
      </c>
      <c r="T683" s="3">
        <f>parking_demand_data_2024_ver0!S683</f>
        <v>0</v>
      </c>
    </row>
    <row r="684" spans="1:20" x14ac:dyDescent="0.25">
      <c r="A684">
        <v>18057</v>
      </c>
      <c r="B684" t="s">
        <v>57</v>
      </c>
      <c r="C684">
        <v>10</v>
      </c>
      <c r="D684" s="3">
        <f>parking_demand_data_2024_ver0!D684*calibration!$I$31</f>
        <v>3.8520918399438999</v>
      </c>
      <c r="E684" s="3">
        <f>parking_demand_data_2024_ver0!E684*calibration!$I$31</f>
        <v>15.988819554835599</v>
      </c>
      <c r="F684" s="3">
        <f t="shared" si="10"/>
        <v>19.8409113947795</v>
      </c>
      <c r="G684" s="3">
        <f>parking_demand_data_2024_ver0!F684</f>
        <v>1</v>
      </c>
      <c r="H684" s="3">
        <f>parking_demand_data_2024_ver0!G684</f>
        <v>0</v>
      </c>
      <c r="I684" s="3">
        <f>parking_demand_data_2024_ver0!H684</f>
        <v>0</v>
      </c>
      <c r="J684" s="3">
        <f>parking_demand_data_2024_ver0!I684</f>
        <v>1</v>
      </c>
      <c r="K684" s="3">
        <f>parking_demand_data_2024_ver0!J684</f>
        <v>0</v>
      </c>
      <c r="L684" s="3">
        <f>parking_demand_data_2024_ver0!K684</f>
        <v>0</v>
      </c>
      <c r="M684" s="3">
        <f>parking_demand_data_2024_ver0!L684</f>
        <v>0</v>
      </c>
      <c r="N684" s="3">
        <f>parking_demand_data_2024_ver0!M684</f>
        <v>20</v>
      </c>
      <c r="O684" s="3">
        <f>parking_demand_data_2024_ver0!N684</f>
        <v>0</v>
      </c>
      <c r="P684" s="3">
        <f>parking_demand_data_2024_ver0!O684</f>
        <v>0</v>
      </c>
      <c r="Q684" s="3">
        <f>parking_demand_data_2024_ver0!P684</f>
        <v>20</v>
      </c>
      <c r="R684" s="3">
        <f>parking_demand_data_2024_ver0!Q684</f>
        <v>0</v>
      </c>
      <c r="S684" s="3">
        <f>parking_demand_data_2024_ver0!R684</f>
        <v>0</v>
      </c>
      <c r="T684" s="3">
        <f>parking_demand_data_2024_ver0!S684</f>
        <v>0</v>
      </c>
    </row>
    <row r="685" spans="1:20" x14ac:dyDescent="0.25">
      <c r="A685">
        <v>18057</v>
      </c>
      <c r="B685" t="s">
        <v>57</v>
      </c>
      <c r="C685">
        <v>11</v>
      </c>
      <c r="D685" s="3">
        <f>parking_demand_data_2024_ver0!D685*calibration!$I$31</f>
        <v>2.7439558311929102</v>
      </c>
      <c r="E685" s="3">
        <f>parking_demand_data_2024_ver0!E685*calibration!$I$31</f>
        <v>10.870286562033399</v>
      </c>
      <c r="F685" s="3">
        <f t="shared" si="10"/>
        <v>13.614242393226309</v>
      </c>
      <c r="G685" s="3">
        <f>parking_demand_data_2024_ver0!F685</f>
        <v>1</v>
      </c>
      <c r="H685" s="3">
        <f>parking_demand_data_2024_ver0!G685</f>
        <v>0</v>
      </c>
      <c r="I685" s="3">
        <f>parking_demand_data_2024_ver0!H685</f>
        <v>0</v>
      </c>
      <c r="J685" s="3">
        <f>parking_demand_data_2024_ver0!I685</f>
        <v>1</v>
      </c>
      <c r="K685" s="3">
        <f>parking_demand_data_2024_ver0!J685</f>
        <v>0</v>
      </c>
      <c r="L685" s="3">
        <f>parking_demand_data_2024_ver0!K685</f>
        <v>0</v>
      </c>
      <c r="M685" s="3">
        <f>parking_demand_data_2024_ver0!L685</f>
        <v>0</v>
      </c>
      <c r="N685" s="3">
        <f>parking_demand_data_2024_ver0!M685</f>
        <v>20</v>
      </c>
      <c r="O685" s="3">
        <f>parking_demand_data_2024_ver0!N685</f>
        <v>0</v>
      </c>
      <c r="P685" s="3">
        <f>parking_demand_data_2024_ver0!O685</f>
        <v>0</v>
      </c>
      <c r="Q685" s="3">
        <f>parking_demand_data_2024_ver0!P685</f>
        <v>20</v>
      </c>
      <c r="R685" s="3">
        <f>parking_demand_data_2024_ver0!Q685</f>
        <v>0</v>
      </c>
      <c r="S685" s="3">
        <f>parking_demand_data_2024_ver0!R685</f>
        <v>0</v>
      </c>
      <c r="T685" s="3">
        <f>parking_demand_data_2024_ver0!S685</f>
        <v>0</v>
      </c>
    </row>
    <row r="686" spans="1:20" x14ac:dyDescent="0.25">
      <c r="A686">
        <v>18057</v>
      </c>
      <c r="B686" t="s">
        <v>57</v>
      </c>
      <c r="C686">
        <v>12</v>
      </c>
      <c r="D686" s="3">
        <f>parking_demand_data_2024_ver0!D686*calibration!$I$31</f>
        <v>2.2162720175019701</v>
      </c>
      <c r="E686" s="3">
        <f>parking_demand_data_2024_ver0!E686*calibration!$I$31</f>
        <v>9.9204556973897802</v>
      </c>
      <c r="F686" s="3">
        <f t="shared" si="10"/>
        <v>12.13672771489175</v>
      </c>
      <c r="G686" s="3">
        <f>parking_demand_data_2024_ver0!F686</f>
        <v>1</v>
      </c>
      <c r="H686" s="3">
        <f>parking_demand_data_2024_ver0!G686</f>
        <v>0</v>
      </c>
      <c r="I686" s="3">
        <f>parking_demand_data_2024_ver0!H686</f>
        <v>0</v>
      </c>
      <c r="J686" s="3">
        <f>parking_demand_data_2024_ver0!I686</f>
        <v>1</v>
      </c>
      <c r="K686" s="3">
        <f>parking_demand_data_2024_ver0!J686</f>
        <v>0</v>
      </c>
      <c r="L686" s="3">
        <f>parking_demand_data_2024_ver0!K686</f>
        <v>0</v>
      </c>
      <c r="M686" s="3">
        <f>parking_demand_data_2024_ver0!L686</f>
        <v>0</v>
      </c>
      <c r="N686" s="3">
        <f>parking_demand_data_2024_ver0!M686</f>
        <v>20</v>
      </c>
      <c r="O686" s="3">
        <f>parking_demand_data_2024_ver0!N686</f>
        <v>0</v>
      </c>
      <c r="P686" s="3">
        <f>parking_demand_data_2024_ver0!O686</f>
        <v>0</v>
      </c>
      <c r="Q686" s="3">
        <f>parking_demand_data_2024_ver0!P686</f>
        <v>20</v>
      </c>
      <c r="R686" s="3">
        <f>parking_demand_data_2024_ver0!Q686</f>
        <v>0</v>
      </c>
      <c r="S686" s="3">
        <f>parking_demand_data_2024_ver0!R686</f>
        <v>0</v>
      </c>
      <c r="T686" s="3">
        <f>parking_demand_data_2024_ver0!S686</f>
        <v>0</v>
      </c>
    </row>
    <row r="687" spans="1:20" x14ac:dyDescent="0.25">
      <c r="A687">
        <v>18057</v>
      </c>
      <c r="B687" t="s">
        <v>57</v>
      </c>
      <c r="C687">
        <v>13</v>
      </c>
      <c r="D687" s="3">
        <f>parking_demand_data_2024_ver0!D687*calibration!$I$31</f>
        <v>2.0579668733946801</v>
      </c>
      <c r="E687" s="3">
        <f>parking_demand_data_2024_ver0!E687*calibration!$I$31</f>
        <v>8.7067829259005993</v>
      </c>
      <c r="F687" s="3">
        <f t="shared" si="10"/>
        <v>10.764749799295279</v>
      </c>
      <c r="G687" s="3">
        <f>parking_demand_data_2024_ver0!F687</f>
        <v>1</v>
      </c>
      <c r="H687" s="3">
        <f>parking_demand_data_2024_ver0!G687</f>
        <v>0</v>
      </c>
      <c r="I687" s="3">
        <f>parking_demand_data_2024_ver0!H687</f>
        <v>0</v>
      </c>
      <c r="J687" s="3">
        <f>parking_demand_data_2024_ver0!I687</f>
        <v>1</v>
      </c>
      <c r="K687" s="3">
        <f>parking_demand_data_2024_ver0!J687</f>
        <v>0</v>
      </c>
      <c r="L687" s="3">
        <f>parking_demand_data_2024_ver0!K687</f>
        <v>0</v>
      </c>
      <c r="M687" s="3">
        <f>parking_demand_data_2024_ver0!L687</f>
        <v>0</v>
      </c>
      <c r="N687" s="3">
        <f>parking_demand_data_2024_ver0!M687</f>
        <v>20</v>
      </c>
      <c r="O687" s="3">
        <f>parking_demand_data_2024_ver0!N687</f>
        <v>0</v>
      </c>
      <c r="P687" s="3">
        <f>parking_demand_data_2024_ver0!O687</f>
        <v>0</v>
      </c>
      <c r="Q687" s="3">
        <f>parking_demand_data_2024_ver0!P687</f>
        <v>20</v>
      </c>
      <c r="R687" s="3">
        <f>parking_demand_data_2024_ver0!Q687</f>
        <v>0</v>
      </c>
      <c r="S687" s="3">
        <f>parking_demand_data_2024_ver0!R687</f>
        <v>0</v>
      </c>
      <c r="T687" s="3">
        <f>parking_demand_data_2024_ver0!S687</f>
        <v>0</v>
      </c>
    </row>
    <row r="688" spans="1:20" x14ac:dyDescent="0.25">
      <c r="A688">
        <v>18057</v>
      </c>
      <c r="B688" t="s">
        <v>57</v>
      </c>
      <c r="C688">
        <v>14</v>
      </c>
      <c r="D688" s="3">
        <f>parking_demand_data_2024_ver0!D688*calibration!$I$31</f>
        <v>2.3218087802401599</v>
      </c>
      <c r="E688" s="3">
        <f>parking_demand_data_2024_ver0!E688*calibration!$I$31</f>
        <v>5.5406800437549304</v>
      </c>
      <c r="F688" s="3">
        <f t="shared" si="10"/>
        <v>7.8624888239950899</v>
      </c>
      <c r="G688" s="3">
        <f>parking_demand_data_2024_ver0!F688</f>
        <v>1</v>
      </c>
      <c r="H688" s="3">
        <f>parking_demand_data_2024_ver0!G688</f>
        <v>0</v>
      </c>
      <c r="I688" s="3">
        <f>parking_demand_data_2024_ver0!H688</f>
        <v>0</v>
      </c>
      <c r="J688" s="3">
        <f>parking_demand_data_2024_ver0!I688</f>
        <v>1</v>
      </c>
      <c r="K688" s="3">
        <f>parking_demand_data_2024_ver0!J688</f>
        <v>0</v>
      </c>
      <c r="L688" s="3">
        <f>parking_demand_data_2024_ver0!K688</f>
        <v>0</v>
      </c>
      <c r="M688" s="3">
        <f>parking_demand_data_2024_ver0!L688</f>
        <v>0</v>
      </c>
      <c r="N688" s="3">
        <f>parking_demand_data_2024_ver0!M688</f>
        <v>20</v>
      </c>
      <c r="O688" s="3">
        <f>parking_demand_data_2024_ver0!N688</f>
        <v>0</v>
      </c>
      <c r="P688" s="3">
        <f>parking_demand_data_2024_ver0!O688</f>
        <v>0</v>
      </c>
      <c r="Q688" s="3">
        <f>parking_demand_data_2024_ver0!P688</f>
        <v>20</v>
      </c>
      <c r="R688" s="3">
        <f>parking_demand_data_2024_ver0!Q688</f>
        <v>0</v>
      </c>
      <c r="S688" s="3">
        <f>parking_demand_data_2024_ver0!R688</f>
        <v>0</v>
      </c>
      <c r="T688" s="3">
        <f>parking_demand_data_2024_ver0!S688</f>
        <v>0</v>
      </c>
    </row>
    <row r="689" spans="1:20" x14ac:dyDescent="0.25">
      <c r="A689">
        <v>18057</v>
      </c>
      <c r="B689" t="s">
        <v>57</v>
      </c>
      <c r="C689">
        <v>15</v>
      </c>
      <c r="D689" s="3">
        <f>parking_demand_data_2024_ver0!D689*calibration!$I$31</f>
        <v>2.3745771616092499</v>
      </c>
      <c r="E689" s="3">
        <f>parking_demand_data_2024_ver0!E689*calibration!$I$31</f>
        <v>3.4827131703602401</v>
      </c>
      <c r="F689" s="3">
        <f t="shared" si="10"/>
        <v>5.85729033196949</v>
      </c>
      <c r="G689" s="3">
        <f>parking_demand_data_2024_ver0!F689</f>
        <v>1</v>
      </c>
      <c r="H689" s="3">
        <f>parking_demand_data_2024_ver0!G689</f>
        <v>0</v>
      </c>
      <c r="I689" s="3">
        <f>parking_demand_data_2024_ver0!H689</f>
        <v>0</v>
      </c>
      <c r="J689" s="3">
        <f>parking_demand_data_2024_ver0!I689</f>
        <v>1</v>
      </c>
      <c r="K689" s="3">
        <f>parking_demand_data_2024_ver0!J689</f>
        <v>0</v>
      </c>
      <c r="L689" s="3">
        <f>parking_demand_data_2024_ver0!K689</f>
        <v>0</v>
      </c>
      <c r="M689" s="3">
        <f>parking_demand_data_2024_ver0!L689</f>
        <v>0</v>
      </c>
      <c r="N689" s="3">
        <f>parking_demand_data_2024_ver0!M689</f>
        <v>20</v>
      </c>
      <c r="O689" s="3">
        <f>parking_demand_data_2024_ver0!N689</f>
        <v>0</v>
      </c>
      <c r="P689" s="3">
        <f>parking_demand_data_2024_ver0!O689</f>
        <v>0</v>
      </c>
      <c r="Q689" s="3">
        <f>parking_demand_data_2024_ver0!P689</f>
        <v>20</v>
      </c>
      <c r="R689" s="3">
        <f>parking_demand_data_2024_ver0!Q689</f>
        <v>0</v>
      </c>
      <c r="S689" s="3">
        <f>parking_demand_data_2024_ver0!R689</f>
        <v>0</v>
      </c>
      <c r="T689" s="3">
        <f>parking_demand_data_2024_ver0!S689</f>
        <v>0</v>
      </c>
    </row>
    <row r="690" spans="1:20" x14ac:dyDescent="0.25">
      <c r="A690">
        <v>18057</v>
      </c>
      <c r="B690" t="s">
        <v>57</v>
      </c>
      <c r="C690">
        <v>16</v>
      </c>
      <c r="D690" s="3">
        <f>parking_demand_data_2024_ver0!D690*calibration!$I$31</f>
        <v>3.4299447889911399</v>
      </c>
      <c r="E690" s="3">
        <f>parking_demand_data_2024_ver0!E690*calibration!$I$31</f>
        <v>1.8468933479183101</v>
      </c>
      <c r="F690" s="3">
        <f t="shared" si="10"/>
        <v>5.2768381369094497</v>
      </c>
      <c r="G690" s="3">
        <f>parking_demand_data_2024_ver0!F690</f>
        <v>1</v>
      </c>
      <c r="H690" s="3">
        <f>parking_demand_data_2024_ver0!G690</f>
        <v>0</v>
      </c>
      <c r="I690" s="3">
        <f>parking_demand_data_2024_ver0!H690</f>
        <v>0</v>
      </c>
      <c r="J690" s="3">
        <f>parking_demand_data_2024_ver0!I690</f>
        <v>1</v>
      </c>
      <c r="K690" s="3">
        <f>parking_demand_data_2024_ver0!J690</f>
        <v>0</v>
      </c>
      <c r="L690" s="3">
        <f>parking_demand_data_2024_ver0!K690</f>
        <v>0</v>
      </c>
      <c r="M690" s="3">
        <f>parking_demand_data_2024_ver0!L690</f>
        <v>0</v>
      </c>
      <c r="N690" s="3">
        <f>parking_demand_data_2024_ver0!M690</f>
        <v>20</v>
      </c>
      <c r="O690" s="3">
        <f>parking_demand_data_2024_ver0!N690</f>
        <v>0</v>
      </c>
      <c r="P690" s="3">
        <f>parking_demand_data_2024_ver0!O690</f>
        <v>0</v>
      </c>
      <c r="Q690" s="3">
        <f>parking_demand_data_2024_ver0!P690</f>
        <v>20</v>
      </c>
      <c r="R690" s="3">
        <f>parking_demand_data_2024_ver0!Q690</f>
        <v>0</v>
      </c>
      <c r="S690" s="3">
        <f>parking_demand_data_2024_ver0!R690</f>
        <v>0</v>
      </c>
      <c r="T690" s="3">
        <f>parking_demand_data_2024_ver0!S690</f>
        <v>0</v>
      </c>
    </row>
    <row r="691" spans="1:20" x14ac:dyDescent="0.25">
      <c r="A691">
        <v>18057</v>
      </c>
      <c r="B691" t="s">
        <v>57</v>
      </c>
      <c r="C691">
        <v>17</v>
      </c>
      <c r="D691" s="3">
        <f>parking_demand_data_2024_ver0!D691*calibration!$I$31</f>
        <v>3.9576286026820902</v>
      </c>
      <c r="E691" s="3">
        <f>parking_demand_data_2024_ver0!E691*calibration!$I$31</f>
        <v>1.53028305970374</v>
      </c>
      <c r="F691" s="3">
        <f t="shared" si="10"/>
        <v>5.4879116623858302</v>
      </c>
      <c r="G691" s="3">
        <f>parking_demand_data_2024_ver0!F691</f>
        <v>1</v>
      </c>
      <c r="H691" s="3">
        <f>parking_demand_data_2024_ver0!G691</f>
        <v>0</v>
      </c>
      <c r="I691" s="3">
        <f>parking_demand_data_2024_ver0!H691</f>
        <v>0</v>
      </c>
      <c r="J691" s="3">
        <f>parking_demand_data_2024_ver0!I691</f>
        <v>1</v>
      </c>
      <c r="K691" s="3">
        <f>parking_demand_data_2024_ver0!J691</f>
        <v>0</v>
      </c>
      <c r="L691" s="3">
        <f>parking_demand_data_2024_ver0!K691</f>
        <v>0</v>
      </c>
      <c r="M691" s="3">
        <f>parking_demand_data_2024_ver0!L691</f>
        <v>0</v>
      </c>
      <c r="N691" s="3">
        <f>parking_demand_data_2024_ver0!M691</f>
        <v>20</v>
      </c>
      <c r="O691" s="3">
        <f>parking_demand_data_2024_ver0!N691</f>
        <v>0</v>
      </c>
      <c r="P691" s="3">
        <f>parking_demand_data_2024_ver0!O691</f>
        <v>0</v>
      </c>
      <c r="Q691" s="3">
        <f>parking_demand_data_2024_ver0!P691</f>
        <v>20</v>
      </c>
      <c r="R691" s="3">
        <f>parking_demand_data_2024_ver0!Q691</f>
        <v>0</v>
      </c>
      <c r="S691" s="3">
        <f>parking_demand_data_2024_ver0!R691</f>
        <v>0</v>
      </c>
      <c r="T691" s="3">
        <f>parking_demand_data_2024_ver0!S691</f>
        <v>0</v>
      </c>
    </row>
    <row r="692" spans="1:20" x14ac:dyDescent="0.25">
      <c r="A692">
        <v>18057</v>
      </c>
      <c r="B692" t="s">
        <v>57</v>
      </c>
      <c r="C692">
        <v>18</v>
      </c>
      <c r="D692" s="3">
        <f>parking_demand_data_2024_ver0!D692*calibration!$I$31</f>
        <v>4.6436175604803198</v>
      </c>
      <c r="E692" s="3">
        <f>parking_demand_data_2024_ver0!E692*calibration!$I$31</f>
        <v>1.68858820381102</v>
      </c>
      <c r="F692" s="3">
        <f t="shared" si="10"/>
        <v>6.3322057642913396</v>
      </c>
      <c r="G692" s="3">
        <f>parking_demand_data_2024_ver0!F692</f>
        <v>1</v>
      </c>
      <c r="H692" s="3">
        <f>parking_demand_data_2024_ver0!G692</f>
        <v>0</v>
      </c>
      <c r="I692" s="3">
        <f>parking_demand_data_2024_ver0!H692</f>
        <v>0</v>
      </c>
      <c r="J692" s="3">
        <f>parking_demand_data_2024_ver0!I692</f>
        <v>1</v>
      </c>
      <c r="K692" s="3">
        <f>parking_demand_data_2024_ver0!J692</f>
        <v>0</v>
      </c>
      <c r="L692" s="3">
        <f>parking_demand_data_2024_ver0!K692</f>
        <v>0</v>
      </c>
      <c r="M692" s="3">
        <f>parking_demand_data_2024_ver0!L692</f>
        <v>0</v>
      </c>
      <c r="N692" s="3">
        <f>parking_demand_data_2024_ver0!M692</f>
        <v>20</v>
      </c>
      <c r="O692" s="3">
        <f>parking_demand_data_2024_ver0!N692</f>
        <v>0</v>
      </c>
      <c r="P692" s="3">
        <f>parking_demand_data_2024_ver0!O692</f>
        <v>0</v>
      </c>
      <c r="Q692" s="3">
        <f>parking_demand_data_2024_ver0!P692</f>
        <v>20</v>
      </c>
      <c r="R692" s="3">
        <f>parking_demand_data_2024_ver0!Q692</f>
        <v>0</v>
      </c>
      <c r="S692" s="3">
        <f>parking_demand_data_2024_ver0!R692</f>
        <v>0</v>
      </c>
      <c r="T692" s="3">
        <f>parking_demand_data_2024_ver0!S692</f>
        <v>0</v>
      </c>
    </row>
    <row r="693" spans="1:20" x14ac:dyDescent="0.25">
      <c r="A693">
        <v>18057</v>
      </c>
      <c r="B693" t="s">
        <v>57</v>
      </c>
      <c r="C693">
        <v>19</v>
      </c>
      <c r="D693" s="3">
        <f>parking_demand_data_2024_ver0!D693*calibration!$I$31</f>
        <v>5.1713013741712697</v>
      </c>
      <c r="E693" s="3">
        <f>parking_demand_data_2024_ver0!E693*calibration!$I$31</f>
        <v>1.10813600875098</v>
      </c>
      <c r="F693" s="3">
        <f t="shared" si="10"/>
        <v>6.2794373829222501</v>
      </c>
      <c r="G693" s="3">
        <f>parking_demand_data_2024_ver0!F693</f>
        <v>1</v>
      </c>
      <c r="H693" s="3">
        <f>parking_demand_data_2024_ver0!G693</f>
        <v>0</v>
      </c>
      <c r="I693" s="3">
        <f>parking_demand_data_2024_ver0!H693</f>
        <v>0</v>
      </c>
      <c r="J693" s="3">
        <f>parking_demand_data_2024_ver0!I693</f>
        <v>1</v>
      </c>
      <c r="K693" s="3">
        <f>parking_demand_data_2024_ver0!J693</f>
        <v>0</v>
      </c>
      <c r="L693" s="3">
        <f>parking_demand_data_2024_ver0!K693</f>
        <v>0</v>
      </c>
      <c r="M693" s="3">
        <f>parking_demand_data_2024_ver0!L693</f>
        <v>0</v>
      </c>
      <c r="N693" s="3">
        <f>parking_demand_data_2024_ver0!M693</f>
        <v>20</v>
      </c>
      <c r="O693" s="3">
        <f>parking_demand_data_2024_ver0!N693</f>
        <v>0</v>
      </c>
      <c r="P693" s="3">
        <f>parking_demand_data_2024_ver0!O693</f>
        <v>0</v>
      </c>
      <c r="Q693" s="3">
        <f>parking_demand_data_2024_ver0!P693</f>
        <v>20</v>
      </c>
      <c r="R693" s="3">
        <f>parking_demand_data_2024_ver0!Q693</f>
        <v>0</v>
      </c>
      <c r="S693" s="3">
        <f>parking_demand_data_2024_ver0!R693</f>
        <v>0</v>
      </c>
      <c r="T693" s="3">
        <f>parking_demand_data_2024_ver0!S693</f>
        <v>0</v>
      </c>
    </row>
    <row r="694" spans="1:20" x14ac:dyDescent="0.25">
      <c r="A694">
        <v>18057</v>
      </c>
      <c r="B694" t="s">
        <v>57</v>
      </c>
      <c r="C694">
        <v>20</v>
      </c>
      <c r="D694" s="3">
        <f>parking_demand_data_2024_ver0!D694*calibration!$I$31</f>
        <v>6.2266690015531596</v>
      </c>
      <c r="E694" s="3">
        <f>parking_demand_data_2024_ver0!E694*calibration!$I$31</f>
        <v>0.94983086464370203</v>
      </c>
      <c r="F694" s="3">
        <f t="shared" si="10"/>
        <v>7.1764998661968615</v>
      </c>
      <c r="G694" s="3">
        <f>parking_demand_data_2024_ver0!F694</f>
        <v>1</v>
      </c>
      <c r="H694" s="3">
        <f>parking_demand_data_2024_ver0!G694</f>
        <v>0</v>
      </c>
      <c r="I694" s="3">
        <f>parking_demand_data_2024_ver0!H694</f>
        <v>0</v>
      </c>
      <c r="J694" s="3">
        <f>parking_demand_data_2024_ver0!I694</f>
        <v>1</v>
      </c>
      <c r="K694" s="3">
        <f>parking_demand_data_2024_ver0!J694</f>
        <v>0</v>
      </c>
      <c r="L694" s="3">
        <f>parking_demand_data_2024_ver0!K694</f>
        <v>0</v>
      </c>
      <c r="M694" s="3">
        <f>parking_demand_data_2024_ver0!L694</f>
        <v>0</v>
      </c>
      <c r="N694" s="3">
        <f>parking_demand_data_2024_ver0!M694</f>
        <v>20</v>
      </c>
      <c r="O694" s="3">
        <f>parking_demand_data_2024_ver0!N694</f>
        <v>0</v>
      </c>
      <c r="P694" s="3">
        <f>parking_demand_data_2024_ver0!O694</f>
        <v>0</v>
      </c>
      <c r="Q694" s="3">
        <f>parking_demand_data_2024_ver0!P694</f>
        <v>20</v>
      </c>
      <c r="R694" s="3">
        <f>parking_demand_data_2024_ver0!Q694</f>
        <v>0</v>
      </c>
      <c r="S694" s="3">
        <f>parking_demand_data_2024_ver0!R694</f>
        <v>0</v>
      </c>
      <c r="T694" s="3">
        <f>parking_demand_data_2024_ver0!S694</f>
        <v>0</v>
      </c>
    </row>
    <row r="695" spans="1:20" x14ac:dyDescent="0.25">
      <c r="A695">
        <v>18057</v>
      </c>
      <c r="B695" t="s">
        <v>57</v>
      </c>
      <c r="C695">
        <v>21</v>
      </c>
      <c r="D695" s="3">
        <f>parking_demand_data_2024_ver0!D695*calibration!$I$31</f>
        <v>7.7569520612569001</v>
      </c>
      <c r="E695" s="3">
        <f>parking_demand_data_2024_ver0!E695*calibration!$I$31</f>
        <v>0.94983086464370203</v>
      </c>
      <c r="F695" s="3">
        <f t="shared" si="10"/>
        <v>8.7067829259006029</v>
      </c>
      <c r="G695" s="3">
        <f>parking_demand_data_2024_ver0!F695</f>
        <v>1</v>
      </c>
      <c r="H695" s="3">
        <f>parking_demand_data_2024_ver0!G695</f>
        <v>0</v>
      </c>
      <c r="I695" s="3">
        <f>parking_demand_data_2024_ver0!H695</f>
        <v>0</v>
      </c>
      <c r="J695" s="3">
        <f>parking_demand_data_2024_ver0!I695</f>
        <v>1</v>
      </c>
      <c r="K695" s="3">
        <f>parking_demand_data_2024_ver0!J695</f>
        <v>0</v>
      </c>
      <c r="L695" s="3">
        <f>parking_demand_data_2024_ver0!K695</f>
        <v>0</v>
      </c>
      <c r="M695" s="3">
        <f>parking_demand_data_2024_ver0!L695</f>
        <v>0</v>
      </c>
      <c r="N695" s="3">
        <f>parking_demand_data_2024_ver0!M695</f>
        <v>20</v>
      </c>
      <c r="O695" s="3">
        <f>parking_demand_data_2024_ver0!N695</f>
        <v>0</v>
      </c>
      <c r="P695" s="3">
        <f>parking_demand_data_2024_ver0!O695</f>
        <v>0</v>
      </c>
      <c r="Q695" s="3">
        <f>parking_demand_data_2024_ver0!P695</f>
        <v>20</v>
      </c>
      <c r="R695" s="3">
        <f>parking_demand_data_2024_ver0!Q695</f>
        <v>0</v>
      </c>
      <c r="S695" s="3">
        <f>parking_demand_data_2024_ver0!R695</f>
        <v>0</v>
      </c>
      <c r="T695" s="3">
        <f>parking_demand_data_2024_ver0!S695</f>
        <v>0</v>
      </c>
    </row>
    <row r="696" spans="1:20" x14ac:dyDescent="0.25">
      <c r="A696">
        <v>18057</v>
      </c>
      <c r="B696" t="s">
        <v>57</v>
      </c>
      <c r="C696">
        <v>22</v>
      </c>
      <c r="D696" s="3">
        <f>parking_demand_data_2024_ver0!D696*calibration!$I$31</f>
        <v>9.1816983582224605</v>
      </c>
      <c r="E696" s="3">
        <f>parking_demand_data_2024_ver0!E696*calibration!$I$31</f>
        <v>1.68858820381102</v>
      </c>
      <c r="F696" s="3">
        <f t="shared" si="10"/>
        <v>10.870286562033481</v>
      </c>
      <c r="G696" s="3">
        <f>parking_demand_data_2024_ver0!F696</f>
        <v>1</v>
      </c>
      <c r="H696" s="3">
        <f>parking_demand_data_2024_ver0!G696</f>
        <v>0</v>
      </c>
      <c r="I696" s="3">
        <f>parking_demand_data_2024_ver0!H696</f>
        <v>0</v>
      </c>
      <c r="J696" s="3">
        <f>parking_demand_data_2024_ver0!I696</f>
        <v>1</v>
      </c>
      <c r="K696" s="3">
        <f>parking_demand_data_2024_ver0!J696</f>
        <v>0</v>
      </c>
      <c r="L696" s="3">
        <f>parking_demand_data_2024_ver0!K696</f>
        <v>0</v>
      </c>
      <c r="M696" s="3">
        <f>parking_demand_data_2024_ver0!L696</f>
        <v>0</v>
      </c>
      <c r="N696" s="3">
        <f>parking_demand_data_2024_ver0!M696</f>
        <v>20</v>
      </c>
      <c r="O696" s="3">
        <f>parking_demand_data_2024_ver0!N696</f>
        <v>0</v>
      </c>
      <c r="P696" s="3">
        <f>parking_demand_data_2024_ver0!O696</f>
        <v>0</v>
      </c>
      <c r="Q696" s="3">
        <f>parking_demand_data_2024_ver0!P696</f>
        <v>20</v>
      </c>
      <c r="R696" s="3">
        <f>parking_demand_data_2024_ver0!Q696</f>
        <v>0</v>
      </c>
      <c r="S696" s="3">
        <f>parking_demand_data_2024_ver0!R696</f>
        <v>0</v>
      </c>
      <c r="T696" s="3">
        <f>parking_demand_data_2024_ver0!S696</f>
        <v>0</v>
      </c>
    </row>
    <row r="697" spans="1:20" x14ac:dyDescent="0.25">
      <c r="A697">
        <v>18057</v>
      </c>
      <c r="B697" t="s">
        <v>57</v>
      </c>
      <c r="C697">
        <v>23</v>
      </c>
      <c r="D697" s="3">
        <f>parking_demand_data_2024_ver0!D697*calibration!$I$31</f>
        <v>9.8676873160206906</v>
      </c>
      <c r="E697" s="3">
        <f>parking_demand_data_2024_ver0!E697*calibration!$I$31</f>
        <v>4.6963859418494103</v>
      </c>
      <c r="F697" s="3">
        <f t="shared" si="10"/>
        <v>14.564073257870101</v>
      </c>
      <c r="G697" s="3">
        <f>parking_demand_data_2024_ver0!F697</f>
        <v>1</v>
      </c>
      <c r="H697" s="3">
        <f>parking_demand_data_2024_ver0!G697</f>
        <v>0</v>
      </c>
      <c r="I697" s="3">
        <f>parking_demand_data_2024_ver0!H697</f>
        <v>0</v>
      </c>
      <c r="J697" s="3">
        <f>parking_demand_data_2024_ver0!I697</f>
        <v>1</v>
      </c>
      <c r="K697" s="3">
        <f>parking_demand_data_2024_ver0!J697</f>
        <v>0</v>
      </c>
      <c r="L697" s="3">
        <f>parking_demand_data_2024_ver0!K697</f>
        <v>0</v>
      </c>
      <c r="M697" s="3">
        <f>parking_demand_data_2024_ver0!L697</f>
        <v>0</v>
      </c>
      <c r="N697" s="3">
        <f>parking_demand_data_2024_ver0!M697</f>
        <v>20</v>
      </c>
      <c r="O697" s="3">
        <f>parking_demand_data_2024_ver0!N697</f>
        <v>0</v>
      </c>
      <c r="P697" s="3">
        <f>parking_demand_data_2024_ver0!O697</f>
        <v>0</v>
      </c>
      <c r="Q697" s="3">
        <f>parking_demand_data_2024_ver0!P697</f>
        <v>20</v>
      </c>
      <c r="R697" s="3">
        <f>parking_demand_data_2024_ver0!Q697</f>
        <v>0</v>
      </c>
      <c r="S697" s="3">
        <f>parking_demand_data_2024_ver0!R697</f>
        <v>0</v>
      </c>
      <c r="T697" s="3">
        <f>parking_demand_data_2024_ver0!S697</f>
        <v>0</v>
      </c>
    </row>
    <row r="698" spans="1:20" x14ac:dyDescent="0.25">
      <c r="A698">
        <v>18059</v>
      </c>
      <c r="B698" t="s">
        <v>58</v>
      </c>
      <c r="C698">
        <v>0</v>
      </c>
      <c r="D698" s="3">
        <f>parking_demand_data_2024_ver0!D698*calibration!$I$31</f>
        <v>422.61661502005097</v>
      </c>
      <c r="E698" s="3">
        <f>parking_demand_data_2024_ver0!E698*calibration!$I$31</f>
        <v>19.5083895370032</v>
      </c>
      <c r="F698" s="3">
        <f t="shared" si="10"/>
        <v>442.12500455705418</v>
      </c>
      <c r="G698" s="3">
        <f>parking_demand_data_2024_ver0!F698</f>
        <v>3</v>
      </c>
      <c r="H698" s="3">
        <f>parking_demand_data_2024_ver0!G698</f>
        <v>0</v>
      </c>
      <c r="I698" s="3">
        <f>parking_demand_data_2024_ver0!H698</f>
        <v>1</v>
      </c>
      <c r="J698" s="3">
        <f>parking_demand_data_2024_ver0!I698</f>
        <v>0</v>
      </c>
      <c r="K698" s="3">
        <f>parking_demand_data_2024_ver0!J698</f>
        <v>1</v>
      </c>
      <c r="L698" s="3">
        <f>parking_demand_data_2024_ver0!K698</f>
        <v>1</v>
      </c>
      <c r="M698" s="3">
        <f>parking_demand_data_2024_ver0!L698</f>
        <v>0</v>
      </c>
      <c r="N698" s="3">
        <f>parking_demand_data_2024_ver0!M698</f>
        <v>373</v>
      </c>
      <c r="O698" s="3">
        <f>parking_demand_data_2024_ver0!N698</f>
        <v>0</v>
      </c>
      <c r="P698" s="3">
        <f>parking_demand_data_2024_ver0!O698</f>
        <v>80</v>
      </c>
      <c r="Q698" s="3">
        <f>parking_demand_data_2024_ver0!P698</f>
        <v>0</v>
      </c>
      <c r="R698" s="3">
        <f>parking_demand_data_2024_ver0!Q698</f>
        <v>198</v>
      </c>
      <c r="S698" s="3">
        <f>parking_demand_data_2024_ver0!R698</f>
        <v>95</v>
      </c>
      <c r="T698" s="3">
        <f>parking_demand_data_2024_ver0!S698</f>
        <v>0</v>
      </c>
    </row>
    <row r="699" spans="1:20" x14ac:dyDescent="0.25">
      <c r="A699">
        <v>18059</v>
      </c>
      <c r="B699" t="s">
        <v>58</v>
      </c>
      <c r="C699">
        <v>1</v>
      </c>
      <c r="D699" s="3">
        <f>parking_demand_data_2024_ver0!D699*calibration!$I$31</f>
        <v>428.94999999999902</v>
      </c>
      <c r="E699" s="3">
        <f>parking_demand_data_2024_ver0!E699*calibration!$I$31</f>
        <v>22.166847429821299</v>
      </c>
      <c r="F699" s="3">
        <f t="shared" si="10"/>
        <v>451.11684742982033</v>
      </c>
      <c r="G699" s="3">
        <f>parking_demand_data_2024_ver0!F699</f>
        <v>3</v>
      </c>
      <c r="H699" s="3">
        <f>parking_demand_data_2024_ver0!G699</f>
        <v>0</v>
      </c>
      <c r="I699" s="3">
        <f>parking_demand_data_2024_ver0!H699</f>
        <v>1</v>
      </c>
      <c r="J699" s="3">
        <f>parking_demand_data_2024_ver0!I699</f>
        <v>0</v>
      </c>
      <c r="K699" s="3">
        <f>parking_demand_data_2024_ver0!J699</f>
        <v>1</v>
      </c>
      <c r="L699" s="3">
        <f>parking_demand_data_2024_ver0!K699</f>
        <v>1</v>
      </c>
      <c r="M699" s="3">
        <f>parking_demand_data_2024_ver0!L699</f>
        <v>0</v>
      </c>
      <c r="N699" s="3">
        <f>parking_demand_data_2024_ver0!M699</f>
        <v>373</v>
      </c>
      <c r="O699" s="3">
        <f>parking_demand_data_2024_ver0!N699</f>
        <v>0</v>
      </c>
      <c r="P699" s="3">
        <f>parking_demand_data_2024_ver0!O699</f>
        <v>80</v>
      </c>
      <c r="Q699" s="3">
        <f>parking_demand_data_2024_ver0!P699</f>
        <v>0</v>
      </c>
      <c r="R699" s="3">
        <f>parking_demand_data_2024_ver0!Q699</f>
        <v>198</v>
      </c>
      <c r="S699" s="3">
        <f>parking_demand_data_2024_ver0!R699</f>
        <v>95</v>
      </c>
      <c r="T699" s="3">
        <f>parking_demand_data_2024_ver0!S699</f>
        <v>0</v>
      </c>
    </row>
    <row r="700" spans="1:20" x14ac:dyDescent="0.25">
      <c r="A700">
        <v>18059</v>
      </c>
      <c r="B700" t="s">
        <v>58</v>
      </c>
      <c r="C700">
        <v>2</v>
      </c>
      <c r="D700" s="3">
        <f>parking_demand_data_2024_ver0!D700*calibration!$I$31</f>
        <v>428.168100619759</v>
      </c>
      <c r="E700" s="3">
        <f>parking_demand_data_2024_ver0!E700*calibration!$I$31</f>
        <v>23.652456252278501</v>
      </c>
      <c r="F700" s="3">
        <f t="shared" si="10"/>
        <v>451.82055687203751</v>
      </c>
      <c r="G700" s="3">
        <f>parking_demand_data_2024_ver0!F700</f>
        <v>3</v>
      </c>
      <c r="H700" s="3">
        <f>parking_demand_data_2024_ver0!G700</f>
        <v>0</v>
      </c>
      <c r="I700" s="3">
        <f>parking_demand_data_2024_ver0!H700</f>
        <v>1</v>
      </c>
      <c r="J700" s="3">
        <f>parking_demand_data_2024_ver0!I700</f>
        <v>0</v>
      </c>
      <c r="K700" s="3">
        <f>parking_demand_data_2024_ver0!J700</f>
        <v>1</v>
      </c>
      <c r="L700" s="3">
        <f>parking_demand_data_2024_ver0!K700</f>
        <v>1</v>
      </c>
      <c r="M700" s="3">
        <f>parking_demand_data_2024_ver0!L700</f>
        <v>0</v>
      </c>
      <c r="N700" s="3">
        <f>parking_demand_data_2024_ver0!M700</f>
        <v>373</v>
      </c>
      <c r="O700" s="3">
        <f>parking_demand_data_2024_ver0!N700</f>
        <v>0</v>
      </c>
      <c r="P700" s="3">
        <f>parking_demand_data_2024_ver0!O700</f>
        <v>80</v>
      </c>
      <c r="Q700" s="3">
        <f>parking_demand_data_2024_ver0!P700</f>
        <v>0</v>
      </c>
      <c r="R700" s="3">
        <f>parking_demand_data_2024_ver0!Q700</f>
        <v>198</v>
      </c>
      <c r="S700" s="3">
        <f>parking_demand_data_2024_ver0!R700</f>
        <v>95</v>
      </c>
      <c r="T700" s="3">
        <f>parking_demand_data_2024_ver0!S700</f>
        <v>0</v>
      </c>
    </row>
    <row r="701" spans="1:20" x14ac:dyDescent="0.25">
      <c r="A701">
        <v>18059</v>
      </c>
      <c r="B701" t="s">
        <v>58</v>
      </c>
      <c r="C701">
        <v>3</v>
      </c>
      <c r="D701" s="3">
        <f>parking_demand_data_2024_ver0!D701*calibration!$I$31</f>
        <v>423.67217918337502</v>
      </c>
      <c r="E701" s="3">
        <f>parking_demand_data_2024_ver0!E701*calibration!$I$31</f>
        <v>24.551640539555201</v>
      </c>
      <c r="F701" s="3">
        <f t="shared" si="10"/>
        <v>448.22381972293022</v>
      </c>
      <c r="G701" s="3">
        <f>parking_demand_data_2024_ver0!F701</f>
        <v>3</v>
      </c>
      <c r="H701" s="3">
        <f>parking_demand_data_2024_ver0!G701</f>
        <v>0</v>
      </c>
      <c r="I701" s="3">
        <f>parking_demand_data_2024_ver0!H701</f>
        <v>1</v>
      </c>
      <c r="J701" s="3">
        <f>parking_demand_data_2024_ver0!I701</f>
        <v>0</v>
      </c>
      <c r="K701" s="3">
        <f>parking_demand_data_2024_ver0!J701</f>
        <v>1</v>
      </c>
      <c r="L701" s="3">
        <f>parking_demand_data_2024_ver0!K701</f>
        <v>1</v>
      </c>
      <c r="M701" s="3">
        <f>parking_demand_data_2024_ver0!L701</f>
        <v>0</v>
      </c>
      <c r="N701" s="3">
        <f>parking_demand_data_2024_ver0!M701</f>
        <v>373</v>
      </c>
      <c r="O701" s="3">
        <f>parking_demand_data_2024_ver0!N701</f>
        <v>0</v>
      </c>
      <c r="P701" s="3">
        <f>parking_demand_data_2024_ver0!O701</f>
        <v>80</v>
      </c>
      <c r="Q701" s="3">
        <f>parking_demand_data_2024_ver0!P701</f>
        <v>0</v>
      </c>
      <c r="R701" s="3">
        <f>parking_demand_data_2024_ver0!Q701</f>
        <v>198</v>
      </c>
      <c r="S701" s="3">
        <f>parking_demand_data_2024_ver0!R701</f>
        <v>95</v>
      </c>
      <c r="T701" s="3">
        <f>parking_demand_data_2024_ver0!S701</f>
        <v>0</v>
      </c>
    </row>
    <row r="702" spans="1:20" x14ac:dyDescent="0.25">
      <c r="A702">
        <v>18059</v>
      </c>
      <c r="B702" t="s">
        <v>58</v>
      </c>
      <c r="C702">
        <v>4</v>
      </c>
      <c r="D702" s="3">
        <f>parking_demand_data_2024_ver0!D702*calibration!$I$31</f>
        <v>410.57536456434502</v>
      </c>
      <c r="E702" s="3">
        <f>parking_demand_data_2024_ver0!E702*calibration!$I$31</f>
        <v>25.607204702880001</v>
      </c>
      <c r="F702" s="3">
        <f t="shared" si="10"/>
        <v>436.18256926722501</v>
      </c>
      <c r="G702" s="3">
        <f>parking_demand_data_2024_ver0!F702</f>
        <v>3</v>
      </c>
      <c r="H702" s="3">
        <f>parking_demand_data_2024_ver0!G702</f>
        <v>0</v>
      </c>
      <c r="I702" s="3">
        <f>parking_demand_data_2024_ver0!H702</f>
        <v>1</v>
      </c>
      <c r="J702" s="3">
        <f>parking_demand_data_2024_ver0!I702</f>
        <v>0</v>
      </c>
      <c r="K702" s="3">
        <f>parking_demand_data_2024_ver0!J702</f>
        <v>1</v>
      </c>
      <c r="L702" s="3">
        <f>parking_demand_data_2024_ver0!K702</f>
        <v>1</v>
      </c>
      <c r="M702" s="3">
        <f>parking_demand_data_2024_ver0!L702</f>
        <v>0</v>
      </c>
      <c r="N702" s="3">
        <f>parking_demand_data_2024_ver0!M702</f>
        <v>373</v>
      </c>
      <c r="O702" s="3">
        <f>parking_demand_data_2024_ver0!N702</f>
        <v>0</v>
      </c>
      <c r="P702" s="3">
        <f>parking_demand_data_2024_ver0!O702</f>
        <v>80</v>
      </c>
      <c r="Q702" s="3">
        <f>parking_demand_data_2024_ver0!P702</f>
        <v>0</v>
      </c>
      <c r="R702" s="3">
        <f>parking_demand_data_2024_ver0!Q702</f>
        <v>198</v>
      </c>
      <c r="S702" s="3">
        <f>parking_demand_data_2024_ver0!R702</f>
        <v>95</v>
      </c>
      <c r="T702" s="3">
        <f>parking_demand_data_2024_ver0!S702</f>
        <v>0</v>
      </c>
    </row>
    <row r="703" spans="1:20" x14ac:dyDescent="0.25">
      <c r="A703">
        <v>18059</v>
      </c>
      <c r="B703" t="s">
        <v>58</v>
      </c>
      <c r="C703">
        <v>5</v>
      </c>
      <c r="D703" s="3">
        <f>parking_demand_data_2024_ver0!D703*calibration!$I$31</f>
        <v>390.55874043018503</v>
      </c>
      <c r="E703" s="3">
        <f>parking_demand_data_2024_ver0!E703*calibration!$I$31</f>
        <v>25.880869485964201</v>
      </c>
      <c r="F703" s="3">
        <f t="shared" si="10"/>
        <v>416.43960991614921</v>
      </c>
      <c r="G703" s="3">
        <f>parking_demand_data_2024_ver0!F703</f>
        <v>3</v>
      </c>
      <c r="H703" s="3">
        <f>parking_demand_data_2024_ver0!G703</f>
        <v>0</v>
      </c>
      <c r="I703" s="3">
        <f>parking_demand_data_2024_ver0!H703</f>
        <v>1</v>
      </c>
      <c r="J703" s="3">
        <f>parking_demand_data_2024_ver0!I703</f>
        <v>0</v>
      </c>
      <c r="K703" s="3">
        <f>parking_demand_data_2024_ver0!J703</f>
        <v>1</v>
      </c>
      <c r="L703" s="3">
        <f>parking_demand_data_2024_ver0!K703</f>
        <v>1</v>
      </c>
      <c r="M703" s="3">
        <f>parking_demand_data_2024_ver0!L703</f>
        <v>0</v>
      </c>
      <c r="N703" s="3">
        <f>parking_demand_data_2024_ver0!M703</f>
        <v>373</v>
      </c>
      <c r="O703" s="3">
        <f>parking_demand_data_2024_ver0!N703</f>
        <v>0</v>
      </c>
      <c r="P703" s="3">
        <f>parking_demand_data_2024_ver0!O703</f>
        <v>80</v>
      </c>
      <c r="Q703" s="3">
        <f>parking_demand_data_2024_ver0!P703</f>
        <v>0</v>
      </c>
      <c r="R703" s="3">
        <f>parking_demand_data_2024_ver0!Q703</f>
        <v>198</v>
      </c>
      <c r="S703" s="3">
        <f>parking_demand_data_2024_ver0!R703</f>
        <v>95</v>
      </c>
      <c r="T703" s="3">
        <f>parking_demand_data_2024_ver0!S703</f>
        <v>0</v>
      </c>
    </row>
    <row r="704" spans="1:20" x14ac:dyDescent="0.25">
      <c r="A704">
        <v>18059</v>
      </c>
      <c r="B704" t="s">
        <v>58</v>
      </c>
      <c r="C704">
        <v>6</v>
      </c>
      <c r="D704" s="3">
        <f>parking_demand_data_2024_ver0!D704*calibration!$I$31</f>
        <v>363.85687659496898</v>
      </c>
      <c r="E704" s="3">
        <f>parking_demand_data_2024_ver0!E704*calibration!$I$31</f>
        <v>24.121595880422799</v>
      </c>
      <c r="F704" s="3">
        <f t="shared" si="10"/>
        <v>387.97847247539175</v>
      </c>
      <c r="G704" s="3">
        <f>parking_demand_data_2024_ver0!F704</f>
        <v>3</v>
      </c>
      <c r="H704" s="3">
        <f>parking_demand_data_2024_ver0!G704</f>
        <v>0</v>
      </c>
      <c r="I704" s="3">
        <f>parking_demand_data_2024_ver0!H704</f>
        <v>1</v>
      </c>
      <c r="J704" s="3">
        <f>parking_demand_data_2024_ver0!I704</f>
        <v>0</v>
      </c>
      <c r="K704" s="3">
        <f>parking_demand_data_2024_ver0!J704</f>
        <v>1</v>
      </c>
      <c r="L704" s="3">
        <f>parking_demand_data_2024_ver0!K704</f>
        <v>1</v>
      </c>
      <c r="M704" s="3">
        <f>parking_demand_data_2024_ver0!L704</f>
        <v>0</v>
      </c>
      <c r="N704" s="3">
        <f>parking_demand_data_2024_ver0!M704</f>
        <v>373</v>
      </c>
      <c r="O704" s="3">
        <f>parking_demand_data_2024_ver0!N704</f>
        <v>0</v>
      </c>
      <c r="P704" s="3">
        <f>parking_demand_data_2024_ver0!O704</f>
        <v>80</v>
      </c>
      <c r="Q704" s="3">
        <f>parking_demand_data_2024_ver0!P704</f>
        <v>0</v>
      </c>
      <c r="R704" s="3">
        <f>parking_demand_data_2024_ver0!Q704</f>
        <v>198</v>
      </c>
      <c r="S704" s="3">
        <f>parking_demand_data_2024_ver0!R704</f>
        <v>95</v>
      </c>
      <c r="T704" s="3">
        <f>parking_demand_data_2024_ver0!S704</f>
        <v>0</v>
      </c>
    </row>
    <row r="705" spans="1:20" x14ac:dyDescent="0.25">
      <c r="A705">
        <v>18059</v>
      </c>
      <c r="B705" t="s">
        <v>58</v>
      </c>
      <c r="C705">
        <v>7</v>
      </c>
      <c r="D705" s="3">
        <f>parking_demand_data_2024_ver0!D705*calibration!$I$31</f>
        <v>317.17748359460398</v>
      </c>
      <c r="E705" s="3">
        <f>parking_demand_data_2024_ver0!E705*calibration!$I$31</f>
        <v>20.2120989792198</v>
      </c>
      <c r="F705" s="3">
        <f t="shared" si="10"/>
        <v>337.38958257382376</v>
      </c>
      <c r="G705" s="3">
        <f>parking_demand_data_2024_ver0!F705</f>
        <v>3</v>
      </c>
      <c r="H705" s="3">
        <f>parking_demand_data_2024_ver0!G705</f>
        <v>0</v>
      </c>
      <c r="I705" s="3">
        <f>parking_demand_data_2024_ver0!H705</f>
        <v>1</v>
      </c>
      <c r="J705" s="3">
        <f>parking_demand_data_2024_ver0!I705</f>
        <v>0</v>
      </c>
      <c r="K705" s="3">
        <f>parking_demand_data_2024_ver0!J705</f>
        <v>1</v>
      </c>
      <c r="L705" s="3">
        <f>parking_demand_data_2024_ver0!K705</f>
        <v>1</v>
      </c>
      <c r="M705" s="3">
        <f>parking_demand_data_2024_ver0!L705</f>
        <v>0</v>
      </c>
      <c r="N705" s="3">
        <f>parking_demand_data_2024_ver0!M705</f>
        <v>373</v>
      </c>
      <c r="O705" s="3">
        <f>parking_demand_data_2024_ver0!N705</f>
        <v>0</v>
      </c>
      <c r="P705" s="3">
        <f>parking_demand_data_2024_ver0!O705</f>
        <v>80</v>
      </c>
      <c r="Q705" s="3">
        <f>parking_demand_data_2024_ver0!P705</f>
        <v>0</v>
      </c>
      <c r="R705" s="3">
        <f>parking_demand_data_2024_ver0!Q705</f>
        <v>198</v>
      </c>
      <c r="S705" s="3">
        <f>parking_demand_data_2024_ver0!R705</f>
        <v>95</v>
      </c>
      <c r="T705" s="3">
        <f>parking_demand_data_2024_ver0!S705</f>
        <v>0</v>
      </c>
    </row>
    <row r="706" spans="1:20" x14ac:dyDescent="0.25">
      <c r="A706">
        <v>18059</v>
      </c>
      <c r="B706" t="s">
        <v>58</v>
      </c>
      <c r="C706">
        <v>8</v>
      </c>
      <c r="D706" s="3">
        <f>parking_demand_data_2024_ver0!D706*calibration!$I$31</f>
        <v>265.14207983959102</v>
      </c>
      <c r="E706" s="3">
        <f>parking_demand_data_2024_ver0!E706*calibration!$I$31</f>
        <v>16.889026613197199</v>
      </c>
      <c r="F706" s="3">
        <f t="shared" si="10"/>
        <v>282.03110645278821</v>
      </c>
      <c r="G706" s="3">
        <f>parking_demand_data_2024_ver0!F706</f>
        <v>3</v>
      </c>
      <c r="H706" s="3">
        <f>parking_demand_data_2024_ver0!G706</f>
        <v>0</v>
      </c>
      <c r="I706" s="3">
        <f>parking_demand_data_2024_ver0!H706</f>
        <v>1</v>
      </c>
      <c r="J706" s="3">
        <f>parking_demand_data_2024_ver0!I706</f>
        <v>0</v>
      </c>
      <c r="K706" s="3">
        <f>parking_demand_data_2024_ver0!J706</f>
        <v>1</v>
      </c>
      <c r="L706" s="3">
        <f>parking_demand_data_2024_ver0!K706</f>
        <v>1</v>
      </c>
      <c r="M706" s="3">
        <f>parking_demand_data_2024_ver0!L706</f>
        <v>0</v>
      </c>
      <c r="N706" s="3">
        <f>parking_demand_data_2024_ver0!M706</f>
        <v>373</v>
      </c>
      <c r="O706" s="3">
        <f>parking_demand_data_2024_ver0!N706</f>
        <v>0</v>
      </c>
      <c r="P706" s="3">
        <f>parking_demand_data_2024_ver0!O706</f>
        <v>80</v>
      </c>
      <c r="Q706" s="3">
        <f>parking_demand_data_2024_ver0!P706</f>
        <v>0</v>
      </c>
      <c r="R706" s="3">
        <f>parking_demand_data_2024_ver0!Q706</f>
        <v>198</v>
      </c>
      <c r="S706" s="3">
        <f>parking_demand_data_2024_ver0!R706</f>
        <v>95</v>
      </c>
      <c r="T706" s="3">
        <f>parking_demand_data_2024_ver0!S706</f>
        <v>0</v>
      </c>
    </row>
    <row r="707" spans="1:20" x14ac:dyDescent="0.25">
      <c r="A707">
        <v>18059</v>
      </c>
      <c r="B707" t="s">
        <v>58</v>
      </c>
      <c r="C707">
        <v>9</v>
      </c>
      <c r="D707" s="3">
        <f>parking_demand_data_2024_ver0!D707*calibration!$I$31</f>
        <v>218.110832118118</v>
      </c>
      <c r="E707" s="3">
        <f>parking_demand_data_2024_ver0!E707*calibration!$I$31</f>
        <v>15.637987604812199</v>
      </c>
      <c r="F707" s="3">
        <f t="shared" ref="F707:F770" si="11">SUM(D707:E707)</f>
        <v>233.74881972293019</v>
      </c>
      <c r="G707" s="3">
        <f>parking_demand_data_2024_ver0!F707</f>
        <v>3</v>
      </c>
      <c r="H707" s="3">
        <f>parking_demand_data_2024_ver0!G707</f>
        <v>0</v>
      </c>
      <c r="I707" s="3">
        <f>parking_demand_data_2024_ver0!H707</f>
        <v>1</v>
      </c>
      <c r="J707" s="3">
        <f>parking_demand_data_2024_ver0!I707</f>
        <v>0</v>
      </c>
      <c r="K707" s="3">
        <f>parking_demand_data_2024_ver0!J707</f>
        <v>1</v>
      </c>
      <c r="L707" s="3">
        <f>parking_demand_data_2024_ver0!K707</f>
        <v>1</v>
      </c>
      <c r="M707" s="3">
        <f>parking_demand_data_2024_ver0!L707</f>
        <v>0</v>
      </c>
      <c r="N707" s="3">
        <f>parking_demand_data_2024_ver0!M707</f>
        <v>373</v>
      </c>
      <c r="O707" s="3">
        <f>parking_demand_data_2024_ver0!N707</f>
        <v>0</v>
      </c>
      <c r="P707" s="3">
        <f>parking_demand_data_2024_ver0!O707</f>
        <v>80</v>
      </c>
      <c r="Q707" s="3">
        <f>parking_demand_data_2024_ver0!P707</f>
        <v>0</v>
      </c>
      <c r="R707" s="3">
        <f>parking_demand_data_2024_ver0!Q707</f>
        <v>198</v>
      </c>
      <c r="S707" s="3">
        <f>parking_demand_data_2024_ver0!R707</f>
        <v>95</v>
      </c>
      <c r="T707" s="3">
        <f>parking_demand_data_2024_ver0!S707</f>
        <v>0</v>
      </c>
    </row>
    <row r="708" spans="1:20" x14ac:dyDescent="0.25">
      <c r="A708">
        <v>18059</v>
      </c>
      <c r="B708" t="s">
        <v>58</v>
      </c>
      <c r="C708">
        <v>10</v>
      </c>
      <c r="D708" s="3">
        <f>parking_demand_data_2024_ver0!D708*calibration!$I$31</f>
        <v>186.40481224936099</v>
      </c>
      <c r="E708" s="3">
        <f>parking_demand_data_2024_ver0!E708*calibration!$I$31</f>
        <v>12.354010207801601</v>
      </c>
      <c r="F708" s="3">
        <f t="shared" si="11"/>
        <v>198.75882245716258</v>
      </c>
      <c r="G708" s="3">
        <f>parking_demand_data_2024_ver0!F708</f>
        <v>3</v>
      </c>
      <c r="H708" s="3">
        <f>parking_demand_data_2024_ver0!G708</f>
        <v>0</v>
      </c>
      <c r="I708" s="3">
        <f>parking_demand_data_2024_ver0!H708</f>
        <v>1</v>
      </c>
      <c r="J708" s="3">
        <f>parking_demand_data_2024_ver0!I708</f>
        <v>0</v>
      </c>
      <c r="K708" s="3">
        <f>parking_demand_data_2024_ver0!J708</f>
        <v>1</v>
      </c>
      <c r="L708" s="3">
        <f>parking_demand_data_2024_ver0!K708</f>
        <v>1</v>
      </c>
      <c r="M708" s="3">
        <f>parking_demand_data_2024_ver0!L708</f>
        <v>0</v>
      </c>
      <c r="N708" s="3">
        <f>parking_demand_data_2024_ver0!M708</f>
        <v>373</v>
      </c>
      <c r="O708" s="3">
        <f>parking_demand_data_2024_ver0!N708</f>
        <v>0</v>
      </c>
      <c r="P708" s="3">
        <f>parking_demand_data_2024_ver0!O708</f>
        <v>80</v>
      </c>
      <c r="Q708" s="3">
        <f>parking_demand_data_2024_ver0!P708</f>
        <v>0</v>
      </c>
      <c r="R708" s="3">
        <f>parking_demand_data_2024_ver0!Q708</f>
        <v>198</v>
      </c>
      <c r="S708" s="3">
        <f>parking_demand_data_2024_ver0!R708</f>
        <v>95</v>
      </c>
      <c r="T708" s="3">
        <f>parking_demand_data_2024_ver0!S708</f>
        <v>0</v>
      </c>
    </row>
    <row r="709" spans="1:20" x14ac:dyDescent="0.25">
      <c r="A709">
        <v>18059</v>
      </c>
      <c r="B709" t="s">
        <v>58</v>
      </c>
      <c r="C709">
        <v>11</v>
      </c>
      <c r="D709" s="3">
        <f>parking_demand_data_2024_ver0!D709*calibration!$I$31</f>
        <v>175.49731589500499</v>
      </c>
      <c r="E709" s="3">
        <f>parking_demand_data_2024_ver0!E709*calibration!$I$31</f>
        <v>7.1934742982136299</v>
      </c>
      <c r="F709" s="3">
        <f t="shared" si="11"/>
        <v>182.69079019321862</v>
      </c>
      <c r="G709" s="3">
        <f>parking_demand_data_2024_ver0!F709</f>
        <v>3</v>
      </c>
      <c r="H709" s="3">
        <f>parking_demand_data_2024_ver0!G709</f>
        <v>0</v>
      </c>
      <c r="I709" s="3">
        <f>parking_demand_data_2024_ver0!H709</f>
        <v>1</v>
      </c>
      <c r="J709" s="3">
        <f>parking_demand_data_2024_ver0!I709</f>
        <v>0</v>
      </c>
      <c r="K709" s="3">
        <f>parking_demand_data_2024_ver0!J709</f>
        <v>1</v>
      </c>
      <c r="L709" s="3">
        <f>parking_demand_data_2024_ver0!K709</f>
        <v>1</v>
      </c>
      <c r="M709" s="3">
        <f>parking_demand_data_2024_ver0!L709</f>
        <v>0</v>
      </c>
      <c r="N709" s="3">
        <f>parking_demand_data_2024_ver0!M709</f>
        <v>373</v>
      </c>
      <c r="O709" s="3">
        <f>parking_demand_data_2024_ver0!N709</f>
        <v>0</v>
      </c>
      <c r="P709" s="3">
        <f>parking_demand_data_2024_ver0!O709</f>
        <v>80</v>
      </c>
      <c r="Q709" s="3">
        <f>parking_demand_data_2024_ver0!P709</f>
        <v>0</v>
      </c>
      <c r="R709" s="3">
        <f>parking_demand_data_2024_ver0!Q709</f>
        <v>198</v>
      </c>
      <c r="S709" s="3">
        <f>parking_demand_data_2024_ver0!R709</f>
        <v>95</v>
      </c>
      <c r="T709" s="3">
        <f>parking_demand_data_2024_ver0!S709</f>
        <v>0</v>
      </c>
    </row>
    <row r="710" spans="1:20" x14ac:dyDescent="0.25">
      <c r="A710">
        <v>18059</v>
      </c>
      <c r="B710" t="s">
        <v>58</v>
      </c>
      <c r="C710">
        <v>12</v>
      </c>
      <c r="D710" s="3">
        <f>parking_demand_data_2024_ver0!D710*calibration!$I$31</f>
        <v>177.68663415967899</v>
      </c>
      <c r="E710" s="3">
        <f>parking_demand_data_2024_ver0!E710*calibration!$I$31</f>
        <v>8.1317535545023691</v>
      </c>
      <c r="F710" s="3">
        <f t="shared" si="11"/>
        <v>185.81838771418137</v>
      </c>
      <c r="G710" s="3">
        <f>parking_demand_data_2024_ver0!F710</f>
        <v>3</v>
      </c>
      <c r="H710" s="3">
        <f>parking_demand_data_2024_ver0!G710</f>
        <v>0</v>
      </c>
      <c r="I710" s="3">
        <f>parking_demand_data_2024_ver0!H710</f>
        <v>1</v>
      </c>
      <c r="J710" s="3">
        <f>parking_demand_data_2024_ver0!I710</f>
        <v>0</v>
      </c>
      <c r="K710" s="3">
        <f>parking_demand_data_2024_ver0!J710</f>
        <v>1</v>
      </c>
      <c r="L710" s="3">
        <f>parking_demand_data_2024_ver0!K710</f>
        <v>1</v>
      </c>
      <c r="M710" s="3">
        <f>parking_demand_data_2024_ver0!L710</f>
        <v>0</v>
      </c>
      <c r="N710" s="3">
        <f>parking_demand_data_2024_ver0!M710</f>
        <v>373</v>
      </c>
      <c r="O710" s="3">
        <f>parking_demand_data_2024_ver0!N710</f>
        <v>0</v>
      </c>
      <c r="P710" s="3">
        <f>parking_demand_data_2024_ver0!O710</f>
        <v>80</v>
      </c>
      <c r="Q710" s="3">
        <f>parking_demand_data_2024_ver0!P710</f>
        <v>0</v>
      </c>
      <c r="R710" s="3">
        <f>parking_demand_data_2024_ver0!Q710</f>
        <v>198</v>
      </c>
      <c r="S710" s="3">
        <f>parking_demand_data_2024_ver0!R710</f>
        <v>95</v>
      </c>
      <c r="T710" s="3">
        <f>parking_demand_data_2024_ver0!S710</f>
        <v>0</v>
      </c>
    </row>
    <row r="711" spans="1:20" x14ac:dyDescent="0.25">
      <c r="A711">
        <v>18059</v>
      </c>
      <c r="B711" t="s">
        <v>58</v>
      </c>
      <c r="C711">
        <v>13</v>
      </c>
      <c r="D711" s="3">
        <f>parking_demand_data_2024_ver0!D711*calibration!$I$31</f>
        <v>186.28752734232501</v>
      </c>
      <c r="E711" s="3">
        <f>parking_demand_data_2024_ver0!E711*calibration!$I$31</f>
        <v>7.3498541742617496</v>
      </c>
      <c r="F711" s="3">
        <f t="shared" si="11"/>
        <v>193.63738151658674</v>
      </c>
      <c r="G711" s="3">
        <f>parking_demand_data_2024_ver0!F711</f>
        <v>3</v>
      </c>
      <c r="H711" s="3">
        <f>parking_demand_data_2024_ver0!G711</f>
        <v>0</v>
      </c>
      <c r="I711" s="3">
        <f>parking_demand_data_2024_ver0!H711</f>
        <v>1</v>
      </c>
      <c r="J711" s="3">
        <f>parking_demand_data_2024_ver0!I711</f>
        <v>0</v>
      </c>
      <c r="K711" s="3">
        <f>parking_demand_data_2024_ver0!J711</f>
        <v>1</v>
      </c>
      <c r="L711" s="3">
        <f>parking_demand_data_2024_ver0!K711</f>
        <v>1</v>
      </c>
      <c r="M711" s="3">
        <f>parking_demand_data_2024_ver0!L711</f>
        <v>0</v>
      </c>
      <c r="N711" s="3">
        <f>parking_demand_data_2024_ver0!M711</f>
        <v>373</v>
      </c>
      <c r="O711" s="3">
        <f>parking_demand_data_2024_ver0!N711</f>
        <v>0</v>
      </c>
      <c r="P711" s="3">
        <f>parking_demand_data_2024_ver0!O711</f>
        <v>80</v>
      </c>
      <c r="Q711" s="3">
        <f>parking_demand_data_2024_ver0!P711</f>
        <v>0</v>
      </c>
      <c r="R711" s="3">
        <f>parking_demand_data_2024_ver0!Q711</f>
        <v>198</v>
      </c>
      <c r="S711" s="3">
        <f>parking_demand_data_2024_ver0!R711</f>
        <v>95</v>
      </c>
      <c r="T711" s="3">
        <f>parking_demand_data_2024_ver0!S711</f>
        <v>0</v>
      </c>
    </row>
    <row r="712" spans="1:20" x14ac:dyDescent="0.25">
      <c r="A712">
        <v>18059</v>
      </c>
      <c r="B712" t="s">
        <v>58</v>
      </c>
      <c r="C712">
        <v>14</v>
      </c>
      <c r="D712" s="3">
        <f>parking_demand_data_2024_ver0!D712*calibration!$I$31</f>
        <v>198.32877779803101</v>
      </c>
      <c r="E712" s="3">
        <f>parking_demand_data_2024_ver0!E712*calibration!$I$31</f>
        <v>5.4342006926722499</v>
      </c>
      <c r="F712" s="3">
        <f t="shared" si="11"/>
        <v>203.76297849070326</v>
      </c>
      <c r="G712" s="3">
        <f>parking_demand_data_2024_ver0!F712</f>
        <v>3</v>
      </c>
      <c r="H712" s="3">
        <f>parking_demand_data_2024_ver0!G712</f>
        <v>0</v>
      </c>
      <c r="I712" s="3">
        <f>parking_demand_data_2024_ver0!H712</f>
        <v>1</v>
      </c>
      <c r="J712" s="3">
        <f>parking_demand_data_2024_ver0!I712</f>
        <v>0</v>
      </c>
      <c r="K712" s="3">
        <f>parking_demand_data_2024_ver0!J712</f>
        <v>1</v>
      </c>
      <c r="L712" s="3">
        <f>parking_demand_data_2024_ver0!K712</f>
        <v>1</v>
      </c>
      <c r="M712" s="3">
        <f>parking_demand_data_2024_ver0!L712</f>
        <v>0</v>
      </c>
      <c r="N712" s="3">
        <f>parking_demand_data_2024_ver0!M712</f>
        <v>373</v>
      </c>
      <c r="O712" s="3">
        <f>parking_demand_data_2024_ver0!N712</f>
        <v>0</v>
      </c>
      <c r="P712" s="3">
        <f>parking_demand_data_2024_ver0!O712</f>
        <v>80</v>
      </c>
      <c r="Q712" s="3">
        <f>parking_demand_data_2024_ver0!P712</f>
        <v>0</v>
      </c>
      <c r="R712" s="3">
        <f>parking_demand_data_2024_ver0!Q712</f>
        <v>198</v>
      </c>
      <c r="S712" s="3">
        <f>parking_demand_data_2024_ver0!R712</f>
        <v>95</v>
      </c>
      <c r="T712" s="3">
        <f>parking_demand_data_2024_ver0!S712</f>
        <v>0</v>
      </c>
    </row>
    <row r="713" spans="1:20" x14ac:dyDescent="0.25">
      <c r="A713">
        <v>18059</v>
      </c>
      <c r="B713" t="s">
        <v>58</v>
      </c>
      <c r="C713">
        <v>15</v>
      </c>
      <c r="D713" s="3">
        <f>parking_demand_data_2024_ver0!D713*calibration!$I$31</f>
        <v>206.49962632154501</v>
      </c>
      <c r="E713" s="3">
        <f>parking_demand_data_2024_ver0!E713*calibration!$I$31</f>
        <v>4.5741113744075799</v>
      </c>
      <c r="F713" s="3">
        <f t="shared" si="11"/>
        <v>211.07373769595259</v>
      </c>
      <c r="G713" s="3">
        <f>parking_demand_data_2024_ver0!F713</f>
        <v>3</v>
      </c>
      <c r="H713" s="3">
        <f>parking_demand_data_2024_ver0!G713</f>
        <v>0</v>
      </c>
      <c r="I713" s="3">
        <f>parking_demand_data_2024_ver0!H713</f>
        <v>1</v>
      </c>
      <c r="J713" s="3">
        <f>parking_demand_data_2024_ver0!I713</f>
        <v>0</v>
      </c>
      <c r="K713" s="3">
        <f>parking_demand_data_2024_ver0!J713</f>
        <v>1</v>
      </c>
      <c r="L713" s="3">
        <f>parking_demand_data_2024_ver0!K713</f>
        <v>1</v>
      </c>
      <c r="M713" s="3">
        <f>parking_demand_data_2024_ver0!L713</f>
        <v>0</v>
      </c>
      <c r="N713" s="3">
        <f>parking_demand_data_2024_ver0!M713</f>
        <v>373</v>
      </c>
      <c r="O713" s="3">
        <f>parking_demand_data_2024_ver0!N713</f>
        <v>0</v>
      </c>
      <c r="P713" s="3">
        <f>parking_demand_data_2024_ver0!O713</f>
        <v>80</v>
      </c>
      <c r="Q713" s="3">
        <f>parking_demand_data_2024_ver0!P713</f>
        <v>0</v>
      </c>
      <c r="R713" s="3">
        <f>parking_demand_data_2024_ver0!Q713</f>
        <v>198</v>
      </c>
      <c r="S713" s="3">
        <f>parking_demand_data_2024_ver0!R713</f>
        <v>95</v>
      </c>
      <c r="T713" s="3">
        <f>parking_demand_data_2024_ver0!S713</f>
        <v>0</v>
      </c>
    </row>
    <row r="714" spans="1:20" x14ac:dyDescent="0.25">
      <c r="A714">
        <v>18059</v>
      </c>
      <c r="B714" t="s">
        <v>58</v>
      </c>
      <c r="C714">
        <v>16</v>
      </c>
      <c r="D714" s="3">
        <f>parking_demand_data_2024_ver0!D714*calibration!$I$31</f>
        <v>215.960608822457</v>
      </c>
      <c r="E714" s="3">
        <f>parking_demand_data_2024_ver0!E714*calibration!$I$31</f>
        <v>5.9815302588406798</v>
      </c>
      <c r="F714" s="3">
        <f t="shared" si="11"/>
        <v>221.94213908129768</v>
      </c>
      <c r="G714" s="3">
        <f>parking_demand_data_2024_ver0!F714</f>
        <v>3</v>
      </c>
      <c r="H714" s="3">
        <f>parking_demand_data_2024_ver0!G714</f>
        <v>0</v>
      </c>
      <c r="I714" s="3">
        <f>parking_demand_data_2024_ver0!H714</f>
        <v>1</v>
      </c>
      <c r="J714" s="3">
        <f>parking_demand_data_2024_ver0!I714</f>
        <v>0</v>
      </c>
      <c r="K714" s="3">
        <f>parking_demand_data_2024_ver0!J714</f>
        <v>1</v>
      </c>
      <c r="L714" s="3">
        <f>parking_demand_data_2024_ver0!K714</f>
        <v>1</v>
      </c>
      <c r="M714" s="3">
        <f>parking_demand_data_2024_ver0!L714</f>
        <v>0</v>
      </c>
      <c r="N714" s="3">
        <f>parking_demand_data_2024_ver0!M714</f>
        <v>373</v>
      </c>
      <c r="O714" s="3">
        <f>parking_demand_data_2024_ver0!N714</f>
        <v>0</v>
      </c>
      <c r="P714" s="3">
        <f>parking_demand_data_2024_ver0!O714</f>
        <v>80</v>
      </c>
      <c r="Q714" s="3">
        <f>parking_demand_data_2024_ver0!P714</f>
        <v>0</v>
      </c>
      <c r="R714" s="3">
        <f>parking_demand_data_2024_ver0!Q714</f>
        <v>198</v>
      </c>
      <c r="S714" s="3">
        <f>parking_demand_data_2024_ver0!R714</f>
        <v>95</v>
      </c>
      <c r="T714" s="3">
        <f>parking_demand_data_2024_ver0!S714</f>
        <v>0</v>
      </c>
    </row>
    <row r="715" spans="1:20" x14ac:dyDescent="0.25">
      <c r="A715">
        <v>18059</v>
      </c>
      <c r="B715" t="s">
        <v>58</v>
      </c>
      <c r="C715">
        <v>17</v>
      </c>
      <c r="D715" s="3">
        <f>parking_demand_data_2024_ver0!D715*calibration!$I$31</f>
        <v>234.37433922712299</v>
      </c>
      <c r="E715" s="3">
        <f>parking_demand_data_2024_ver0!E715*calibration!$I$31</f>
        <v>6.37247994896099</v>
      </c>
      <c r="F715" s="3">
        <f t="shared" si="11"/>
        <v>240.74681917608399</v>
      </c>
      <c r="G715" s="3">
        <f>parking_demand_data_2024_ver0!F715</f>
        <v>3</v>
      </c>
      <c r="H715" s="3">
        <f>parking_demand_data_2024_ver0!G715</f>
        <v>0</v>
      </c>
      <c r="I715" s="3">
        <f>parking_demand_data_2024_ver0!H715</f>
        <v>1</v>
      </c>
      <c r="J715" s="3">
        <f>parking_demand_data_2024_ver0!I715</f>
        <v>0</v>
      </c>
      <c r="K715" s="3">
        <f>parking_demand_data_2024_ver0!J715</f>
        <v>1</v>
      </c>
      <c r="L715" s="3">
        <f>parking_demand_data_2024_ver0!K715</f>
        <v>1</v>
      </c>
      <c r="M715" s="3">
        <f>parking_demand_data_2024_ver0!L715</f>
        <v>0</v>
      </c>
      <c r="N715" s="3">
        <f>parking_demand_data_2024_ver0!M715</f>
        <v>373</v>
      </c>
      <c r="O715" s="3">
        <f>parking_demand_data_2024_ver0!N715</f>
        <v>0</v>
      </c>
      <c r="P715" s="3">
        <f>parking_demand_data_2024_ver0!O715</f>
        <v>80</v>
      </c>
      <c r="Q715" s="3">
        <f>parking_demand_data_2024_ver0!P715</f>
        <v>0</v>
      </c>
      <c r="R715" s="3">
        <f>parking_demand_data_2024_ver0!Q715</f>
        <v>198</v>
      </c>
      <c r="S715" s="3">
        <f>parking_demand_data_2024_ver0!R715</f>
        <v>95</v>
      </c>
      <c r="T715" s="3">
        <f>parking_demand_data_2024_ver0!S715</f>
        <v>0</v>
      </c>
    </row>
    <row r="716" spans="1:20" x14ac:dyDescent="0.25">
      <c r="A716">
        <v>18059</v>
      </c>
      <c r="B716" t="s">
        <v>58</v>
      </c>
      <c r="C716">
        <v>18</v>
      </c>
      <c r="D716" s="3">
        <f>parking_demand_data_2024_ver0!D716*calibration!$I$31</f>
        <v>261.70172256653302</v>
      </c>
      <c r="E716" s="3">
        <f>parking_demand_data_2024_ver0!E716*calibration!$I$31</f>
        <v>8.4054183375865801</v>
      </c>
      <c r="F716" s="3">
        <f t="shared" si="11"/>
        <v>270.1071409041196</v>
      </c>
      <c r="G716" s="3">
        <f>parking_demand_data_2024_ver0!F716</f>
        <v>3</v>
      </c>
      <c r="H716" s="3">
        <f>parking_demand_data_2024_ver0!G716</f>
        <v>0</v>
      </c>
      <c r="I716" s="3">
        <f>parking_demand_data_2024_ver0!H716</f>
        <v>1</v>
      </c>
      <c r="J716" s="3">
        <f>parking_demand_data_2024_ver0!I716</f>
        <v>0</v>
      </c>
      <c r="K716" s="3">
        <f>parking_demand_data_2024_ver0!J716</f>
        <v>1</v>
      </c>
      <c r="L716" s="3">
        <f>parking_demand_data_2024_ver0!K716</f>
        <v>1</v>
      </c>
      <c r="M716" s="3">
        <f>parking_demand_data_2024_ver0!L716</f>
        <v>0</v>
      </c>
      <c r="N716" s="3">
        <f>parking_demand_data_2024_ver0!M716</f>
        <v>373</v>
      </c>
      <c r="O716" s="3">
        <f>parking_demand_data_2024_ver0!N716</f>
        <v>0</v>
      </c>
      <c r="P716" s="3">
        <f>parking_demand_data_2024_ver0!O716</f>
        <v>80</v>
      </c>
      <c r="Q716" s="3">
        <f>parking_demand_data_2024_ver0!P716</f>
        <v>0</v>
      </c>
      <c r="R716" s="3">
        <f>parking_demand_data_2024_ver0!Q716</f>
        <v>198</v>
      </c>
      <c r="S716" s="3">
        <f>parking_demand_data_2024_ver0!R716</f>
        <v>95</v>
      </c>
      <c r="T716" s="3">
        <f>parking_demand_data_2024_ver0!S716</f>
        <v>0</v>
      </c>
    </row>
    <row r="717" spans="1:20" x14ac:dyDescent="0.25">
      <c r="A717">
        <v>18059</v>
      </c>
      <c r="B717" t="s">
        <v>58</v>
      </c>
      <c r="C717">
        <v>19</v>
      </c>
      <c r="D717" s="3">
        <f>parking_demand_data_2024_ver0!D717*calibration!$I$31</f>
        <v>297.62999908858899</v>
      </c>
      <c r="E717" s="3">
        <f>parking_demand_data_2024_ver0!E717*calibration!$I$31</f>
        <v>9.0309378417790693</v>
      </c>
      <c r="F717" s="3">
        <f t="shared" si="11"/>
        <v>306.66093693036805</v>
      </c>
      <c r="G717" s="3">
        <f>parking_demand_data_2024_ver0!F717</f>
        <v>3</v>
      </c>
      <c r="H717" s="3">
        <f>parking_demand_data_2024_ver0!G717</f>
        <v>0</v>
      </c>
      <c r="I717" s="3">
        <f>parking_demand_data_2024_ver0!H717</f>
        <v>1</v>
      </c>
      <c r="J717" s="3">
        <f>parking_demand_data_2024_ver0!I717</f>
        <v>0</v>
      </c>
      <c r="K717" s="3">
        <f>parking_demand_data_2024_ver0!J717</f>
        <v>1</v>
      </c>
      <c r="L717" s="3">
        <f>parking_demand_data_2024_ver0!K717</f>
        <v>1</v>
      </c>
      <c r="M717" s="3">
        <f>parking_demand_data_2024_ver0!L717</f>
        <v>0</v>
      </c>
      <c r="N717" s="3">
        <f>parking_demand_data_2024_ver0!M717</f>
        <v>373</v>
      </c>
      <c r="O717" s="3">
        <f>parking_demand_data_2024_ver0!N717</f>
        <v>0</v>
      </c>
      <c r="P717" s="3">
        <f>parking_demand_data_2024_ver0!O717</f>
        <v>80</v>
      </c>
      <c r="Q717" s="3">
        <f>parking_demand_data_2024_ver0!P717</f>
        <v>0</v>
      </c>
      <c r="R717" s="3">
        <f>parking_demand_data_2024_ver0!Q717</f>
        <v>198</v>
      </c>
      <c r="S717" s="3">
        <f>parking_demand_data_2024_ver0!R717</f>
        <v>95</v>
      </c>
      <c r="T717" s="3">
        <f>parking_demand_data_2024_ver0!S717</f>
        <v>0</v>
      </c>
    </row>
    <row r="718" spans="1:20" x14ac:dyDescent="0.25">
      <c r="A718">
        <v>18059</v>
      </c>
      <c r="B718" t="s">
        <v>58</v>
      </c>
      <c r="C718">
        <v>20</v>
      </c>
      <c r="D718" s="3">
        <f>parking_demand_data_2024_ver0!D718*calibration!$I$31</f>
        <v>334.45745989792198</v>
      </c>
      <c r="E718" s="3">
        <f>parking_demand_data_2024_ver0!E718*calibration!$I$31</f>
        <v>10.360166788188099</v>
      </c>
      <c r="F718" s="3">
        <f t="shared" si="11"/>
        <v>344.81762668611009</v>
      </c>
      <c r="G718" s="3">
        <f>parking_demand_data_2024_ver0!F718</f>
        <v>3</v>
      </c>
      <c r="H718" s="3">
        <f>parking_demand_data_2024_ver0!G718</f>
        <v>0</v>
      </c>
      <c r="I718" s="3">
        <f>parking_demand_data_2024_ver0!H718</f>
        <v>1</v>
      </c>
      <c r="J718" s="3">
        <f>parking_demand_data_2024_ver0!I718</f>
        <v>0</v>
      </c>
      <c r="K718" s="3">
        <f>parking_demand_data_2024_ver0!J718</f>
        <v>1</v>
      </c>
      <c r="L718" s="3">
        <f>parking_demand_data_2024_ver0!K718</f>
        <v>1</v>
      </c>
      <c r="M718" s="3">
        <f>parking_demand_data_2024_ver0!L718</f>
        <v>0</v>
      </c>
      <c r="N718" s="3">
        <f>parking_demand_data_2024_ver0!M718</f>
        <v>373</v>
      </c>
      <c r="O718" s="3">
        <f>parking_demand_data_2024_ver0!N718</f>
        <v>0</v>
      </c>
      <c r="P718" s="3">
        <f>parking_demand_data_2024_ver0!O718</f>
        <v>80</v>
      </c>
      <c r="Q718" s="3">
        <f>parking_demand_data_2024_ver0!P718</f>
        <v>0</v>
      </c>
      <c r="R718" s="3">
        <f>parking_demand_data_2024_ver0!Q718</f>
        <v>198</v>
      </c>
      <c r="S718" s="3">
        <f>parking_demand_data_2024_ver0!R718</f>
        <v>95</v>
      </c>
      <c r="T718" s="3">
        <f>parking_demand_data_2024_ver0!S718</f>
        <v>0</v>
      </c>
    </row>
    <row r="719" spans="1:20" x14ac:dyDescent="0.25">
      <c r="A719">
        <v>18059</v>
      </c>
      <c r="B719" t="s">
        <v>58</v>
      </c>
      <c r="C719">
        <v>21</v>
      </c>
      <c r="D719" s="3">
        <f>parking_demand_data_2024_ver0!D719*calibration!$I$31</f>
        <v>363.50502187386002</v>
      </c>
      <c r="E719" s="3">
        <f>parking_demand_data_2024_ver0!E719*calibration!$I$31</f>
        <v>10.633831571272299</v>
      </c>
      <c r="F719" s="3">
        <f t="shared" si="11"/>
        <v>374.13885344513233</v>
      </c>
      <c r="G719" s="3">
        <f>parking_demand_data_2024_ver0!F719</f>
        <v>3</v>
      </c>
      <c r="H719" s="3">
        <f>parking_demand_data_2024_ver0!G719</f>
        <v>0</v>
      </c>
      <c r="I719" s="3">
        <f>parking_demand_data_2024_ver0!H719</f>
        <v>1</v>
      </c>
      <c r="J719" s="3">
        <f>parking_demand_data_2024_ver0!I719</f>
        <v>0</v>
      </c>
      <c r="K719" s="3">
        <f>parking_demand_data_2024_ver0!J719</f>
        <v>1</v>
      </c>
      <c r="L719" s="3">
        <f>parking_demand_data_2024_ver0!K719</f>
        <v>1</v>
      </c>
      <c r="M719" s="3">
        <f>parking_demand_data_2024_ver0!L719</f>
        <v>0</v>
      </c>
      <c r="N719" s="3">
        <f>parking_demand_data_2024_ver0!M719</f>
        <v>373</v>
      </c>
      <c r="O719" s="3">
        <f>parking_demand_data_2024_ver0!N719</f>
        <v>0</v>
      </c>
      <c r="P719" s="3">
        <f>parking_demand_data_2024_ver0!O719</f>
        <v>80</v>
      </c>
      <c r="Q719" s="3">
        <f>parking_demand_data_2024_ver0!P719</f>
        <v>0</v>
      </c>
      <c r="R719" s="3">
        <f>parking_demand_data_2024_ver0!Q719</f>
        <v>198</v>
      </c>
      <c r="S719" s="3">
        <f>parking_demand_data_2024_ver0!R719</f>
        <v>95</v>
      </c>
      <c r="T719" s="3">
        <f>parking_demand_data_2024_ver0!S719</f>
        <v>0</v>
      </c>
    </row>
    <row r="720" spans="1:20" x14ac:dyDescent="0.25">
      <c r="A720">
        <v>18059</v>
      </c>
      <c r="B720" t="s">
        <v>58</v>
      </c>
      <c r="C720">
        <v>22</v>
      </c>
      <c r="D720" s="3">
        <f>parking_demand_data_2024_ver0!D720*calibration!$I$31</f>
        <v>386.92290831206702</v>
      </c>
      <c r="E720" s="3">
        <f>parking_demand_data_2024_ver0!E720*calibration!$I$31</f>
        <v>14.113283813342999</v>
      </c>
      <c r="F720" s="3">
        <f t="shared" si="11"/>
        <v>401.03619212541003</v>
      </c>
      <c r="G720" s="3">
        <f>parking_demand_data_2024_ver0!F720</f>
        <v>3</v>
      </c>
      <c r="H720" s="3">
        <f>parking_demand_data_2024_ver0!G720</f>
        <v>0</v>
      </c>
      <c r="I720" s="3">
        <f>parking_demand_data_2024_ver0!H720</f>
        <v>1</v>
      </c>
      <c r="J720" s="3">
        <f>parking_demand_data_2024_ver0!I720</f>
        <v>0</v>
      </c>
      <c r="K720" s="3">
        <f>parking_demand_data_2024_ver0!J720</f>
        <v>1</v>
      </c>
      <c r="L720" s="3">
        <f>parking_demand_data_2024_ver0!K720</f>
        <v>1</v>
      </c>
      <c r="M720" s="3">
        <f>parking_demand_data_2024_ver0!L720</f>
        <v>0</v>
      </c>
      <c r="N720" s="3">
        <f>parking_demand_data_2024_ver0!M720</f>
        <v>373</v>
      </c>
      <c r="O720" s="3">
        <f>parking_demand_data_2024_ver0!N720</f>
        <v>0</v>
      </c>
      <c r="P720" s="3">
        <f>parking_demand_data_2024_ver0!O720</f>
        <v>80</v>
      </c>
      <c r="Q720" s="3">
        <f>parking_demand_data_2024_ver0!P720</f>
        <v>0</v>
      </c>
      <c r="R720" s="3">
        <f>parking_demand_data_2024_ver0!Q720</f>
        <v>198</v>
      </c>
      <c r="S720" s="3">
        <f>parking_demand_data_2024_ver0!R720</f>
        <v>95</v>
      </c>
      <c r="T720" s="3">
        <f>parking_demand_data_2024_ver0!S720</f>
        <v>0</v>
      </c>
    </row>
    <row r="721" spans="1:20" x14ac:dyDescent="0.25">
      <c r="A721">
        <v>18059</v>
      </c>
      <c r="B721" t="s">
        <v>58</v>
      </c>
      <c r="C721">
        <v>23</v>
      </c>
      <c r="D721" s="3">
        <f>parking_demand_data_2024_ver0!D721*calibration!$I$31</f>
        <v>407.52595698140698</v>
      </c>
      <c r="E721" s="3">
        <f>parking_demand_data_2024_ver0!E721*calibration!$I$31</f>
        <v>17.475451148377601</v>
      </c>
      <c r="F721" s="3">
        <f t="shared" si="11"/>
        <v>425.00140812978458</v>
      </c>
      <c r="G721" s="3">
        <f>parking_demand_data_2024_ver0!F721</f>
        <v>3</v>
      </c>
      <c r="H721" s="3">
        <f>parking_demand_data_2024_ver0!G721</f>
        <v>0</v>
      </c>
      <c r="I721" s="3">
        <f>parking_demand_data_2024_ver0!H721</f>
        <v>1</v>
      </c>
      <c r="J721" s="3">
        <f>parking_demand_data_2024_ver0!I721</f>
        <v>0</v>
      </c>
      <c r="K721" s="3">
        <f>parking_demand_data_2024_ver0!J721</f>
        <v>1</v>
      </c>
      <c r="L721" s="3">
        <f>parking_demand_data_2024_ver0!K721</f>
        <v>1</v>
      </c>
      <c r="M721" s="3">
        <f>parking_demand_data_2024_ver0!L721</f>
        <v>0</v>
      </c>
      <c r="N721" s="3">
        <f>parking_demand_data_2024_ver0!M721</f>
        <v>373</v>
      </c>
      <c r="O721" s="3">
        <f>parking_demand_data_2024_ver0!N721</f>
        <v>0</v>
      </c>
      <c r="P721" s="3">
        <f>parking_demand_data_2024_ver0!O721</f>
        <v>80</v>
      </c>
      <c r="Q721" s="3">
        <f>parking_demand_data_2024_ver0!P721</f>
        <v>0</v>
      </c>
      <c r="R721" s="3">
        <f>parking_demand_data_2024_ver0!Q721</f>
        <v>198</v>
      </c>
      <c r="S721" s="3">
        <f>parking_demand_data_2024_ver0!R721</f>
        <v>95</v>
      </c>
      <c r="T721" s="3">
        <f>parking_demand_data_2024_ver0!S721</f>
        <v>0</v>
      </c>
    </row>
    <row r="722" spans="1:20" x14ac:dyDescent="0.25">
      <c r="A722">
        <v>18061</v>
      </c>
      <c r="B722" t="s">
        <v>59</v>
      </c>
      <c r="C722">
        <v>0</v>
      </c>
      <c r="D722" s="3">
        <f>parking_demand_data_2024_ver0!D722*calibration!$I$31</f>
        <v>0</v>
      </c>
      <c r="E722" s="3">
        <f>parking_demand_data_2024_ver0!E722*calibration!$I$31</f>
        <v>2.6556716944460601</v>
      </c>
      <c r="F722" s="3">
        <f t="shared" si="11"/>
        <v>2.6556716944460601</v>
      </c>
      <c r="G722" s="3">
        <f>parking_demand_data_2024_ver0!F722</f>
        <v>0</v>
      </c>
      <c r="H722" s="3">
        <f>parking_demand_data_2024_ver0!G722</f>
        <v>0</v>
      </c>
      <c r="I722" s="3">
        <f>parking_demand_data_2024_ver0!H722</f>
        <v>0</v>
      </c>
      <c r="J722" s="3">
        <f>parking_demand_data_2024_ver0!I722</f>
        <v>0</v>
      </c>
      <c r="K722" s="3">
        <f>parking_demand_data_2024_ver0!J722</f>
        <v>0</v>
      </c>
      <c r="L722" s="3">
        <f>parking_demand_data_2024_ver0!K722</f>
        <v>0</v>
      </c>
      <c r="M722" s="3">
        <f>parking_demand_data_2024_ver0!L722</f>
        <v>0</v>
      </c>
      <c r="N722" s="3">
        <f>parking_demand_data_2024_ver0!M722</f>
        <v>0</v>
      </c>
      <c r="O722" s="3">
        <f>parking_demand_data_2024_ver0!N722</f>
        <v>0</v>
      </c>
      <c r="P722" s="3">
        <f>parking_demand_data_2024_ver0!O722</f>
        <v>0</v>
      </c>
      <c r="Q722" s="3">
        <f>parking_demand_data_2024_ver0!P722</f>
        <v>0</v>
      </c>
      <c r="R722" s="3">
        <f>parking_demand_data_2024_ver0!Q722</f>
        <v>0</v>
      </c>
      <c r="S722" s="3">
        <f>parking_demand_data_2024_ver0!R722</f>
        <v>0</v>
      </c>
      <c r="T722" s="3">
        <f>parking_demand_data_2024_ver0!S722</f>
        <v>0</v>
      </c>
    </row>
    <row r="723" spans="1:20" x14ac:dyDescent="0.25">
      <c r="A723">
        <v>18061</v>
      </c>
      <c r="B723" t="s">
        <v>59</v>
      </c>
      <c r="C723">
        <v>1</v>
      </c>
      <c r="D723" s="3">
        <f>parking_demand_data_2024_ver0!D723*calibration!$I$31</f>
        <v>0</v>
      </c>
      <c r="E723" s="3">
        <f>parking_demand_data_2024_ver0!E723*calibration!$I$31</f>
        <v>3.0268946194761601</v>
      </c>
      <c r="F723" s="3">
        <f t="shared" si="11"/>
        <v>3.0268946194761601</v>
      </c>
      <c r="G723" s="3">
        <f>parking_demand_data_2024_ver0!F723</f>
        <v>0</v>
      </c>
      <c r="H723" s="3">
        <f>parking_demand_data_2024_ver0!G723</f>
        <v>0</v>
      </c>
      <c r="I723" s="3">
        <f>parking_demand_data_2024_ver0!H723</f>
        <v>0</v>
      </c>
      <c r="J723" s="3">
        <f>parking_demand_data_2024_ver0!I723</f>
        <v>0</v>
      </c>
      <c r="K723" s="3">
        <f>parking_demand_data_2024_ver0!J723</f>
        <v>0</v>
      </c>
      <c r="L723" s="3">
        <f>parking_demand_data_2024_ver0!K723</f>
        <v>0</v>
      </c>
      <c r="M723" s="3">
        <f>parking_demand_data_2024_ver0!L723</f>
        <v>0</v>
      </c>
      <c r="N723" s="3">
        <f>parking_demand_data_2024_ver0!M723</f>
        <v>0</v>
      </c>
      <c r="O723" s="3">
        <f>parking_demand_data_2024_ver0!N723</f>
        <v>0</v>
      </c>
      <c r="P723" s="3">
        <f>parking_demand_data_2024_ver0!O723</f>
        <v>0</v>
      </c>
      <c r="Q723" s="3">
        <f>parking_demand_data_2024_ver0!P723</f>
        <v>0</v>
      </c>
      <c r="R723" s="3">
        <f>parking_demand_data_2024_ver0!Q723</f>
        <v>0</v>
      </c>
      <c r="S723" s="3">
        <f>parking_demand_data_2024_ver0!R723</f>
        <v>0</v>
      </c>
      <c r="T723" s="3">
        <f>parking_demand_data_2024_ver0!S723</f>
        <v>0</v>
      </c>
    </row>
    <row r="724" spans="1:20" x14ac:dyDescent="0.25">
      <c r="A724">
        <v>18061</v>
      </c>
      <c r="B724" t="s">
        <v>59</v>
      </c>
      <c r="C724">
        <v>2</v>
      </c>
      <c r="D724" s="3">
        <f>parking_demand_data_2024_ver0!D724*calibration!$I$31</f>
        <v>0</v>
      </c>
      <c r="E724" s="3">
        <f>parking_demand_data_2024_ver0!E724*calibration!$I$31</f>
        <v>2.9412277906230599</v>
      </c>
      <c r="F724" s="3">
        <f t="shared" si="11"/>
        <v>2.9412277906230599</v>
      </c>
      <c r="G724" s="3">
        <f>parking_demand_data_2024_ver0!F724</f>
        <v>0</v>
      </c>
      <c r="H724" s="3">
        <f>parking_demand_data_2024_ver0!G724</f>
        <v>0</v>
      </c>
      <c r="I724" s="3">
        <f>parking_demand_data_2024_ver0!H724</f>
        <v>0</v>
      </c>
      <c r="J724" s="3">
        <f>parking_demand_data_2024_ver0!I724</f>
        <v>0</v>
      </c>
      <c r="K724" s="3">
        <f>parking_demand_data_2024_ver0!J724</f>
        <v>0</v>
      </c>
      <c r="L724" s="3">
        <f>parking_demand_data_2024_ver0!K724</f>
        <v>0</v>
      </c>
      <c r="M724" s="3">
        <f>parking_demand_data_2024_ver0!L724</f>
        <v>0</v>
      </c>
      <c r="N724" s="3">
        <f>parking_demand_data_2024_ver0!M724</f>
        <v>0</v>
      </c>
      <c r="O724" s="3">
        <f>parking_demand_data_2024_ver0!N724</f>
        <v>0</v>
      </c>
      <c r="P724" s="3">
        <f>parking_demand_data_2024_ver0!O724</f>
        <v>0</v>
      </c>
      <c r="Q724" s="3">
        <f>parking_demand_data_2024_ver0!P724</f>
        <v>0</v>
      </c>
      <c r="R724" s="3">
        <f>parking_demand_data_2024_ver0!Q724</f>
        <v>0</v>
      </c>
      <c r="S724" s="3">
        <f>parking_demand_data_2024_ver0!R724</f>
        <v>0</v>
      </c>
      <c r="T724" s="3">
        <f>parking_demand_data_2024_ver0!S724</f>
        <v>0</v>
      </c>
    </row>
    <row r="725" spans="1:20" x14ac:dyDescent="0.25">
      <c r="A725">
        <v>18061</v>
      </c>
      <c r="B725" t="s">
        <v>59</v>
      </c>
      <c r="C725">
        <v>3</v>
      </c>
      <c r="D725" s="3">
        <f>parking_demand_data_2024_ver0!D725*calibration!$I$31</f>
        <v>0</v>
      </c>
      <c r="E725" s="3">
        <f>parking_demand_data_2024_ver0!E725*calibration!$I$31</f>
        <v>2.9697834002407602</v>
      </c>
      <c r="F725" s="3">
        <f t="shared" si="11"/>
        <v>2.9697834002407602</v>
      </c>
      <c r="G725" s="3">
        <f>parking_demand_data_2024_ver0!F725</f>
        <v>0</v>
      </c>
      <c r="H725" s="3">
        <f>parking_demand_data_2024_ver0!G725</f>
        <v>0</v>
      </c>
      <c r="I725" s="3">
        <f>parking_demand_data_2024_ver0!H725</f>
        <v>0</v>
      </c>
      <c r="J725" s="3">
        <f>parking_demand_data_2024_ver0!I725</f>
        <v>0</v>
      </c>
      <c r="K725" s="3">
        <f>parking_demand_data_2024_ver0!J725</f>
        <v>0</v>
      </c>
      <c r="L725" s="3">
        <f>parking_demand_data_2024_ver0!K725</f>
        <v>0</v>
      </c>
      <c r="M725" s="3">
        <f>parking_demand_data_2024_ver0!L725</f>
        <v>0</v>
      </c>
      <c r="N725" s="3">
        <f>parking_demand_data_2024_ver0!M725</f>
        <v>0</v>
      </c>
      <c r="O725" s="3">
        <f>parking_demand_data_2024_ver0!N725</f>
        <v>0</v>
      </c>
      <c r="P725" s="3">
        <f>parking_demand_data_2024_ver0!O725</f>
        <v>0</v>
      </c>
      <c r="Q725" s="3">
        <f>parking_demand_data_2024_ver0!P725</f>
        <v>0</v>
      </c>
      <c r="R725" s="3">
        <f>parking_demand_data_2024_ver0!Q725</f>
        <v>0</v>
      </c>
      <c r="S725" s="3">
        <f>parking_demand_data_2024_ver0!R725</f>
        <v>0</v>
      </c>
      <c r="T725" s="3">
        <f>parking_demand_data_2024_ver0!S725</f>
        <v>0</v>
      </c>
    </row>
    <row r="726" spans="1:20" x14ac:dyDescent="0.25">
      <c r="A726">
        <v>18061</v>
      </c>
      <c r="B726" t="s">
        <v>59</v>
      </c>
      <c r="C726">
        <v>4</v>
      </c>
      <c r="D726" s="3">
        <f>parking_demand_data_2024_ver0!D726*calibration!$I$31</f>
        <v>0</v>
      </c>
      <c r="E726" s="3">
        <f>parking_demand_data_2024_ver0!E726*calibration!$I$31</f>
        <v>4.2547858330372401</v>
      </c>
      <c r="F726" s="3">
        <f t="shared" si="11"/>
        <v>4.2547858330372401</v>
      </c>
      <c r="G726" s="3">
        <f>parking_demand_data_2024_ver0!F726</f>
        <v>0</v>
      </c>
      <c r="H726" s="3">
        <f>parking_demand_data_2024_ver0!G726</f>
        <v>0</v>
      </c>
      <c r="I726" s="3">
        <f>parking_demand_data_2024_ver0!H726</f>
        <v>0</v>
      </c>
      <c r="J726" s="3">
        <f>parking_demand_data_2024_ver0!I726</f>
        <v>0</v>
      </c>
      <c r="K726" s="3">
        <f>parking_demand_data_2024_ver0!J726</f>
        <v>0</v>
      </c>
      <c r="L726" s="3">
        <f>parking_demand_data_2024_ver0!K726</f>
        <v>0</v>
      </c>
      <c r="M726" s="3">
        <f>parking_demand_data_2024_ver0!L726</f>
        <v>0</v>
      </c>
      <c r="N726" s="3">
        <f>parking_demand_data_2024_ver0!M726</f>
        <v>0</v>
      </c>
      <c r="O726" s="3">
        <f>parking_demand_data_2024_ver0!N726</f>
        <v>0</v>
      </c>
      <c r="P726" s="3">
        <f>parking_demand_data_2024_ver0!O726</f>
        <v>0</v>
      </c>
      <c r="Q726" s="3">
        <f>parking_demand_data_2024_ver0!P726</f>
        <v>0</v>
      </c>
      <c r="R726" s="3">
        <f>parking_demand_data_2024_ver0!Q726</f>
        <v>0</v>
      </c>
      <c r="S726" s="3">
        <f>parking_demand_data_2024_ver0!R726</f>
        <v>0</v>
      </c>
      <c r="T726" s="3">
        <f>parking_demand_data_2024_ver0!S726</f>
        <v>0</v>
      </c>
    </row>
    <row r="727" spans="1:20" x14ac:dyDescent="0.25">
      <c r="A727">
        <v>18061</v>
      </c>
      <c r="B727" t="s">
        <v>59</v>
      </c>
      <c r="C727">
        <v>5</v>
      </c>
      <c r="D727" s="3">
        <f>parking_demand_data_2024_ver0!D727*calibration!$I$31</f>
        <v>0</v>
      </c>
      <c r="E727" s="3">
        <f>parking_demand_data_2024_ver0!E727*calibration!$I$31</f>
        <v>6.2251228966585197</v>
      </c>
      <c r="F727" s="3">
        <f t="shared" si="11"/>
        <v>6.2251228966585197</v>
      </c>
      <c r="G727" s="3">
        <f>parking_demand_data_2024_ver0!F727</f>
        <v>0</v>
      </c>
      <c r="H727" s="3">
        <f>parking_demand_data_2024_ver0!G727</f>
        <v>0</v>
      </c>
      <c r="I727" s="3">
        <f>parking_demand_data_2024_ver0!H727</f>
        <v>0</v>
      </c>
      <c r="J727" s="3">
        <f>parking_demand_data_2024_ver0!I727</f>
        <v>0</v>
      </c>
      <c r="K727" s="3">
        <f>parking_demand_data_2024_ver0!J727</f>
        <v>0</v>
      </c>
      <c r="L727" s="3">
        <f>parking_demand_data_2024_ver0!K727</f>
        <v>0</v>
      </c>
      <c r="M727" s="3">
        <f>parking_demand_data_2024_ver0!L727</f>
        <v>0</v>
      </c>
      <c r="N727" s="3">
        <f>parking_demand_data_2024_ver0!M727</f>
        <v>0</v>
      </c>
      <c r="O727" s="3">
        <f>parking_demand_data_2024_ver0!N727</f>
        <v>0</v>
      </c>
      <c r="P727" s="3">
        <f>parking_demand_data_2024_ver0!O727</f>
        <v>0</v>
      </c>
      <c r="Q727" s="3">
        <f>parking_demand_data_2024_ver0!P727</f>
        <v>0</v>
      </c>
      <c r="R727" s="3">
        <f>parking_demand_data_2024_ver0!Q727</f>
        <v>0</v>
      </c>
      <c r="S727" s="3">
        <f>parking_demand_data_2024_ver0!R727</f>
        <v>0</v>
      </c>
      <c r="T727" s="3">
        <f>parking_demand_data_2024_ver0!S727</f>
        <v>0</v>
      </c>
    </row>
    <row r="728" spans="1:20" x14ac:dyDescent="0.25">
      <c r="A728">
        <v>18061</v>
      </c>
      <c r="B728" t="s">
        <v>59</v>
      </c>
      <c r="C728">
        <v>6</v>
      </c>
      <c r="D728" s="3">
        <f>parking_demand_data_2024_ver0!D728*calibration!$I$31</f>
        <v>0</v>
      </c>
      <c r="E728" s="3">
        <f>parking_demand_data_2024_ver0!E728*calibration!$I$31</f>
        <v>5.9395668004815203</v>
      </c>
      <c r="F728" s="3">
        <f t="shared" si="11"/>
        <v>5.9395668004815203</v>
      </c>
      <c r="G728" s="3">
        <f>parking_demand_data_2024_ver0!F728</f>
        <v>0</v>
      </c>
      <c r="H728" s="3">
        <f>parking_demand_data_2024_ver0!G728</f>
        <v>0</v>
      </c>
      <c r="I728" s="3">
        <f>parking_demand_data_2024_ver0!H728</f>
        <v>0</v>
      </c>
      <c r="J728" s="3">
        <f>parking_demand_data_2024_ver0!I728</f>
        <v>0</v>
      </c>
      <c r="K728" s="3">
        <f>parking_demand_data_2024_ver0!J728</f>
        <v>0</v>
      </c>
      <c r="L728" s="3">
        <f>parking_demand_data_2024_ver0!K728</f>
        <v>0</v>
      </c>
      <c r="M728" s="3">
        <f>parking_demand_data_2024_ver0!L728</f>
        <v>0</v>
      </c>
      <c r="N728" s="3">
        <f>parking_demand_data_2024_ver0!M728</f>
        <v>0</v>
      </c>
      <c r="O728" s="3">
        <f>parking_demand_data_2024_ver0!N728</f>
        <v>0</v>
      </c>
      <c r="P728" s="3">
        <f>parking_demand_data_2024_ver0!O728</f>
        <v>0</v>
      </c>
      <c r="Q728" s="3">
        <f>parking_demand_data_2024_ver0!P728</f>
        <v>0</v>
      </c>
      <c r="R728" s="3">
        <f>parking_demand_data_2024_ver0!Q728</f>
        <v>0</v>
      </c>
      <c r="S728" s="3">
        <f>parking_demand_data_2024_ver0!R728</f>
        <v>0</v>
      </c>
      <c r="T728" s="3">
        <f>parking_demand_data_2024_ver0!S728</f>
        <v>0</v>
      </c>
    </row>
    <row r="729" spans="1:20" x14ac:dyDescent="0.25">
      <c r="A729">
        <v>18061</v>
      </c>
      <c r="B729" t="s">
        <v>59</v>
      </c>
      <c r="C729">
        <v>7</v>
      </c>
      <c r="D729" s="3">
        <f>parking_demand_data_2024_ver0!D729*calibration!$I$31</f>
        <v>0</v>
      </c>
      <c r="E729" s="3">
        <f>parking_demand_data_2024_ver0!E729*calibration!$I$31</f>
        <v>7.0532355755718097</v>
      </c>
      <c r="F729" s="3">
        <f t="shared" si="11"/>
        <v>7.0532355755718097</v>
      </c>
      <c r="G729" s="3">
        <f>parking_demand_data_2024_ver0!F729</f>
        <v>0</v>
      </c>
      <c r="H729" s="3">
        <f>parking_demand_data_2024_ver0!G729</f>
        <v>0</v>
      </c>
      <c r="I729" s="3">
        <f>parking_demand_data_2024_ver0!H729</f>
        <v>0</v>
      </c>
      <c r="J729" s="3">
        <f>parking_demand_data_2024_ver0!I729</f>
        <v>0</v>
      </c>
      <c r="K729" s="3">
        <f>parking_demand_data_2024_ver0!J729</f>
        <v>0</v>
      </c>
      <c r="L729" s="3">
        <f>parking_demand_data_2024_ver0!K729</f>
        <v>0</v>
      </c>
      <c r="M729" s="3">
        <f>parking_demand_data_2024_ver0!L729</f>
        <v>0</v>
      </c>
      <c r="N729" s="3">
        <f>parking_demand_data_2024_ver0!M729</f>
        <v>0</v>
      </c>
      <c r="O729" s="3">
        <f>parking_demand_data_2024_ver0!N729</f>
        <v>0</v>
      </c>
      <c r="P729" s="3">
        <f>parking_demand_data_2024_ver0!O729</f>
        <v>0</v>
      </c>
      <c r="Q729" s="3">
        <f>parking_demand_data_2024_ver0!P729</f>
        <v>0</v>
      </c>
      <c r="R729" s="3">
        <f>parking_demand_data_2024_ver0!Q729</f>
        <v>0</v>
      </c>
      <c r="S729" s="3">
        <f>parking_demand_data_2024_ver0!R729</f>
        <v>0</v>
      </c>
      <c r="T729" s="3">
        <f>parking_demand_data_2024_ver0!S729</f>
        <v>0</v>
      </c>
    </row>
    <row r="730" spans="1:20" x14ac:dyDescent="0.25">
      <c r="A730">
        <v>18061</v>
      </c>
      <c r="B730" t="s">
        <v>59</v>
      </c>
      <c r="C730">
        <v>8</v>
      </c>
      <c r="D730" s="3">
        <f>parking_demand_data_2024_ver0!D730*calibration!$I$31</f>
        <v>0</v>
      </c>
      <c r="E730" s="3">
        <f>parking_demand_data_2024_ver0!E730*calibration!$I$31</f>
        <v>5.9966780197169198</v>
      </c>
      <c r="F730" s="3">
        <f t="shared" si="11"/>
        <v>5.9966780197169198</v>
      </c>
      <c r="G730" s="3">
        <f>parking_demand_data_2024_ver0!F730</f>
        <v>0</v>
      </c>
      <c r="H730" s="3">
        <f>parking_demand_data_2024_ver0!G730</f>
        <v>0</v>
      </c>
      <c r="I730" s="3">
        <f>parking_demand_data_2024_ver0!H730</f>
        <v>0</v>
      </c>
      <c r="J730" s="3">
        <f>parking_demand_data_2024_ver0!I730</f>
        <v>0</v>
      </c>
      <c r="K730" s="3">
        <f>parking_demand_data_2024_ver0!J730</f>
        <v>0</v>
      </c>
      <c r="L730" s="3">
        <f>parking_demand_data_2024_ver0!K730</f>
        <v>0</v>
      </c>
      <c r="M730" s="3">
        <f>parking_demand_data_2024_ver0!L730</f>
        <v>0</v>
      </c>
      <c r="N730" s="3">
        <f>parking_demand_data_2024_ver0!M730</f>
        <v>0</v>
      </c>
      <c r="O730" s="3">
        <f>parking_demand_data_2024_ver0!N730</f>
        <v>0</v>
      </c>
      <c r="P730" s="3">
        <f>parking_demand_data_2024_ver0!O730</f>
        <v>0</v>
      </c>
      <c r="Q730" s="3">
        <f>parking_demand_data_2024_ver0!P730</f>
        <v>0</v>
      </c>
      <c r="R730" s="3">
        <f>parking_demand_data_2024_ver0!Q730</f>
        <v>0</v>
      </c>
      <c r="S730" s="3">
        <f>parking_demand_data_2024_ver0!R730</f>
        <v>0</v>
      </c>
      <c r="T730" s="3">
        <f>parking_demand_data_2024_ver0!S730</f>
        <v>0</v>
      </c>
    </row>
    <row r="731" spans="1:20" x14ac:dyDescent="0.25">
      <c r="A731">
        <v>18061</v>
      </c>
      <c r="B731" t="s">
        <v>59</v>
      </c>
      <c r="C731">
        <v>9</v>
      </c>
      <c r="D731" s="3">
        <f>parking_demand_data_2024_ver0!D731*calibration!$I$31</f>
        <v>0</v>
      </c>
      <c r="E731" s="3">
        <f>parking_demand_data_2024_ver0!E731*calibration!$I$31</f>
        <v>3.6836736406832502</v>
      </c>
      <c r="F731" s="3">
        <f t="shared" si="11"/>
        <v>3.6836736406832502</v>
      </c>
      <c r="G731" s="3">
        <f>parking_demand_data_2024_ver0!F731</f>
        <v>0</v>
      </c>
      <c r="H731" s="3">
        <f>parking_demand_data_2024_ver0!G731</f>
        <v>0</v>
      </c>
      <c r="I731" s="3">
        <f>parking_demand_data_2024_ver0!H731</f>
        <v>0</v>
      </c>
      <c r="J731" s="3">
        <f>parking_demand_data_2024_ver0!I731</f>
        <v>0</v>
      </c>
      <c r="K731" s="3">
        <f>parking_demand_data_2024_ver0!J731</f>
        <v>0</v>
      </c>
      <c r="L731" s="3">
        <f>parking_demand_data_2024_ver0!K731</f>
        <v>0</v>
      </c>
      <c r="M731" s="3">
        <f>parking_demand_data_2024_ver0!L731</f>
        <v>0</v>
      </c>
      <c r="N731" s="3">
        <f>parking_demand_data_2024_ver0!M731</f>
        <v>0</v>
      </c>
      <c r="O731" s="3">
        <f>parking_demand_data_2024_ver0!N731</f>
        <v>0</v>
      </c>
      <c r="P731" s="3">
        <f>parking_demand_data_2024_ver0!O731</f>
        <v>0</v>
      </c>
      <c r="Q731" s="3">
        <f>parking_demand_data_2024_ver0!P731</f>
        <v>0</v>
      </c>
      <c r="R731" s="3">
        <f>parking_demand_data_2024_ver0!Q731</f>
        <v>0</v>
      </c>
      <c r="S731" s="3">
        <f>parking_demand_data_2024_ver0!R731</f>
        <v>0</v>
      </c>
      <c r="T731" s="3">
        <f>parking_demand_data_2024_ver0!S731</f>
        <v>0</v>
      </c>
    </row>
    <row r="732" spans="1:20" x14ac:dyDescent="0.25">
      <c r="A732">
        <v>18061</v>
      </c>
      <c r="B732" t="s">
        <v>59</v>
      </c>
      <c r="C732">
        <v>10</v>
      </c>
      <c r="D732" s="3">
        <f>parking_demand_data_2024_ver0!D732*calibration!$I$31</f>
        <v>0</v>
      </c>
      <c r="E732" s="3">
        <f>parking_demand_data_2024_ver0!E732*calibration!$I$31</f>
        <v>1.9132258443858701</v>
      </c>
      <c r="F732" s="3">
        <f t="shared" si="11"/>
        <v>1.9132258443858701</v>
      </c>
      <c r="G732" s="3">
        <f>parking_demand_data_2024_ver0!F732</f>
        <v>0</v>
      </c>
      <c r="H732" s="3">
        <f>parking_demand_data_2024_ver0!G732</f>
        <v>0</v>
      </c>
      <c r="I732" s="3">
        <f>parking_demand_data_2024_ver0!H732</f>
        <v>0</v>
      </c>
      <c r="J732" s="3">
        <f>parking_demand_data_2024_ver0!I732</f>
        <v>0</v>
      </c>
      <c r="K732" s="3">
        <f>parking_demand_data_2024_ver0!J732</f>
        <v>0</v>
      </c>
      <c r="L732" s="3">
        <f>parking_demand_data_2024_ver0!K732</f>
        <v>0</v>
      </c>
      <c r="M732" s="3">
        <f>parking_demand_data_2024_ver0!L732</f>
        <v>0</v>
      </c>
      <c r="N732" s="3">
        <f>parking_demand_data_2024_ver0!M732</f>
        <v>0</v>
      </c>
      <c r="O732" s="3">
        <f>parking_demand_data_2024_ver0!N732</f>
        <v>0</v>
      </c>
      <c r="P732" s="3">
        <f>parking_demand_data_2024_ver0!O732</f>
        <v>0</v>
      </c>
      <c r="Q732" s="3">
        <f>parking_demand_data_2024_ver0!P732</f>
        <v>0</v>
      </c>
      <c r="R732" s="3">
        <f>parking_demand_data_2024_ver0!Q732</f>
        <v>0</v>
      </c>
      <c r="S732" s="3">
        <f>parking_demand_data_2024_ver0!R732</f>
        <v>0</v>
      </c>
      <c r="T732" s="3">
        <f>parking_demand_data_2024_ver0!S732</f>
        <v>0</v>
      </c>
    </row>
    <row r="733" spans="1:20" x14ac:dyDescent="0.25">
      <c r="A733">
        <v>18061</v>
      </c>
      <c r="B733" t="s">
        <v>59</v>
      </c>
      <c r="C733">
        <v>11</v>
      </c>
      <c r="D733" s="3">
        <f>parking_demand_data_2024_ver0!D733*calibration!$I$31</f>
        <v>0</v>
      </c>
      <c r="E733" s="3">
        <f>parking_demand_data_2024_ver0!E733*calibration!$I$31</f>
        <v>2.1987819405628701</v>
      </c>
      <c r="F733" s="3">
        <f t="shared" si="11"/>
        <v>2.1987819405628701</v>
      </c>
      <c r="G733" s="3">
        <f>parking_demand_data_2024_ver0!F733</f>
        <v>0</v>
      </c>
      <c r="H733" s="3">
        <f>parking_demand_data_2024_ver0!G733</f>
        <v>0</v>
      </c>
      <c r="I733" s="3">
        <f>parking_demand_data_2024_ver0!H733</f>
        <v>0</v>
      </c>
      <c r="J733" s="3">
        <f>parking_demand_data_2024_ver0!I733</f>
        <v>0</v>
      </c>
      <c r="K733" s="3">
        <f>parking_demand_data_2024_ver0!J733</f>
        <v>0</v>
      </c>
      <c r="L733" s="3">
        <f>parking_demand_data_2024_ver0!K733</f>
        <v>0</v>
      </c>
      <c r="M733" s="3">
        <f>parking_demand_data_2024_ver0!L733</f>
        <v>0</v>
      </c>
      <c r="N733" s="3">
        <f>parking_demand_data_2024_ver0!M733</f>
        <v>0</v>
      </c>
      <c r="O733" s="3">
        <f>parking_demand_data_2024_ver0!N733</f>
        <v>0</v>
      </c>
      <c r="P733" s="3">
        <f>parking_demand_data_2024_ver0!O733</f>
        <v>0</v>
      </c>
      <c r="Q733" s="3">
        <f>parking_demand_data_2024_ver0!P733</f>
        <v>0</v>
      </c>
      <c r="R733" s="3">
        <f>parking_demand_data_2024_ver0!Q733</f>
        <v>0</v>
      </c>
      <c r="S733" s="3">
        <f>parking_demand_data_2024_ver0!R733</f>
        <v>0</v>
      </c>
      <c r="T733" s="3">
        <f>parking_demand_data_2024_ver0!S733</f>
        <v>0</v>
      </c>
    </row>
    <row r="734" spans="1:20" x14ac:dyDescent="0.25">
      <c r="A734">
        <v>18061</v>
      </c>
      <c r="B734" t="s">
        <v>59</v>
      </c>
      <c r="C734">
        <v>12</v>
      </c>
      <c r="D734" s="3">
        <f>parking_demand_data_2024_ver0!D734*calibration!$I$31</f>
        <v>0</v>
      </c>
      <c r="E734" s="3">
        <f>parking_demand_data_2024_ver0!E734*calibration!$I$31</f>
        <v>2.1416707213274702</v>
      </c>
      <c r="F734" s="3">
        <f t="shared" si="11"/>
        <v>2.1416707213274702</v>
      </c>
      <c r="G734" s="3">
        <f>parking_demand_data_2024_ver0!F734</f>
        <v>0</v>
      </c>
      <c r="H734" s="3">
        <f>parking_demand_data_2024_ver0!G734</f>
        <v>0</v>
      </c>
      <c r="I734" s="3">
        <f>parking_demand_data_2024_ver0!H734</f>
        <v>0</v>
      </c>
      <c r="J734" s="3">
        <f>parking_demand_data_2024_ver0!I734</f>
        <v>0</v>
      </c>
      <c r="K734" s="3">
        <f>parking_demand_data_2024_ver0!J734</f>
        <v>0</v>
      </c>
      <c r="L734" s="3">
        <f>parking_demand_data_2024_ver0!K734</f>
        <v>0</v>
      </c>
      <c r="M734" s="3">
        <f>parking_demand_data_2024_ver0!L734</f>
        <v>0</v>
      </c>
      <c r="N734" s="3">
        <f>parking_demand_data_2024_ver0!M734</f>
        <v>0</v>
      </c>
      <c r="O734" s="3">
        <f>parking_demand_data_2024_ver0!N734</f>
        <v>0</v>
      </c>
      <c r="P734" s="3">
        <f>parking_demand_data_2024_ver0!O734</f>
        <v>0</v>
      </c>
      <c r="Q734" s="3">
        <f>parking_demand_data_2024_ver0!P734</f>
        <v>0</v>
      </c>
      <c r="R734" s="3">
        <f>parking_demand_data_2024_ver0!Q734</f>
        <v>0</v>
      </c>
      <c r="S734" s="3">
        <f>parking_demand_data_2024_ver0!R734</f>
        <v>0</v>
      </c>
      <c r="T734" s="3">
        <f>parking_demand_data_2024_ver0!S734</f>
        <v>0</v>
      </c>
    </row>
    <row r="735" spans="1:20" x14ac:dyDescent="0.25">
      <c r="A735">
        <v>18061</v>
      </c>
      <c r="B735" t="s">
        <v>59</v>
      </c>
      <c r="C735">
        <v>13</v>
      </c>
      <c r="D735" s="3">
        <f>parking_demand_data_2024_ver0!D735*calibration!$I$31</f>
        <v>0</v>
      </c>
      <c r="E735" s="3">
        <f>parking_demand_data_2024_ver0!E735*calibration!$I$31</f>
        <v>1.62766974820887</v>
      </c>
      <c r="F735" s="3">
        <f t="shared" si="11"/>
        <v>1.62766974820887</v>
      </c>
      <c r="G735" s="3">
        <f>parking_demand_data_2024_ver0!F735</f>
        <v>0</v>
      </c>
      <c r="H735" s="3">
        <f>parking_demand_data_2024_ver0!G735</f>
        <v>0</v>
      </c>
      <c r="I735" s="3">
        <f>parking_demand_data_2024_ver0!H735</f>
        <v>0</v>
      </c>
      <c r="J735" s="3">
        <f>parking_demand_data_2024_ver0!I735</f>
        <v>0</v>
      </c>
      <c r="K735" s="3">
        <f>parking_demand_data_2024_ver0!J735</f>
        <v>0</v>
      </c>
      <c r="L735" s="3">
        <f>parking_demand_data_2024_ver0!K735</f>
        <v>0</v>
      </c>
      <c r="M735" s="3">
        <f>parking_demand_data_2024_ver0!L735</f>
        <v>0</v>
      </c>
      <c r="N735" s="3">
        <f>parking_demand_data_2024_ver0!M735</f>
        <v>0</v>
      </c>
      <c r="O735" s="3">
        <f>parking_demand_data_2024_ver0!N735</f>
        <v>0</v>
      </c>
      <c r="P735" s="3">
        <f>parking_demand_data_2024_ver0!O735</f>
        <v>0</v>
      </c>
      <c r="Q735" s="3">
        <f>parking_demand_data_2024_ver0!P735</f>
        <v>0</v>
      </c>
      <c r="R735" s="3">
        <f>parking_demand_data_2024_ver0!Q735</f>
        <v>0</v>
      </c>
      <c r="S735" s="3">
        <f>parking_demand_data_2024_ver0!R735</f>
        <v>0</v>
      </c>
      <c r="T735" s="3">
        <f>parking_demand_data_2024_ver0!S735</f>
        <v>0</v>
      </c>
    </row>
    <row r="736" spans="1:20" x14ac:dyDescent="0.25">
      <c r="A736">
        <v>18061</v>
      </c>
      <c r="B736" t="s">
        <v>59</v>
      </c>
      <c r="C736">
        <v>14</v>
      </c>
      <c r="D736" s="3">
        <f>parking_demand_data_2024_ver0!D736*calibration!$I$31</f>
        <v>0</v>
      </c>
      <c r="E736" s="3">
        <f>parking_demand_data_2024_ver0!E736*calibration!$I$31</f>
        <v>1.4277804808849801</v>
      </c>
      <c r="F736" s="3">
        <f t="shared" si="11"/>
        <v>1.4277804808849801</v>
      </c>
      <c r="G736" s="3">
        <f>parking_demand_data_2024_ver0!F736</f>
        <v>0</v>
      </c>
      <c r="H736" s="3">
        <f>parking_demand_data_2024_ver0!G736</f>
        <v>0</v>
      </c>
      <c r="I736" s="3">
        <f>parking_demand_data_2024_ver0!H736</f>
        <v>0</v>
      </c>
      <c r="J736" s="3">
        <f>parking_demand_data_2024_ver0!I736</f>
        <v>0</v>
      </c>
      <c r="K736" s="3">
        <f>parking_demand_data_2024_ver0!J736</f>
        <v>0</v>
      </c>
      <c r="L736" s="3">
        <f>parking_demand_data_2024_ver0!K736</f>
        <v>0</v>
      </c>
      <c r="M736" s="3">
        <f>parking_demand_data_2024_ver0!L736</f>
        <v>0</v>
      </c>
      <c r="N736" s="3">
        <f>parking_demand_data_2024_ver0!M736</f>
        <v>0</v>
      </c>
      <c r="O736" s="3">
        <f>parking_demand_data_2024_ver0!N736</f>
        <v>0</v>
      </c>
      <c r="P736" s="3">
        <f>parking_demand_data_2024_ver0!O736</f>
        <v>0</v>
      </c>
      <c r="Q736" s="3">
        <f>parking_demand_data_2024_ver0!P736</f>
        <v>0</v>
      </c>
      <c r="R736" s="3">
        <f>parking_demand_data_2024_ver0!Q736</f>
        <v>0</v>
      </c>
      <c r="S736" s="3">
        <f>parking_demand_data_2024_ver0!R736</f>
        <v>0</v>
      </c>
      <c r="T736" s="3">
        <f>parking_demand_data_2024_ver0!S736</f>
        <v>0</v>
      </c>
    </row>
    <row r="737" spans="1:20" x14ac:dyDescent="0.25">
      <c r="A737">
        <v>18061</v>
      </c>
      <c r="B737" t="s">
        <v>59</v>
      </c>
      <c r="C737">
        <v>15</v>
      </c>
      <c r="D737" s="3">
        <f>parking_demand_data_2024_ver0!D737*calibration!$I$31</f>
        <v>0</v>
      </c>
      <c r="E737" s="3">
        <f>parking_demand_data_2024_ver0!E737*calibration!$I$31</f>
        <v>1.19933560394338</v>
      </c>
      <c r="F737" s="3">
        <f t="shared" si="11"/>
        <v>1.19933560394338</v>
      </c>
      <c r="G737" s="3">
        <f>parking_demand_data_2024_ver0!F737</f>
        <v>0</v>
      </c>
      <c r="H737" s="3">
        <f>parking_demand_data_2024_ver0!G737</f>
        <v>0</v>
      </c>
      <c r="I737" s="3">
        <f>parking_demand_data_2024_ver0!H737</f>
        <v>0</v>
      </c>
      <c r="J737" s="3">
        <f>parking_demand_data_2024_ver0!I737</f>
        <v>0</v>
      </c>
      <c r="K737" s="3">
        <f>parking_demand_data_2024_ver0!J737</f>
        <v>0</v>
      </c>
      <c r="L737" s="3">
        <f>parking_demand_data_2024_ver0!K737</f>
        <v>0</v>
      </c>
      <c r="M737" s="3">
        <f>parking_demand_data_2024_ver0!L737</f>
        <v>0</v>
      </c>
      <c r="N737" s="3">
        <f>parking_demand_data_2024_ver0!M737</f>
        <v>0</v>
      </c>
      <c r="O737" s="3">
        <f>parking_demand_data_2024_ver0!N737</f>
        <v>0</v>
      </c>
      <c r="P737" s="3">
        <f>parking_demand_data_2024_ver0!O737</f>
        <v>0</v>
      </c>
      <c r="Q737" s="3">
        <f>parking_demand_data_2024_ver0!P737</f>
        <v>0</v>
      </c>
      <c r="R737" s="3">
        <f>parking_demand_data_2024_ver0!Q737</f>
        <v>0</v>
      </c>
      <c r="S737" s="3">
        <f>parking_demand_data_2024_ver0!R737</f>
        <v>0</v>
      </c>
      <c r="T737" s="3">
        <f>parking_demand_data_2024_ver0!S737</f>
        <v>0</v>
      </c>
    </row>
    <row r="738" spans="1:20" x14ac:dyDescent="0.25">
      <c r="A738">
        <v>18061</v>
      </c>
      <c r="B738" t="s">
        <v>59</v>
      </c>
      <c r="C738">
        <v>16</v>
      </c>
      <c r="D738" s="3">
        <f>parking_demand_data_2024_ver0!D738*calibration!$I$31</f>
        <v>0</v>
      </c>
      <c r="E738" s="3">
        <f>parking_demand_data_2024_ver0!E738*calibration!$I$31</f>
        <v>0.82811267891328899</v>
      </c>
      <c r="F738" s="3">
        <f t="shared" si="11"/>
        <v>0.82811267891328899</v>
      </c>
      <c r="G738" s="3">
        <f>parking_demand_data_2024_ver0!F738</f>
        <v>0</v>
      </c>
      <c r="H738" s="3">
        <f>parking_demand_data_2024_ver0!G738</f>
        <v>0</v>
      </c>
      <c r="I738" s="3">
        <f>parking_demand_data_2024_ver0!H738</f>
        <v>0</v>
      </c>
      <c r="J738" s="3">
        <f>parking_demand_data_2024_ver0!I738</f>
        <v>0</v>
      </c>
      <c r="K738" s="3">
        <f>parking_demand_data_2024_ver0!J738</f>
        <v>0</v>
      </c>
      <c r="L738" s="3">
        <f>parking_demand_data_2024_ver0!K738</f>
        <v>0</v>
      </c>
      <c r="M738" s="3">
        <f>parking_demand_data_2024_ver0!L738</f>
        <v>0</v>
      </c>
      <c r="N738" s="3">
        <f>parking_demand_data_2024_ver0!M738</f>
        <v>0</v>
      </c>
      <c r="O738" s="3">
        <f>parking_demand_data_2024_ver0!N738</f>
        <v>0</v>
      </c>
      <c r="P738" s="3">
        <f>parking_demand_data_2024_ver0!O738</f>
        <v>0</v>
      </c>
      <c r="Q738" s="3">
        <f>parking_demand_data_2024_ver0!P738</f>
        <v>0</v>
      </c>
      <c r="R738" s="3">
        <f>parking_demand_data_2024_ver0!Q738</f>
        <v>0</v>
      </c>
      <c r="S738" s="3">
        <f>parking_demand_data_2024_ver0!R738</f>
        <v>0</v>
      </c>
      <c r="T738" s="3">
        <f>parking_demand_data_2024_ver0!S738</f>
        <v>0</v>
      </c>
    </row>
    <row r="739" spans="1:20" x14ac:dyDescent="0.25">
      <c r="A739">
        <v>18061</v>
      </c>
      <c r="B739" t="s">
        <v>59</v>
      </c>
      <c r="C739">
        <v>17</v>
      </c>
      <c r="D739" s="3">
        <f>parking_demand_data_2024_ver0!D739*calibration!$I$31</f>
        <v>0</v>
      </c>
      <c r="E739" s="3">
        <f>parking_demand_data_2024_ver0!E739*calibration!$I$31</f>
        <v>0.71389024044249105</v>
      </c>
      <c r="F739" s="3">
        <f t="shared" si="11"/>
        <v>0.71389024044249105</v>
      </c>
      <c r="G739" s="3">
        <f>parking_demand_data_2024_ver0!F739</f>
        <v>0</v>
      </c>
      <c r="H739" s="3">
        <f>parking_demand_data_2024_ver0!G739</f>
        <v>0</v>
      </c>
      <c r="I739" s="3">
        <f>parking_demand_data_2024_ver0!H739</f>
        <v>0</v>
      </c>
      <c r="J739" s="3">
        <f>parking_demand_data_2024_ver0!I739</f>
        <v>0</v>
      </c>
      <c r="K739" s="3">
        <f>parking_demand_data_2024_ver0!J739</f>
        <v>0</v>
      </c>
      <c r="L739" s="3">
        <f>parking_demand_data_2024_ver0!K739</f>
        <v>0</v>
      </c>
      <c r="M739" s="3">
        <f>parking_demand_data_2024_ver0!L739</f>
        <v>0</v>
      </c>
      <c r="N739" s="3">
        <f>parking_demand_data_2024_ver0!M739</f>
        <v>0</v>
      </c>
      <c r="O739" s="3">
        <f>parking_demand_data_2024_ver0!N739</f>
        <v>0</v>
      </c>
      <c r="P739" s="3">
        <f>parking_demand_data_2024_ver0!O739</f>
        <v>0</v>
      </c>
      <c r="Q739" s="3">
        <f>parking_demand_data_2024_ver0!P739</f>
        <v>0</v>
      </c>
      <c r="R739" s="3">
        <f>parking_demand_data_2024_ver0!Q739</f>
        <v>0</v>
      </c>
      <c r="S739" s="3">
        <f>parking_demand_data_2024_ver0!R739</f>
        <v>0</v>
      </c>
      <c r="T739" s="3">
        <f>parking_demand_data_2024_ver0!S739</f>
        <v>0</v>
      </c>
    </row>
    <row r="740" spans="1:20" x14ac:dyDescent="0.25">
      <c r="A740">
        <v>18061</v>
      </c>
      <c r="B740" t="s">
        <v>59</v>
      </c>
      <c r="C740">
        <v>18</v>
      </c>
      <c r="D740" s="3">
        <f>parking_demand_data_2024_ver0!D740*calibration!$I$31</f>
        <v>0</v>
      </c>
      <c r="E740" s="3">
        <f>parking_demand_data_2024_ver0!E740*calibration!$I$31</f>
        <v>0.74244585006019004</v>
      </c>
      <c r="F740" s="3">
        <f t="shared" si="11"/>
        <v>0.74244585006019004</v>
      </c>
      <c r="G740" s="3">
        <f>parking_demand_data_2024_ver0!F740</f>
        <v>0</v>
      </c>
      <c r="H740" s="3">
        <f>parking_demand_data_2024_ver0!G740</f>
        <v>0</v>
      </c>
      <c r="I740" s="3">
        <f>parking_demand_data_2024_ver0!H740</f>
        <v>0</v>
      </c>
      <c r="J740" s="3">
        <f>parking_demand_data_2024_ver0!I740</f>
        <v>0</v>
      </c>
      <c r="K740" s="3">
        <f>parking_demand_data_2024_ver0!J740</f>
        <v>0</v>
      </c>
      <c r="L740" s="3">
        <f>parking_demand_data_2024_ver0!K740</f>
        <v>0</v>
      </c>
      <c r="M740" s="3">
        <f>parking_demand_data_2024_ver0!L740</f>
        <v>0</v>
      </c>
      <c r="N740" s="3">
        <f>parking_demand_data_2024_ver0!M740</f>
        <v>0</v>
      </c>
      <c r="O740" s="3">
        <f>parking_demand_data_2024_ver0!N740</f>
        <v>0</v>
      </c>
      <c r="P740" s="3">
        <f>parking_demand_data_2024_ver0!O740</f>
        <v>0</v>
      </c>
      <c r="Q740" s="3">
        <f>parking_demand_data_2024_ver0!P740</f>
        <v>0</v>
      </c>
      <c r="R740" s="3">
        <f>parking_demand_data_2024_ver0!Q740</f>
        <v>0</v>
      </c>
      <c r="S740" s="3">
        <f>parking_demand_data_2024_ver0!R740</f>
        <v>0</v>
      </c>
      <c r="T740" s="3">
        <f>parking_demand_data_2024_ver0!S740</f>
        <v>0</v>
      </c>
    </row>
    <row r="741" spans="1:20" x14ac:dyDescent="0.25">
      <c r="A741">
        <v>18061</v>
      </c>
      <c r="B741" t="s">
        <v>59</v>
      </c>
      <c r="C741">
        <v>19</v>
      </c>
      <c r="D741" s="3">
        <f>parking_demand_data_2024_ver0!D741*calibration!$I$31</f>
        <v>0</v>
      </c>
      <c r="E741" s="3">
        <f>parking_demand_data_2024_ver0!E741*calibration!$I$31</f>
        <v>0.97089072700178702</v>
      </c>
      <c r="F741" s="3">
        <f t="shared" si="11"/>
        <v>0.97089072700178702</v>
      </c>
      <c r="G741" s="3">
        <f>parking_demand_data_2024_ver0!F741</f>
        <v>0</v>
      </c>
      <c r="H741" s="3">
        <f>parking_demand_data_2024_ver0!G741</f>
        <v>0</v>
      </c>
      <c r="I741" s="3">
        <f>parking_demand_data_2024_ver0!H741</f>
        <v>0</v>
      </c>
      <c r="J741" s="3">
        <f>parking_demand_data_2024_ver0!I741</f>
        <v>0</v>
      </c>
      <c r="K741" s="3">
        <f>parking_demand_data_2024_ver0!J741</f>
        <v>0</v>
      </c>
      <c r="L741" s="3">
        <f>parking_demand_data_2024_ver0!K741</f>
        <v>0</v>
      </c>
      <c r="M741" s="3">
        <f>parking_demand_data_2024_ver0!L741</f>
        <v>0</v>
      </c>
      <c r="N741" s="3">
        <f>parking_demand_data_2024_ver0!M741</f>
        <v>0</v>
      </c>
      <c r="O741" s="3">
        <f>parking_demand_data_2024_ver0!N741</f>
        <v>0</v>
      </c>
      <c r="P741" s="3">
        <f>parking_demand_data_2024_ver0!O741</f>
        <v>0</v>
      </c>
      <c r="Q741" s="3">
        <f>parking_demand_data_2024_ver0!P741</f>
        <v>0</v>
      </c>
      <c r="R741" s="3">
        <f>parking_demand_data_2024_ver0!Q741</f>
        <v>0</v>
      </c>
      <c r="S741" s="3">
        <f>parking_demand_data_2024_ver0!R741</f>
        <v>0</v>
      </c>
      <c r="T741" s="3">
        <f>parking_demand_data_2024_ver0!S741</f>
        <v>0</v>
      </c>
    </row>
    <row r="742" spans="1:20" x14ac:dyDescent="0.25">
      <c r="A742">
        <v>18061</v>
      </c>
      <c r="B742" t="s">
        <v>59</v>
      </c>
      <c r="C742">
        <v>20</v>
      </c>
      <c r="D742" s="3">
        <f>parking_demand_data_2024_ver0!D742*calibration!$I$31</f>
        <v>0</v>
      </c>
      <c r="E742" s="3">
        <f>parking_demand_data_2024_ver0!E742*calibration!$I$31</f>
        <v>0.79955706929559001</v>
      </c>
      <c r="F742" s="3">
        <f t="shared" si="11"/>
        <v>0.79955706929559001</v>
      </c>
      <c r="G742" s="3">
        <f>parking_demand_data_2024_ver0!F742</f>
        <v>0</v>
      </c>
      <c r="H742" s="3">
        <f>parking_demand_data_2024_ver0!G742</f>
        <v>0</v>
      </c>
      <c r="I742" s="3">
        <f>parking_demand_data_2024_ver0!H742</f>
        <v>0</v>
      </c>
      <c r="J742" s="3">
        <f>parking_demand_data_2024_ver0!I742</f>
        <v>0</v>
      </c>
      <c r="K742" s="3">
        <f>parking_demand_data_2024_ver0!J742</f>
        <v>0</v>
      </c>
      <c r="L742" s="3">
        <f>parking_demand_data_2024_ver0!K742</f>
        <v>0</v>
      </c>
      <c r="M742" s="3">
        <f>parking_demand_data_2024_ver0!L742</f>
        <v>0</v>
      </c>
      <c r="N742" s="3">
        <f>parking_demand_data_2024_ver0!M742</f>
        <v>0</v>
      </c>
      <c r="O742" s="3">
        <f>parking_demand_data_2024_ver0!N742</f>
        <v>0</v>
      </c>
      <c r="P742" s="3">
        <f>parking_demand_data_2024_ver0!O742</f>
        <v>0</v>
      </c>
      <c r="Q742" s="3">
        <f>parking_demand_data_2024_ver0!P742</f>
        <v>0</v>
      </c>
      <c r="R742" s="3">
        <f>parking_demand_data_2024_ver0!Q742</f>
        <v>0</v>
      </c>
      <c r="S742" s="3">
        <f>parking_demand_data_2024_ver0!R742</f>
        <v>0</v>
      </c>
      <c r="T742" s="3">
        <f>parking_demand_data_2024_ver0!S742</f>
        <v>0</v>
      </c>
    </row>
    <row r="743" spans="1:20" x14ac:dyDescent="0.25">
      <c r="A743">
        <v>18061</v>
      </c>
      <c r="B743" t="s">
        <v>59</v>
      </c>
      <c r="C743">
        <v>21</v>
      </c>
      <c r="D743" s="3">
        <f>parking_demand_data_2024_ver0!D743*calibration!$I$31</f>
        <v>0</v>
      </c>
      <c r="E743" s="3">
        <f>parking_demand_data_2024_ver0!E743*calibration!$I$31</f>
        <v>1.14222438470798</v>
      </c>
      <c r="F743" s="3">
        <f t="shared" si="11"/>
        <v>1.14222438470798</v>
      </c>
      <c r="G743" s="3">
        <f>parking_demand_data_2024_ver0!F743</f>
        <v>0</v>
      </c>
      <c r="H743" s="3">
        <f>parking_demand_data_2024_ver0!G743</f>
        <v>0</v>
      </c>
      <c r="I743" s="3">
        <f>parking_demand_data_2024_ver0!H743</f>
        <v>0</v>
      </c>
      <c r="J743" s="3">
        <f>parking_demand_data_2024_ver0!I743</f>
        <v>0</v>
      </c>
      <c r="K743" s="3">
        <f>parking_demand_data_2024_ver0!J743</f>
        <v>0</v>
      </c>
      <c r="L743" s="3">
        <f>parking_demand_data_2024_ver0!K743</f>
        <v>0</v>
      </c>
      <c r="M743" s="3">
        <f>parking_demand_data_2024_ver0!L743</f>
        <v>0</v>
      </c>
      <c r="N743" s="3">
        <f>parking_demand_data_2024_ver0!M743</f>
        <v>0</v>
      </c>
      <c r="O743" s="3">
        <f>parking_demand_data_2024_ver0!N743</f>
        <v>0</v>
      </c>
      <c r="P743" s="3">
        <f>parking_demand_data_2024_ver0!O743</f>
        <v>0</v>
      </c>
      <c r="Q743" s="3">
        <f>parking_demand_data_2024_ver0!P743</f>
        <v>0</v>
      </c>
      <c r="R743" s="3">
        <f>parking_demand_data_2024_ver0!Q743</f>
        <v>0</v>
      </c>
      <c r="S743" s="3">
        <f>parking_demand_data_2024_ver0!R743</f>
        <v>0</v>
      </c>
      <c r="T743" s="3">
        <f>parking_demand_data_2024_ver0!S743</f>
        <v>0</v>
      </c>
    </row>
    <row r="744" spans="1:20" x14ac:dyDescent="0.25">
      <c r="A744">
        <v>18061</v>
      </c>
      <c r="B744" t="s">
        <v>59</v>
      </c>
      <c r="C744">
        <v>22</v>
      </c>
      <c r="D744" s="3">
        <f>parking_demand_data_2024_ver0!D744*calibration!$I$31</f>
        <v>0</v>
      </c>
      <c r="E744" s="3">
        <f>parking_demand_data_2024_ver0!E744*calibration!$I$31</f>
        <v>1.65622535782657</v>
      </c>
      <c r="F744" s="3">
        <f t="shared" si="11"/>
        <v>1.65622535782657</v>
      </c>
      <c r="G744" s="3">
        <f>parking_demand_data_2024_ver0!F744</f>
        <v>0</v>
      </c>
      <c r="H744" s="3">
        <f>parking_demand_data_2024_ver0!G744</f>
        <v>0</v>
      </c>
      <c r="I744" s="3">
        <f>parking_demand_data_2024_ver0!H744</f>
        <v>0</v>
      </c>
      <c r="J744" s="3">
        <f>parking_demand_data_2024_ver0!I744</f>
        <v>0</v>
      </c>
      <c r="K744" s="3">
        <f>parking_demand_data_2024_ver0!J744</f>
        <v>0</v>
      </c>
      <c r="L744" s="3">
        <f>parking_demand_data_2024_ver0!K744</f>
        <v>0</v>
      </c>
      <c r="M744" s="3">
        <f>parking_demand_data_2024_ver0!L744</f>
        <v>0</v>
      </c>
      <c r="N744" s="3">
        <f>parking_demand_data_2024_ver0!M744</f>
        <v>0</v>
      </c>
      <c r="O744" s="3">
        <f>parking_demand_data_2024_ver0!N744</f>
        <v>0</v>
      </c>
      <c r="P744" s="3">
        <f>parking_demand_data_2024_ver0!O744</f>
        <v>0</v>
      </c>
      <c r="Q744" s="3">
        <f>parking_demand_data_2024_ver0!P744</f>
        <v>0</v>
      </c>
      <c r="R744" s="3">
        <f>parking_demand_data_2024_ver0!Q744</f>
        <v>0</v>
      </c>
      <c r="S744" s="3">
        <f>parking_demand_data_2024_ver0!R744</f>
        <v>0</v>
      </c>
      <c r="T744" s="3">
        <f>parking_demand_data_2024_ver0!S744</f>
        <v>0</v>
      </c>
    </row>
    <row r="745" spans="1:20" x14ac:dyDescent="0.25">
      <c r="A745">
        <v>18061</v>
      </c>
      <c r="B745" t="s">
        <v>59</v>
      </c>
      <c r="C745">
        <v>23</v>
      </c>
      <c r="D745" s="3">
        <f>parking_demand_data_2024_ver0!D745*calibration!$I$31</f>
        <v>0</v>
      </c>
      <c r="E745" s="3">
        <f>parking_demand_data_2024_ver0!E745*calibration!$I$31</f>
        <v>1.8846702347681701</v>
      </c>
      <c r="F745" s="3">
        <f t="shared" si="11"/>
        <v>1.8846702347681701</v>
      </c>
      <c r="G745" s="3">
        <f>parking_demand_data_2024_ver0!F745</f>
        <v>0</v>
      </c>
      <c r="H745" s="3">
        <f>parking_demand_data_2024_ver0!G745</f>
        <v>0</v>
      </c>
      <c r="I745" s="3">
        <f>parking_demand_data_2024_ver0!H745</f>
        <v>0</v>
      </c>
      <c r="J745" s="3">
        <f>parking_demand_data_2024_ver0!I745</f>
        <v>0</v>
      </c>
      <c r="K745" s="3">
        <f>parking_demand_data_2024_ver0!J745</f>
        <v>0</v>
      </c>
      <c r="L745" s="3">
        <f>parking_demand_data_2024_ver0!K745</f>
        <v>0</v>
      </c>
      <c r="M745" s="3">
        <f>parking_demand_data_2024_ver0!L745</f>
        <v>0</v>
      </c>
      <c r="N745" s="3">
        <f>parking_demand_data_2024_ver0!M745</f>
        <v>0</v>
      </c>
      <c r="O745" s="3">
        <f>parking_demand_data_2024_ver0!N745</f>
        <v>0</v>
      </c>
      <c r="P745" s="3">
        <f>parking_demand_data_2024_ver0!O745</f>
        <v>0</v>
      </c>
      <c r="Q745" s="3">
        <f>parking_demand_data_2024_ver0!P745</f>
        <v>0</v>
      </c>
      <c r="R745" s="3">
        <f>parking_demand_data_2024_ver0!Q745</f>
        <v>0</v>
      </c>
      <c r="S745" s="3">
        <f>parking_demand_data_2024_ver0!R745</f>
        <v>0</v>
      </c>
      <c r="T745" s="3">
        <f>parking_demand_data_2024_ver0!S745</f>
        <v>0</v>
      </c>
    </row>
    <row r="746" spans="1:20" x14ac:dyDescent="0.25">
      <c r="A746">
        <v>18063</v>
      </c>
      <c r="B746" t="s">
        <v>60</v>
      </c>
      <c r="C746">
        <v>0</v>
      </c>
      <c r="D746" s="3">
        <f>parking_demand_data_2024_ver0!D746*calibration!$I$31</f>
        <v>423.10886211512701</v>
      </c>
      <c r="E746" s="3">
        <f>parking_demand_data_2024_ver0!E746*calibration!$I$31</f>
        <v>77.714649709950905</v>
      </c>
      <c r="F746" s="3">
        <f t="shared" si="11"/>
        <v>500.8235118250779</v>
      </c>
      <c r="G746" s="3">
        <f>parking_demand_data_2024_ver0!F746</f>
        <v>7</v>
      </c>
      <c r="H746" s="3">
        <f>parking_demand_data_2024_ver0!G746</f>
        <v>1</v>
      </c>
      <c r="I746" s="3">
        <f>parking_demand_data_2024_ver0!H746</f>
        <v>2</v>
      </c>
      <c r="J746" s="3">
        <f>parking_demand_data_2024_ver0!I746</f>
        <v>0</v>
      </c>
      <c r="K746" s="3">
        <f>parking_demand_data_2024_ver0!J746</f>
        <v>0</v>
      </c>
      <c r="L746" s="3">
        <f>parking_demand_data_2024_ver0!K746</f>
        <v>0</v>
      </c>
      <c r="M746" s="3">
        <f>parking_demand_data_2024_ver0!L746</f>
        <v>4</v>
      </c>
      <c r="N746" s="3">
        <f>parking_demand_data_2024_ver0!M746</f>
        <v>371</v>
      </c>
      <c r="O746" s="3">
        <f>parking_demand_data_2024_ver0!N746</f>
        <v>100</v>
      </c>
      <c r="P746" s="3">
        <f>parking_demand_data_2024_ver0!O746</f>
        <v>150</v>
      </c>
      <c r="Q746" s="3">
        <f>parking_demand_data_2024_ver0!P746</f>
        <v>0</v>
      </c>
      <c r="R746" s="3">
        <f>parking_demand_data_2024_ver0!Q746</f>
        <v>0</v>
      </c>
      <c r="S746" s="3">
        <f>parking_demand_data_2024_ver0!R746</f>
        <v>0</v>
      </c>
      <c r="T746" s="3">
        <f>parking_demand_data_2024_ver0!S746</f>
        <v>121</v>
      </c>
    </row>
    <row r="747" spans="1:20" x14ac:dyDescent="0.25">
      <c r="A747">
        <v>18063</v>
      </c>
      <c r="B747" t="s">
        <v>60</v>
      </c>
      <c r="C747">
        <v>1</v>
      </c>
      <c r="D747" s="3">
        <f>parking_demand_data_2024_ver0!D747*calibration!$I$31</f>
        <v>426.00269522534501</v>
      </c>
      <c r="E747" s="3">
        <f>parking_demand_data_2024_ver0!E747*calibration!$I$31</f>
        <v>81.903092369477903</v>
      </c>
      <c r="F747" s="3">
        <f t="shared" si="11"/>
        <v>507.90578759482293</v>
      </c>
      <c r="G747" s="3">
        <f>parking_demand_data_2024_ver0!F747</f>
        <v>7</v>
      </c>
      <c r="H747" s="3">
        <f>parking_demand_data_2024_ver0!G747</f>
        <v>1</v>
      </c>
      <c r="I747" s="3">
        <f>parking_demand_data_2024_ver0!H747</f>
        <v>2</v>
      </c>
      <c r="J747" s="3">
        <f>parking_demand_data_2024_ver0!I747</f>
        <v>0</v>
      </c>
      <c r="K747" s="3">
        <f>parking_demand_data_2024_ver0!J747</f>
        <v>0</v>
      </c>
      <c r="L747" s="3">
        <f>parking_demand_data_2024_ver0!K747</f>
        <v>0</v>
      </c>
      <c r="M747" s="3">
        <f>parking_demand_data_2024_ver0!L747</f>
        <v>4</v>
      </c>
      <c r="N747" s="3">
        <f>parking_demand_data_2024_ver0!M747</f>
        <v>371</v>
      </c>
      <c r="O747" s="3">
        <f>parking_demand_data_2024_ver0!N747</f>
        <v>100</v>
      </c>
      <c r="P747" s="3">
        <f>parking_demand_data_2024_ver0!O747</f>
        <v>150</v>
      </c>
      <c r="Q747" s="3">
        <f>parking_demand_data_2024_ver0!P747</f>
        <v>0</v>
      </c>
      <c r="R747" s="3">
        <f>parking_demand_data_2024_ver0!Q747</f>
        <v>0</v>
      </c>
      <c r="S747" s="3">
        <f>parking_demand_data_2024_ver0!R747</f>
        <v>0</v>
      </c>
      <c r="T747" s="3">
        <f>parking_demand_data_2024_ver0!S747</f>
        <v>121</v>
      </c>
    </row>
    <row r="748" spans="1:20" x14ac:dyDescent="0.25">
      <c r="A748">
        <v>18063</v>
      </c>
      <c r="B748" t="s">
        <v>60</v>
      </c>
      <c r="C748">
        <v>2</v>
      </c>
      <c r="D748" s="3">
        <f>parking_demand_data_2024_ver0!D748*calibration!$I$31</f>
        <v>426.65</v>
      </c>
      <c r="E748" s="3">
        <f>parking_demand_data_2024_ver0!E748*calibration!$I$31</f>
        <v>85.824997768853194</v>
      </c>
      <c r="F748" s="3">
        <f t="shared" si="11"/>
        <v>512.4749977688532</v>
      </c>
      <c r="G748" s="3">
        <f>parking_demand_data_2024_ver0!F748</f>
        <v>7</v>
      </c>
      <c r="H748" s="3">
        <f>parking_demand_data_2024_ver0!G748</f>
        <v>1</v>
      </c>
      <c r="I748" s="3">
        <f>parking_demand_data_2024_ver0!H748</f>
        <v>2</v>
      </c>
      <c r="J748" s="3">
        <f>parking_demand_data_2024_ver0!I748</f>
        <v>0</v>
      </c>
      <c r="K748" s="3">
        <f>parking_demand_data_2024_ver0!J748</f>
        <v>0</v>
      </c>
      <c r="L748" s="3">
        <f>parking_demand_data_2024_ver0!K748</f>
        <v>0</v>
      </c>
      <c r="M748" s="3">
        <f>parking_demand_data_2024_ver0!L748</f>
        <v>4</v>
      </c>
      <c r="N748" s="3">
        <f>parking_demand_data_2024_ver0!M748</f>
        <v>371</v>
      </c>
      <c r="O748" s="3">
        <f>parking_demand_data_2024_ver0!N748</f>
        <v>100</v>
      </c>
      <c r="P748" s="3">
        <f>parking_demand_data_2024_ver0!O748</f>
        <v>150</v>
      </c>
      <c r="Q748" s="3">
        <f>parking_demand_data_2024_ver0!P748</f>
        <v>0</v>
      </c>
      <c r="R748" s="3">
        <f>parking_demand_data_2024_ver0!Q748</f>
        <v>0</v>
      </c>
      <c r="S748" s="3">
        <f>parking_demand_data_2024_ver0!R748</f>
        <v>0</v>
      </c>
      <c r="T748" s="3">
        <f>parking_demand_data_2024_ver0!S748</f>
        <v>121</v>
      </c>
    </row>
    <row r="749" spans="1:20" x14ac:dyDescent="0.25">
      <c r="A749">
        <v>18063</v>
      </c>
      <c r="B749" t="s">
        <v>60</v>
      </c>
      <c r="C749">
        <v>3</v>
      </c>
      <c r="D749" s="3">
        <f>parking_demand_data_2024_ver0!D749*calibration!$I$31</f>
        <v>421.31925479696503</v>
      </c>
      <c r="E749" s="3">
        <f>parking_demand_data_2024_ver0!E749*calibration!$I$31</f>
        <v>88.604600624721101</v>
      </c>
      <c r="F749" s="3">
        <f t="shared" si="11"/>
        <v>509.92385542168614</v>
      </c>
      <c r="G749" s="3">
        <f>parking_demand_data_2024_ver0!F749</f>
        <v>7</v>
      </c>
      <c r="H749" s="3">
        <f>parking_demand_data_2024_ver0!G749</f>
        <v>1</v>
      </c>
      <c r="I749" s="3">
        <f>parking_demand_data_2024_ver0!H749</f>
        <v>2</v>
      </c>
      <c r="J749" s="3">
        <f>parking_demand_data_2024_ver0!I749</f>
        <v>0</v>
      </c>
      <c r="K749" s="3">
        <f>parking_demand_data_2024_ver0!J749</f>
        <v>0</v>
      </c>
      <c r="L749" s="3">
        <f>parking_demand_data_2024_ver0!K749</f>
        <v>0</v>
      </c>
      <c r="M749" s="3">
        <f>parking_demand_data_2024_ver0!L749</f>
        <v>4</v>
      </c>
      <c r="N749" s="3">
        <f>parking_demand_data_2024_ver0!M749</f>
        <v>371</v>
      </c>
      <c r="O749" s="3">
        <f>parking_demand_data_2024_ver0!N749</f>
        <v>100</v>
      </c>
      <c r="P749" s="3">
        <f>parking_demand_data_2024_ver0!O749</f>
        <v>150</v>
      </c>
      <c r="Q749" s="3">
        <f>parking_demand_data_2024_ver0!P749</f>
        <v>0</v>
      </c>
      <c r="R749" s="3">
        <f>parking_demand_data_2024_ver0!Q749</f>
        <v>0</v>
      </c>
      <c r="S749" s="3">
        <f>parking_demand_data_2024_ver0!R749</f>
        <v>0</v>
      </c>
      <c r="T749" s="3">
        <f>parking_demand_data_2024_ver0!S749</f>
        <v>121</v>
      </c>
    </row>
    <row r="750" spans="1:20" x14ac:dyDescent="0.25">
      <c r="A750">
        <v>18063</v>
      </c>
      <c r="B750" t="s">
        <v>60</v>
      </c>
      <c r="C750">
        <v>4</v>
      </c>
      <c r="D750" s="3">
        <f>parking_demand_data_2024_ver0!D750*calibration!$I$31</f>
        <v>407.61162427487699</v>
      </c>
      <c r="E750" s="3">
        <f>parking_demand_data_2024_ver0!E750*calibration!$I$31</f>
        <v>87.957295850066899</v>
      </c>
      <c r="F750" s="3">
        <f t="shared" si="11"/>
        <v>495.56892012494387</v>
      </c>
      <c r="G750" s="3">
        <f>parking_demand_data_2024_ver0!F750</f>
        <v>7</v>
      </c>
      <c r="H750" s="3">
        <f>parking_demand_data_2024_ver0!G750</f>
        <v>1</v>
      </c>
      <c r="I750" s="3">
        <f>parking_demand_data_2024_ver0!H750</f>
        <v>2</v>
      </c>
      <c r="J750" s="3">
        <f>parking_demand_data_2024_ver0!I750</f>
        <v>0</v>
      </c>
      <c r="K750" s="3">
        <f>parking_demand_data_2024_ver0!J750</f>
        <v>0</v>
      </c>
      <c r="L750" s="3">
        <f>parking_demand_data_2024_ver0!K750</f>
        <v>0</v>
      </c>
      <c r="M750" s="3">
        <f>parking_demand_data_2024_ver0!L750</f>
        <v>4</v>
      </c>
      <c r="N750" s="3">
        <f>parking_demand_data_2024_ver0!M750</f>
        <v>371</v>
      </c>
      <c r="O750" s="3">
        <f>parking_demand_data_2024_ver0!N750</f>
        <v>100</v>
      </c>
      <c r="P750" s="3">
        <f>parking_demand_data_2024_ver0!O750</f>
        <v>150</v>
      </c>
      <c r="Q750" s="3">
        <f>parking_demand_data_2024_ver0!P750</f>
        <v>0</v>
      </c>
      <c r="R750" s="3">
        <f>parking_demand_data_2024_ver0!Q750</f>
        <v>0</v>
      </c>
      <c r="S750" s="3">
        <f>parking_demand_data_2024_ver0!R750</f>
        <v>0</v>
      </c>
      <c r="T750" s="3">
        <f>parking_demand_data_2024_ver0!S750</f>
        <v>121</v>
      </c>
    </row>
    <row r="751" spans="1:20" x14ac:dyDescent="0.25">
      <c r="A751">
        <v>18063</v>
      </c>
      <c r="B751" t="s">
        <v>60</v>
      </c>
      <c r="C751">
        <v>5</v>
      </c>
      <c r="D751" s="3">
        <f>parking_demand_data_2024_ver0!D751*calibration!$I$31</f>
        <v>378.17829540383701</v>
      </c>
      <c r="E751" s="3">
        <f>parking_demand_data_2024_ver0!E751*calibration!$I$31</f>
        <v>85.33</v>
      </c>
      <c r="F751" s="3">
        <f t="shared" si="11"/>
        <v>463.508295403837</v>
      </c>
      <c r="G751" s="3">
        <f>parking_demand_data_2024_ver0!F751</f>
        <v>7</v>
      </c>
      <c r="H751" s="3">
        <f>parking_demand_data_2024_ver0!G751</f>
        <v>1</v>
      </c>
      <c r="I751" s="3">
        <f>parking_demand_data_2024_ver0!H751</f>
        <v>2</v>
      </c>
      <c r="J751" s="3">
        <f>parking_demand_data_2024_ver0!I751</f>
        <v>0</v>
      </c>
      <c r="K751" s="3">
        <f>parking_demand_data_2024_ver0!J751</f>
        <v>0</v>
      </c>
      <c r="L751" s="3">
        <f>parking_demand_data_2024_ver0!K751</f>
        <v>0</v>
      </c>
      <c r="M751" s="3">
        <f>parking_demand_data_2024_ver0!L751</f>
        <v>4</v>
      </c>
      <c r="N751" s="3">
        <f>parking_demand_data_2024_ver0!M751</f>
        <v>371</v>
      </c>
      <c r="O751" s="3">
        <f>parking_demand_data_2024_ver0!N751</f>
        <v>100</v>
      </c>
      <c r="P751" s="3">
        <f>parking_demand_data_2024_ver0!O751</f>
        <v>150</v>
      </c>
      <c r="Q751" s="3">
        <f>parking_demand_data_2024_ver0!P751</f>
        <v>0</v>
      </c>
      <c r="R751" s="3">
        <f>parking_demand_data_2024_ver0!Q751</f>
        <v>0</v>
      </c>
      <c r="S751" s="3">
        <f>parking_demand_data_2024_ver0!R751</f>
        <v>0</v>
      </c>
      <c r="T751" s="3">
        <f>parking_demand_data_2024_ver0!S751</f>
        <v>121</v>
      </c>
    </row>
    <row r="752" spans="1:20" x14ac:dyDescent="0.25">
      <c r="A752">
        <v>18063</v>
      </c>
      <c r="B752" t="s">
        <v>60</v>
      </c>
      <c r="C752">
        <v>6</v>
      </c>
      <c r="D752" s="3">
        <f>parking_demand_data_2024_ver0!D752*calibration!$I$31</f>
        <v>345.73690316822803</v>
      </c>
      <c r="E752" s="3">
        <f>parking_demand_data_2024_ver0!E752*calibration!$I$31</f>
        <v>79.237719767960698</v>
      </c>
      <c r="F752" s="3">
        <f t="shared" si="11"/>
        <v>424.97462293618872</v>
      </c>
      <c r="G752" s="3">
        <f>parking_demand_data_2024_ver0!F752</f>
        <v>7</v>
      </c>
      <c r="H752" s="3">
        <f>parking_demand_data_2024_ver0!G752</f>
        <v>1</v>
      </c>
      <c r="I752" s="3">
        <f>parking_demand_data_2024_ver0!H752</f>
        <v>2</v>
      </c>
      <c r="J752" s="3">
        <f>parking_demand_data_2024_ver0!I752</f>
        <v>0</v>
      </c>
      <c r="K752" s="3">
        <f>parking_demand_data_2024_ver0!J752</f>
        <v>0</v>
      </c>
      <c r="L752" s="3">
        <f>parking_demand_data_2024_ver0!K752</f>
        <v>0</v>
      </c>
      <c r="M752" s="3">
        <f>parking_demand_data_2024_ver0!L752</f>
        <v>4</v>
      </c>
      <c r="N752" s="3">
        <f>parking_demand_data_2024_ver0!M752</f>
        <v>371</v>
      </c>
      <c r="O752" s="3">
        <f>parking_demand_data_2024_ver0!N752</f>
        <v>100</v>
      </c>
      <c r="P752" s="3">
        <f>parking_demand_data_2024_ver0!O752</f>
        <v>150</v>
      </c>
      <c r="Q752" s="3">
        <f>parking_demand_data_2024_ver0!P752</f>
        <v>0</v>
      </c>
      <c r="R752" s="3">
        <f>parking_demand_data_2024_ver0!Q752</f>
        <v>0</v>
      </c>
      <c r="S752" s="3">
        <f>parking_demand_data_2024_ver0!R752</f>
        <v>0</v>
      </c>
      <c r="T752" s="3">
        <f>parking_demand_data_2024_ver0!S752</f>
        <v>121</v>
      </c>
    </row>
    <row r="753" spans="1:20" x14ac:dyDescent="0.25">
      <c r="A753">
        <v>18063</v>
      </c>
      <c r="B753" t="s">
        <v>60</v>
      </c>
      <c r="C753">
        <v>7</v>
      </c>
      <c r="D753" s="3">
        <f>parking_demand_data_2024_ver0!D753*calibration!$I$31</f>
        <v>301.87248549754497</v>
      </c>
      <c r="E753" s="3">
        <f>parking_demand_data_2024_ver0!E753*calibration!$I$31</f>
        <v>64.806630968317705</v>
      </c>
      <c r="F753" s="3">
        <f t="shared" si="11"/>
        <v>366.67911646586265</v>
      </c>
      <c r="G753" s="3">
        <f>parking_demand_data_2024_ver0!F753</f>
        <v>7</v>
      </c>
      <c r="H753" s="3">
        <f>parking_demand_data_2024_ver0!G753</f>
        <v>1</v>
      </c>
      <c r="I753" s="3">
        <f>parking_demand_data_2024_ver0!H753</f>
        <v>2</v>
      </c>
      <c r="J753" s="3">
        <f>parking_demand_data_2024_ver0!I753</f>
        <v>0</v>
      </c>
      <c r="K753" s="3">
        <f>parking_demand_data_2024_ver0!J753</f>
        <v>0</v>
      </c>
      <c r="L753" s="3">
        <f>parking_demand_data_2024_ver0!K753</f>
        <v>0</v>
      </c>
      <c r="M753" s="3">
        <f>parking_demand_data_2024_ver0!L753</f>
        <v>4</v>
      </c>
      <c r="N753" s="3">
        <f>parking_demand_data_2024_ver0!M753</f>
        <v>371</v>
      </c>
      <c r="O753" s="3">
        <f>parking_demand_data_2024_ver0!N753</f>
        <v>100</v>
      </c>
      <c r="P753" s="3">
        <f>parking_demand_data_2024_ver0!O753</f>
        <v>150</v>
      </c>
      <c r="Q753" s="3">
        <f>parking_demand_data_2024_ver0!P753</f>
        <v>0</v>
      </c>
      <c r="R753" s="3">
        <f>parking_demand_data_2024_ver0!Q753</f>
        <v>0</v>
      </c>
      <c r="S753" s="3">
        <f>parking_demand_data_2024_ver0!R753</f>
        <v>0</v>
      </c>
      <c r="T753" s="3">
        <f>parking_demand_data_2024_ver0!S753</f>
        <v>121</v>
      </c>
    </row>
    <row r="754" spans="1:20" x14ac:dyDescent="0.25">
      <c r="A754">
        <v>18063</v>
      </c>
      <c r="B754" t="s">
        <v>60</v>
      </c>
      <c r="C754">
        <v>8</v>
      </c>
      <c r="D754" s="3">
        <f>parking_demand_data_2024_ver0!D754*calibration!$I$31</f>
        <v>258.31268183846402</v>
      </c>
      <c r="E754" s="3">
        <f>parking_demand_data_2024_ver0!E754*calibration!$I$31</f>
        <v>49.65208389112</v>
      </c>
      <c r="F754" s="3">
        <f t="shared" si="11"/>
        <v>307.96476572958403</v>
      </c>
      <c r="G754" s="3">
        <f>parking_demand_data_2024_ver0!F754</f>
        <v>7</v>
      </c>
      <c r="H754" s="3">
        <f>parking_demand_data_2024_ver0!G754</f>
        <v>1</v>
      </c>
      <c r="I754" s="3">
        <f>parking_demand_data_2024_ver0!H754</f>
        <v>2</v>
      </c>
      <c r="J754" s="3">
        <f>parking_demand_data_2024_ver0!I754</f>
        <v>0</v>
      </c>
      <c r="K754" s="3">
        <f>parking_demand_data_2024_ver0!J754</f>
        <v>0</v>
      </c>
      <c r="L754" s="3">
        <f>parking_demand_data_2024_ver0!K754</f>
        <v>0</v>
      </c>
      <c r="M754" s="3">
        <f>parking_demand_data_2024_ver0!L754</f>
        <v>4</v>
      </c>
      <c r="N754" s="3">
        <f>parking_demand_data_2024_ver0!M754</f>
        <v>371</v>
      </c>
      <c r="O754" s="3">
        <f>parking_demand_data_2024_ver0!N754</f>
        <v>100</v>
      </c>
      <c r="P754" s="3">
        <f>parking_demand_data_2024_ver0!O754</f>
        <v>150</v>
      </c>
      <c r="Q754" s="3">
        <f>parking_demand_data_2024_ver0!P754</f>
        <v>0</v>
      </c>
      <c r="R754" s="3">
        <f>parking_demand_data_2024_ver0!Q754</f>
        <v>0</v>
      </c>
      <c r="S754" s="3">
        <f>parking_demand_data_2024_ver0!R754</f>
        <v>0</v>
      </c>
      <c r="T754" s="3">
        <f>parking_demand_data_2024_ver0!S754</f>
        <v>121</v>
      </c>
    </row>
    <row r="755" spans="1:20" x14ac:dyDescent="0.25">
      <c r="A755">
        <v>18063</v>
      </c>
      <c r="B755" t="s">
        <v>60</v>
      </c>
      <c r="C755">
        <v>9</v>
      </c>
      <c r="D755" s="3">
        <f>parking_demand_data_2024_ver0!D755*calibration!$I$31</f>
        <v>231.735109326193</v>
      </c>
      <c r="E755" s="3">
        <f>parking_demand_data_2024_ver0!E755*calibration!$I$31</f>
        <v>40.399433288710398</v>
      </c>
      <c r="F755" s="3">
        <f t="shared" si="11"/>
        <v>272.13454261490341</v>
      </c>
      <c r="G755" s="3">
        <f>parking_demand_data_2024_ver0!F755</f>
        <v>7</v>
      </c>
      <c r="H755" s="3">
        <f>parking_demand_data_2024_ver0!G755</f>
        <v>1</v>
      </c>
      <c r="I755" s="3">
        <f>parking_demand_data_2024_ver0!H755</f>
        <v>2</v>
      </c>
      <c r="J755" s="3">
        <f>parking_demand_data_2024_ver0!I755</f>
        <v>0</v>
      </c>
      <c r="K755" s="3">
        <f>parking_demand_data_2024_ver0!J755</f>
        <v>0</v>
      </c>
      <c r="L755" s="3">
        <f>parking_demand_data_2024_ver0!K755</f>
        <v>0</v>
      </c>
      <c r="M755" s="3">
        <f>parking_demand_data_2024_ver0!L755</f>
        <v>4</v>
      </c>
      <c r="N755" s="3">
        <f>parking_demand_data_2024_ver0!M755</f>
        <v>371</v>
      </c>
      <c r="O755" s="3">
        <f>parking_demand_data_2024_ver0!N755</f>
        <v>100</v>
      </c>
      <c r="P755" s="3">
        <f>parking_demand_data_2024_ver0!O755</f>
        <v>150</v>
      </c>
      <c r="Q755" s="3">
        <f>parking_demand_data_2024_ver0!P755</f>
        <v>0</v>
      </c>
      <c r="R755" s="3">
        <f>parking_demand_data_2024_ver0!Q755</f>
        <v>0</v>
      </c>
      <c r="S755" s="3">
        <f>parking_demand_data_2024_ver0!R755</f>
        <v>0</v>
      </c>
      <c r="T755" s="3">
        <f>parking_demand_data_2024_ver0!S755</f>
        <v>121</v>
      </c>
    </row>
    <row r="756" spans="1:20" x14ac:dyDescent="0.25">
      <c r="A756">
        <v>18063</v>
      </c>
      <c r="B756" t="s">
        <v>60</v>
      </c>
      <c r="C756">
        <v>10</v>
      </c>
      <c r="D756" s="3">
        <f>parking_demand_data_2024_ver0!D756*calibration!$I$31</f>
        <v>220.99746541722399</v>
      </c>
      <c r="E756" s="3">
        <f>parking_demand_data_2024_ver0!E756*calibration!$I$31</f>
        <v>32.136778224007102</v>
      </c>
      <c r="F756" s="3">
        <f t="shared" si="11"/>
        <v>253.13424364123108</v>
      </c>
      <c r="G756" s="3">
        <f>parking_demand_data_2024_ver0!F756</f>
        <v>7</v>
      </c>
      <c r="H756" s="3">
        <f>parking_demand_data_2024_ver0!G756</f>
        <v>1</v>
      </c>
      <c r="I756" s="3">
        <f>parking_demand_data_2024_ver0!H756</f>
        <v>2</v>
      </c>
      <c r="J756" s="3">
        <f>parking_demand_data_2024_ver0!I756</f>
        <v>0</v>
      </c>
      <c r="K756" s="3">
        <f>parking_demand_data_2024_ver0!J756</f>
        <v>0</v>
      </c>
      <c r="L756" s="3">
        <f>parking_demand_data_2024_ver0!K756</f>
        <v>0</v>
      </c>
      <c r="M756" s="3">
        <f>parking_demand_data_2024_ver0!L756</f>
        <v>4</v>
      </c>
      <c r="N756" s="3">
        <f>parking_demand_data_2024_ver0!M756</f>
        <v>371</v>
      </c>
      <c r="O756" s="3">
        <f>parking_demand_data_2024_ver0!N756</f>
        <v>100</v>
      </c>
      <c r="P756" s="3">
        <f>parking_demand_data_2024_ver0!O756</f>
        <v>150</v>
      </c>
      <c r="Q756" s="3">
        <f>parking_demand_data_2024_ver0!P756</f>
        <v>0</v>
      </c>
      <c r="R756" s="3">
        <f>parking_demand_data_2024_ver0!Q756</f>
        <v>0</v>
      </c>
      <c r="S756" s="3">
        <f>parking_demand_data_2024_ver0!R756</f>
        <v>0</v>
      </c>
      <c r="T756" s="3">
        <f>parking_demand_data_2024_ver0!S756</f>
        <v>121</v>
      </c>
    </row>
    <row r="757" spans="1:20" x14ac:dyDescent="0.25">
      <c r="A757">
        <v>18063</v>
      </c>
      <c r="B757" t="s">
        <v>60</v>
      </c>
      <c r="C757">
        <v>11</v>
      </c>
      <c r="D757" s="3">
        <f>parking_demand_data_2024_ver0!D757*calibration!$I$31</f>
        <v>218.90324408746</v>
      </c>
      <c r="E757" s="3">
        <f>parking_demand_data_2024_ver0!E757*calibration!$I$31</f>
        <v>25.549500223114599</v>
      </c>
      <c r="F757" s="3">
        <f t="shared" si="11"/>
        <v>244.45274431057459</v>
      </c>
      <c r="G757" s="3">
        <f>parking_demand_data_2024_ver0!F757</f>
        <v>7</v>
      </c>
      <c r="H757" s="3">
        <f>parking_demand_data_2024_ver0!G757</f>
        <v>1</v>
      </c>
      <c r="I757" s="3">
        <f>parking_demand_data_2024_ver0!H757</f>
        <v>2</v>
      </c>
      <c r="J757" s="3">
        <f>parking_demand_data_2024_ver0!I757</f>
        <v>0</v>
      </c>
      <c r="K757" s="3">
        <f>parking_demand_data_2024_ver0!J757</f>
        <v>0</v>
      </c>
      <c r="L757" s="3">
        <f>parking_demand_data_2024_ver0!K757</f>
        <v>0</v>
      </c>
      <c r="M757" s="3">
        <f>parking_demand_data_2024_ver0!L757</f>
        <v>4</v>
      </c>
      <c r="N757" s="3">
        <f>parking_demand_data_2024_ver0!M757</f>
        <v>371</v>
      </c>
      <c r="O757" s="3">
        <f>parking_demand_data_2024_ver0!N757</f>
        <v>100</v>
      </c>
      <c r="P757" s="3">
        <f>parking_demand_data_2024_ver0!O757</f>
        <v>150</v>
      </c>
      <c r="Q757" s="3">
        <f>parking_demand_data_2024_ver0!P757</f>
        <v>0</v>
      </c>
      <c r="R757" s="3">
        <f>parking_demand_data_2024_ver0!Q757</f>
        <v>0</v>
      </c>
      <c r="S757" s="3">
        <f>parking_demand_data_2024_ver0!R757</f>
        <v>0</v>
      </c>
      <c r="T757" s="3">
        <f>parking_demand_data_2024_ver0!S757</f>
        <v>121</v>
      </c>
    </row>
    <row r="758" spans="1:20" x14ac:dyDescent="0.25">
      <c r="A758">
        <v>18063</v>
      </c>
      <c r="B758" t="s">
        <v>60</v>
      </c>
      <c r="C758">
        <v>12</v>
      </c>
      <c r="D758" s="3">
        <f>parking_demand_data_2024_ver0!D758*calibration!$I$31</f>
        <v>217.532481035252</v>
      </c>
      <c r="E758" s="3">
        <f>parking_demand_data_2024_ver0!E758*calibration!$I$31</f>
        <v>25.359116465863401</v>
      </c>
      <c r="F758" s="3">
        <f t="shared" si="11"/>
        <v>242.8915975011154</v>
      </c>
      <c r="G758" s="3">
        <f>parking_demand_data_2024_ver0!F758</f>
        <v>7</v>
      </c>
      <c r="H758" s="3">
        <f>parking_demand_data_2024_ver0!G758</f>
        <v>1</v>
      </c>
      <c r="I758" s="3">
        <f>parking_demand_data_2024_ver0!H758</f>
        <v>2</v>
      </c>
      <c r="J758" s="3">
        <f>parking_demand_data_2024_ver0!I758</f>
        <v>0</v>
      </c>
      <c r="K758" s="3">
        <f>parking_demand_data_2024_ver0!J758</f>
        <v>0</v>
      </c>
      <c r="L758" s="3">
        <f>parking_demand_data_2024_ver0!K758</f>
        <v>0</v>
      </c>
      <c r="M758" s="3">
        <f>parking_demand_data_2024_ver0!L758</f>
        <v>4</v>
      </c>
      <c r="N758" s="3">
        <f>parking_demand_data_2024_ver0!M758</f>
        <v>371</v>
      </c>
      <c r="O758" s="3">
        <f>parking_demand_data_2024_ver0!N758</f>
        <v>100</v>
      </c>
      <c r="P758" s="3">
        <f>parking_demand_data_2024_ver0!O758</f>
        <v>150</v>
      </c>
      <c r="Q758" s="3">
        <f>parking_demand_data_2024_ver0!P758</f>
        <v>0</v>
      </c>
      <c r="R758" s="3">
        <f>parking_demand_data_2024_ver0!Q758</f>
        <v>0</v>
      </c>
      <c r="S758" s="3">
        <f>parking_demand_data_2024_ver0!R758</f>
        <v>0</v>
      </c>
      <c r="T758" s="3">
        <f>parking_demand_data_2024_ver0!S758</f>
        <v>121</v>
      </c>
    </row>
    <row r="759" spans="1:20" x14ac:dyDescent="0.25">
      <c r="A759">
        <v>18063</v>
      </c>
      <c r="B759" t="s">
        <v>60</v>
      </c>
      <c r="C759">
        <v>13</v>
      </c>
      <c r="D759" s="3">
        <f>parking_demand_data_2024_ver0!D759*calibration!$I$31</f>
        <v>223.51053101293999</v>
      </c>
      <c r="E759" s="3">
        <f>parking_demand_data_2024_ver0!E759*calibration!$I$31</f>
        <v>25.054502454261399</v>
      </c>
      <c r="F759" s="3">
        <f t="shared" si="11"/>
        <v>248.5650334672014</v>
      </c>
      <c r="G759" s="3">
        <f>parking_demand_data_2024_ver0!F759</f>
        <v>7</v>
      </c>
      <c r="H759" s="3">
        <f>parking_demand_data_2024_ver0!G759</f>
        <v>1</v>
      </c>
      <c r="I759" s="3">
        <f>parking_demand_data_2024_ver0!H759</f>
        <v>2</v>
      </c>
      <c r="J759" s="3">
        <f>parking_demand_data_2024_ver0!I759</f>
        <v>0</v>
      </c>
      <c r="K759" s="3">
        <f>parking_demand_data_2024_ver0!J759</f>
        <v>0</v>
      </c>
      <c r="L759" s="3">
        <f>parking_demand_data_2024_ver0!K759</f>
        <v>0</v>
      </c>
      <c r="M759" s="3">
        <f>parking_demand_data_2024_ver0!L759</f>
        <v>4</v>
      </c>
      <c r="N759" s="3">
        <f>parking_demand_data_2024_ver0!M759</f>
        <v>371</v>
      </c>
      <c r="O759" s="3">
        <f>parking_demand_data_2024_ver0!N759</f>
        <v>100</v>
      </c>
      <c r="P759" s="3">
        <f>parking_demand_data_2024_ver0!O759</f>
        <v>150</v>
      </c>
      <c r="Q759" s="3">
        <f>parking_demand_data_2024_ver0!P759</f>
        <v>0</v>
      </c>
      <c r="R759" s="3">
        <f>parking_demand_data_2024_ver0!Q759</f>
        <v>0</v>
      </c>
      <c r="S759" s="3">
        <f>parking_demand_data_2024_ver0!R759</f>
        <v>0</v>
      </c>
      <c r="T759" s="3">
        <f>parking_demand_data_2024_ver0!S759</f>
        <v>121</v>
      </c>
    </row>
    <row r="760" spans="1:20" x14ac:dyDescent="0.25">
      <c r="A760">
        <v>18063</v>
      </c>
      <c r="B760" t="s">
        <v>60</v>
      </c>
      <c r="C760">
        <v>14</v>
      </c>
      <c r="D760" s="3">
        <f>parking_demand_data_2024_ver0!D760*calibration!$I$31</f>
        <v>238.17008032128501</v>
      </c>
      <c r="E760" s="3">
        <f>parking_demand_data_2024_ver0!E760*calibration!$I$31</f>
        <v>22.503360107094998</v>
      </c>
      <c r="F760" s="3">
        <f t="shared" si="11"/>
        <v>260.67344042837999</v>
      </c>
      <c r="G760" s="3">
        <f>parking_demand_data_2024_ver0!F760</f>
        <v>7</v>
      </c>
      <c r="H760" s="3">
        <f>parking_demand_data_2024_ver0!G760</f>
        <v>1</v>
      </c>
      <c r="I760" s="3">
        <f>parking_demand_data_2024_ver0!H760</f>
        <v>2</v>
      </c>
      <c r="J760" s="3">
        <f>parking_demand_data_2024_ver0!I760</f>
        <v>0</v>
      </c>
      <c r="K760" s="3">
        <f>parking_demand_data_2024_ver0!J760</f>
        <v>0</v>
      </c>
      <c r="L760" s="3">
        <f>parking_demand_data_2024_ver0!K760</f>
        <v>0</v>
      </c>
      <c r="M760" s="3">
        <f>parking_demand_data_2024_ver0!L760</f>
        <v>4</v>
      </c>
      <c r="N760" s="3">
        <f>parking_demand_data_2024_ver0!M760</f>
        <v>371</v>
      </c>
      <c r="O760" s="3">
        <f>parking_demand_data_2024_ver0!N760</f>
        <v>100</v>
      </c>
      <c r="P760" s="3">
        <f>parking_demand_data_2024_ver0!O760</f>
        <v>150</v>
      </c>
      <c r="Q760" s="3">
        <f>parking_demand_data_2024_ver0!P760</f>
        <v>0</v>
      </c>
      <c r="R760" s="3">
        <f>parking_demand_data_2024_ver0!Q760</f>
        <v>0</v>
      </c>
      <c r="S760" s="3">
        <f>parking_demand_data_2024_ver0!R760</f>
        <v>0</v>
      </c>
      <c r="T760" s="3">
        <f>parking_demand_data_2024_ver0!S760</f>
        <v>121</v>
      </c>
    </row>
    <row r="761" spans="1:20" x14ac:dyDescent="0.25">
      <c r="A761">
        <v>18063</v>
      </c>
      <c r="B761" t="s">
        <v>60</v>
      </c>
      <c r="C761">
        <v>15</v>
      </c>
      <c r="D761" s="3">
        <f>parking_demand_data_2024_ver0!D761*calibration!$I$31</f>
        <v>253.74347166443499</v>
      </c>
      <c r="E761" s="3">
        <f>parking_demand_data_2024_ver0!E761*calibration!$I$31</f>
        <v>20.5995225345827</v>
      </c>
      <c r="F761" s="3">
        <f t="shared" si="11"/>
        <v>274.34299419901771</v>
      </c>
      <c r="G761" s="3">
        <f>parking_demand_data_2024_ver0!F761</f>
        <v>7</v>
      </c>
      <c r="H761" s="3">
        <f>parking_demand_data_2024_ver0!G761</f>
        <v>1</v>
      </c>
      <c r="I761" s="3">
        <f>parking_demand_data_2024_ver0!H761</f>
        <v>2</v>
      </c>
      <c r="J761" s="3">
        <f>parking_demand_data_2024_ver0!I761</f>
        <v>0</v>
      </c>
      <c r="K761" s="3">
        <f>parking_demand_data_2024_ver0!J761</f>
        <v>0</v>
      </c>
      <c r="L761" s="3">
        <f>parking_demand_data_2024_ver0!K761</f>
        <v>0</v>
      </c>
      <c r="M761" s="3">
        <f>parking_demand_data_2024_ver0!L761</f>
        <v>4</v>
      </c>
      <c r="N761" s="3">
        <f>parking_demand_data_2024_ver0!M761</f>
        <v>371</v>
      </c>
      <c r="O761" s="3">
        <f>parking_demand_data_2024_ver0!N761</f>
        <v>100</v>
      </c>
      <c r="P761" s="3">
        <f>parking_demand_data_2024_ver0!O761</f>
        <v>150</v>
      </c>
      <c r="Q761" s="3">
        <f>parking_demand_data_2024_ver0!P761</f>
        <v>0</v>
      </c>
      <c r="R761" s="3">
        <f>parking_demand_data_2024_ver0!Q761</f>
        <v>0</v>
      </c>
      <c r="S761" s="3">
        <f>parking_demand_data_2024_ver0!R761</f>
        <v>0</v>
      </c>
      <c r="T761" s="3">
        <f>parking_demand_data_2024_ver0!S761</f>
        <v>121</v>
      </c>
    </row>
    <row r="762" spans="1:20" x14ac:dyDescent="0.25">
      <c r="A762">
        <v>18063</v>
      </c>
      <c r="B762" t="s">
        <v>60</v>
      </c>
      <c r="C762">
        <v>16</v>
      </c>
      <c r="D762" s="3">
        <f>parking_demand_data_2024_ver0!D762*calibration!$I$31</f>
        <v>269.27878625613499</v>
      </c>
      <c r="E762" s="3">
        <f>parking_demand_data_2024_ver0!E762*calibration!$I$31</f>
        <v>21.132597054886201</v>
      </c>
      <c r="F762" s="3">
        <f t="shared" si="11"/>
        <v>290.41138331102121</v>
      </c>
      <c r="G762" s="3">
        <f>parking_demand_data_2024_ver0!F762</f>
        <v>7</v>
      </c>
      <c r="H762" s="3">
        <f>parking_demand_data_2024_ver0!G762</f>
        <v>1</v>
      </c>
      <c r="I762" s="3">
        <f>parking_demand_data_2024_ver0!H762</f>
        <v>2</v>
      </c>
      <c r="J762" s="3">
        <f>parking_demand_data_2024_ver0!I762</f>
        <v>0</v>
      </c>
      <c r="K762" s="3">
        <f>parking_demand_data_2024_ver0!J762</f>
        <v>0</v>
      </c>
      <c r="L762" s="3">
        <f>parking_demand_data_2024_ver0!K762</f>
        <v>0</v>
      </c>
      <c r="M762" s="3">
        <f>parking_demand_data_2024_ver0!L762</f>
        <v>4</v>
      </c>
      <c r="N762" s="3">
        <f>parking_demand_data_2024_ver0!M762</f>
        <v>371</v>
      </c>
      <c r="O762" s="3">
        <f>parking_demand_data_2024_ver0!N762</f>
        <v>100</v>
      </c>
      <c r="P762" s="3">
        <f>parking_demand_data_2024_ver0!O762</f>
        <v>150</v>
      </c>
      <c r="Q762" s="3">
        <f>parking_demand_data_2024_ver0!P762</f>
        <v>0</v>
      </c>
      <c r="R762" s="3">
        <f>parking_demand_data_2024_ver0!Q762</f>
        <v>0</v>
      </c>
      <c r="S762" s="3">
        <f>parking_demand_data_2024_ver0!R762</f>
        <v>0</v>
      </c>
      <c r="T762" s="3">
        <f>parking_demand_data_2024_ver0!S762</f>
        <v>121</v>
      </c>
    </row>
    <row r="763" spans="1:20" x14ac:dyDescent="0.25">
      <c r="A763">
        <v>18063</v>
      </c>
      <c r="B763" t="s">
        <v>60</v>
      </c>
      <c r="C763">
        <v>17</v>
      </c>
      <c r="D763" s="3">
        <f>parking_demand_data_2024_ver0!D763*calibration!$I$31</f>
        <v>299.01672913877701</v>
      </c>
      <c r="E763" s="3">
        <f>parking_demand_data_2024_ver0!E763*calibration!$I$31</f>
        <v>22.807974118697</v>
      </c>
      <c r="F763" s="3">
        <f t="shared" si="11"/>
        <v>321.82470325747403</v>
      </c>
      <c r="G763" s="3">
        <f>parking_demand_data_2024_ver0!F763</f>
        <v>7</v>
      </c>
      <c r="H763" s="3">
        <f>parking_demand_data_2024_ver0!G763</f>
        <v>1</v>
      </c>
      <c r="I763" s="3">
        <f>parking_demand_data_2024_ver0!H763</f>
        <v>2</v>
      </c>
      <c r="J763" s="3">
        <f>parking_demand_data_2024_ver0!I763</f>
        <v>0</v>
      </c>
      <c r="K763" s="3">
        <f>parking_demand_data_2024_ver0!J763</f>
        <v>0</v>
      </c>
      <c r="L763" s="3">
        <f>parking_demand_data_2024_ver0!K763</f>
        <v>0</v>
      </c>
      <c r="M763" s="3">
        <f>parking_demand_data_2024_ver0!L763</f>
        <v>4</v>
      </c>
      <c r="N763" s="3">
        <f>parking_demand_data_2024_ver0!M763</f>
        <v>371</v>
      </c>
      <c r="O763" s="3">
        <f>parking_demand_data_2024_ver0!N763</f>
        <v>100</v>
      </c>
      <c r="P763" s="3">
        <f>parking_demand_data_2024_ver0!O763</f>
        <v>150</v>
      </c>
      <c r="Q763" s="3">
        <f>parking_demand_data_2024_ver0!P763</f>
        <v>0</v>
      </c>
      <c r="R763" s="3">
        <f>parking_demand_data_2024_ver0!Q763</f>
        <v>0</v>
      </c>
      <c r="S763" s="3">
        <f>parking_demand_data_2024_ver0!R763</f>
        <v>0</v>
      </c>
      <c r="T763" s="3">
        <f>parking_demand_data_2024_ver0!S763</f>
        <v>121</v>
      </c>
    </row>
    <row r="764" spans="1:20" x14ac:dyDescent="0.25">
      <c r="A764">
        <v>18063</v>
      </c>
      <c r="B764" t="s">
        <v>60</v>
      </c>
      <c r="C764">
        <v>18</v>
      </c>
      <c r="D764" s="3">
        <f>parking_demand_data_2024_ver0!D764*calibration!$I$31</f>
        <v>330.92504685408301</v>
      </c>
      <c r="E764" s="3">
        <f>parking_demand_data_2024_ver0!E764*calibration!$I$31</f>
        <v>27.643721552878102</v>
      </c>
      <c r="F764" s="3">
        <f t="shared" si="11"/>
        <v>358.56876840696111</v>
      </c>
      <c r="G764" s="3">
        <f>parking_demand_data_2024_ver0!F764</f>
        <v>7</v>
      </c>
      <c r="H764" s="3">
        <f>parking_demand_data_2024_ver0!G764</f>
        <v>1</v>
      </c>
      <c r="I764" s="3">
        <f>parking_demand_data_2024_ver0!H764</f>
        <v>2</v>
      </c>
      <c r="J764" s="3">
        <f>parking_demand_data_2024_ver0!I764</f>
        <v>0</v>
      </c>
      <c r="K764" s="3">
        <f>parking_demand_data_2024_ver0!J764</f>
        <v>0</v>
      </c>
      <c r="L764" s="3">
        <f>parking_demand_data_2024_ver0!K764</f>
        <v>0</v>
      </c>
      <c r="M764" s="3">
        <f>parking_demand_data_2024_ver0!L764</f>
        <v>4</v>
      </c>
      <c r="N764" s="3">
        <f>parking_demand_data_2024_ver0!M764</f>
        <v>371</v>
      </c>
      <c r="O764" s="3">
        <f>parking_demand_data_2024_ver0!N764</f>
        <v>100</v>
      </c>
      <c r="P764" s="3">
        <f>parking_demand_data_2024_ver0!O764</f>
        <v>150</v>
      </c>
      <c r="Q764" s="3">
        <f>parking_demand_data_2024_ver0!P764</f>
        <v>0</v>
      </c>
      <c r="R764" s="3">
        <f>parking_demand_data_2024_ver0!Q764</f>
        <v>0</v>
      </c>
      <c r="S764" s="3">
        <f>parking_demand_data_2024_ver0!R764</f>
        <v>0</v>
      </c>
      <c r="T764" s="3">
        <f>parking_demand_data_2024_ver0!S764</f>
        <v>121</v>
      </c>
    </row>
    <row r="765" spans="1:20" x14ac:dyDescent="0.25">
      <c r="A765">
        <v>18063</v>
      </c>
      <c r="B765" t="s">
        <v>60</v>
      </c>
      <c r="C765">
        <v>19</v>
      </c>
      <c r="D765" s="3">
        <f>parking_demand_data_2024_ver0!D765*calibration!$I$31</f>
        <v>355.97954930834402</v>
      </c>
      <c r="E765" s="3">
        <f>parking_demand_data_2024_ver0!E765*calibration!$I$31</f>
        <v>34.649843819723301</v>
      </c>
      <c r="F765" s="3">
        <f t="shared" si="11"/>
        <v>390.62939312806731</v>
      </c>
      <c r="G765" s="3">
        <f>parking_demand_data_2024_ver0!F765</f>
        <v>7</v>
      </c>
      <c r="H765" s="3">
        <f>parking_demand_data_2024_ver0!G765</f>
        <v>1</v>
      </c>
      <c r="I765" s="3">
        <f>parking_demand_data_2024_ver0!H765</f>
        <v>2</v>
      </c>
      <c r="J765" s="3">
        <f>parking_demand_data_2024_ver0!I765</f>
        <v>0</v>
      </c>
      <c r="K765" s="3">
        <f>parking_demand_data_2024_ver0!J765</f>
        <v>0</v>
      </c>
      <c r="L765" s="3">
        <f>parking_demand_data_2024_ver0!K765</f>
        <v>0</v>
      </c>
      <c r="M765" s="3">
        <f>parking_demand_data_2024_ver0!L765</f>
        <v>4</v>
      </c>
      <c r="N765" s="3">
        <f>parking_demand_data_2024_ver0!M765</f>
        <v>371</v>
      </c>
      <c r="O765" s="3">
        <f>parking_demand_data_2024_ver0!N765</f>
        <v>100</v>
      </c>
      <c r="P765" s="3">
        <f>parking_demand_data_2024_ver0!O765</f>
        <v>150</v>
      </c>
      <c r="Q765" s="3">
        <f>parking_demand_data_2024_ver0!P765</f>
        <v>0</v>
      </c>
      <c r="R765" s="3">
        <f>parking_demand_data_2024_ver0!Q765</f>
        <v>0</v>
      </c>
      <c r="S765" s="3">
        <f>parking_demand_data_2024_ver0!R765</f>
        <v>0</v>
      </c>
      <c r="T765" s="3">
        <f>parking_demand_data_2024_ver0!S765</f>
        <v>121</v>
      </c>
    </row>
    <row r="766" spans="1:20" x14ac:dyDescent="0.25">
      <c r="A766">
        <v>18063</v>
      </c>
      <c r="B766" t="s">
        <v>60</v>
      </c>
      <c r="C766">
        <v>20</v>
      </c>
      <c r="D766" s="3">
        <f>parking_demand_data_2024_ver0!D766*calibration!$I$31</f>
        <v>382.86173583221699</v>
      </c>
      <c r="E766" s="3">
        <f>parking_demand_data_2024_ver0!E766*calibration!$I$31</f>
        <v>45.806331994645198</v>
      </c>
      <c r="F766" s="3">
        <f t="shared" si="11"/>
        <v>428.66806782686217</v>
      </c>
      <c r="G766" s="3">
        <f>parking_demand_data_2024_ver0!F766</f>
        <v>7</v>
      </c>
      <c r="H766" s="3">
        <f>parking_demand_data_2024_ver0!G766</f>
        <v>1</v>
      </c>
      <c r="I766" s="3">
        <f>parking_demand_data_2024_ver0!H766</f>
        <v>2</v>
      </c>
      <c r="J766" s="3">
        <f>parking_demand_data_2024_ver0!I766</f>
        <v>0</v>
      </c>
      <c r="K766" s="3">
        <f>parking_demand_data_2024_ver0!J766</f>
        <v>0</v>
      </c>
      <c r="L766" s="3">
        <f>parking_demand_data_2024_ver0!K766</f>
        <v>0</v>
      </c>
      <c r="M766" s="3">
        <f>parking_demand_data_2024_ver0!L766</f>
        <v>4</v>
      </c>
      <c r="N766" s="3">
        <f>parking_demand_data_2024_ver0!M766</f>
        <v>371</v>
      </c>
      <c r="O766" s="3">
        <f>parking_demand_data_2024_ver0!N766</f>
        <v>100</v>
      </c>
      <c r="P766" s="3">
        <f>parking_demand_data_2024_ver0!O766</f>
        <v>150</v>
      </c>
      <c r="Q766" s="3">
        <f>parking_demand_data_2024_ver0!P766</f>
        <v>0</v>
      </c>
      <c r="R766" s="3">
        <f>parking_demand_data_2024_ver0!Q766</f>
        <v>0</v>
      </c>
      <c r="S766" s="3">
        <f>parking_demand_data_2024_ver0!R766</f>
        <v>0</v>
      </c>
      <c r="T766" s="3">
        <f>parking_demand_data_2024_ver0!S766</f>
        <v>121</v>
      </c>
    </row>
    <row r="767" spans="1:20" x14ac:dyDescent="0.25">
      <c r="A767">
        <v>18063</v>
      </c>
      <c r="B767" t="s">
        <v>60</v>
      </c>
      <c r="C767">
        <v>21</v>
      </c>
      <c r="D767" s="3">
        <f>parking_demand_data_2024_ver0!D767*calibration!$I$31</f>
        <v>401.13857652833502</v>
      </c>
      <c r="E767" s="3">
        <f>parking_demand_data_2024_ver0!E767*calibration!$I$31</f>
        <v>56.087054886211497</v>
      </c>
      <c r="F767" s="3">
        <f t="shared" si="11"/>
        <v>457.22563141454651</v>
      </c>
      <c r="G767" s="3">
        <f>parking_demand_data_2024_ver0!F767</f>
        <v>7</v>
      </c>
      <c r="H767" s="3">
        <f>parking_demand_data_2024_ver0!G767</f>
        <v>1</v>
      </c>
      <c r="I767" s="3">
        <f>parking_demand_data_2024_ver0!H767</f>
        <v>2</v>
      </c>
      <c r="J767" s="3">
        <f>parking_demand_data_2024_ver0!I767</f>
        <v>0</v>
      </c>
      <c r="K767" s="3">
        <f>parking_demand_data_2024_ver0!J767</f>
        <v>0</v>
      </c>
      <c r="L767" s="3">
        <f>parking_demand_data_2024_ver0!K767</f>
        <v>0</v>
      </c>
      <c r="M767" s="3">
        <f>parking_demand_data_2024_ver0!L767</f>
        <v>4</v>
      </c>
      <c r="N767" s="3">
        <f>parking_demand_data_2024_ver0!M767</f>
        <v>371</v>
      </c>
      <c r="O767" s="3">
        <f>parking_demand_data_2024_ver0!N767</f>
        <v>100</v>
      </c>
      <c r="P767" s="3">
        <f>parking_demand_data_2024_ver0!O767</f>
        <v>150</v>
      </c>
      <c r="Q767" s="3">
        <f>parking_demand_data_2024_ver0!P767</f>
        <v>0</v>
      </c>
      <c r="R767" s="3">
        <f>parking_demand_data_2024_ver0!Q767</f>
        <v>0</v>
      </c>
      <c r="S767" s="3">
        <f>parking_demand_data_2024_ver0!R767</f>
        <v>0</v>
      </c>
      <c r="T767" s="3">
        <f>parking_demand_data_2024_ver0!S767</f>
        <v>121</v>
      </c>
    </row>
    <row r="768" spans="1:20" x14ac:dyDescent="0.25">
      <c r="A768">
        <v>18063</v>
      </c>
      <c r="B768" t="s">
        <v>60</v>
      </c>
      <c r="C768">
        <v>22</v>
      </c>
      <c r="D768" s="3">
        <f>parking_demand_data_2024_ver0!D768*calibration!$I$31</f>
        <v>412.14275769745598</v>
      </c>
      <c r="E768" s="3">
        <f>parking_demand_data_2024_ver0!E768*calibration!$I$31</f>
        <v>64.007019187862497</v>
      </c>
      <c r="F768" s="3">
        <f t="shared" si="11"/>
        <v>476.14977688531849</v>
      </c>
      <c r="G768" s="3">
        <f>parking_demand_data_2024_ver0!F768</f>
        <v>7</v>
      </c>
      <c r="H768" s="3">
        <f>parking_demand_data_2024_ver0!G768</f>
        <v>1</v>
      </c>
      <c r="I768" s="3">
        <f>parking_demand_data_2024_ver0!H768</f>
        <v>2</v>
      </c>
      <c r="J768" s="3">
        <f>parking_demand_data_2024_ver0!I768</f>
        <v>0</v>
      </c>
      <c r="K768" s="3">
        <f>parking_demand_data_2024_ver0!J768</f>
        <v>0</v>
      </c>
      <c r="L768" s="3">
        <f>parking_demand_data_2024_ver0!K768</f>
        <v>0</v>
      </c>
      <c r="M768" s="3">
        <f>parking_demand_data_2024_ver0!L768</f>
        <v>4</v>
      </c>
      <c r="N768" s="3">
        <f>parking_demand_data_2024_ver0!M768</f>
        <v>371</v>
      </c>
      <c r="O768" s="3">
        <f>parking_demand_data_2024_ver0!N768</f>
        <v>100</v>
      </c>
      <c r="P768" s="3">
        <f>parking_demand_data_2024_ver0!O768</f>
        <v>150</v>
      </c>
      <c r="Q768" s="3">
        <f>parking_demand_data_2024_ver0!P768</f>
        <v>0</v>
      </c>
      <c r="R768" s="3">
        <f>parking_demand_data_2024_ver0!Q768</f>
        <v>0</v>
      </c>
      <c r="S768" s="3">
        <f>parking_demand_data_2024_ver0!R768</f>
        <v>0</v>
      </c>
      <c r="T768" s="3">
        <f>parking_demand_data_2024_ver0!S768</f>
        <v>121</v>
      </c>
    </row>
    <row r="769" spans="1:20" x14ac:dyDescent="0.25">
      <c r="A769">
        <v>18063</v>
      </c>
      <c r="B769" t="s">
        <v>60</v>
      </c>
      <c r="C769">
        <v>23</v>
      </c>
      <c r="D769" s="3">
        <f>parking_demand_data_2024_ver0!D769*calibration!$I$31</f>
        <v>419.11080321285101</v>
      </c>
      <c r="E769" s="3">
        <f>parking_demand_data_2024_ver0!E769*calibration!$I$31</f>
        <v>72.079290495314496</v>
      </c>
      <c r="F769" s="3">
        <f t="shared" si="11"/>
        <v>491.19009370816548</v>
      </c>
      <c r="G769" s="3">
        <f>parking_demand_data_2024_ver0!F769</f>
        <v>7</v>
      </c>
      <c r="H769" s="3">
        <f>parking_demand_data_2024_ver0!G769</f>
        <v>1</v>
      </c>
      <c r="I769" s="3">
        <f>parking_demand_data_2024_ver0!H769</f>
        <v>2</v>
      </c>
      <c r="J769" s="3">
        <f>parking_demand_data_2024_ver0!I769</f>
        <v>0</v>
      </c>
      <c r="K769" s="3">
        <f>parking_demand_data_2024_ver0!J769</f>
        <v>0</v>
      </c>
      <c r="L769" s="3">
        <f>parking_demand_data_2024_ver0!K769</f>
        <v>0</v>
      </c>
      <c r="M769" s="3">
        <f>parking_demand_data_2024_ver0!L769</f>
        <v>4</v>
      </c>
      <c r="N769" s="3">
        <f>parking_demand_data_2024_ver0!M769</f>
        <v>371</v>
      </c>
      <c r="O769" s="3">
        <f>parking_demand_data_2024_ver0!N769</f>
        <v>100</v>
      </c>
      <c r="P769" s="3">
        <f>parking_demand_data_2024_ver0!O769</f>
        <v>150</v>
      </c>
      <c r="Q769" s="3">
        <f>parking_demand_data_2024_ver0!P769</f>
        <v>0</v>
      </c>
      <c r="R769" s="3">
        <f>parking_demand_data_2024_ver0!Q769</f>
        <v>0</v>
      </c>
      <c r="S769" s="3">
        <f>parking_demand_data_2024_ver0!R769</f>
        <v>0</v>
      </c>
      <c r="T769" s="3">
        <f>parking_demand_data_2024_ver0!S769</f>
        <v>121</v>
      </c>
    </row>
    <row r="770" spans="1:20" x14ac:dyDescent="0.25">
      <c r="A770">
        <v>18065</v>
      </c>
      <c r="B770" t="s">
        <v>61</v>
      </c>
      <c r="C770">
        <v>0</v>
      </c>
      <c r="D770" s="3">
        <f>parking_demand_data_2024_ver0!D770*calibration!$I$31</f>
        <v>383.41479386882003</v>
      </c>
      <c r="E770" s="3">
        <f>parking_demand_data_2024_ver0!E770*calibration!$I$31</f>
        <v>4.0544391314996897</v>
      </c>
      <c r="F770" s="3">
        <f t="shared" si="11"/>
        <v>387.46923300031972</v>
      </c>
      <c r="G770" s="3">
        <f>parking_demand_data_2024_ver0!F770</f>
        <v>6</v>
      </c>
      <c r="H770" s="3">
        <f>parking_demand_data_2024_ver0!G770</f>
        <v>1</v>
      </c>
      <c r="I770" s="3">
        <f>parking_demand_data_2024_ver0!H770</f>
        <v>2</v>
      </c>
      <c r="J770" s="3">
        <f>parking_demand_data_2024_ver0!I770</f>
        <v>3</v>
      </c>
      <c r="K770" s="3">
        <f>parking_demand_data_2024_ver0!J770</f>
        <v>0</v>
      </c>
      <c r="L770" s="3">
        <f>parking_demand_data_2024_ver0!K770</f>
        <v>0</v>
      </c>
      <c r="M770" s="3">
        <f>parking_demand_data_2024_ver0!L770</f>
        <v>0</v>
      </c>
      <c r="N770" s="3">
        <f>parking_demand_data_2024_ver0!M770</f>
        <v>399</v>
      </c>
      <c r="O770" s="3">
        <f>parking_demand_data_2024_ver0!N770</f>
        <v>140</v>
      </c>
      <c r="P770" s="3">
        <f>parking_demand_data_2024_ver0!O770</f>
        <v>139</v>
      </c>
      <c r="Q770" s="3">
        <f>parking_demand_data_2024_ver0!P770</f>
        <v>120</v>
      </c>
      <c r="R770" s="3">
        <f>parking_demand_data_2024_ver0!Q770</f>
        <v>0</v>
      </c>
      <c r="S770" s="3">
        <f>parking_demand_data_2024_ver0!R770</f>
        <v>0</v>
      </c>
      <c r="T770" s="3">
        <f>parking_demand_data_2024_ver0!S770</f>
        <v>0</v>
      </c>
    </row>
    <row r="771" spans="1:20" x14ac:dyDescent="0.25">
      <c r="A771">
        <v>18065</v>
      </c>
      <c r="B771" t="s">
        <v>61</v>
      </c>
      <c r="C771">
        <v>1</v>
      </c>
      <c r="D771" s="3">
        <f>parking_demand_data_2024_ver0!D771*calibration!$I$31</f>
        <v>379.90094662152001</v>
      </c>
      <c r="E771" s="3">
        <f>parking_demand_data_2024_ver0!E771*calibration!$I$31</f>
        <v>5.1694098926620997</v>
      </c>
      <c r="F771" s="3">
        <f t="shared" ref="F771:F834" si="12">SUM(D771:E771)</f>
        <v>385.07035651418209</v>
      </c>
      <c r="G771" s="3">
        <f>parking_demand_data_2024_ver0!F771</f>
        <v>6</v>
      </c>
      <c r="H771" s="3">
        <f>parking_demand_data_2024_ver0!G771</f>
        <v>1</v>
      </c>
      <c r="I771" s="3">
        <f>parking_demand_data_2024_ver0!H771</f>
        <v>2</v>
      </c>
      <c r="J771" s="3">
        <f>parking_demand_data_2024_ver0!I771</f>
        <v>3</v>
      </c>
      <c r="K771" s="3">
        <f>parking_demand_data_2024_ver0!J771</f>
        <v>0</v>
      </c>
      <c r="L771" s="3">
        <f>parking_demand_data_2024_ver0!K771</f>
        <v>0</v>
      </c>
      <c r="M771" s="3">
        <f>parking_demand_data_2024_ver0!L771</f>
        <v>0</v>
      </c>
      <c r="N771" s="3">
        <f>parking_demand_data_2024_ver0!M771</f>
        <v>399</v>
      </c>
      <c r="O771" s="3">
        <f>parking_demand_data_2024_ver0!N771</f>
        <v>140</v>
      </c>
      <c r="P771" s="3">
        <f>parking_demand_data_2024_ver0!O771</f>
        <v>139</v>
      </c>
      <c r="Q771" s="3">
        <f>parking_demand_data_2024_ver0!P771</f>
        <v>120</v>
      </c>
      <c r="R771" s="3">
        <f>parking_demand_data_2024_ver0!Q771</f>
        <v>0</v>
      </c>
      <c r="S771" s="3">
        <f>parking_demand_data_2024_ver0!R771</f>
        <v>0</v>
      </c>
      <c r="T771" s="3">
        <f>parking_demand_data_2024_ver0!S771</f>
        <v>0</v>
      </c>
    </row>
    <row r="772" spans="1:20" x14ac:dyDescent="0.25">
      <c r="A772">
        <v>18065</v>
      </c>
      <c r="B772" t="s">
        <v>61</v>
      </c>
      <c r="C772">
        <v>2</v>
      </c>
      <c r="D772" s="3">
        <f>parking_demand_data_2024_ver0!D772*calibration!$I$31</f>
        <v>376.89390426565802</v>
      </c>
      <c r="E772" s="3">
        <f>parking_demand_data_2024_ver0!E772*calibration!$I$31</f>
        <v>5.2369838781870897</v>
      </c>
      <c r="F772" s="3">
        <f t="shared" si="12"/>
        <v>382.13088814384514</v>
      </c>
      <c r="G772" s="3">
        <f>parking_demand_data_2024_ver0!F772</f>
        <v>6</v>
      </c>
      <c r="H772" s="3">
        <f>parking_demand_data_2024_ver0!G772</f>
        <v>1</v>
      </c>
      <c r="I772" s="3">
        <f>parking_demand_data_2024_ver0!H772</f>
        <v>2</v>
      </c>
      <c r="J772" s="3">
        <f>parking_demand_data_2024_ver0!I772</f>
        <v>3</v>
      </c>
      <c r="K772" s="3">
        <f>parking_demand_data_2024_ver0!J772</f>
        <v>0</v>
      </c>
      <c r="L772" s="3">
        <f>parking_demand_data_2024_ver0!K772</f>
        <v>0</v>
      </c>
      <c r="M772" s="3">
        <f>parking_demand_data_2024_ver0!L772</f>
        <v>0</v>
      </c>
      <c r="N772" s="3">
        <f>parking_demand_data_2024_ver0!M772</f>
        <v>399</v>
      </c>
      <c r="O772" s="3">
        <f>parking_demand_data_2024_ver0!N772</f>
        <v>140</v>
      </c>
      <c r="P772" s="3">
        <f>parking_demand_data_2024_ver0!O772</f>
        <v>139</v>
      </c>
      <c r="Q772" s="3">
        <f>parking_demand_data_2024_ver0!P772</f>
        <v>120</v>
      </c>
      <c r="R772" s="3">
        <f>parking_demand_data_2024_ver0!Q772</f>
        <v>0</v>
      </c>
      <c r="S772" s="3">
        <f>parking_demand_data_2024_ver0!R772</f>
        <v>0</v>
      </c>
      <c r="T772" s="3">
        <f>parking_demand_data_2024_ver0!S772</f>
        <v>0</v>
      </c>
    </row>
    <row r="773" spans="1:20" x14ac:dyDescent="0.25">
      <c r="A773">
        <v>18065</v>
      </c>
      <c r="B773" t="s">
        <v>61</v>
      </c>
      <c r="C773">
        <v>3</v>
      </c>
      <c r="D773" s="3">
        <f>parking_demand_data_2024_ver0!D773*calibration!$I$31</f>
        <v>372.40023422824601</v>
      </c>
      <c r="E773" s="3">
        <f>parking_demand_data_2024_ver0!E773*calibration!$I$31</f>
        <v>5.1694098926620997</v>
      </c>
      <c r="F773" s="3">
        <f t="shared" si="12"/>
        <v>377.56964412090809</v>
      </c>
      <c r="G773" s="3">
        <f>parking_demand_data_2024_ver0!F773</f>
        <v>6</v>
      </c>
      <c r="H773" s="3">
        <f>parking_demand_data_2024_ver0!G773</f>
        <v>1</v>
      </c>
      <c r="I773" s="3">
        <f>parking_demand_data_2024_ver0!H773</f>
        <v>2</v>
      </c>
      <c r="J773" s="3">
        <f>parking_demand_data_2024_ver0!I773</f>
        <v>3</v>
      </c>
      <c r="K773" s="3">
        <f>parking_demand_data_2024_ver0!J773</f>
        <v>0</v>
      </c>
      <c r="L773" s="3">
        <f>parking_demand_data_2024_ver0!K773</f>
        <v>0</v>
      </c>
      <c r="M773" s="3">
        <f>parking_demand_data_2024_ver0!L773</f>
        <v>0</v>
      </c>
      <c r="N773" s="3">
        <f>parking_demand_data_2024_ver0!M773</f>
        <v>399</v>
      </c>
      <c r="O773" s="3">
        <f>parking_demand_data_2024_ver0!N773</f>
        <v>140</v>
      </c>
      <c r="P773" s="3">
        <f>parking_demand_data_2024_ver0!O773</f>
        <v>139</v>
      </c>
      <c r="Q773" s="3">
        <f>parking_demand_data_2024_ver0!P773</f>
        <v>120</v>
      </c>
      <c r="R773" s="3">
        <f>parking_demand_data_2024_ver0!Q773</f>
        <v>0</v>
      </c>
      <c r="S773" s="3">
        <f>parking_demand_data_2024_ver0!R773</f>
        <v>0</v>
      </c>
      <c r="T773" s="3">
        <f>parking_demand_data_2024_ver0!S773</f>
        <v>0</v>
      </c>
    </row>
    <row r="774" spans="1:20" x14ac:dyDescent="0.25">
      <c r="A774">
        <v>18065</v>
      </c>
      <c r="B774" t="s">
        <v>61</v>
      </c>
      <c r="C774">
        <v>4</v>
      </c>
      <c r="D774" s="3">
        <f>parking_demand_data_2024_ver0!D774*calibration!$I$31</f>
        <v>356.25005168777199</v>
      </c>
      <c r="E774" s="3">
        <f>parking_demand_data_2024_ver0!E774*calibration!$I$31</f>
        <v>5.1694098926620997</v>
      </c>
      <c r="F774" s="3">
        <f t="shared" si="12"/>
        <v>361.41946158043407</v>
      </c>
      <c r="G774" s="3">
        <f>parking_demand_data_2024_ver0!F774</f>
        <v>6</v>
      </c>
      <c r="H774" s="3">
        <f>parking_demand_data_2024_ver0!G774</f>
        <v>1</v>
      </c>
      <c r="I774" s="3">
        <f>parking_demand_data_2024_ver0!H774</f>
        <v>2</v>
      </c>
      <c r="J774" s="3">
        <f>parking_demand_data_2024_ver0!I774</f>
        <v>3</v>
      </c>
      <c r="K774" s="3">
        <f>parking_demand_data_2024_ver0!J774</f>
        <v>0</v>
      </c>
      <c r="L774" s="3">
        <f>parking_demand_data_2024_ver0!K774</f>
        <v>0</v>
      </c>
      <c r="M774" s="3">
        <f>parking_demand_data_2024_ver0!L774</f>
        <v>0</v>
      </c>
      <c r="N774" s="3">
        <f>parking_demand_data_2024_ver0!M774</f>
        <v>399</v>
      </c>
      <c r="O774" s="3">
        <f>parking_demand_data_2024_ver0!N774</f>
        <v>140</v>
      </c>
      <c r="P774" s="3">
        <f>parking_demand_data_2024_ver0!O774</f>
        <v>139</v>
      </c>
      <c r="Q774" s="3">
        <f>parking_demand_data_2024_ver0!P774</f>
        <v>120</v>
      </c>
      <c r="R774" s="3">
        <f>parking_demand_data_2024_ver0!Q774</f>
        <v>0</v>
      </c>
      <c r="S774" s="3">
        <f>parking_demand_data_2024_ver0!R774</f>
        <v>0</v>
      </c>
      <c r="T774" s="3">
        <f>parking_demand_data_2024_ver0!S774</f>
        <v>0</v>
      </c>
    </row>
    <row r="775" spans="1:20" x14ac:dyDescent="0.25">
      <c r="A775">
        <v>18065</v>
      </c>
      <c r="B775" t="s">
        <v>61</v>
      </c>
      <c r="C775">
        <v>5</v>
      </c>
      <c r="D775" s="3">
        <f>parking_demand_data_2024_ver0!D775*calibration!$I$31</f>
        <v>329.49075341987401</v>
      </c>
      <c r="E775" s="3">
        <f>parking_demand_data_2024_ver0!E775*calibration!$I$31</f>
        <v>5.6762147840995603</v>
      </c>
      <c r="F775" s="3">
        <f t="shared" si="12"/>
        <v>335.16696820397357</v>
      </c>
      <c r="G775" s="3">
        <f>parking_demand_data_2024_ver0!F775</f>
        <v>6</v>
      </c>
      <c r="H775" s="3">
        <f>parking_demand_data_2024_ver0!G775</f>
        <v>1</v>
      </c>
      <c r="I775" s="3">
        <f>parking_demand_data_2024_ver0!H775</f>
        <v>2</v>
      </c>
      <c r="J775" s="3">
        <f>parking_demand_data_2024_ver0!I775</f>
        <v>3</v>
      </c>
      <c r="K775" s="3">
        <f>parking_demand_data_2024_ver0!J775</f>
        <v>0</v>
      </c>
      <c r="L775" s="3">
        <f>parking_demand_data_2024_ver0!K775</f>
        <v>0</v>
      </c>
      <c r="M775" s="3">
        <f>parking_demand_data_2024_ver0!L775</f>
        <v>0</v>
      </c>
      <c r="N775" s="3">
        <f>parking_demand_data_2024_ver0!M775</f>
        <v>399</v>
      </c>
      <c r="O775" s="3">
        <f>parking_demand_data_2024_ver0!N775</f>
        <v>140</v>
      </c>
      <c r="P775" s="3">
        <f>parking_demand_data_2024_ver0!O775</f>
        <v>139</v>
      </c>
      <c r="Q775" s="3">
        <f>parking_demand_data_2024_ver0!P775</f>
        <v>120</v>
      </c>
      <c r="R775" s="3">
        <f>parking_demand_data_2024_ver0!Q775</f>
        <v>0</v>
      </c>
      <c r="S775" s="3">
        <f>parking_demand_data_2024_ver0!R775</f>
        <v>0</v>
      </c>
      <c r="T775" s="3">
        <f>parking_demand_data_2024_ver0!S775</f>
        <v>0</v>
      </c>
    </row>
    <row r="776" spans="1:20" x14ac:dyDescent="0.25">
      <c r="A776">
        <v>18065</v>
      </c>
      <c r="B776" t="s">
        <v>61</v>
      </c>
      <c r="C776">
        <v>6</v>
      </c>
      <c r="D776" s="3">
        <f>parking_demand_data_2024_ver0!D776*calibration!$I$31</f>
        <v>295.70376065737702</v>
      </c>
      <c r="E776" s="3">
        <f>parking_demand_data_2024_ver0!E776*calibration!$I$31</f>
        <v>6.5546765959244997</v>
      </c>
      <c r="F776" s="3">
        <f t="shared" si="12"/>
        <v>302.25843725330151</v>
      </c>
      <c r="G776" s="3">
        <f>parking_demand_data_2024_ver0!F776</f>
        <v>6</v>
      </c>
      <c r="H776" s="3">
        <f>parking_demand_data_2024_ver0!G776</f>
        <v>1</v>
      </c>
      <c r="I776" s="3">
        <f>parking_demand_data_2024_ver0!H776</f>
        <v>2</v>
      </c>
      <c r="J776" s="3">
        <f>parking_demand_data_2024_ver0!I776</f>
        <v>3</v>
      </c>
      <c r="K776" s="3">
        <f>parking_demand_data_2024_ver0!J776</f>
        <v>0</v>
      </c>
      <c r="L776" s="3">
        <f>parking_demand_data_2024_ver0!K776</f>
        <v>0</v>
      </c>
      <c r="M776" s="3">
        <f>parking_demand_data_2024_ver0!L776</f>
        <v>0</v>
      </c>
      <c r="N776" s="3">
        <f>parking_demand_data_2024_ver0!M776</f>
        <v>399</v>
      </c>
      <c r="O776" s="3">
        <f>parking_demand_data_2024_ver0!N776</f>
        <v>140</v>
      </c>
      <c r="P776" s="3">
        <f>parking_demand_data_2024_ver0!O776</f>
        <v>139</v>
      </c>
      <c r="Q776" s="3">
        <f>parking_demand_data_2024_ver0!P776</f>
        <v>120</v>
      </c>
      <c r="R776" s="3">
        <f>parking_demand_data_2024_ver0!Q776</f>
        <v>0</v>
      </c>
      <c r="S776" s="3">
        <f>parking_demand_data_2024_ver0!R776</f>
        <v>0</v>
      </c>
      <c r="T776" s="3">
        <f>parking_demand_data_2024_ver0!S776</f>
        <v>0</v>
      </c>
    </row>
    <row r="777" spans="1:20" x14ac:dyDescent="0.25">
      <c r="A777">
        <v>18065</v>
      </c>
      <c r="B777" t="s">
        <v>61</v>
      </c>
      <c r="C777">
        <v>7</v>
      </c>
      <c r="D777" s="3">
        <f>parking_demand_data_2024_ver0!D777*calibration!$I$31</f>
        <v>251.814457058893</v>
      </c>
      <c r="E777" s="3">
        <f>parking_demand_data_2024_ver0!E777*calibration!$I$31</f>
        <v>6.5208896031619998</v>
      </c>
      <c r="F777" s="3">
        <f t="shared" si="12"/>
        <v>258.33534666205497</v>
      </c>
      <c r="G777" s="3">
        <f>parking_demand_data_2024_ver0!F777</f>
        <v>6</v>
      </c>
      <c r="H777" s="3">
        <f>parking_demand_data_2024_ver0!G777</f>
        <v>1</v>
      </c>
      <c r="I777" s="3">
        <f>parking_demand_data_2024_ver0!H777</f>
        <v>2</v>
      </c>
      <c r="J777" s="3">
        <f>parking_demand_data_2024_ver0!I777</f>
        <v>3</v>
      </c>
      <c r="K777" s="3">
        <f>parking_demand_data_2024_ver0!J777</f>
        <v>0</v>
      </c>
      <c r="L777" s="3">
        <f>parking_demand_data_2024_ver0!K777</f>
        <v>0</v>
      </c>
      <c r="M777" s="3">
        <f>parking_demand_data_2024_ver0!L777</f>
        <v>0</v>
      </c>
      <c r="N777" s="3">
        <f>parking_demand_data_2024_ver0!M777</f>
        <v>399</v>
      </c>
      <c r="O777" s="3">
        <f>parking_demand_data_2024_ver0!N777</f>
        <v>140</v>
      </c>
      <c r="P777" s="3">
        <f>parking_demand_data_2024_ver0!O777</f>
        <v>139</v>
      </c>
      <c r="Q777" s="3">
        <f>parking_demand_data_2024_ver0!P777</f>
        <v>120</v>
      </c>
      <c r="R777" s="3">
        <f>parking_demand_data_2024_ver0!Q777</f>
        <v>0</v>
      </c>
      <c r="S777" s="3">
        <f>parking_demand_data_2024_ver0!R777</f>
        <v>0</v>
      </c>
      <c r="T777" s="3">
        <f>parking_demand_data_2024_ver0!S777</f>
        <v>0</v>
      </c>
    </row>
    <row r="778" spans="1:20" x14ac:dyDescent="0.25">
      <c r="A778">
        <v>18065</v>
      </c>
      <c r="B778" t="s">
        <v>61</v>
      </c>
      <c r="C778">
        <v>8</v>
      </c>
      <c r="D778" s="3">
        <f>parking_demand_data_2024_ver0!D778*calibration!$I$31</f>
        <v>211.91201860638299</v>
      </c>
      <c r="E778" s="3">
        <f>parking_demand_data_2024_ver0!E778*calibration!$I$31</f>
        <v>7.4331384077494302</v>
      </c>
      <c r="F778" s="3">
        <f t="shared" si="12"/>
        <v>219.34515701413241</v>
      </c>
      <c r="G778" s="3">
        <f>parking_demand_data_2024_ver0!F778</f>
        <v>6</v>
      </c>
      <c r="H778" s="3">
        <f>parking_demand_data_2024_ver0!G778</f>
        <v>1</v>
      </c>
      <c r="I778" s="3">
        <f>parking_demand_data_2024_ver0!H778</f>
        <v>2</v>
      </c>
      <c r="J778" s="3">
        <f>parking_demand_data_2024_ver0!I778</f>
        <v>3</v>
      </c>
      <c r="K778" s="3">
        <f>parking_demand_data_2024_ver0!J778</f>
        <v>0</v>
      </c>
      <c r="L778" s="3">
        <f>parking_demand_data_2024_ver0!K778</f>
        <v>0</v>
      </c>
      <c r="M778" s="3">
        <f>parking_demand_data_2024_ver0!L778</f>
        <v>0</v>
      </c>
      <c r="N778" s="3">
        <f>parking_demand_data_2024_ver0!M778</f>
        <v>399</v>
      </c>
      <c r="O778" s="3">
        <f>parking_demand_data_2024_ver0!N778</f>
        <v>140</v>
      </c>
      <c r="P778" s="3">
        <f>parking_demand_data_2024_ver0!O778</f>
        <v>139</v>
      </c>
      <c r="Q778" s="3">
        <f>parking_demand_data_2024_ver0!P778</f>
        <v>120</v>
      </c>
      <c r="R778" s="3">
        <f>parking_demand_data_2024_ver0!Q778</f>
        <v>0</v>
      </c>
      <c r="S778" s="3">
        <f>parking_demand_data_2024_ver0!R778</f>
        <v>0</v>
      </c>
      <c r="T778" s="3">
        <f>parking_demand_data_2024_ver0!S778</f>
        <v>0</v>
      </c>
    </row>
    <row r="779" spans="1:20" x14ac:dyDescent="0.25">
      <c r="A779">
        <v>18065</v>
      </c>
      <c r="B779" t="s">
        <v>61</v>
      </c>
      <c r="C779">
        <v>9</v>
      </c>
      <c r="D779" s="3">
        <f>parking_demand_data_2024_ver0!D779*calibration!$I$31</f>
        <v>181.87538204052299</v>
      </c>
      <c r="E779" s="3">
        <f>parking_demand_data_2024_ver0!E779*calibration!$I$31</f>
        <v>8.0413042774743797</v>
      </c>
      <c r="F779" s="3">
        <f t="shared" si="12"/>
        <v>189.91668631799737</v>
      </c>
      <c r="G779" s="3">
        <f>parking_demand_data_2024_ver0!F779</f>
        <v>6</v>
      </c>
      <c r="H779" s="3">
        <f>parking_demand_data_2024_ver0!G779</f>
        <v>1</v>
      </c>
      <c r="I779" s="3">
        <f>parking_demand_data_2024_ver0!H779</f>
        <v>2</v>
      </c>
      <c r="J779" s="3">
        <f>parking_demand_data_2024_ver0!I779</f>
        <v>3</v>
      </c>
      <c r="K779" s="3">
        <f>parking_demand_data_2024_ver0!J779</f>
        <v>0</v>
      </c>
      <c r="L779" s="3">
        <f>parking_demand_data_2024_ver0!K779</f>
        <v>0</v>
      </c>
      <c r="M779" s="3">
        <f>parking_demand_data_2024_ver0!L779</f>
        <v>0</v>
      </c>
      <c r="N779" s="3">
        <f>parking_demand_data_2024_ver0!M779</f>
        <v>399</v>
      </c>
      <c r="O779" s="3">
        <f>parking_demand_data_2024_ver0!N779</f>
        <v>140</v>
      </c>
      <c r="P779" s="3">
        <f>parking_demand_data_2024_ver0!O779</f>
        <v>139</v>
      </c>
      <c r="Q779" s="3">
        <f>parking_demand_data_2024_ver0!P779</f>
        <v>120</v>
      </c>
      <c r="R779" s="3">
        <f>parking_demand_data_2024_ver0!Q779</f>
        <v>0</v>
      </c>
      <c r="S779" s="3">
        <f>parking_demand_data_2024_ver0!R779</f>
        <v>0</v>
      </c>
      <c r="T779" s="3">
        <f>parking_demand_data_2024_ver0!S779</f>
        <v>0</v>
      </c>
    </row>
    <row r="780" spans="1:20" x14ac:dyDescent="0.25">
      <c r="A780">
        <v>18065</v>
      </c>
      <c r="B780" t="s">
        <v>61</v>
      </c>
      <c r="C780">
        <v>10</v>
      </c>
      <c r="D780" s="3">
        <f>parking_demand_data_2024_ver0!D780*calibration!$I$31</f>
        <v>168.56330689209901</v>
      </c>
      <c r="E780" s="3">
        <f>parking_demand_data_2024_ver0!E780*calibration!$I$31</f>
        <v>6.8925465235494698</v>
      </c>
      <c r="F780" s="3">
        <f t="shared" si="12"/>
        <v>175.45585341564848</v>
      </c>
      <c r="G780" s="3">
        <f>parking_demand_data_2024_ver0!F780</f>
        <v>6</v>
      </c>
      <c r="H780" s="3">
        <f>parking_demand_data_2024_ver0!G780</f>
        <v>1</v>
      </c>
      <c r="I780" s="3">
        <f>parking_demand_data_2024_ver0!H780</f>
        <v>2</v>
      </c>
      <c r="J780" s="3">
        <f>parking_demand_data_2024_ver0!I780</f>
        <v>3</v>
      </c>
      <c r="K780" s="3">
        <f>parking_demand_data_2024_ver0!J780</f>
        <v>0</v>
      </c>
      <c r="L780" s="3">
        <f>parking_demand_data_2024_ver0!K780</f>
        <v>0</v>
      </c>
      <c r="M780" s="3">
        <f>parking_demand_data_2024_ver0!L780</f>
        <v>0</v>
      </c>
      <c r="N780" s="3">
        <f>parking_demand_data_2024_ver0!M780</f>
        <v>399</v>
      </c>
      <c r="O780" s="3">
        <f>parking_demand_data_2024_ver0!N780</f>
        <v>140</v>
      </c>
      <c r="P780" s="3">
        <f>parking_demand_data_2024_ver0!O780</f>
        <v>139</v>
      </c>
      <c r="Q780" s="3">
        <f>parking_demand_data_2024_ver0!P780</f>
        <v>120</v>
      </c>
      <c r="R780" s="3">
        <f>parking_demand_data_2024_ver0!Q780</f>
        <v>0</v>
      </c>
      <c r="S780" s="3">
        <f>parking_demand_data_2024_ver0!R780</f>
        <v>0</v>
      </c>
      <c r="T780" s="3">
        <f>parking_demand_data_2024_ver0!S780</f>
        <v>0</v>
      </c>
    </row>
    <row r="781" spans="1:20" x14ac:dyDescent="0.25">
      <c r="A781">
        <v>18065</v>
      </c>
      <c r="B781" t="s">
        <v>61</v>
      </c>
      <c r="C781">
        <v>11</v>
      </c>
      <c r="D781" s="3">
        <f>parking_demand_data_2024_ver0!D781*calibration!$I$31</f>
        <v>165.38732957242399</v>
      </c>
      <c r="E781" s="3">
        <f>parking_demand_data_2024_ver0!E781*calibration!$I$31</f>
        <v>4.7639659795121299</v>
      </c>
      <c r="F781" s="3">
        <f t="shared" si="12"/>
        <v>170.15129555193613</v>
      </c>
      <c r="G781" s="3">
        <f>parking_demand_data_2024_ver0!F781</f>
        <v>6</v>
      </c>
      <c r="H781" s="3">
        <f>parking_demand_data_2024_ver0!G781</f>
        <v>1</v>
      </c>
      <c r="I781" s="3">
        <f>parking_demand_data_2024_ver0!H781</f>
        <v>2</v>
      </c>
      <c r="J781" s="3">
        <f>parking_demand_data_2024_ver0!I781</f>
        <v>3</v>
      </c>
      <c r="K781" s="3">
        <f>parking_demand_data_2024_ver0!J781</f>
        <v>0</v>
      </c>
      <c r="L781" s="3">
        <f>parking_demand_data_2024_ver0!K781</f>
        <v>0</v>
      </c>
      <c r="M781" s="3">
        <f>parking_demand_data_2024_ver0!L781</f>
        <v>0</v>
      </c>
      <c r="N781" s="3">
        <f>parking_demand_data_2024_ver0!M781</f>
        <v>399</v>
      </c>
      <c r="O781" s="3">
        <f>parking_demand_data_2024_ver0!N781</f>
        <v>140</v>
      </c>
      <c r="P781" s="3">
        <f>parking_demand_data_2024_ver0!O781</f>
        <v>139</v>
      </c>
      <c r="Q781" s="3">
        <f>parking_demand_data_2024_ver0!P781</f>
        <v>120</v>
      </c>
      <c r="R781" s="3">
        <f>parking_demand_data_2024_ver0!Q781</f>
        <v>0</v>
      </c>
      <c r="S781" s="3">
        <f>parking_demand_data_2024_ver0!R781</f>
        <v>0</v>
      </c>
      <c r="T781" s="3">
        <f>parking_demand_data_2024_ver0!S781</f>
        <v>0</v>
      </c>
    </row>
    <row r="782" spans="1:20" x14ac:dyDescent="0.25">
      <c r="A782">
        <v>18065</v>
      </c>
      <c r="B782" t="s">
        <v>61</v>
      </c>
      <c r="C782">
        <v>12</v>
      </c>
      <c r="D782" s="3">
        <f>parking_demand_data_2024_ver0!D782*calibration!$I$31</f>
        <v>160.623363592912</v>
      </c>
      <c r="E782" s="3">
        <f>parking_demand_data_2024_ver0!E782*calibration!$I$31</f>
        <v>4.3923090591246599</v>
      </c>
      <c r="F782" s="3">
        <f t="shared" si="12"/>
        <v>165.01567265203667</v>
      </c>
      <c r="G782" s="3">
        <f>parking_demand_data_2024_ver0!F782</f>
        <v>6</v>
      </c>
      <c r="H782" s="3">
        <f>parking_demand_data_2024_ver0!G782</f>
        <v>1</v>
      </c>
      <c r="I782" s="3">
        <f>parking_demand_data_2024_ver0!H782</f>
        <v>2</v>
      </c>
      <c r="J782" s="3">
        <f>parking_demand_data_2024_ver0!I782</f>
        <v>3</v>
      </c>
      <c r="K782" s="3">
        <f>parking_demand_data_2024_ver0!J782</f>
        <v>0</v>
      </c>
      <c r="L782" s="3">
        <f>parking_demand_data_2024_ver0!K782</f>
        <v>0</v>
      </c>
      <c r="M782" s="3">
        <f>parking_demand_data_2024_ver0!L782</f>
        <v>0</v>
      </c>
      <c r="N782" s="3">
        <f>parking_demand_data_2024_ver0!M782</f>
        <v>399</v>
      </c>
      <c r="O782" s="3">
        <f>parking_demand_data_2024_ver0!N782</f>
        <v>140</v>
      </c>
      <c r="P782" s="3">
        <f>parking_demand_data_2024_ver0!O782</f>
        <v>139</v>
      </c>
      <c r="Q782" s="3">
        <f>parking_demand_data_2024_ver0!P782</f>
        <v>120</v>
      </c>
      <c r="R782" s="3">
        <f>parking_demand_data_2024_ver0!Q782</f>
        <v>0</v>
      </c>
      <c r="S782" s="3">
        <f>parking_demand_data_2024_ver0!R782</f>
        <v>0</v>
      </c>
      <c r="T782" s="3">
        <f>parking_demand_data_2024_ver0!S782</f>
        <v>0</v>
      </c>
    </row>
    <row r="783" spans="1:20" x14ac:dyDescent="0.25">
      <c r="A783">
        <v>18065</v>
      </c>
      <c r="B783" t="s">
        <v>61</v>
      </c>
      <c r="C783">
        <v>13</v>
      </c>
      <c r="D783" s="3">
        <f>parking_demand_data_2024_ver0!D783*calibration!$I$31</f>
        <v>159.88004975213701</v>
      </c>
      <c r="E783" s="3">
        <f>parking_demand_data_2024_ver0!E783*calibration!$I$31</f>
        <v>4.2571610880746702</v>
      </c>
      <c r="F783" s="3">
        <f t="shared" si="12"/>
        <v>164.13721084021168</v>
      </c>
      <c r="G783" s="3">
        <f>parking_demand_data_2024_ver0!F783</f>
        <v>6</v>
      </c>
      <c r="H783" s="3">
        <f>parking_demand_data_2024_ver0!G783</f>
        <v>1</v>
      </c>
      <c r="I783" s="3">
        <f>parking_demand_data_2024_ver0!H783</f>
        <v>2</v>
      </c>
      <c r="J783" s="3">
        <f>parking_demand_data_2024_ver0!I783</f>
        <v>3</v>
      </c>
      <c r="K783" s="3">
        <f>parking_demand_data_2024_ver0!J783</f>
        <v>0</v>
      </c>
      <c r="L783" s="3">
        <f>parking_demand_data_2024_ver0!K783</f>
        <v>0</v>
      </c>
      <c r="M783" s="3">
        <f>parking_demand_data_2024_ver0!L783</f>
        <v>0</v>
      </c>
      <c r="N783" s="3">
        <f>parking_demand_data_2024_ver0!M783</f>
        <v>399</v>
      </c>
      <c r="O783" s="3">
        <f>parking_demand_data_2024_ver0!N783</f>
        <v>140</v>
      </c>
      <c r="P783" s="3">
        <f>parking_demand_data_2024_ver0!O783</f>
        <v>139</v>
      </c>
      <c r="Q783" s="3">
        <f>parking_demand_data_2024_ver0!P783</f>
        <v>120</v>
      </c>
      <c r="R783" s="3">
        <f>parking_demand_data_2024_ver0!Q783</f>
        <v>0</v>
      </c>
      <c r="S783" s="3">
        <f>parking_demand_data_2024_ver0!R783</f>
        <v>0</v>
      </c>
      <c r="T783" s="3">
        <f>parking_demand_data_2024_ver0!S783</f>
        <v>0</v>
      </c>
    </row>
    <row r="784" spans="1:20" x14ac:dyDescent="0.25">
      <c r="A784">
        <v>18065</v>
      </c>
      <c r="B784" t="s">
        <v>61</v>
      </c>
      <c r="C784">
        <v>14</v>
      </c>
      <c r="D784" s="3">
        <f>parking_demand_data_2024_ver0!D784*calibration!$I$31</f>
        <v>170.995970370999</v>
      </c>
      <c r="E784" s="3">
        <f>parking_demand_data_2024_ver0!E784*calibration!$I$31</f>
        <v>3.5814212328247201</v>
      </c>
      <c r="F784" s="3">
        <f t="shared" si="12"/>
        <v>174.57739160382371</v>
      </c>
      <c r="G784" s="3">
        <f>parking_demand_data_2024_ver0!F784</f>
        <v>6</v>
      </c>
      <c r="H784" s="3">
        <f>parking_demand_data_2024_ver0!G784</f>
        <v>1</v>
      </c>
      <c r="I784" s="3">
        <f>parking_demand_data_2024_ver0!H784</f>
        <v>2</v>
      </c>
      <c r="J784" s="3">
        <f>parking_demand_data_2024_ver0!I784</f>
        <v>3</v>
      </c>
      <c r="K784" s="3">
        <f>parking_demand_data_2024_ver0!J784</f>
        <v>0</v>
      </c>
      <c r="L784" s="3">
        <f>parking_demand_data_2024_ver0!K784</f>
        <v>0</v>
      </c>
      <c r="M784" s="3">
        <f>parking_demand_data_2024_ver0!L784</f>
        <v>0</v>
      </c>
      <c r="N784" s="3">
        <f>parking_demand_data_2024_ver0!M784</f>
        <v>399</v>
      </c>
      <c r="O784" s="3">
        <f>parking_demand_data_2024_ver0!N784</f>
        <v>140</v>
      </c>
      <c r="P784" s="3">
        <f>parking_demand_data_2024_ver0!O784</f>
        <v>139</v>
      </c>
      <c r="Q784" s="3">
        <f>parking_demand_data_2024_ver0!P784</f>
        <v>120</v>
      </c>
      <c r="R784" s="3">
        <f>parking_demand_data_2024_ver0!Q784</f>
        <v>0</v>
      </c>
      <c r="S784" s="3">
        <f>parking_demand_data_2024_ver0!R784</f>
        <v>0</v>
      </c>
      <c r="T784" s="3">
        <f>parking_demand_data_2024_ver0!S784</f>
        <v>0</v>
      </c>
    </row>
    <row r="785" spans="1:20" x14ac:dyDescent="0.25">
      <c r="A785">
        <v>18065</v>
      </c>
      <c r="B785" t="s">
        <v>61</v>
      </c>
      <c r="C785">
        <v>15</v>
      </c>
      <c r="D785" s="3">
        <f>parking_demand_data_2024_ver0!D785*calibration!$I$31</f>
        <v>191.26816602849701</v>
      </c>
      <c r="E785" s="3">
        <f>parking_demand_data_2024_ver0!E785*calibration!$I$31</f>
        <v>2.1961545295623299</v>
      </c>
      <c r="F785" s="3">
        <f t="shared" si="12"/>
        <v>193.46432055805934</v>
      </c>
      <c r="G785" s="3">
        <f>parking_demand_data_2024_ver0!F785</f>
        <v>6</v>
      </c>
      <c r="H785" s="3">
        <f>parking_demand_data_2024_ver0!G785</f>
        <v>1</v>
      </c>
      <c r="I785" s="3">
        <f>parking_demand_data_2024_ver0!H785</f>
        <v>2</v>
      </c>
      <c r="J785" s="3">
        <f>parking_demand_data_2024_ver0!I785</f>
        <v>3</v>
      </c>
      <c r="K785" s="3">
        <f>parking_demand_data_2024_ver0!J785</f>
        <v>0</v>
      </c>
      <c r="L785" s="3">
        <f>parking_demand_data_2024_ver0!K785</f>
        <v>0</v>
      </c>
      <c r="M785" s="3">
        <f>parking_demand_data_2024_ver0!L785</f>
        <v>0</v>
      </c>
      <c r="N785" s="3">
        <f>parking_demand_data_2024_ver0!M785</f>
        <v>399</v>
      </c>
      <c r="O785" s="3">
        <f>parking_demand_data_2024_ver0!N785</f>
        <v>140</v>
      </c>
      <c r="P785" s="3">
        <f>parking_demand_data_2024_ver0!O785</f>
        <v>139</v>
      </c>
      <c r="Q785" s="3">
        <f>parking_demand_data_2024_ver0!P785</f>
        <v>120</v>
      </c>
      <c r="R785" s="3">
        <f>parking_demand_data_2024_ver0!Q785</f>
        <v>0</v>
      </c>
      <c r="S785" s="3">
        <f>parking_demand_data_2024_ver0!R785</f>
        <v>0</v>
      </c>
      <c r="T785" s="3">
        <f>parking_demand_data_2024_ver0!S785</f>
        <v>0</v>
      </c>
    </row>
    <row r="786" spans="1:20" x14ac:dyDescent="0.25">
      <c r="A786">
        <v>18065</v>
      </c>
      <c r="B786" t="s">
        <v>61</v>
      </c>
      <c r="C786">
        <v>16</v>
      </c>
      <c r="D786" s="3">
        <f>parking_demand_data_2024_ver0!D786*calibration!$I$31</f>
        <v>211.236278751133</v>
      </c>
      <c r="E786" s="3">
        <f>parking_demand_data_2024_ver0!E786*calibration!$I$31</f>
        <v>1.8244976091748599</v>
      </c>
      <c r="F786" s="3">
        <f t="shared" si="12"/>
        <v>213.06077636030787</v>
      </c>
      <c r="G786" s="3">
        <f>parking_demand_data_2024_ver0!F786</f>
        <v>6</v>
      </c>
      <c r="H786" s="3">
        <f>parking_demand_data_2024_ver0!G786</f>
        <v>1</v>
      </c>
      <c r="I786" s="3">
        <f>parking_demand_data_2024_ver0!H786</f>
        <v>2</v>
      </c>
      <c r="J786" s="3">
        <f>parking_demand_data_2024_ver0!I786</f>
        <v>3</v>
      </c>
      <c r="K786" s="3">
        <f>parking_demand_data_2024_ver0!J786</f>
        <v>0</v>
      </c>
      <c r="L786" s="3">
        <f>parking_demand_data_2024_ver0!K786</f>
        <v>0</v>
      </c>
      <c r="M786" s="3">
        <f>parking_demand_data_2024_ver0!L786</f>
        <v>0</v>
      </c>
      <c r="N786" s="3">
        <f>parking_demand_data_2024_ver0!M786</f>
        <v>399</v>
      </c>
      <c r="O786" s="3">
        <f>parking_demand_data_2024_ver0!N786</f>
        <v>140</v>
      </c>
      <c r="P786" s="3">
        <f>parking_demand_data_2024_ver0!O786</f>
        <v>139</v>
      </c>
      <c r="Q786" s="3">
        <f>parking_demand_data_2024_ver0!P786</f>
        <v>120</v>
      </c>
      <c r="R786" s="3">
        <f>parking_demand_data_2024_ver0!Q786</f>
        <v>0</v>
      </c>
      <c r="S786" s="3">
        <f>parking_demand_data_2024_ver0!R786</f>
        <v>0</v>
      </c>
      <c r="T786" s="3">
        <f>parking_demand_data_2024_ver0!S786</f>
        <v>0</v>
      </c>
    </row>
    <row r="787" spans="1:20" x14ac:dyDescent="0.25">
      <c r="A787">
        <v>18065</v>
      </c>
      <c r="B787" t="s">
        <v>61</v>
      </c>
      <c r="C787">
        <v>17</v>
      </c>
      <c r="D787" s="3">
        <f>parking_demand_data_2024_ver0!D787*calibration!$I$31</f>
        <v>233.67084194543199</v>
      </c>
      <c r="E787" s="3">
        <f>parking_demand_data_2024_ver0!E787*calibration!$I$31</f>
        <v>1.8244976091748599</v>
      </c>
      <c r="F787" s="3">
        <f t="shared" si="12"/>
        <v>235.49533955460686</v>
      </c>
      <c r="G787" s="3">
        <f>parking_demand_data_2024_ver0!F787</f>
        <v>6</v>
      </c>
      <c r="H787" s="3">
        <f>parking_demand_data_2024_ver0!G787</f>
        <v>1</v>
      </c>
      <c r="I787" s="3">
        <f>parking_demand_data_2024_ver0!H787</f>
        <v>2</v>
      </c>
      <c r="J787" s="3">
        <f>parking_demand_data_2024_ver0!I787</f>
        <v>3</v>
      </c>
      <c r="K787" s="3">
        <f>parking_demand_data_2024_ver0!J787</f>
        <v>0</v>
      </c>
      <c r="L787" s="3">
        <f>parking_demand_data_2024_ver0!K787</f>
        <v>0</v>
      </c>
      <c r="M787" s="3">
        <f>parking_demand_data_2024_ver0!L787</f>
        <v>0</v>
      </c>
      <c r="N787" s="3">
        <f>parking_demand_data_2024_ver0!M787</f>
        <v>399</v>
      </c>
      <c r="O787" s="3">
        <f>parking_demand_data_2024_ver0!N787</f>
        <v>140</v>
      </c>
      <c r="P787" s="3">
        <f>parking_demand_data_2024_ver0!O787</f>
        <v>139</v>
      </c>
      <c r="Q787" s="3">
        <f>parking_demand_data_2024_ver0!P787</f>
        <v>120</v>
      </c>
      <c r="R787" s="3">
        <f>parking_demand_data_2024_ver0!Q787</f>
        <v>0</v>
      </c>
      <c r="S787" s="3">
        <f>parking_demand_data_2024_ver0!R787</f>
        <v>0</v>
      </c>
      <c r="T787" s="3">
        <f>parking_demand_data_2024_ver0!S787</f>
        <v>0</v>
      </c>
    </row>
    <row r="788" spans="1:20" x14ac:dyDescent="0.25">
      <c r="A788">
        <v>18065</v>
      </c>
      <c r="B788" t="s">
        <v>61</v>
      </c>
      <c r="C788">
        <v>18</v>
      </c>
      <c r="D788" s="3">
        <f>parking_demand_data_2024_ver0!D788*calibration!$I$31</f>
        <v>266.88345583096702</v>
      </c>
      <c r="E788" s="3">
        <f>parking_demand_data_2024_ver0!E788*calibration!$I$31</f>
        <v>2.33130250061232</v>
      </c>
      <c r="F788" s="3">
        <f t="shared" si="12"/>
        <v>269.21475833157933</v>
      </c>
      <c r="G788" s="3">
        <f>parking_demand_data_2024_ver0!F788</f>
        <v>6</v>
      </c>
      <c r="H788" s="3">
        <f>parking_demand_data_2024_ver0!G788</f>
        <v>1</v>
      </c>
      <c r="I788" s="3">
        <f>parking_demand_data_2024_ver0!H788</f>
        <v>2</v>
      </c>
      <c r="J788" s="3">
        <f>parking_demand_data_2024_ver0!I788</f>
        <v>3</v>
      </c>
      <c r="K788" s="3">
        <f>parking_demand_data_2024_ver0!J788</f>
        <v>0</v>
      </c>
      <c r="L788" s="3">
        <f>parking_demand_data_2024_ver0!K788</f>
        <v>0</v>
      </c>
      <c r="M788" s="3">
        <f>parking_demand_data_2024_ver0!L788</f>
        <v>0</v>
      </c>
      <c r="N788" s="3">
        <f>parking_demand_data_2024_ver0!M788</f>
        <v>399</v>
      </c>
      <c r="O788" s="3">
        <f>parking_demand_data_2024_ver0!N788</f>
        <v>140</v>
      </c>
      <c r="P788" s="3">
        <f>parking_demand_data_2024_ver0!O788</f>
        <v>139</v>
      </c>
      <c r="Q788" s="3">
        <f>parking_demand_data_2024_ver0!P788</f>
        <v>120</v>
      </c>
      <c r="R788" s="3">
        <f>parking_demand_data_2024_ver0!Q788</f>
        <v>0</v>
      </c>
      <c r="S788" s="3">
        <f>parking_demand_data_2024_ver0!R788</f>
        <v>0</v>
      </c>
      <c r="T788" s="3">
        <f>parking_demand_data_2024_ver0!S788</f>
        <v>0</v>
      </c>
    </row>
    <row r="789" spans="1:20" x14ac:dyDescent="0.25">
      <c r="A789">
        <v>18065</v>
      </c>
      <c r="B789" t="s">
        <v>61</v>
      </c>
      <c r="C789">
        <v>19</v>
      </c>
      <c r="D789" s="3">
        <f>parking_demand_data_2024_ver0!D789*calibration!$I$31</f>
        <v>300.06228272373897</v>
      </c>
      <c r="E789" s="3">
        <f>parking_demand_data_2024_ver0!E789*calibration!$I$31</f>
        <v>2.5002374644248002</v>
      </c>
      <c r="F789" s="3">
        <f t="shared" si="12"/>
        <v>302.56252018816377</v>
      </c>
      <c r="G789" s="3">
        <f>parking_demand_data_2024_ver0!F789</f>
        <v>6</v>
      </c>
      <c r="H789" s="3">
        <f>parking_demand_data_2024_ver0!G789</f>
        <v>1</v>
      </c>
      <c r="I789" s="3">
        <f>parking_demand_data_2024_ver0!H789</f>
        <v>2</v>
      </c>
      <c r="J789" s="3">
        <f>parking_demand_data_2024_ver0!I789</f>
        <v>3</v>
      </c>
      <c r="K789" s="3">
        <f>parking_demand_data_2024_ver0!J789</f>
        <v>0</v>
      </c>
      <c r="L789" s="3">
        <f>parking_demand_data_2024_ver0!K789</f>
        <v>0</v>
      </c>
      <c r="M789" s="3">
        <f>parking_demand_data_2024_ver0!L789</f>
        <v>0</v>
      </c>
      <c r="N789" s="3">
        <f>parking_demand_data_2024_ver0!M789</f>
        <v>399</v>
      </c>
      <c r="O789" s="3">
        <f>parking_demand_data_2024_ver0!N789</f>
        <v>140</v>
      </c>
      <c r="P789" s="3">
        <f>parking_demand_data_2024_ver0!O789</f>
        <v>139</v>
      </c>
      <c r="Q789" s="3">
        <f>parking_demand_data_2024_ver0!P789</f>
        <v>120</v>
      </c>
      <c r="R789" s="3">
        <f>parking_demand_data_2024_ver0!Q789</f>
        <v>0</v>
      </c>
      <c r="S789" s="3">
        <f>parking_demand_data_2024_ver0!R789</f>
        <v>0</v>
      </c>
      <c r="T789" s="3">
        <f>parking_demand_data_2024_ver0!S789</f>
        <v>0</v>
      </c>
    </row>
    <row r="790" spans="1:20" x14ac:dyDescent="0.25">
      <c r="A790">
        <v>18065</v>
      </c>
      <c r="B790" t="s">
        <v>61</v>
      </c>
      <c r="C790">
        <v>20</v>
      </c>
      <c r="D790" s="3">
        <f>parking_demand_data_2024_ver0!D790*calibration!$I$31</f>
        <v>326.686433020587</v>
      </c>
      <c r="E790" s="3">
        <f>parking_demand_data_2024_ver0!E790*calibration!$I$31</f>
        <v>1.8920715946998501</v>
      </c>
      <c r="F790" s="3">
        <f t="shared" si="12"/>
        <v>328.57850461528687</v>
      </c>
      <c r="G790" s="3">
        <f>parking_demand_data_2024_ver0!F790</f>
        <v>6</v>
      </c>
      <c r="H790" s="3">
        <f>parking_demand_data_2024_ver0!G790</f>
        <v>1</v>
      </c>
      <c r="I790" s="3">
        <f>parking_demand_data_2024_ver0!H790</f>
        <v>2</v>
      </c>
      <c r="J790" s="3">
        <f>parking_demand_data_2024_ver0!I790</f>
        <v>3</v>
      </c>
      <c r="K790" s="3">
        <f>parking_demand_data_2024_ver0!J790</f>
        <v>0</v>
      </c>
      <c r="L790" s="3">
        <f>parking_demand_data_2024_ver0!K790</f>
        <v>0</v>
      </c>
      <c r="M790" s="3">
        <f>parking_demand_data_2024_ver0!L790</f>
        <v>0</v>
      </c>
      <c r="N790" s="3">
        <f>parking_demand_data_2024_ver0!M790</f>
        <v>399</v>
      </c>
      <c r="O790" s="3">
        <f>parking_demand_data_2024_ver0!N790</f>
        <v>140</v>
      </c>
      <c r="P790" s="3">
        <f>parking_demand_data_2024_ver0!O790</f>
        <v>139</v>
      </c>
      <c r="Q790" s="3">
        <f>parking_demand_data_2024_ver0!P790</f>
        <v>120</v>
      </c>
      <c r="R790" s="3">
        <f>parking_demand_data_2024_ver0!Q790</f>
        <v>0</v>
      </c>
      <c r="S790" s="3">
        <f>parking_demand_data_2024_ver0!R790</f>
        <v>0</v>
      </c>
      <c r="T790" s="3">
        <f>parking_demand_data_2024_ver0!S790</f>
        <v>0</v>
      </c>
    </row>
    <row r="791" spans="1:20" x14ac:dyDescent="0.25">
      <c r="A791">
        <v>18065</v>
      </c>
      <c r="B791" t="s">
        <v>61</v>
      </c>
      <c r="C791">
        <v>21</v>
      </c>
      <c r="D791" s="3">
        <f>parking_demand_data_2024_ver0!D791*calibration!$I$31</f>
        <v>345.607148967586</v>
      </c>
      <c r="E791" s="3">
        <f>parking_demand_data_2024_ver0!E791*calibration!$I$31</f>
        <v>2.2637285150873199</v>
      </c>
      <c r="F791" s="3">
        <f t="shared" si="12"/>
        <v>347.87087748267334</v>
      </c>
      <c r="G791" s="3">
        <f>parking_demand_data_2024_ver0!F791</f>
        <v>6</v>
      </c>
      <c r="H791" s="3">
        <f>parking_demand_data_2024_ver0!G791</f>
        <v>1</v>
      </c>
      <c r="I791" s="3">
        <f>parking_demand_data_2024_ver0!H791</f>
        <v>2</v>
      </c>
      <c r="J791" s="3">
        <f>parking_demand_data_2024_ver0!I791</f>
        <v>3</v>
      </c>
      <c r="K791" s="3">
        <f>parking_demand_data_2024_ver0!J791</f>
        <v>0</v>
      </c>
      <c r="L791" s="3">
        <f>parking_demand_data_2024_ver0!K791</f>
        <v>0</v>
      </c>
      <c r="M791" s="3">
        <f>parking_demand_data_2024_ver0!L791</f>
        <v>0</v>
      </c>
      <c r="N791" s="3">
        <f>parking_demand_data_2024_ver0!M791</f>
        <v>399</v>
      </c>
      <c r="O791" s="3">
        <f>parking_demand_data_2024_ver0!N791</f>
        <v>140</v>
      </c>
      <c r="P791" s="3">
        <f>parking_demand_data_2024_ver0!O791</f>
        <v>139</v>
      </c>
      <c r="Q791" s="3">
        <f>parking_demand_data_2024_ver0!P791</f>
        <v>120</v>
      </c>
      <c r="R791" s="3">
        <f>parking_demand_data_2024_ver0!Q791</f>
        <v>0</v>
      </c>
      <c r="S791" s="3">
        <f>parking_demand_data_2024_ver0!R791</f>
        <v>0</v>
      </c>
      <c r="T791" s="3">
        <f>parking_demand_data_2024_ver0!S791</f>
        <v>0</v>
      </c>
    </row>
    <row r="792" spans="1:20" x14ac:dyDescent="0.25">
      <c r="A792">
        <v>18065</v>
      </c>
      <c r="B792" t="s">
        <v>61</v>
      </c>
      <c r="C792">
        <v>22</v>
      </c>
      <c r="D792" s="3">
        <f>parking_demand_data_2024_ver0!D792*calibration!$I$31</f>
        <v>368.07549915464602</v>
      </c>
      <c r="E792" s="3">
        <f>parking_demand_data_2024_ver0!E792*calibration!$I$31</f>
        <v>2.8381073920497801</v>
      </c>
      <c r="F792" s="3">
        <f t="shared" si="12"/>
        <v>370.9136065466958</v>
      </c>
      <c r="G792" s="3">
        <f>parking_demand_data_2024_ver0!F792</f>
        <v>6</v>
      </c>
      <c r="H792" s="3">
        <f>parking_demand_data_2024_ver0!G792</f>
        <v>1</v>
      </c>
      <c r="I792" s="3">
        <f>parking_demand_data_2024_ver0!H792</f>
        <v>2</v>
      </c>
      <c r="J792" s="3">
        <f>parking_demand_data_2024_ver0!I792</f>
        <v>3</v>
      </c>
      <c r="K792" s="3">
        <f>parking_demand_data_2024_ver0!J792</f>
        <v>0</v>
      </c>
      <c r="L792" s="3">
        <f>parking_demand_data_2024_ver0!K792</f>
        <v>0</v>
      </c>
      <c r="M792" s="3">
        <f>parking_demand_data_2024_ver0!L792</f>
        <v>0</v>
      </c>
      <c r="N792" s="3">
        <f>parking_demand_data_2024_ver0!M792</f>
        <v>399</v>
      </c>
      <c r="O792" s="3">
        <f>parking_demand_data_2024_ver0!N792</f>
        <v>140</v>
      </c>
      <c r="P792" s="3">
        <f>parking_demand_data_2024_ver0!O792</f>
        <v>139</v>
      </c>
      <c r="Q792" s="3">
        <f>parking_demand_data_2024_ver0!P792</f>
        <v>120</v>
      </c>
      <c r="R792" s="3">
        <f>parking_demand_data_2024_ver0!Q792</f>
        <v>0</v>
      </c>
      <c r="S792" s="3">
        <f>parking_demand_data_2024_ver0!R792</f>
        <v>0</v>
      </c>
      <c r="T792" s="3">
        <f>parking_demand_data_2024_ver0!S792</f>
        <v>0</v>
      </c>
    </row>
    <row r="793" spans="1:20" x14ac:dyDescent="0.25">
      <c r="A793">
        <v>18065</v>
      </c>
      <c r="B793" t="s">
        <v>61</v>
      </c>
      <c r="C793">
        <v>23</v>
      </c>
      <c r="D793" s="3">
        <f>parking_demand_data_2024_ver0!D793*calibration!$I$31</f>
        <v>383.95538575301998</v>
      </c>
      <c r="E793" s="3">
        <f>parking_demand_data_2024_ver0!E793*calibration!$I$31</f>
        <v>3.2097643124372501</v>
      </c>
      <c r="F793" s="3">
        <f t="shared" si="12"/>
        <v>387.16515006545723</v>
      </c>
      <c r="G793" s="3">
        <f>parking_demand_data_2024_ver0!F793</f>
        <v>6</v>
      </c>
      <c r="H793" s="3">
        <f>parking_demand_data_2024_ver0!G793</f>
        <v>1</v>
      </c>
      <c r="I793" s="3">
        <f>parking_demand_data_2024_ver0!H793</f>
        <v>2</v>
      </c>
      <c r="J793" s="3">
        <f>parking_demand_data_2024_ver0!I793</f>
        <v>3</v>
      </c>
      <c r="K793" s="3">
        <f>parking_demand_data_2024_ver0!J793</f>
        <v>0</v>
      </c>
      <c r="L793" s="3">
        <f>parking_demand_data_2024_ver0!K793</f>
        <v>0</v>
      </c>
      <c r="M793" s="3">
        <f>parking_demand_data_2024_ver0!L793</f>
        <v>0</v>
      </c>
      <c r="N793" s="3">
        <f>parking_demand_data_2024_ver0!M793</f>
        <v>399</v>
      </c>
      <c r="O793" s="3">
        <f>parking_demand_data_2024_ver0!N793</f>
        <v>140</v>
      </c>
      <c r="P793" s="3">
        <f>parking_demand_data_2024_ver0!O793</f>
        <v>139</v>
      </c>
      <c r="Q793" s="3">
        <f>parking_demand_data_2024_ver0!P793</f>
        <v>120</v>
      </c>
      <c r="R793" s="3">
        <f>parking_demand_data_2024_ver0!Q793</f>
        <v>0</v>
      </c>
      <c r="S793" s="3">
        <f>parking_demand_data_2024_ver0!R793</f>
        <v>0</v>
      </c>
      <c r="T793" s="3">
        <f>parking_demand_data_2024_ver0!S793</f>
        <v>0</v>
      </c>
    </row>
    <row r="794" spans="1:20" x14ac:dyDescent="0.25">
      <c r="A794">
        <v>18067</v>
      </c>
      <c r="B794" t="s">
        <v>62</v>
      </c>
      <c r="C794">
        <v>0</v>
      </c>
      <c r="D794" s="3">
        <f>parking_demand_data_2024_ver0!D794*calibration!$I$31</f>
        <v>0</v>
      </c>
      <c r="E794" s="3">
        <f>parking_demand_data_2024_ver0!E794*calibration!$I$31</f>
        <v>1.5500849219797901</v>
      </c>
      <c r="F794" s="3">
        <f t="shared" si="12"/>
        <v>1.5500849219797901</v>
      </c>
      <c r="G794" s="3">
        <f>parking_demand_data_2024_ver0!F794</f>
        <v>0</v>
      </c>
      <c r="H794" s="3">
        <f>parking_demand_data_2024_ver0!G794</f>
        <v>0</v>
      </c>
      <c r="I794" s="3">
        <f>parking_demand_data_2024_ver0!H794</f>
        <v>0</v>
      </c>
      <c r="J794" s="3">
        <f>parking_demand_data_2024_ver0!I794</f>
        <v>0</v>
      </c>
      <c r="K794" s="3">
        <f>parking_demand_data_2024_ver0!J794</f>
        <v>0</v>
      </c>
      <c r="L794" s="3">
        <f>parking_demand_data_2024_ver0!K794</f>
        <v>0</v>
      </c>
      <c r="M794" s="3">
        <f>parking_demand_data_2024_ver0!L794</f>
        <v>0</v>
      </c>
      <c r="N794" s="3">
        <f>parking_demand_data_2024_ver0!M794</f>
        <v>0</v>
      </c>
      <c r="O794" s="3">
        <f>parking_demand_data_2024_ver0!N794</f>
        <v>0</v>
      </c>
      <c r="P794" s="3">
        <f>parking_demand_data_2024_ver0!O794</f>
        <v>0</v>
      </c>
      <c r="Q794" s="3">
        <f>parking_demand_data_2024_ver0!P794</f>
        <v>0</v>
      </c>
      <c r="R794" s="3">
        <f>parking_demand_data_2024_ver0!Q794</f>
        <v>0</v>
      </c>
      <c r="S794" s="3">
        <f>parking_demand_data_2024_ver0!R794</f>
        <v>0</v>
      </c>
      <c r="T794" s="3">
        <f>parking_demand_data_2024_ver0!S794</f>
        <v>0</v>
      </c>
    </row>
    <row r="795" spans="1:20" x14ac:dyDescent="0.25">
      <c r="A795">
        <v>18067</v>
      </c>
      <c r="B795" t="s">
        <v>62</v>
      </c>
      <c r="C795">
        <v>1</v>
      </c>
      <c r="D795" s="3">
        <f>parking_demand_data_2024_ver0!D795*calibration!$I$31</f>
        <v>0</v>
      </c>
      <c r="E795" s="3">
        <f>parking_demand_data_2024_ver0!E795*calibration!$I$31</f>
        <v>2.0845969640417898</v>
      </c>
      <c r="F795" s="3">
        <f t="shared" si="12"/>
        <v>2.0845969640417898</v>
      </c>
      <c r="G795" s="3">
        <f>parking_demand_data_2024_ver0!F795</f>
        <v>0</v>
      </c>
      <c r="H795" s="3">
        <f>parking_demand_data_2024_ver0!G795</f>
        <v>0</v>
      </c>
      <c r="I795" s="3">
        <f>parking_demand_data_2024_ver0!H795</f>
        <v>0</v>
      </c>
      <c r="J795" s="3">
        <f>parking_demand_data_2024_ver0!I795</f>
        <v>0</v>
      </c>
      <c r="K795" s="3">
        <f>parking_demand_data_2024_ver0!J795</f>
        <v>0</v>
      </c>
      <c r="L795" s="3">
        <f>parking_demand_data_2024_ver0!K795</f>
        <v>0</v>
      </c>
      <c r="M795" s="3">
        <f>parking_demand_data_2024_ver0!L795</f>
        <v>0</v>
      </c>
      <c r="N795" s="3">
        <f>parking_demand_data_2024_ver0!M795</f>
        <v>0</v>
      </c>
      <c r="O795" s="3">
        <f>parking_demand_data_2024_ver0!N795</f>
        <v>0</v>
      </c>
      <c r="P795" s="3">
        <f>parking_demand_data_2024_ver0!O795</f>
        <v>0</v>
      </c>
      <c r="Q795" s="3">
        <f>parking_demand_data_2024_ver0!P795</f>
        <v>0</v>
      </c>
      <c r="R795" s="3">
        <f>parking_demand_data_2024_ver0!Q795</f>
        <v>0</v>
      </c>
      <c r="S795" s="3">
        <f>parking_demand_data_2024_ver0!R795</f>
        <v>0</v>
      </c>
      <c r="T795" s="3">
        <f>parking_demand_data_2024_ver0!S795</f>
        <v>0</v>
      </c>
    </row>
    <row r="796" spans="1:20" x14ac:dyDescent="0.25">
      <c r="A796">
        <v>18067</v>
      </c>
      <c r="B796" t="s">
        <v>62</v>
      </c>
      <c r="C796">
        <v>2</v>
      </c>
      <c r="D796" s="3">
        <f>parking_demand_data_2024_ver0!D796*calibration!$I$31</f>
        <v>0</v>
      </c>
      <c r="E796" s="3">
        <f>parking_demand_data_2024_ver0!E796*calibration!$I$31</f>
        <v>2.1380481682479902</v>
      </c>
      <c r="F796" s="3">
        <f t="shared" si="12"/>
        <v>2.1380481682479902</v>
      </c>
      <c r="G796" s="3">
        <f>parking_demand_data_2024_ver0!F796</f>
        <v>0</v>
      </c>
      <c r="H796" s="3">
        <f>parking_demand_data_2024_ver0!G796</f>
        <v>0</v>
      </c>
      <c r="I796" s="3">
        <f>parking_demand_data_2024_ver0!H796</f>
        <v>0</v>
      </c>
      <c r="J796" s="3">
        <f>parking_demand_data_2024_ver0!I796</f>
        <v>0</v>
      </c>
      <c r="K796" s="3">
        <f>parking_demand_data_2024_ver0!J796</f>
        <v>0</v>
      </c>
      <c r="L796" s="3">
        <f>parking_demand_data_2024_ver0!K796</f>
        <v>0</v>
      </c>
      <c r="M796" s="3">
        <f>parking_demand_data_2024_ver0!L796</f>
        <v>0</v>
      </c>
      <c r="N796" s="3">
        <f>parking_demand_data_2024_ver0!M796</f>
        <v>0</v>
      </c>
      <c r="O796" s="3">
        <f>parking_demand_data_2024_ver0!N796</f>
        <v>0</v>
      </c>
      <c r="P796" s="3">
        <f>parking_demand_data_2024_ver0!O796</f>
        <v>0</v>
      </c>
      <c r="Q796" s="3">
        <f>parking_demand_data_2024_ver0!P796</f>
        <v>0</v>
      </c>
      <c r="R796" s="3">
        <f>parking_demand_data_2024_ver0!Q796</f>
        <v>0</v>
      </c>
      <c r="S796" s="3">
        <f>parking_demand_data_2024_ver0!R796</f>
        <v>0</v>
      </c>
      <c r="T796" s="3">
        <f>parking_demand_data_2024_ver0!S796</f>
        <v>0</v>
      </c>
    </row>
    <row r="797" spans="1:20" x14ac:dyDescent="0.25">
      <c r="A797">
        <v>18067</v>
      </c>
      <c r="B797" t="s">
        <v>62</v>
      </c>
      <c r="C797">
        <v>3</v>
      </c>
      <c r="D797" s="3">
        <f>parking_demand_data_2024_ver0!D797*calibration!$I$31</f>
        <v>0</v>
      </c>
      <c r="E797" s="3">
        <f>parking_demand_data_2024_ver0!E797*calibration!$I$31</f>
        <v>2.4053041892789899</v>
      </c>
      <c r="F797" s="3">
        <f t="shared" si="12"/>
        <v>2.4053041892789899</v>
      </c>
      <c r="G797" s="3">
        <f>parking_demand_data_2024_ver0!F797</f>
        <v>0</v>
      </c>
      <c r="H797" s="3">
        <f>parking_demand_data_2024_ver0!G797</f>
        <v>0</v>
      </c>
      <c r="I797" s="3">
        <f>parking_demand_data_2024_ver0!H797</f>
        <v>0</v>
      </c>
      <c r="J797" s="3">
        <f>parking_demand_data_2024_ver0!I797</f>
        <v>0</v>
      </c>
      <c r="K797" s="3">
        <f>parking_demand_data_2024_ver0!J797</f>
        <v>0</v>
      </c>
      <c r="L797" s="3">
        <f>parking_demand_data_2024_ver0!K797</f>
        <v>0</v>
      </c>
      <c r="M797" s="3">
        <f>parking_demand_data_2024_ver0!L797</f>
        <v>0</v>
      </c>
      <c r="N797" s="3">
        <f>parking_demand_data_2024_ver0!M797</f>
        <v>0</v>
      </c>
      <c r="O797" s="3">
        <f>parking_demand_data_2024_ver0!N797</f>
        <v>0</v>
      </c>
      <c r="P797" s="3">
        <f>parking_demand_data_2024_ver0!O797</f>
        <v>0</v>
      </c>
      <c r="Q797" s="3">
        <f>parking_demand_data_2024_ver0!P797</f>
        <v>0</v>
      </c>
      <c r="R797" s="3">
        <f>parking_demand_data_2024_ver0!Q797</f>
        <v>0</v>
      </c>
      <c r="S797" s="3">
        <f>parking_demand_data_2024_ver0!R797</f>
        <v>0</v>
      </c>
      <c r="T797" s="3">
        <f>parking_demand_data_2024_ver0!S797</f>
        <v>0</v>
      </c>
    </row>
    <row r="798" spans="1:20" x14ac:dyDescent="0.25">
      <c r="A798">
        <v>18067</v>
      </c>
      <c r="B798" t="s">
        <v>62</v>
      </c>
      <c r="C798">
        <v>4</v>
      </c>
      <c r="D798" s="3">
        <f>parking_demand_data_2024_ver0!D798*calibration!$I$31</f>
        <v>0</v>
      </c>
      <c r="E798" s="3">
        <f>parking_demand_data_2024_ver0!E798*calibration!$I$31</f>
        <v>4.0088403154649903</v>
      </c>
      <c r="F798" s="3">
        <f t="shared" si="12"/>
        <v>4.0088403154649903</v>
      </c>
      <c r="G798" s="3">
        <f>parking_demand_data_2024_ver0!F798</f>
        <v>0</v>
      </c>
      <c r="H798" s="3">
        <f>parking_demand_data_2024_ver0!G798</f>
        <v>0</v>
      </c>
      <c r="I798" s="3">
        <f>parking_demand_data_2024_ver0!H798</f>
        <v>0</v>
      </c>
      <c r="J798" s="3">
        <f>parking_demand_data_2024_ver0!I798</f>
        <v>0</v>
      </c>
      <c r="K798" s="3">
        <f>parking_demand_data_2024_ver0!J798</f>
        <v>0</v>
      </c>
      <c r="L798" s="3">
        <f>parking_demand_data_2024_ver0!K798</f>
        <v>0</v>
      </c>
      <c r="M798" s="3">
        <f>parking_demand_data_2024_ver0!L798</f>
        <v>0</v>
      </c>
      <c r="N798" s="3">
        <f>parking_demand_data_2024_ver0!M798</f>
        <v>0</v>
      </c>
      <c r="O798" s="3">
        <f>parking_demand_data_2024_ver0!N798</f>
        <v>0</v>
      </c>
      <c r="P798" s="3">
        <f>parking_demand_data_2024_ver0!O798</f>
        <v>0</v>
      </c>
      <c r="Q798" s="3">
        <f>parking_demand_data_2024_ver0!P798</f>
        <v>0</v>
      </c>
      <c r="R798" s="3">
        <f>parking_demand_data_2024_ver0!Q798</f>
        <v>0</v>
      </c>
      <c r="S798" s="3">
        <f>parking_demand_data_2024_ver0!R798</f>
        <v>0</v>
      </c>
      <c r="T798" s="3">
        <f>parking_demand_data_2024_ver0!S798</f>
        <v>0</v>
      </c>
    </row>
    <row r="799" spans="1:20" x14ac:dyDescent="0.25">
      <c r="A799">
        <v>18067</v>
      </c>
      <c r="B799" t="s">
        <v>62</v>
      </c>
      <c r="C799">
        <v>5</v>
      </c>
      <c r="D799" s="3">
        <f>parking_demand_data_2024_ver0!D799*calibration!$I$31</f>
        <v>0</v>
      </c>
      <c r="E799" s="3">
        <f>parking_demand_data_2024_ver0!E799*calibration!$I$31</f>
        <v>5.7727300542695898</v>
      </c>
      <c r="F799" s="3">
        <f t="shared" si="12"/>
        <v>5.7727300542695898</v>
      </c>
      <c r="G799" s="3">
        <f>parking_demand_data_2024_ver0!F799</f>
        <v>0</v>
      </c>
      <c r="H799" s="3">
        <f>parking_demand_data_2024_ver0!G799</f>
        <v>0</v>
      </c>
      <c r="I799" s="3">
        <f>parking_demand_data_2024_ver0!H799</f>
        <v>0</v>
      </c>
      <c r="J799" s="3">
        <f>parking_demand_data_2024_ver0!I799</f>
        <v>0</v>
      </c>
      <c r="K799" s="3">
        <f>parking_demand_data_2024_ver0!J799</f>
        <v>0</v>
      </c>
      <c r="L799" s="3">
        <f>parking_demand_data_2024_ver0!K799</f>
        <v>0</v>
      </c>
      <c r="M799" s="3">
        <f>parking_demand_data_2024_ver0!L799</f>
        <v>0</v>
      </c>
      <c r="N799" s="3">
        <f>parking_demand_data_2024_ver0!M799</f>
        <v>0</v>
      </c>
      <c r="O799" s="3">
        <f>parking_demand_data_2024_ver0!N799</f>
        <v>0</v>
      </c>
      <c r="P799" s="3">
        <f>parking_demand_data_2024_ver0!O799</f>
        <v>0</v>
      </c>
      <c r="Q799" s="3">
        <f>parking_demand_data_2024_ver0!P799</f>
        <v>0</v>
      </c>
      <c r="R799" s="3">
        <f>parking_demand_data_2024_ver0!Q799</f>
        <v>0</v>
      </c>
      <c r="S799" s="3">
        <f>parking_demand_data_2024_ver0!R799</f>
        <v>0</v>
      </c>
      <c r="T799" s="3">
        <f>parking_demand_data_2024_ver0!S799</f>
        <v>0</v>
      </c>
    </row>
    <row r="800" spans="1:20" x14ac:dyDescent="0.25">
      <c r="A800">
        <v>18067</v>
      </c>
      <c r="B800" t="s">
        <v>62</v>
      </c>
      <c r="C800">
        <v>6</v>
      </c>
      <c r="D800" s="3">
        <f>parking_demand_data_2024_ver0!D800*calibration!$I$31</f>
        <v>0</v>
      </c>
      <c r="E800" s="3">
        <f>parking_demand_data_2024_ver0!E800*calibration!$I$31</f>
        <v>9.3005095318787792</v>
      </c>
      <c r="F800" s="3">
        <f t="shared" si="12"/>
        <v>9.3005095318787792</v>
      </c>
      <c r="G800" s="3">
        <f>parking_demand_data_2024_ver0!F800</f>
        <v>0</v>
      </c>
      <c r="H800" s="3">
        <f>parking_demand_data_2024_ver0!G800</f>
        <v>0</v>
      </c>
      <c r="I800" s="3">
        <f>parking_demand_data_2024_ver0!H800</f>
        <v>0</v>
      </c>
      <c r="J800" s="3">
        <f>parking_demand_data_2024_ver0!I800</f>
        <v>0</v>
      </c>
      <c r="K800" s="3">
        <f>parking_demand_data_2024_ver0!J800</f>
        <v>0</v>
      </c>
      <c r="L800" s="3">
        <f>parking_demand_data_2024_ver0!K800</f>
        <v>0</v>
      </c>
      <c r="M800" s="3">
        <f>parking_demand_data_2024_ver0!L800</f>
        <v>0</v>
      </c>
      <c r="N800" s="3">
        <f>parking_demand_data_2024_ver0!M800</f>
        <v>0</v>
      </c>
      <c r="O800" s="3">
        <f>parking_demand_data_2024_ver0!N800</f>
        <v>0</v>
      </c>
      <c r="P800" s="3">
        <f>parking_demand_data_2024_ver0!O800</f>
        <v>0</v>
      </c>
      <c r="Q800" s="3">
        <f>parking_demand_data_2024_ver0!P800</f>
        <v>0</v>
      </c>
      <c r="R800" s="3">
        <f>parking_demand_data_2024_ver0!Q800</f>
        <v>0</v>
      </c>
      <c r="S800" s="3">
        <f>parking_demand_data_2024_ver0!R800</f>
        <v>0</v>
      </c>
      <c r="T800" s="3">
        <f>parking_demand_data_2024_ver0!S800</f>
        <v>0</v>
      </c>
    </row>
    <row r="801" spans="1:20" x14ac:dyDescent="0.25">
      <c r="A801">
        <v>18067</v>
      </c>
      <c r="B801" t="s">
        <v>62</v>
      </c>
      <c r="C801">
        <v>7</v>
      </c>
      <c r="D801" s="3">
        <f>parking_demand_data_2024_ver0!D801*calibration!$I$31</f>
        <v>0</v>
      </c>
      <c r="E801" s="3">
        <f>parking_demand_data_2024_ver0!E801*calibration!$I$31</f>
        <v>12.400679375838299</v>
      </c>
      <c r="F801" s="3">
        <f t="shared" si="12"/>
        <v>12.400679375838299</v>
      </c>
      <c r="G801" s="3">
        <f>parking_demand_data_2024_ver0!F801</f>
        <v>0</v>
      </c>
      <c r="H801" s="3">
        <f>parking_demand_data_2024_ver0!G801</f>
        <v>0</v>
      </c>
      <c r="I801" s="3">
        <f>parking_demand_data_2024_ver0!H801</f>
        <v>0</v>
      </c>
      <c r="J801" s="3">
        <f>parking_demand_data_2024_ver0!I801</f>
        <v>0</v>
      </c>
      <c r="K801" s="3">
        <f>parking_demand_data_2024_ver0!J801</f>
        <v>0</v>
      </c>
      <c r="L801" s="3">
        <f>parking_demand_data_2024_ver0!K801</f>
        <v>0</v>
      </c>
      <c r="M801" s="3">
        <f>parking_demand_data_2024_ver0!L801</f>
        <v>0</v>
      </c>
      <c r="N801" s="3">
        <f>parking_demand_data_2024_ver0!M801</f>
        <v>0</v>
      </c>
      <c r="O801" s="3">
        <f>parking_demand_data_2024_ver0!N801</f>
        <v>0</v>
      </c>
      <c r="P801" s="3">
        <f>parking_demand_data_2024_ver0!O801</f>
        <v>0</v>
      </c>
      <c r="Q801" s="3">
        <f>parking_demand_data_2024_ver0!P801</f>
        <v>0</v>
      </c>
      <c r="R801" s="3">
        <f>parking_demand_data_2024_ver0!Q801</f>
        <v>0</v>
      </c>
      <c r="S801" s="3">
        <f>parking_demand_data_2024_ver0!R801</f>
        <v>0</v>
      </c>
      <c r="T801" s="3">
        <f>parking_demand_data_2024_ver0!S801</f>
        <v>0</v>
      </c>
    </row>
    <row r="802" spans="1:20" x14ac:dyDescent="0.25">
      <c r="A802">
        <v>18067</v>
      </c>
      <c r="B802" t="s">
        <v>62</v>
      </c>
      <c r="C802">
        <v>8</v>
      </c>
      <c r="D802" s="3">
        <f>parking_demand_data_2024_ver0!D802*calibration!$I$31</f>
        <v>0</v>
      </c>
      <c r="E802" s="3">
        <f>parking_demand_data_2024_ver0!E802*calibration!$I$31</f>
        <v>8.7659974898167796</v>
      </c>
      <c r="F802" s="3">
        <f t="shared" si="12"/>
        <v>8.7659974898167796</v>
      </c>
      <c r="G802" s="3">
        <f>parking_demand_data_2024_ver0!F802</f>
        <v>0</v>
      </c>
      <c r="H802" s="3">
        <f>parking_demand_data_2024_ver0!G802</f>
        <v>0</v>
      </c>
      <c r="I802" s="3">
        <f>parking_demand_data_2024_ver0!H802</f>
        <v>0</v>
      </c>
      <c r="J802" s="3">
        <f>parking_demand_data_2024_ver0!I802</f>
        <v>0</v>
      </c>
      <c r="K802" s="3">
        <f>parking_demand_data_2024_ver0!J802</f>
        <v>0</v>
      </c>
      <c r="L802" s="3">
        <f>parking_demand_data_2024_ver0!K802</f>
        <v>0</v>
      </c>
      <c r="M802" s="3">
        <f>parking_demand_data_2024_ver0!L802</f>
        <v>0</v>
      </c>
      <c r="N802" s="3">
        <f>parking_demand_data_2024_ver0!M802</f>
        <v>0</v>
      </c>
      <c r="O802" s="3">
        <f>parking_demand_data_2024_ver0!N802</f>
        <v>0</v>
      </c>
      <c r="P802" s="3">
        <f>parking_demand_data_2024_ver0!O802</f>
        <v>0</v>
      </c>
      <c r="Q802" s="3">
        <f>parking_demand_data_2024_ver0!P802</f>
        <v>0</v>
      </c>
      <c r="R802" s="3">
        <f>parking_demand_data_2024_ver0!Q802</f>
        <v>0</v>
      </c>
      <c r="S802" s="3">
        <f>parking_demand_data_2024_ver0!R802</f>
        <v>0</v>
      </c>
      <c r="T802" s="3">
        <f>parking_demand_data_2024_ver0!S802</f>
        <v>0</v>
      </c>
    </row>
    <row r="803" spans="1:20" x14ac:dyDescent="0.25">
      <c r="A803">
        <v>18067</v>
      </c>
      <c r="B803" t="s">
        <v>62</v>
      </c>
      <c r="C803">
        <v>9</v>
      </c>
      <c r="D803" s="3">
        <f>parking_demand_data_2024_ver0!D803*calibration!$I$31</f>
        <v>0</v>
      </c>
      <c r="E803" s="3">
        <f>parking_demand_data_2024_ver0!E803*calibration!$I$31</f>
        <v>8.7125462856105802</v>
      </c>
      <c r="F803" s="3">
        <f t="shared" si="12"/>
        <v>8.7125462856105802</v>
      </c>
      <c r="G803" s="3">
        <f>parking_demand_data_2024_ver0!F803</f>
        <v>0</v>
      </c>
      <c r="H803" s="3">
        <f>parking_demand_data_2024_ver0!G803</f>
        <v>0</v>
      </c>
      <c r="I803" s="3">
        <f>parking_demand_data_2024_ver0!H803</f>
        <v>0</v>
      </c>
      <c r="J803" s="3">
        <f>parking_demand_data_2024_ver0!I803</f>
        <v>0</v>
      </c>
      <c r="K803" s="3">
        <f>parking_demand_data_2024_ver0!J803</f>
        <v>0</v>
      </c>
      <c r="L803" s="3">
        <f>parking_demand_data_2024_ver0!K803</f>
        <v>0</v>
      </c>
      <c r="M803" s="3">
        <f>parking_demand_data_2024_ver0!L803</f>
        <v>0</v>
      </c>
      <c r="N803" s="3">
        <f>parking_demand_data_2024_ver0!M803</f>
        <v>0</v>
      </c>
      <c r="O803" s="3">
        <f>parking_demand_data_2024_ver0!N803</f>
        <v>0</v>
      </c>
      <c r="P803" s="3">
        <f>parking_demand_data_2024_ver0!O803</f>
        <v>0</v>
      </c>
      <c r="Q803" s="3">
        <f>parking_demand_data_2024_ver0!P803</f>
        <v>0</v>
      </c>
      <c r="R803" s="3">
        <f>parking_demand_data_2024_ver0!Q803</f>
        <v>0</v>
      </c>
      <c r="S803" s="3">
        <f>parking_demand_data_2024_ver0!R803</f>
        <v>0</v>
      </c>
      <c r="T803" s="3">
        <f>parking_demand_data_2024_ver0!S803</f>
        <v>0</v>
      </c>
    </row>
    <row r="804" spans="1:20" x14ac:dyDescent="0.25">
      <c r="A804">
        <v>18067</v>
      </c>
      <c r="B804" t="s">
        <v>62</v>
      </c>
      <c r="C804">
        <v>10</v>
      </c>
      <c r="D804" s="3">
        <f>parking_demand_data_2024_ver0!D804*calibration!$I$31</f>
        <v>0</v>
      </c>
      <c r="E804" s="3">
        <f>parking_demand_data_2024_ver0!E804*calibration!$I$31</f>
        <v>7.3762661804555902</v>
      </c>
      <c r="F804" s="3">
        <f t="shared" si="12"/>
        <v>7.3762661804555902</v>
      </c>
      <c r="G804" s="3">
        <f>parking_demand_data_2024_ver0!F804</f>
        <v>0</v>
      </c>
      <c r="H804" s="3">
        <f>parking_demand_data_2024_ver0!G804</f>
        <v>0</v>
      </c>
      <c r="I804" s="3">
        <f>parking_demand_data_2024_ver0!H804</f>
        <v>0</v>
      </c>
      <c r="J804" s="3">
        <f>parking_demand_data_2024_ver0!I804</f>
        <v>0</v>
      </c>
      <c r="K804" s="3">
        <f>parking_demand_data_2024_ver0!J804</f>
        <v>0</v>
      </c>
      <c r="L804" s="3">
        <f>parking_demand_data_2024_ver0!K804</f>
        <v>0</v>
      </c>
      <c r="M804" s="3">
        <f>parking_demand_data_2024_ver0!L804</f>
        <v>0</v>
      </c>
      <c r="N804" s="3">
        <f>parking_demand_data_2024_ver0!M804</f>
        <v>0</v>
      </c>
      <c r="O804" s="3">
        <f>parking_demand_data_2024_ver0!N804</f>
        <v>0</v>
      </c>
      <c r="P804" s="3">
        <f>parking_demand_data_2024_ver0!O804</f>
        <v>0</v>
      </c>
      <c r="Q804" s="3">
        <f>parking_demand_data_2024_ver0!P804</f>
        <v>0</v>
      </c>
      <c r="R804" s="3">
        <f>parking_demand_data_2024_ver0!Q804</f>
        <v>0</v>
      </c>
      <c r="S804" s="3">
        <f>parking_demand_data_2024_ver0!R804</f>
        <v>0</v>
      </c>
      <c r="T804" s="3">
        <f>parking_demand_data_2024_ver0!S804</f>
        <v>0</v>
      </c>
    </row>
    <row r="805" spans="1:20" x14ac:dyDescent="0.25">
      <c r="A805">
        <v>18067</v>
      </c>
      <c r="B805" t="s">
        <v>62</v>
      </c>
      <c r="C805">
        <v>11</v>
      </c>
      <c r="D805" s="3">
        <f>parking_demand_data_2024_ver0!D805*calibration!$I$31</f>
        <v>0</v>
      </c>
      <c r="E805" s="3">
        <f>parking_demand_data_2024_ver0!E805*calibration!$I$31</f>
        <v>8.07113183513618</v>
      </c>
      <c r="F805" s="3">
        <f t="shared" si="12"/>
        <v>8.07113183513618</v>
      </c>
      <c r="G805" s="3">
        <f>parking_demand_data_2024_ver0!F805</f>
        <v>0</v>
      </c>
      <c r="H805" s="3">
        <f>parking_demand_data_2024_ver0!G805</f>
        <v>0</v>
      </c>
      <c r="I805" s="3">
        <f>parking_demand_data_2024_ver0!H805</f>
        <v>0</v>
      </c>
      <c r="J805" s="3">
        <f>parking_demand_data_2024_ver0!I805</f>
        <v>0</v>
      </c>
      <c r="K805" s="3">
        <f>parking_demand_data_2024_ver0!J805</f>
        <v>0</v>
      </c>
      <c r="L805" s="3">
        <f>parking_demand_data_2024_ver0!K805</f>
        <v>0</v>
      </c>
      <c r="M805" s="3">
        <f>parking_demand_data_2024_ver0!L805</f>
        <v>0</v>
      </c>
      <c r="N805" s="3">
        <f>parking_demand_data_2024_ver0!M805</f>
        <v>0</v>
      </c>
      <c r="O805" s="3">
        <f>parking_demand_data_2024_ver0!N805</f>
        <v>0</v>
      </c>
      <c r="P805" s="3">
        <f>parking_demand_data_2024_ver0!O805</f>
        <v>0</v>
      </c>
      <c r="Q805" s="3">
        <f>parking_demand_data_2024_ver0!P805</f>
        <v>0</v>
      </c>
      <c r="R805" s="3">
        <f>parking_demand_data_2024_ver0!Q805</f>
        <v>0</v>
      </c>
      <c r="S805" s="3">
        <f>parking_demand_data_2024_ver0!R805</f>
        <v>0</v>
      </c>
      <c r="T805" s="3">
        <f>parking_demand_data_2024_ver0!S805</f>
        <v>0</v>
      </c>
    </row>
    <row r="806" spans="1:20" x14ac:dyDescent="0.25">
      <c r="A806">
        <v>18067</v>
      </c>
      <c r="B806" t="s">
        <v>62</v>
      </c>
      <c r="C806">
        <v>12</v>
      </c>
      <c r="D806" s="3">
        <f>parking_demand_data_2024_ver0!D806*calibration!$I$31</f>
        <v>0</v>
      </c>
      <c r="E806" s="3">
        <f>parking_demand_data_2024_ver0!E806*calibration!$I$31</f>
        <v>6.3606933005377897</v>
      </c>
      <c r="F806" s="3">
        <f t="shared" si="12"/>
        <v>6.3606933005377897</v>
      </c>
      <c r="G806" s="3">
        <f>parking_demand_data_2024_ver0!F806</f>
        <v>0</v>
      </c>
      <c r="H806" s="3">
        <f>parking_demand_data_2024_ver0!G806</f>
        <v>0</v>
      </c>
      <c r="I806" s="3">
        <f>parking_demand_data_2024_ver0!H806</f>
        <v>0</v>
      </c>
      <c r="J806" s="3">
        <f>parking_demand_data_2024_ver0!I806</f>
        <v>0</v>
      </c>
      <c r="K806" s="3">
        <f>parking_demand_data_2024_ver0!J806</f>
        <v>0</v>
      </c>
      <c r="L806" s="3">
        <f>parking_demand_data_2024_ver0!K806</f>
        <v>0</v>
      </c>
      <c r="M806" s="3">
        <f>parking_demand_data_2024_ver0!L806</f>
        <v>0</v>
      </c>
      <c r="N806" s="3">
        <f>parking_demand_data_2024_ver0!M806</f>
        <v>0</v>
      </c>
      <c r="O806" s="3">
        <f>parking_demand_data_2024_ver0!N806</f>
        <v>0</v>
      </c>
      <c r="P806" s="3">
        <f>parking_demand_data_2024_ver0!O806</f>
        <v>0</v>
      </c>
      <c r="Q806" s="3">
        <f>parking_demand_data_2024_ver0!P806</f>
        <v>0</v>
      </c>
      <c r="R806" s="3">
        <f>parking_demand_data_2024_ver0!Q806</f>
        <v>0</v>
      </c>
      <c r="S806" s="3">
        <f>parking_demand_data_2024_ver0!R806</f>
        <v>0</v>
      </c>
      <c r="T806" s="3">
        <f>parking_demand_data_2024_ver0!S806</f>
        <v>0</v>
      </c>
    </row>
    <row r="807" spans="1:20" x14ac:dyDescent="0.25">
      <c r="A807">
        <v>18067</v>
      </c>
      <c r="B807" t="s">
        <v>62</v>
      </c>
      <c r="C807">
        <v>13</v>
      </c>
      <c r="D807" s="3">
        <f>parking_demand_data_2024_ver0!D807*calibration!$I$31</f>
        <v>0</v>
      </c>
      <c r="E807" s="3">
        <f>parking_demand_data_2024_ver0!E807*calibration!$I$31</f>
        <v>3.79503549864019</v>
      </c>
      <c r="F807" s="3">
        <f t="shared" si="12"/>
        <v>3.79503549864019</v>
      </c>
      <c r="G807" s="3">
        <f>parking_demand_data_2024_ver0!F807</f>
        <v>0</v>
      </c>
      <c r="H807" s="3">
        <f>parking_demand_data_2024_ver0!G807</f>
        <v>0</v>
      </c>
      <c r="I807" s="3">
        <f>parking_demand_data_2024_ver0!H807</f>
        <v>0</v>
      </c>
      <c r="J807" s="3">
        <f>parking_demand_data_2024_ver0!I807</f>
        <v>0</v>
      </c>
      <c r="K807" s="3">
        <f>parking_demand_data_2024_ver0!J807</f>
        <v>0</v>
      </c>
      <c r="L807" s="3">
        <f>parking_demand_data_2024_ver0!K807</f>
        <v>0</v>
      </c>
      <c r="M807" s="3">
        <f>parking_demand_data_2024_ver0!L807</f>
        <v>0</v>
      </c>
      <c r="N807" s="3">
        <f>parking_demand_data_2024_ver0!M807</f>
        <v>0</v>
      </c>
      <c r="O807" s="3">
        <f>parking_demand_data_2024_ver0!N807</f>
        <v>0</v>
      </c>
      <c r="P807" s="3">
        <f>parking_demand_data_2024_ver0!O807</f>
        <v>0</v>
      </c>
      <c r="Q807" s="3">
        <f>parking_demand_data_2024_ver0!P807</f>
        <v>0</v>
      </c>
      <c r="R807" s="3">
        <f>parking_demand_data_2024_ver0!Q807</f>
        <v>0</v>
      </c>
      <c r="S807" s="3">
        <f>parking_demand_data_2024_ver0!R807</f>
        <v>0</v>
      </c>
      <c r="T807" s="3">
        <f>parking_demand_data_2024_ver0!S807</f>
        <v>0</v>
      </c>
    </row>
    <row r="808" spans="1:20" x14ac:dyDescent="0.25">
      <c r="A808">
        <v>18067</v>
      </c>
      <c r="B808" t="s">
        <v>62</v>
      </c>
      <c r="C808">
        <v>14</v>
      </c>
      <c r="D808" s="3">
        <f>parking_demand_data_2024_ver0!D808*calibration!$I$31</f>
        <v>0</v>
      </c>
      <c r="E808" s="3">
        <f>parking_demand_data_2024_ver0!E808*calibration!$I$31</f>
        <v>2.9398162313409899</v>
      </c>
      <c r="F808" s="3">
        <f t="shared" si="12"/>
        <v>2.9398162313409899</v>
      </c>
      <c r="G808" s="3">
        <f>parking_demand_data_2024_ver0!F808</f>
        <v>0</v>
      </c>
      <c r="H808" s="3">
        <f>parking_demand_data_2024_ver0!G808</f>
        <v>0</v>
      </c>
      <c r="I808" s="3">
        <f>parking_demand_data_2024_ver0!H808</f>
        <v>0</v>
      </c>
      <c r="J808" s="3">
        <f>parking_demand_data_2024_ver0!I808</f>
        <v>0</v>
      </c>
      <c r="K808" s="3">
        <f>parking_demand_data_2024_ver0!J808</f>
        <v>0</v>
      </c>
      <c r="L808" s="3">
        <f>parking_demand_data_2024_ver0!K808</f>
        <v>0</v>
      </c>
      <c r="M808" s="3">
        <f>parking_demand_data_2024_ver0!L808</f>
        <v>0</v>
      </c>
      <c r="N808" s="3">
        <f>parking_demand_data_2024_ver0!M808</f>
        <v>0</v>
      </c>
      <c r="O808" s="3">
        <f>parking_demand_data_2024_ver0!N808</f>
        <v>0</v>
      </c>
      <c r="P808" s="3">
        <f>parking_demand_data_2024_ver0!O808</f>
        <v>0</v>
      </c>
      <c r="Q808" s="3">
        <f>parking_demand_data_2024_ver0!P808</f>
        <v>0</v>
      </c>
      <c r="R808" s="3">
        <f>parking_demand_data_2024_ver0!Q808</f>
        <v>0</v>
      </c>
      <c r="S808" s="3">
        <f>parking_demand_data_2024_ver0!R808</f>
        <v>0</v>
      </c>
      <c r="T808" s="3">
        <f>parking_demand_data_2024_ver0!S808</f>
        <v>0</v>
      </c>
    </row>
    <row r="809" spans="1:20" x14ac:dyDescent="0.25">
      <c r="A809">
        <v>18067</v>
      </c>
      <c r="B809" t="s">
        <v>62</v>
      </c>
      <c r="C809">
        <v>15</v>
      </c>
      <c r="D809" s="3">
        <f>parking_demand_data_2024_ver0!D809*calibration!$I$31</f>
        <v>0</v>
      </c>
      <c r="E809" s="3">
        <f>parking_demand_data_2024_ver0!E809*calibration!$I$31</f>
        <v>1.33628010515499</v>
      </c>
      <c r="F809" s="3">
        <f t="shared" si="12"/>
        <v>1.33628010515499</v>
      </c>
      <c r="G809" s="3">
        <f>parking_demand_data_2024_ver0!F809</f>
        <v>0</v>
      </c>
      <c r="H809" s="3">
        <f>parking_demand_data_2024_ver0!G809</f>
        <v>0</v>
      </c>
      <c r="I809" s="3">
        <f>parking_demand_data_2024_ver0!H809</f>
        <v>0</v>
      </c>
      <c r="J809" s="3">
        <f>parking_demand_data_2024_ver0!I809</f>
        <v>0</v>
      </c>
      <c r="K809" s="3">
        <f>parking_demand_data_2024_ver0!J809</f>
        <v>0</v>
      </c>
      <c r="L809" s="3">
        <f>parking_demand_data_2024_ver0!K809</f>
        <v>0</v>
      </c>
      <c r="M809" s="3">
        <f>parking_demand_data_2024_ver0!L809</f>
        <v>0</v>
      </c>
      <c r="N809" s="3">
        <f>parking_demand_data_2024_ver0!M809</f>
        <v>0</v>
      </c>
      <c r="O809" s="3">
        <f>parking_demand_data_2024_ver0!N809</f>
        <v>0</v>
      </c>
      <c r="P809" s="3">
        <f>parking_demand_data_2024_ver0!O809</f>
        <v>0</v>
      </c>
      <c r="Q809" s="3">
        <f>parking_demand_data_2024_ver0!P809</f>
        <v>0</v>
      </c>
      <c r="R809" s="3">
        <f>parking_demand_data_2024_ver0!Q809</f>
        <v>0</v>
      </c>
      <c r="S809" s="3">
        <f>parking_demand_data_2024_ver0!R809</f>
        <v>0</v>
      </c>
      <c r="T809" s="3">
        <f>parking_demand_data_2024_ver0!S809</f>
        <v>0</v>
      </c>
    </row>
    <row r="810" spans="1:20" x14ac:dyDescent="0.25">
      <c r="A810">
        <v>18067</v>
      </c>
      <c r="B810" t="s">
        <v>62</v>
      </c>
      <c r="C810">
        <v>16</v>
      </c>
      <c r="D810" s="3">
        <f>parking_demand_data_2024_ver0!D810*calibration!$I$31</f>
        <v>0</v>
      </c>
      <c r="E810" s="3">
        <f>parking_demand_data_2024_ver0!E810*calibration!$I$31</f>
        <v>0.748316858886799</v>
      </c>
      <c r="F810" s="3">
        <f t="shared" si="12"/>
        <v>0.748316858886799</v>
      </c>
      <c r="G810" s="3">
        <f>parking_demand_data_2024_ver0!F810</f>
        <v>0</v>
      </c>
      <c r="H810" s="3">
        <f>parking_demand_data_2024_ver0!G810</f>
        <v>0</v>
      </c>
      <c r="I810" s="3">
        <f>parking_demand_data_2024_ver0!H810</f>
        <v>0</v>
      </c>
      <c r="J810" s="3">
        <f>parking_demand_data_2024_ver0!I810</f>
        <v>0</v>
      </c>
      <c r="K810" s="3">
        <f>parking_demand_data_2024_ver0!J810</f>
        <v>0</v>
      </c>
      <c r="L810" s="3">
        <f>parking_demand_data_2024_ver0!K810</f>
        <v>0</v>
      </c>
      <c r="M810" s="3">
        <f>parking_demand_data_2024_ver0!L810</f>
        <v>0</v>
      </c>
      <c r="N810" s="3">
        <f>parking_demand_data_2024_ver0!M810</f>
        <v>0</v>
      </c>
      <c r="O810" s="3">
        <f>parking_demand_data_2024_ver0!N810</f>
        <v>0</v>
      </c>
      <c r="P810" s="3">
        <f>parking_demand_data_2024_ver0!O810</f>
        <v>0</v>
      </c>
      <c r="Q810" s="3">
        <f>parking_demand_data_2024_ver0!P810</f>
        <v>0</v>
      </c>
      <c r="R810" s="3">
        <f>parking_demand_data_2024_ver0!Q810</f>
        <v>0</v>
      </c>
      <c r="S810" s="3">
        <f>parking_demand_data_2024_ver0!R810</f>
        <v>0</v>
      </c>
      <c r="T810" s="3">
        <f>parking_demand_data_2024_ver0!S810</f>
        <v>0</v>
      </c>
    </row>
    <row r="811" spans="1:20" x14ac:dyDescent="0.25">
      <c r="A811">
        <v>18067</v>
      </c>
      <c r="B811" t="s">
        <v>62</v>
      </c>
      <c r="C811">
        <v>17</v>
      </c>
      <c r="D811" s="3">
        <f>parking_demand_data_2024_ver0!D811*calibration!$I$31</f>
        <v>0</v>
      </c>
      <c r="E811" s="3">
        <f>parking_demand_data_2024_ver0!E811*calibration!$I$31</f>
        <v>0.69486565468059902</v>
      </c>
      <c r="F811" s="3">
        <f t="shared" si="12"/>
        <v>0.69486565468059902</v>
      </c>
      <c r="G811" s="3">
        <f>parking_demand_data_2024_ver0!F811</f>
        <v>0</v>
      </c>
      <c r="H811" s="3">
        <f>parking_demand_data_2024_ver0!G811</f>
        <v>0</v>
      </c>
      <c r="I811" s="3">
        <f>parking_demand_data_2024_ver0!H811</f>
        <v>0</v>
      </c>
      <c r="J811" s="3">
        <f>parking_demand_data_2024_ver0!I811</f>
        <v>0</v>
      </c>
      <c r="K811" s="3">
        <f>parking_demand_data_2024_ver0!J811</f>
        <v>0</v>
      </c>
      <c r="L811" s="3">
        <f>parking_demand_data_2024_ver0!K811</f>
        <v>0</v>
      </c>
      <c r="M811" s="3">
        <f>parking_demand_data_2024_ver0!L811</f>
        <v>0</v>
      </c>
      <c r="N811" s="3">
        <f>parking_demand_data_2024_ver0!M811</f>
        <v>0</v>
      </c>
      <c r="O811" s="3">
        <f>parking_demand_data_2024_ver0!N811</f>
        <v>0</v>
      </c>
      <c r="P811" s="3">
        <f>parking_demand_data_2024_ver0!O811</f>
        <v>0</v>
      </c>
      <c r="Q811" s="3">
        <f>parking_demand_data_2024_ver0!P811</f>
        <v>0</v>
      </c>
      <c r="R811" s="3">
        <f>parking_demand_data_2024_ver0!Q811</f>
        <v>0</v>
      </c>
      <c r="S811" s="3">
        <f>parking_demand_data_2024_ver0!R811</f>
        <v>0</v>
      </c>
      <c r="T811" s="3">
        <f>parking_demand_data_2024_ver0!S811</f>
        <v>0</v>
      </c>
    </row>
    <row r="812" spans="1:20" x14ac:dyDescent="0.25">
      <c r="A812">
        <v>18067</v>
      </c>
      <c r="B812" t="s">
        <v>62</v>
      </c>
      <c r="C812">
        <v>18</v>
      </c>
      <c r="D812" s="3">
        <f>parking_demand_data_2024_ver0!D812*calibration!$I$31</f>
        <v>0</v>
      </c>
      <c r="E812" s="3">
        <f>parking_demand_data_2024_ver0!E812*calibration!$I$31</f>
        <v>0.85521926729919795</v>
      </c>
      <c r="F812" s="3">
        <f t="shared" si="12"/>
        <v>0.85521926729919795</v>
      </c>
      <c r="G812" s="3">
        <f>parking_demand_data_2024_ver0!F812</f>
        <v>0</v>
      </c>
      <c r="H812" s="3">
        <f>parking_demand_data_2024_ver0!G812</f>
        <v>0</v>
      </c>
      <c r="I812" s="3">
        <f>parking_demand_data_2024_ver0!H812</f>
        <v>0</v>
      </c>
      <c r="J812" s="3">
        <f>parking_demand_data_2024_ver0!I812</f>
        <v>0</v>
      </c>
      <c r="K812" s="3">
        <f>parking_demand_data_2024_ver0!J812</f>
        <v>0</v>
      </c>
      <c r="L812" s="3">
        <f>parking_demand_data_2024_ver0!K812</f>
        <v>0</v>
      </c>
      <c r="M812" s="3">
        <f>parking_demand_data_2024_ver0!L812</f>
        <v>0</v>
      </c>
      <c r="N812" s="3">
        <f>parking_demand_data_2024_ver0!M812</f>
        <v>0</v>
      </c>
      <c r="O812" s="3">
        <f>parking_demand_data_2024_ver0!N812</f>
        <v>0</v>
      </c>
      <c r="P812" s="3">
        <f>parking_demand_data_2024_ver0!O812</f>
        <v>0</v>
      </c>
      <c r="Q812" s="3">
        <f>parking_demand_data_2024_ver0!P812</f>
        <v>0</v>
      </c>
      <c r="R812" s="3">
        <f>parking_demand_data_2024_ver0!Q812</f>
        <v>0</v>
      </c>
      <c r="S812" s="3">
        <f>parking_demand_data_2024_ver0!R812</f>
        <v>0</v>
      </c>
      <c r="T812" s="3">
        <f>parking_demand_data_2024_ver0!S812</f>
        <v>0</v>
      </c>
    </row>
    <row r="813" spans="1:20" x14ac:dyDescent="0.25">
      <c r="A813">
        <v>18067</v>
      </c>
      <c r="B813" t="s">
        <v>62</v>
      </c>
      <c r="C813">
        <v>19</v>
      </c>
      <c r="D813" s="3">
        <f>parking_demand_data_2024_ver0!D813*calibration!$I$31</f>
        <v>0</v>
      </c>
      <c r="E813" s="3">
        <f>parking_demand_data_2024_ver0!E813*calibration!$I$31</f>
        <v>0.69486565468059902</v>
      </c>
      <c r="F813" s="3">
        <f t="shared" si="12"/>
        <v>0.69486565468059902</v>
      </c>
      <c r="G813" s="3">
        <f>parking_demand_data_2024_ver0!F813</f>
        <v>0</v>
      </c>
      <c r="H813" s="3">
        <f>parking_demand_data_2024_ver0!G813</f>
        <v>0</v>
      </c>
      <c r="I813" s="3">
        <f>parking_demand_data_2024_ver0!H813</f>
        <v>0</v>
      </c>
      <c r="J813" s="3">
        <f>parking_demand_data_2024_ver0!I813</f>
        <v>0</v>
      </c>
      <c r="K813" s="3">
        <f>parking_demand_data_2024_ver0!J813</f>
        <v>0</v>
      </c>
      <c r="L813" s="3">
        <f>parking_demand_data_2024_ver0!K813</f>
        <v>0</v>
      </c>
      <c r="M813" s="3">
        <f>parking_demand_data_2024_ver0!L813</f>
        <v>0</v>
      </c>
      <c r="N813" s="3">
        <f>parking_demand_data_2024_ver0!M813</f>
        <v>0</v>
      </c>
      <c r="O813" s="3">
        <f>parking_demand_data_2024_ver0!N813</f>
        <v>0</v>
      </c>
      <c r="P813" s="3">
        <f>parking_demand_data_2024_ver0!O813</f>
        <v>0</v>
      </c>
      <c r="Q813" s="3">
        <f>parking_demand_data_2024_ver0!P813</f>
        <v>0</v>
      </c>
      <c r="R813" s="3">
        <f>parking_demand_data_2024_ver0!Q813</f>
        <v>0</v>
      </c>
      <c r="S813" s="3">
        <f>parking_demand_data_2024_ver0!R813</f>
        <v>0</v>
      </c>
      <c r="T813" s="3">
        <f>parking_demand_data_2024_ver0!S813</f>
        <v>0</v>
      </c>
    </row>
    <row r="814" spans="1:20" x14ac:dyDescent="0.25">
      <c r="A814">
        <v>18067</v>
      </c>
      <c r="B814" t="s">
        <v>62</v>
      </c>
      <c r="C814">
        <v>20</v>
      </c>
      <c r="D814" s="3">
        <f>parking_demand_data_2024_ver0!D814*calibration!$I$31</f>
        <v>0</v>
      </c>
      <c r="E814" s="3">
        <f>parking_demand_data_2024_ver0!E814*calibration!$I$31</f>
        <v>0.64141445047439904</v>
      </c>
      <c r="F814" s="3">
        <f t="shared" si="12"/>
        <v>0.64141445047439904</v>
      </c>
      <c r="G814" s="3">
        <f>parking_demand_data_2024_ver0!F814</f>
        <v>0</v>
      </c>
      <c r="H814" s="3">
        <f>parking_demand_data_2024_ver0!G814</f>
        <v>0</v>
      </c>
      <c r="I814" s="3">
        <f>parking_demand_data_2024_ver0!H814</f>
        <v>0</v>
      </c>
      <c r="J814" s="3">
        <f>parking_demand_data_2024_ver0!I814</f>
        <v>0</v>
      </c>
      <c r="K814" s="3">
        <f>parking_demand_data_2024_ver0!J814</f>
        <v>0</v>
      </c>
      <c r="L814" s="3">
        <f>parking_demand_data_2024_ver0!K814</f>
        <v>0</v>
      </c>
      <c r="M814" s="3">
        <f>parking_demand_data_2024_ver0!L814</f>
        <v>0</v>
      </c>
      <c r="N814" s="3">
        <f>parking_demand_data_2024_ver0!M814</f>
        <v>0</v>
      </c>
      <c r="O814" s="3">
        <f>parking_demand_data_2024_ver0!N814</f>
        <v>0</v>
      </c>
      <c r="P814" s="3">
        <f>parking_demand_data_2024_ver0!O814</f>
        <v>0</v>
      </c>
      <c r="Q814" s="3">
        <f>parking_demand_data_2024_ver0!P814</f>
        <v>0</v>
      </c>
      <c r="R814" s="3">
        <f>parking_demand_data_2024_ver0!Q814</f>
        <v>0</v>
      </c>
      <c r="S814" s="3">
        <f>parking_demand_data_2024_ver0!R814</f>
        <v>0</v>
      </c>
      <c r="T814" s="3">
        <f>parking_demand_data_2024_ver0!S814</f>
        <v>0</v>
      </c>
    </row>
    <row r="815" spans="1:20" x14ac:dyDescent="0.25">
      <c r="A815">
        <v>18067</v>
      </c>
      <c r="B815" t="s">
        <v>62</v>
      </c>
      <c r="C815">
        <v>21</v>
      </c>
      <c r="D815" s="3">
        <f>parking_demand_data_2024_ver0!D815*calibration!$I$31</f>
        <v>0</v>
      </c>
      <c r="E815" s="3">
        <f>parking_demand_data_2024_ver0!E815*calibration!$I$31</f>
        <v>0.80176806309299797</v>
      </c>
      <c r="F815" s="3">
        <f t="shared" si="12"/>
        <v>0.80176806309299797</v>
      </c>
      <c r="G815" s="3">
        <f>parking_demand_data_2024_ver0!F815</f>
        <v>0</v>
      </c>
      <c r="H815" s="3">
        <f>parking_demand_data_2024_ver0!G815</f>
        <v>0</v>
      </c>
      <c r="I815" s="3">
        <f>parking_demand_data_2024_ver0!H815</f>
        <v>0</v>
      </c>
      <c r="J815" s="3">
        <f>parking_demand_data_2024_ver0!I815</f>
        <v>0</v>
      </c>
      <c r="K815" s="3">
        <f>parking_demand_data_2024_ver0!J815</f>
        <v>0</v>
      </c>
      <c r="L815" s="3">
        <f>parking_demand_data_2024_ver0!K815</f>
        <v>0</v>
      </c>
      <c r="M815" s="3">
        <f>parking_demand_data_2024_ver0!L815</f>
        <v>0</v>
      </c>
      <c r="N815" s="3">
        <f>parking_demand_data_2024_ver0!M815</f>
        <v>0</v>
      </c>
      <c r="O815" s="3">
        <f>parking_demand_data_2024_ver0!N815</f>
        <v>0</v>
      </c>
      <c r="P815" s="3">
        <f>parking_demand_data_2024_ver0!O815</f>
        <v>0</v>
      </c>
      <c r="Q815" s="3">
        <f>parking_demand_data_2024_ver0!P815</f>
        <v>0</v>
      </c>
      <c r="R815" s="3">
        <f>parking_demand_data_2024_ver0!Q815</f>
        <v>0</v>
      </c>
      <c r="S815" s="3">
        <f>parking_demand_data_2024_ver0!R815</f>
        <v>0</v>
      </c>
      <c r="T815" s="3">
        <f>parking_demand_data_2024_ver0!S815</f>
        <v>0</v>
      </c>
    </row>
    <row r="816" spans="1:20" x14ac:dyDescent="0.25">
      <c r="A816">
        <v>18067</v>
      </c>
      <c r="B816" t="s">
        <v>62</v>
      </c>
      <c r="C816">
        <v>22</v>
      </c>
      <c r="D816" s="3">
        <f>parking_demand_data_2024_ver0!D816*calibration!$I$31</f>
        <v>0</v>
      </c>
      <c r="E816" s="3">
        <f>parking_demand_data_2024_ver0!E816*calibration!$I$31</f>
        <v>1.0155728799177901</v>
      </c>
      <c r="F816" s="3">
        <f t="shared" si="12"/>
        <v>1.0155728799177901</v>
      </c>
      <c r="G816" s="3">
        <f>parking_demand_data_2024_ver0!F816</f>
        <v>0</v>
      </c>
      <c r="H816" s="3">
        <f>parking_demand_data_2024_ver0!G816</f>
        <v>0</v>
      </c>
      <c r="I816" s="3">
        <f>parking_demand_data_2024_ver0!H816</f>
        <v>0</v>
      </c>
      <c r="J816" s="3">
        <f>parking_demand_data_2024_ver0!I816</f>
        <v>0</v>
      </c>
      <c r="K816" s="3">
        <f>parking_demand_data_2024_ver0!J816</f>
        <v>0</v>
      </c>
      <c r="L816" s="3">
        <f>parking_demand_data_2024_ver0!K816</f>
        <v>0</v>
      </c>
      <c r="M816" s="3">
        <f>parking_demand_data_2024_ver0!L816</f>
        <v>0</v>
      </c>
      <c r="N816" s="3">
        <f>parking_demand_data_2024_ver0!M816</f>
        <v>0</v>
      </c>
      <c r="O816" s="3">
        <f>parking_demand_data_2024_ver0!N816</f>
        <v>0</v>
      </c>
      <c r="P816" s="3">
        <f>parking_demand_data_2024_ver0!O816</f>
        <v>0</v>
      </c>
      <c r="Q816" s="3">
        <f>parking_demand_data_2024_ver0!P816</f>
        <v>0</v>
      </c>
      <c r="R816" s="3">
        <f>parking_demand_data_2024_ver0!Q816</f>
        <v>0</v>
      </c>
      <c r="S816" s="3">
        <f>parking_demand_data_2024_ver0!R816</f>
        <v>0</v>
      </c>
      <c r="T816" s="3">
        <f>parking_demand_data_2024_ver0!S816</f>
        <v>0</v>
      </c>
    </row>
    <row r="817" spans="1:20" x14ac:dyDescent="0.25">
      <c r="A817">
        <v>18067</v>
      </c>
      <c r="B817" t="s">
        <v>62</v>
      </c>
      <c r="C817">
        <v>23</v>
      </c>
      <c r="D817" s="3">
        <f>parking_demand_data_2024_ver0!D817*calibration!$I$31</f>
        <v>0</v>
      </c>
      <c r="E817" s="3">
        <f>parking_demand_data_2024_ver0!E817*calibration!$I$31</f>
        <v>0.90867047150539804</v>
      </c>
      <c r="F817" s="3">
        <f t="shared" si="12"/>
        <v>0.90867047150539804</v>
      </c>
      <c r="G817" s="3">
        <f>parking_demand_data_2024_ver0!F817</f>
        <v>0</v>
      </c>
      <c r="H817" s="3">
        <f>parking_demand_data_2024_ver0!G817</f>
        <v>0</v>
      </c>
      <c r="I817" s="3">
        <f>parking_demand_data_2024_ver0!H817</f>
        <v>0</v>
      </c>
      <c r="J817" s="3">
        <f>parking_demand_data_2024_ver0!I817</f>
        <v>0</v>
      </c>
      <c r="K817" s="3">
        <f>parking_demand_data_2024_ver0!J817</f>
        <v>0</v>
      </c>
      <c r="L817" s="3">
        <f>parking_demand_data_2024_ver0!K817</f>
        <v>0</v>
      </c>
      <c r="M817" s="3">
        <f>parking_demand_data_2024_ver0!L817</f>
        <v>0</v>
      </c>
      <c r="N817" s="3">
        <f>parking_demand_data_2024_ver0!M817</f>
        <v>0</v>
      </c>
      <c r="O817" s="3">
        <f>parking_demand_data_2024_ver0!N817</f>
        <v>0</v>
      </c>
      <c r="P817" s="3">
        <f>parking_demand_data_2024_ver0!O817</f>
        <v>0</v>
      </c>
      <c r="Q817" s="3">
        <f>parking_demand_data_2024_ver0!P817</f>
        <v>0</v>
      </c>
      <c r="R817" s="3">
        <f>parking_demand_data_2024_ver0!Q817</f>
        <v>0</v>
      </c>
      <c r="S817" s="3">
        <f>parking_demand_data_2024_ver0!R817</f>
        <v>0</v>
      </c>
      <c r="T817" s="3">
        <f>parking_demand_data_2024_ver0!S817</f>
        <v>0</v>
      </c>
    </row>
    <row r="818" spans="1:20" x14ac:dyDescent="0.25">
      <c r="A818">
        <v>18069</v>
      </c>
      <c r="B818" t="s">
        <v>63</v>
      </c>
      <c r="C818">
        <v>0</v>
      </c>
      <c r="D818" s="3">
        <f>parking_demand_data_2024_ver0!D818*calibration!$I$31</f>
        <v>33.208010271671903</v>
      </c>
      <c r="E818" s="3">
        <f>parking_demand_data_2024_ver0!E818*calibration!$I$31</f>
        <v>5.3737768559779102</v>
      </c>
      <c r="F818" s="3">
        <f t="shared" si="12"/>
        <v>38.581787127649811</v>
      </c>
      <c r="G818" s="3">
        <f>parking_demand_data_2024_ver0!F818</f>
        <v>3</v>
      </c>
      <c r="H818" s="3">
        <f>parking_demand_data_2024_ver0!G818</f>
        <v>1</v>
      </c>
      <c r="I818" s="3">
        <f>parking_demand_data_2024_ver0!H818</f>
        <v>0</v>
      </c>
      <c r="J818" s="3">
        <f>parking_demand_data_2024_ver0!I818</f>
        <v>1</v>
      </c>
      <c r="K818" s="3">
        <f>parking_demand_data_2024_ver0!J818</f>
        <v>0</v>
      </c>
      <c r="L818" s="3">
        <f>parking_demand_data_2024_ver0!K818</f>
        <v>0</v>
      </c>
      <c r="M818" s="3">
        <f>parking_demand_data_2024_ver0!L818</f>
        <v>1</v>
      </c>
      <c r="N818" s="3">
        <f>parking_demand_data_2024_ver0!M818</f>
        <v>120</v>
      </c>
      <c r="O818" s="3">
        <f>parking_demand_data_2024_ver0!N818</f>
        <v>100</v>
      </c>
      <c r="P818" s="3">
        <f>parking_demand_data_2024_ver0!O818</f>
        <v>0</v>
      </c>
      <c r="Q818" s="3">
        <f>parking_demand_data_2024_ver0!P818</f>
        <v>10</v>
      </c>
      <c r="R818" s="3">
        <f>parking_demand_data_2024_ver0!Q818</f>
        <v>0</v>
      </c>
      <c r="S818" s="3">
        <f>parking_demand_data_2024_ver0!R818</f>
        <v>0</v>
      </c>
      <c r="T818" s="3">
        <f>parking_demand_data_2024_ver0!S818</f>
        <v>10</v>
      </c>
    </row>
    <row r="819" spans="1:20" x14ac:dyDescent="0.25">
      <c r="A819">
        <v>18069</v>
      </c>
      <c r="B819" t="s">
        <v>63</v>
      </c>
      <c r="C819">
        <v>1</v>
      </c>
      <c r="D819" s="3">
        <f>parking_demand_data_2024_ver0!D819*calibration!$I$31</f>
        <v>33.6263282305205</v>
      </c>
      <c r="E819" s="3">
        <f>parking_demand_data_2024_ver0!E819*calibration!$I$31</f>
        <v>4.92328059260252</v>
      </c>
      <c r="F819" s="3">
        <f t="shared" si="12"/>
        <v>38.549608823123023</v>
      </c>
      <c r="G819" s="3">
        <f>parking_demand_data_2024_ver0!F819</f>
        <v>3</v>
      </c>
      <c r="H819" s="3">
        <f>parking_demand_data_2024_ver0!G819</f>
        <v>1</v>
      </c>
      <c r="I819" s="3">
        <f>parking_demand_data_2024_ver0!H819</f>
        <v>0</v>
      </c>
      <c r="J819" s="3">
        <f>parking_demand_data_2024_ver0!I819</f>
        <v>1</v>
      </c>
      <c r="K819" s="3">
        <f>parking_demand_data_2024_ver0!J819</f>
        <v>0</v>
      </c>
      <c r="L819" s="3">
        <f>parking_demand_data_2024_ver0!K819</f>
        <v>0</v>
      </c>
      <c r="M819" s="3">
        <f>parking_demand_data_2024_ver0!L819</f>
        <v>1</v>
      </c>
      <c r="N819" s="3">
        <f>parking_demand_data_2024_ver0!M819</f>
        <v>120</v>
      </c>
      <c r="O819" s="3">
        <f>parking_demand_data_2024_ver0!N819</f>
        <v>100</v>
      </c>
      <c r="P819" s="3">
        <f>parking_demand_data_2024_ver0!O819</f>
        <v>0</v>
      </c>
      <c r="Q819" s="3">
        <f>parking_demand_data_2024_ver0!P819</f>
        <v>10</v>
      </c>
      <c r="R819" s="3">
        <f>parking_demand_data_2024_ver0!Q819</f>
        <v>0</v>
      </c>
      <c r="S819" s="3">
        <f>parking_demand_data_2024_ver0!R819</f>
        <v>0</v>
      </c>
      <c r="T819" s="3">
        <f>parking_demand_data_2024_ver0!S819</f>
        <v>10</v>
      </c>
    </row>
    <row r="820" spans="1:20" x14ac:dyDescent="0.25">
      <c r="A820">
        <v>18069</v>
      </c>
      <c r="B820" t="s">
        <v>63</v>
      </c>
      <c r="C820">
        <v>2</v>
      </c>
      <c r="D820" s="3">
        <f>parking_demand_data_2024_ver0!D820*calibration!$I$31</f>
        <v>34.430785843690799</v>
      </c>
      <c r="E820" s="3">
        <f>parking_demand_data_2024_ver0!E820*calibration!$I$31</f>
        <v>3.8292182386908502</v>
      </c>
      <c r="F820" s="3">
        <f t="shared" si="12"/>
        <v>38.260004082381649</v>
      </c>
      <c r="G820" s="3">
        <f>parking_demand_data_2024_ver0!F820</f>
        <v>3</v>
      </c>
      <c r="H820" s="3">
        <f>parking_demand_data_2024_ver0!G820</f>
        <v>1</v>
      </c>
      <c r="I820" s="3">
        <f>parking_demand_data_2024_ver0!H820</f>
        <v>0</v>
      </c>
      <c r="J820" s="3">
        <f>parking_demand_data_2024_ver0!I820</f>
        <v>1</v>
      </c>
      <c r="K820" s="3">
        <f>parking_demand_data_2024_ver0!J820</f>
        <v>0</v>
      </c>
      <c r="L820" s="3">
        <f>parking_demand_data_2024_ver0!K820</f>
        <v>0</v>
      </c>
      <c r="M820" s="3">
        <f>parking_demand_data_2024_ver0!L820</f>
        <v>1</v>
      </c>
      <c r="N820" s="3">
        <f>parking_demand_data_2024_ver0!M820</f>
        <v>120</v>
      </c>
      <c r="O820" s="3">
        <f>parking_demand_data_2024_ver0!N820</f>
        <v>100</v>
      </c>
      <c r="P820" s="3">
        <f>parking_demand_data_2024_ver0!O820</f>
        <v>0</v>
      </c>
      <c r="Q820" s="3">
        <f>parking_demand_data_2024_ver0!P820</f>
        <v>10</v>
      </c>
      <c r="R820" s="3">
        <f>parking_demand_data_2024_ver0!Q820</f>
        <v>0</v>
      </c>
      <c r="S820" s="3">
        <f>parking_demand_data_2024_ver0!R820</f>
        <v>0</v>
      </c>
      <c r="T820" s="3">
        <f>parking_demand_data_2024_ver0!S820</f>
        <v>10</v>
      </c>
    </row>
    <row r="821" spans="1:20" x14ac:dyDescent="0.25">
      <c r="A821">
        <v>18069</v>
      </c>
      <c r="B821" t="s">
        <v>63</v>
      </c>
      <c r="C821">
        <v>3</v>
      </c>
      <c r="D821" s="3">
        <f>parking_demand_data_2024_ver0!D821*calibration!$I$31</f>
        <v>34.237716016529902</v>
      </c>
      <c r="E821" s="3">
        <f>parking_demand_data_2024_ver0!E821*calibration!$I$31</f>
        <v>4.2797145020662404</v>
      </c>
      <c r="F821" s="3">
        <f t="shared" si="12"/>
        <v>38.517430518596143</v>
      </c>
      <c r="G821" s="3">
        <f>parking_demand_data_2024_ver0!F821</f>
        <v>3</v>
      </c>
      <c r="H821" s="3">
        <f>parking_demand_data_2024_ver0!G821</f>
        <v>1</v>
      </c>
      <c r="I821" s="3">
        <f>parking_demand_data_2024_ver0!H821</f>
        <v>0</v>
      </c>
      <c r="J821" s="3">
        <f>parking_demand_data_2024_ver0!I821</f>
        <v>1</v>
      </c>
      <c r="K821" s="3">
        <f>parking_demand_data_2024_ver0!J821</f>
        <v>0</v>
      </c>
      <c r="L821" s="3">
        <f>parking_demand_data_2024_ver0!K821</f>
        <v>0</v>
      </c>
      <c r="M821" s="3">
        <f>parking_demand_data_2024_ver0!L821</f>
        <v>1</v>
      </c>
      <c r="N821" s="3">
        <f>parking_demand_data_2024_ver0!M821</f>
        <v>120</v>
      </c>
      <c r="O821" s="3">
        <f>parking_demand_data_2024_ver0!N821</f>
        <v>100</v>
      </c>
      <c r="P821" s="3">
        <f>parking_demand_data_2024_ver0!O821</f>
        <v>0</v>
      </c>
      <c r="Q821" s="3">
        <f>parking_demand_data_2024_ver0!P821</f>
        <v>10</v>
      </c>
      <c r="R821" s="3">
        <f>parking_demand_data_2024_ver0!Q821</f>
        <v>0</v>
      </c>
      <c r="S821" s="3">
        <f>parking_demand_data_2024_ver0!R821</f>
        <v>0</v>
      </c>
      <c r="T821" s="3">
        <f>parking_demand_data_2024_ver0!S821</f>
        <v>10</v>
      </c>
    </row>
    <row r="822" spans="1:20" x14ac:dyDescent="0.25">
      <c r="A822">
        <v>18069</v>
      </c>
      <c r="B822" t="s">
        <v>63</v>
      </c>
      <c r="C822">
        <v>4</v>
      </c>
      <c r="D822" s="3">
        <f>parking_demand_data_2024_ver0!D822*calibration!$I$31</f>
        <v>34.109002798422701</v>
      </c>
      <c r="E822" s="3">
        <f>parking_demand_data_2024_ver0!E822*calibration!$I$31</f>
        <v>4.5049626337539399</v>
      </c>
      <c r="F822" s="3">
        <f t="shared" si="12"/>
        <v>38.613965432176641</v>
      </c>
      <c r="G822" s="3">
        <f>parking_demand_data_2024_ver0!F822</f>
        <v>3</v>
      </c>
      <c r="H822" s="3">
        <f>parking_demand_data_2024_ver0!G822</f>
        <v>1</v>
      </c>
      <c r="I822" s="3">
        <f>parking_demand_data_2024_ver0!H822</f>
        <v>0</v>
      </c>
      <c r="J822" s="3">
        <f>parking_demand_data_2024_ver0!I822</f>
        <v>1</v>
      </c>
      <c r="K822" s="3">
        <f>parking_demand_data_2024_ver0!J822</f>
        <v>0</v>
      </c>
      <c r="L822" s="3">
        <f>parking_demand_data_2024_ver0!K822</f>
        <v>0</v>
      </c>
      <c r="M822" s="3">
        <f>parking_demand_data_2024_ver0!L822</f>
        <v>1</v>
      </c>
      <c r="N822" s="3">
        <f>parking_demand_data_2024_ver0!M822</f>
        <v>120</v>
      </c>
      <c r="O822" s="3">
        <f>parking_demand_data_2024_ver0!N822</f>
        <v>100</v>
      </c>
      <c r="P822" s="3">
        <f>parking_demand_data_2024_ver0!O822</f>
        <v>0</v>
      </c>
      <c r="Q822" s="3">
        <f>parking_demand_data_2024_ver0!P822</f>
        <v>10</v>
      </c>
      <c r="R822" s="3">
        <f>parking_demand_data_2024_ver0!Q822</f>
        <v>0</v>
      </c>
      <c r="S822" s="3">
        <f>parking_demand_data_2024_ver0!R822</f>
        <v>0</v>
      </c>
      <c r="T822" s="3">
        <f>parking_demand_data_2024_ver0!S822</f>
        <v>10</v>
      </c>
    </row>
    <row r="823" spans="1:20" x14ac:dyDescent="0.25">
      <c r="A823">
        <v>18069</v>
      </c>
      <c r="B823" t="s">
        <v>63</v>
      </c>
      <c r="C823">
        <v>5</v>
      </c>
      <c r="D823" s="3">
        <f>parking_demand_data_2024_ver0!D823*calibration!$I$31</f>
        <v>33.111475358091397</v>
      </c>
      <c r="E823" s="3">
        <f>parking_demand_data_2024_ver0!E823*calibration!$I$31</f>
        <v>5.6955599012460496</v>
      </c>
      <c r="F823" s="3">
        <f t="shared" si="12"/>
        <v>38.807035259337447</v>
      </c>
      <c r="G823" s="3">
        <f>parking_demand_data_2024_ver0!F823</f>
        <v>3</v>
      </c>
      <c r="H823" s="3">
        <f>parking_demand_data_2024_ver0!G823</f>
        <v>1</v>
      </c>
      <c r="I823" s="3">
        <f>parking_demand_data_2024_ver0!H823</f>
        <v>0</v>
      </c>
      <c r="J823" s="3">
        <f>parking_demand_data_2024_ver0!I823</f>
        <v>1</v>
      </c>
      <c r="K823" s="3">
        <f>parking_demand_data_2024_ver0!J823</f>
        <v>0</v>
      </c>
      <c r="L823" s="3">
        <f>parking_demand_data_2024_ver0!K823</f>
        <v>0</v>
      </c>
      <c r="M823" s="3">
        <f>parking_demand_data_2024_ver0!L823</f>
        <v>1</v>
      </c>
      <c r="N823" s="3">
        <f>parking_demand_data_2024_ver0!M823</f>
        <v>120</v>
      </c>
      <c r="O823" s="3">
        <f>parking_demand_data_2024_ver0!N823</f>
        <v>100</v>
      </c>
      <c r="P823" s="3">
        <f>parking_demand_data_2024_ver0!O823</f>
        <v>0</v>
      </c>
      <c r="Q823" s="3">
        <f>parking_demand_data_2024_ver0!P823</f>
        <v>10</v>
      </c>
      <c r="R823" s="3">
        <f>parking_demand_data_2024_ver0!Q823</f>
        <v>0</v>
      </c>
      <c r="S823" s="3">
        <f>parking_demand_data_2024_ver0!R823</f>
        <v>0</v>
      </c>
      <c r="T823" s="3">
        <f>parking_demand_data_2024_ver0!S823</f>
        <v>10</v>
      </c>
    </row>
    <row r="824" spans="1:20" x14ac:dyDescent="0.25">
      <c r="A824">
        <v>18069</v>
      </c>
      <c r="B824" t="s">
        <v>63</v>
      </c>
      <c r="C824">
        <v>6</v>
      </c>
      <c r="D824" s="3">
        <f>parking_demand_data_2024_ver0!D824*calibration!$I$31</f>
        <v>31.856521481545698</v>
      </c>
      <c r="E824" s="3">
        <f>parking_demand_data_2024_ver0!E824*calibration!$I$31</f>
        <v>6.5643741234700297</v>
      </c>
      <c r="F824" s="3">
        <f t="shared" si="12"/>
        <v>38.42089560501573</v>
      </c>
      <c r="G824" s="3">
        <f>parking_demand_data_2024_ver0!F824</f>
        <v>3</v>
      </c>
      <c r="H824" s="3">
        <f>parking_demand_data_2024_ver0!G824</f>
        <v>1</v>
      </c>
      <c r="I824" s="3">
        <f>parking_demand_data_2024_ver0!H824</f>
        <v>0</v>
      </c>
      <c r="J824" s="3">
        <f>parking_demand_data_2024_ver0!I824</f>
        <v>1</v>
      </c>
      <c r="K824" s="3">
        <f>parking_demand_data_2024_ver0!J824</f>
        <v>0</v>
      </c>
      <c r="L824" s="3">
        <f>parking_demand_data_2024_ver0!K824</f>
        <v>0</v>
      </c>
      <c r="M824" s="3">
        <f>parking_demand_data_2024_ver0!L824</f>
        <v>1</v>
      </c>
      <c r="N824" s="3">
        <f>parking_demand_data_2024_ver0!M824</f>
        <v>120</v>
      </c>
      <c r="O824" s="3">
        <f>parking_demand_data_2024_ver0!N824</f>
        <v>100</v>
      </c>
      <c r="P824" s="3">
        <f>parking_demand_data_2024_ver0!O824</f>
        <v>0</v>
      </c>
      <c r="Q824" s="3">
        <f>parking_demand_data_2024_ver0!P824</f>
        <v>10</v>
      </c>
      <c r="R824" s="3">
        <f>parking_demand_data_2024_ver0!Q824</f>
        <v>0</v>
      </c>
      <c r="S824" s="3">
        <f>parking_demand_data_2024_ver0!R824</f>
        <v>0</v>
      </c>
      <c r="T824" s="3">
        <f>parking_demand_data_2024_ver0!S824</f>
        <v>10</v>
      </c>
    </row>
    <row r="825" spans="1:20" x14ac:dyDescent="0.25">
      <c r="A825">
        <v>18069</v>
      </c>
      <c r="B825" t="s">
        <v>63</v>
      </c>
      <c r="C825">
        <v>7</v>
      </c>
      <c r="D825" s="3">
        <f>parking_demand_data_2024_ver0!D825*calibration!$I$31</f>
        <v>27.3515588477918</v>
      </c>
      <c r="E825" s="3">
        <f>parking_demand_data_2024_ver0!E825*calibration!$I$31</f>
        <v>5.3094202469242902</v>
      </c>
      <c r="F825" s="3">
        <f t="shared" si="12"/>
        <v>32.66097909471609</v>
      </c>
      <c r="G825" s="3">
        <f>parking_demand_data_2024_ver0!F825</f>
        <v>3</v>
      </c>
      <c r="H825" s="3">
        <f>parking_demand_data_2024_ver0!G825</f>
        <v>1</v>
      </c>
      <c r="I825" s="3">
        <f>parking_demand_data_2024_ver0!H825</f>
        <v>0</v>
      </c>
      <c r="J825" s="3">
        <f>parking_demand_data_2024_ver0!I825</f>
        <v>1</v>
      </c>
      <c r="K825" s="3">
        <f>parking_demand_data_2024_ver0!J825</f>
        <v>0</v>
      </c>
      <c r="L825" s="3">
        <f>parking_demand_data_2024_ver0!K825</f>
        <v>0</v>
      </c>
      <c r="M825" s="3">
        <f>parking_demand_data_2024_ver0!L825</f>
        <v>1</v>
      </c>
      <c r="N825" s="3">
        <f>parking_demand_data_2024_ver0!M825</f>
        <v>120</v>
      </c>
      <c r="O825" s="3">
        <f>parking_demand_data_2024_ver0!N825</f>
        <v>100</v>
      </c>
      <c r="P825" s="3">
        <f>parking_demand_data_2024_ver0!O825</f>
        <v>0</v>
      </c>
      <c r="Q825" s="3">
        <f>parking_demand_data_2024_ver0!P825</f>
        <v>10</v>
      </c>
      <c r="R825" s="3">
        <f>parking_demand_data_2024_ver0!Q825</f>
        <v>0</v>
      </c>
      <c r="S825" s="3">
        <f>parking_demand_data_2024_ver0!R825</f>
        <v>0</v>
      </c>
      <c r="T825" s="3">
        <f>parking_demand_data_2024_ver0!S825</f>
        <v>10</v>
      </c>
    </row>
    <row r="826" spans="1:20" x14ac:dyDescent="0.25">
      <c r="A826">
        <v>18069</v>
      </c>
      <c r="B826" t="s">
        <v>63</v>
      </c>
      <c r="C826">
        <v>8</v>
      </c>
      <c r="D826" s="3">
        <f>parking_demand_data_2024_ver0!D826*calibration!$I$31</f>
        <v>18.663416625551999</v>
      </c>
      <c r="E826" s="3">
        <f>parking_demand_data_2024_ver0!E826*calibration!$I$31</f>
        <v>6.0816995555678197</v>
      </c>
      <c r="F826" s="3">
        <f t="shared" si="12"/>
        <v>24.745116181119819</v>
      </c>
      <c r="G826" s="3">
        <f>parking_demand_data_2024_ver0!F826</f>
        <v>3</v>
      </c>
      <c r="H826" s="3">
        <f>parking_demand_data_2024_ver0!G826</f>
        <v>1</v>
      </c>
      <c r="I826" s="3">
        <f>parking_demand_data_2024_ver0!H826</f>
        <v>0</v>
      </c>
      <c r="J826" s="3">
        <f>parking_demand_data_2024_ver0!I826</f>
        <v>1</v>
      </c>
      <c r="K826" s="3">
        <f>parking_demand_data_2024_ver0!J826</f>
        <v>0</v>
      </c>
      <c r="L826" s="3">
        <f>parking_demand_data_2024_ver0!K826</f>
        <v>0</v>
      </c>
      <c r="M826" s="3">
        <f>parking_demand_data_2024_ver0!L826</f>
        <v>1</v>
      </c>
      <c r="N826" s="3">
        <f>parking_demand_data_2024_ver0!M826</f>
        <v>120</v>
      </c>
      <c r="O826" s="3">
        <f>parking_demand_data_2024_ver0!N826</f>
        <v>100</v>
      </c>
      <c r="P826" s="3">
        <f>parking_demand_data_2024_ver0!O826</f>
        <v>0</v>
      </c>
      <c r="Q826" s="3">
        <f>parking_demand_data_2024_ver0!P826</f>
        <v>10</v>
      </c>
      <c r="R826" s="3">
        <f>parking_demand_data_2024_ver0!Q826</f>
        <v>0</v>
      </c>
      <c r="S826" s="3">
        <f>parking_demand_data_2024_ver0!R826</f>
        <v>0</v>
      </c>
      <c r="T826" s="3">
        <f>parking_demand_data_2024_ver0!S826</f>
        <v>10</v>
      </c>
    </row>
    <row r="827" spans="1:20" x14ac:dyDescent="0.25">
      <c r="A827">
        <v>18069</v>
      </c>
      <c r="B827" t="s">
        <v>63</v>
      </c>
      <c r="C827">
        <v>9</v>
      </c>
      <c r="D827" s="3">
        <f>parking_demand_data_2024_ver0!D827*calibration!$I$31</f>
        <v>16.024795654353301</v>
      </c>
      <c r="E827" s="3">
        <f>parking_demand_data_2024_ver0!E827*calibration!$I$31</f>
        <v>4.7945673744952604</v>
      </c>
      <c r="F827" s="3">
        <f t="shared" si="12"/>
        <v>20.819363028848564</v>
      </c>
      <c r="G827" s="3">
        <f>parking_demand_data_2024_ver0!F827</f>
        <v>3</v>
      </c>
      <c r="H827" s="3">
        <f>parking_demand_data_2024_ver0!G827</f>
        <v>1</v>
      </c>
      <c r="I827" s="3">
        <f>parking_demand_data_2024_ver0!H827</f>
        <v>0</v>
      </c>
      <c r="J827" s="3">
        <f>parking_demand_data_2024_ver0!I827</f>
        <v>1</v>
      </c>
      <c r="K827" s="3">
        <f>parking_demand_data_2024_ver0!J827</f>
        <v>0</v>
      </c>
      <c r="L827" s="3">
        <f>parking_demand_data_2024_ver0!K827</f>
        <v>0</v>
      </c>
      <c r="M827" s="3">
        <f>parking_demand_data_2024_ver0!L827</f>
        <v>1</v>
      </c>
      <c r="N827" s="3">
        <f>parking_demand_data_2024_ver0!M827</f>
        <v>120</v>
      </c>
      <c r="O827" s="3">
        <f>parking_demand_data_2024_ver0!N827</f>
        <v>100</v>
      </c>
      <c r="P827" s="3">
        <f>parking_demand_data_2024_ver0!O827</f>
        <v>0</v>
      </c>
      <c r="Q827" s="3">
        <f>parking_demand_data_2024_ver0!P827</f>
        <v>10</v>
      </c>
      <c r="R827" s="3">
        <f>parking_demand_data_2024_ver0!Q827</f>
        <v>0</v>
      </c>
      <c r="S827" s="3">
        <f>parking_demand_data_2024_ver0!R827</f>
        <v>0</v>
      </c>
      <c r="T827" s="3">
        <f>parking_demand_data_2024_ver0!S827</f>
        <v>10</v>
      </c>
    </row>
    <row r="828" spans="1:20" x14ac:dyDescent="0.25">
      <c r="A828">
        <v>18069</v>
      </c>
      <c r="B828" t="s">
        <v>63</v>
      </c>
      <c r="C828">
        <v>10</v>
      </c>
      <c r="D828" s="3">
        <f>parking_demand_data_2024_ver0!D828*calibration!$I$31</f>
        <v>14.8985549959148</v>
      </c>
      <c r="E828" s="3">
        <f>parking_demand_data_2024_ver0!E828*calibration!$I$31</f>
        <v>4.05446637037854</v>
      </c>
      <c r="F828" s="3">
        <f t="shared" si="12"/>
        <v>18.953021366293342</v>
      </c>
      <c r="G828" s="3">
        <f>parking_demand_data_2024_ver0!F828</f>
        <v>3</v>
      </c>
      <c r="H828" s="3">
        <f>parking_demand_data_2024_ver0!G828</f>
        <v>1</v>
      </c>
      <c r="I828" s="3">
        <f>parking_demand_data_2024_ver0!H828</f>
        <v>0</v>
      </c>
      <c r="J828" s="3">
        <f>parking_demand_data_2024_ver0!I828</f>
        <v>1</v>
      </c>
      <c r="K828" s="3">
        <f>parking_demand_data_2024_ver0!J828</f>
        <v>0</v>
      </c>
      <c r="L828" s="3">
        <f>parking_demand_data_2024_ver0!K828</f>
        <v>0</v>
      </c>
      <c r="M828" s="3">
        <f>parking_demand_data_2024_ver0!L828</f>
        <v>1</v>
      </c>
      <c r="N828" s="3">
        <f>parking_demand_data_2024_ver0!M828</f>
        <v>120</v>
      </c>
      <c r="O828" s="3">
        <f>parking_demand_data_2024_ver0!N828</f>
        <v>100</v>
      </c>
      <c r="P828" s="3">
        <f>parking_demand_data_2024_ver0!O828</f>
        <v>0</v>
      </c>
      <c r="Q828" s="3">
        <f>parking_demand_data_2024_ver0!P828</f>
        <v>10</v>
      </c>
      <c r="R828" s="3">
        <f>parking_demand_data_2024_ver0!Q828</f>
        <v>0</v>
      </c>
      <c r="S828" s="3">
        <f>parking_demand_data_2024_ver0!R828</f>
        <v>0</v>
      </c>
      <c r="T828" s="3">
        <f>parking_demand_data_2024_ver0!S828</f>
        <v>10</v>
      </c>
    </row>
    <row r="829" spans="1:20" x14ac:dyDescent="0.25">
      <c r="A829">
        <v>18069</v>
      </c>
      <c r="B829" t="s">
        <v>63</v>
      </c>
      <c r="C829">
        <v>11</v>
      </c>
      <c r="D829" s="3">
        <f>parking_demand_data_2024_ver0!D829*calibration!$I$31</f>
        <v>13.7079577284227</v>
      </c>
      <c r="E829" s="3">
        <f>parking_demand_data_2024_ver0!E829*calibration!$I$31</f>
        <v>3.5717918024763402</v>
      </c>
      <c r="F829" s="3">
        <f t="shared" si="12"/>
        <v>17.279749530899039</v>
      </c>
      <c r="G829" s="3">
        <f>parking_demand_data_2024_ver0!F829</f>
        <v>3</v>
      </c>
      <c r="H829" s="3">
        <f>parking_demand_data_2024_ver0!G829</f>
        <v>1</v>
      </c>
      <c r="I829" s="3">
        <f>parking_demand_data_2024_ver0!H829</f>
        <v>0</v>
      </c>
      <c r="J829" s="3">
        <f>parking_demand_data_2024_ver0!I829</f>
        <v>1</v>
      </c>
      <c r="K829" s="3">
        <f>parking_demand_data_2024_ver0!J829</f>
        <v>0</v>
      </c>
      <c r="L829" s="3">
        <f>parking_demand_data_2024_ver0!K829</f>
        <v>0</v>
      </c>
      <c r="M829" s="3">
        <f>parking_demand_data_2024_ver0!L829</f>
        <v>1</v>
      </c>
      <c r="N829" s="3">
        <f>parking_demand_data_2024_ver0!M829</f>
        <v>120</v>
      </c>
      <c r="O829" s="3">
        <f>parking_demand_data_2024_ver0!N829</f>
        <v>100</v>
      </c>
      <c r="P829" s="3">
        <f>parking_demand_data_2024_ver0!O829</f>
        <v>0</v>
      </c>
      <c r="Q829" s="3">
        <f>parking_demand_data_2024_ver0!P829</f>
        <v>10</v>
      </c>
      <c r="R829" s="3">
        <f>parking_demand_data_2024_ver0!Q829</f>
        <v>0</v>
      </c>
      <c r="S829" s="3">
        <f>parking_demand_data_2024_ver0!R829</f>
        <v>0</v>
      </c>
      <c r="T829" s="3">
        <f>parking_demand_data_2024_ver0!S829</f>
        <v>10</v>
      </c>
    </row>
    <row r="830" spans="1:20" x14ac:dyDescent="0.25">
      <c r="A830">
        <v>18069</v>
      </c>
      <c r="B830" t="s">
        <v>63</v>
      </c>
      <c r="C830">
        <v>12</v>
      </c>
      <c r="D830" s="3">
        <f>parking_demand_data_2024_ver0!D830*calibration!$I$31</f>
        <v>12.9356784197791</v>
      </c>
      <c r="E830" s="3">
        <f>parking_demand_data_2024_ver0!E830*calibration!$I$31</f>
        <v>2.6386209711987298</v>
      </c>
      <c r="F830" s="3">
        <f t="shared" si="12"/>
        <v>15.57429939097783</v>
      </c>
      <c r="G830" s="3">
        <f>parking_demand_data_2024_ver0!F830</f>
        <v>3</v>
      </c>
      <c r="H830" s="3">
        <f>parking_demand_data_2024_ver0!G830</f>
        <v>1</v>
      </c>
      <c r="I830" s="3">
        <f>parking_demand_data_2024_ver0!H830</f>
        <v>0</v>
      </c>
      <c r="J830" s="3">
        <f>parking_demand_data_2024_ver0!I830</f>
        <v>1</v>
      </c>
      <c r="K830" s="3">
        <f>parking_demand_data_2024_ver0!J830</f>
        <v>0</v>
      </c>
      <c r="L830" s="3">
        <f>parking_demand_data_2024_ver0!K830</f>
        <v>0</v>
      </c>
      <c r="M830" s="3">
        <f>parking_demand_data_2024_ver0!L830</f>
        <v>1</v>
      </c>
      <c r="N830" s="3">
        <f>parking_demand_data_2024_ver0!M830</f>
        <v>120</v>
      </c>
      <c r="O830" s="3">
        <f>parking_demand_data_2024_ver0!N830</f>
        <v>100</v>
      </c>
      <c r="P830" s="3">
        <f>parking_demand_data_2024_ver0!O830</f>
        <v>0</v>
      </c>
      <c r="Q830" s="3">
        <f>parking_demand_data_2024_ver0!P830</f>
        <v>10</v>
      </c>
      <c r="R830" s="3">
        <f>parking_demand_data_2024_ver0!Q830</f>
        <v>0</v>
      </c>
      <c r="S830" s="3">
        <f>parking_demand_data_2024_ver0!R830</f>
        <v>0</v>
      </c>
      <c r="T830" s="3">
        <f>parking_demand_data_2024_ver0!S830</f>
        <v>10</v>
      </c>
    </row>
    <row r="831" spans="1:20" x14ac:dyDescent="0.25">
      <c r="A831">
        <v>18069</v>
      </c>
      <c r="B831" t="s">
        <v>63</v>
      </c>
      <c r="C831">
        <v>13</v>
      </c>
      <c r="D831" s="3">
        <f>parking_demand_data_2024_ver0!D831*calibration!$I$31</f>
        <v>12.3564689382965</v>
      </c>
      <c r="E831" s="3">
        <f>parking_demand_data_2024_ver0!E831*calibration!$I$31</f>
        <v>1.9628765761356399</v>
      </c>
      <c r="F831" s="3">
        <f t="shared" si="12"/>
        <v>14.31934551443214</v>
      </c>
      <c r="G831" s="3">
        <f>parking_demand_data_2024_ver0!F831</f>
        <v>3</v>
      </c>
      <c r="H831" s="3">
        <f>parking_demand_data_2024_ver0!G831</f>
        <v>1</v>
      </c>
      <c r="I831" s="3">
        <f>parking_demand_data_2024_ver0!H831</f>
        <v>0</v>
      </c>
      <c r="J831" s="3">
        <f>parking_demand_data_2024_ver0!I831</f>
        <v>1</v>
      </c>
      <c r="K831" s="3">
        <f>parking_demand_data_2024_ver0!J831</f>
        <v>0</v>
      </c>
      <c r="L831" s="3">
        <f>parking_demand_data_2024_ver0!K831</f>
        <v>0</v>
      </c>
      <c r="M831" s="3">
        <f>parking_demand_data_2024_ver0!L831</f>
        <v>1</v>
      </c>
      <c r="N831" s="3">
        <f>parking_demand_data_2024_ver0!M831</f>
        <v>120</v>
      </c>
      <c r="O831" s="3">
        <f>parking_demand_data_2024_ver0!N831</f>
        <v>100</v>
      </c>
      <c r="P831" s="3">
        <f>parking_demand_data_2024_ver0!O831</f>
        <v>0</v>
      </c>
      <c r="Q831" s="3">
        <f>parking_demand_data_2024_ver0!P831</f>
        <v>10</v>
      </c>
      <c r="R831" s="3">
        <f>parking_demand_data_2024_ver0!Q831</f>
        <v>0</v>
      </c>
      <c r="S831" s="3">
        <f>parking_demand_data_2024_ver0!R831</f>
        <v>0</v>
      </c>
      <c r="T831" s="3">
        <f>parking_demand_data_2024_ver0!S831</f>
        <v>10</v>
      </c>
    </row>
    <row r="832" spans="1:20" x14ac:dyDescent="0.25">
      <c r="A832">
        <v>18069</v>
      </c>
      <c r="B832" t="s">
        <v>63</v>
      </c>
      <c r="C832">
        <v>14</v>
      </c>
      <c r="D832" s="3">
        <f>parking_demand_data_2024_ver0!D832*calibration!$I$31</f>
        <v>12.1312208066088</v>
      </c>
      <c r="E832" s="3">
        <f>parking_demand_data_2024_ver0!E832*calibration!$I$31</f>
        <v>1.51238031276025</v>
      </c>
      <c r="F832" s="3">
        <f t="shared" si="12"/>
        <v>13.64360111936905</v>
      </c>
      <c r="G832" s="3">
        <f>parking_demand_data_2024_ver0!F832</f>
        <v>3</v>
      </c>
      <c r="H832" s="3">
        <f>parking_demand_data_2024_ver0!G832</f>
        <v>1</v>
      </c>
      <c r="I832" s="3">
        <f>parking_demand_data_2024_ver0!H832</f>
        <v>0</v>
      </c>
      <c r="J832" s="3">
        <f>parking_demand_data_2024_ver0!I832</f>
        <v>1</v>
      </c>
      <c r="K832" s="3">
        <f>parking_demand_data_2024_ver0!J832</f>
        <v>0</v>
      </c>
      <c r="L832" s="3">
        <f>parking_demand_data_2024_ver0!K832</f>
        <v>0</v>
      </c>
      <c r="M832" s="3">
        <f>parking_demand_data_2024_ver0!L832</f>
        <v>1</v>
      </c>
      <c r="N832" s="3">
        <f>parking_demand_data_2024_ver0!M832</f>
        <v>120</v>
      </c>
      <c r="O832" s="3">
        <f>parking_demand_data_2024_ver0!N832</f>
        <v>100</v>
      </c>
      <c r="P832" s="3">
        <f>parking_demand_data_2024_ver0!O832</f>
        <v>0</v>
      </c>
      <c r="Q832" s="3">
        <f>parking_demand_data_2024_ver0!P832</f>
        <v>10</v>
      </c>
      <c r="R832" s="3">
        <f>parking_demand_data_2024_ver0!Q832</f>
        <v>0</v>
      </c>
      <c r="S832" s="3">
        <f>parking_demand_data_2024_ver0!R832</f>
        <v>0</v>
      </c>
      <c r="T832" s="3">
        <f>parking_demand_data_2024_ver0!S832</f>
        <v>10</v>
      </c>
    </row>
    <row r="833" spans="1:20" x14ac:dyDescent="0.25">
      <c r="A833">
        <v>18069</v>
      </c>
      <c r="B833" t="s">
        <v>63</v>
      </c>
      <c r="C833">
        <v>15</v>
      </c>
      <c r="D833" s="3">
        <f>parking_demand_data_2024_ver0!D833*calibration!$I$31</f>
        <v>11.8416160658675</v>
      </c>
      <c r="E833" s="3">
        <f>parking_demand_data_2024_ver0!E833*calibration!$I$31</f>
        <v>2.05941148971608</v>
      </c>
      <c r="F833" s="3">
        <f t="shared" si="12"/>
        <v>13.90102755558358</v>
      </c>
      <c r="G833" s="3">
        <f>parking_demand_data_2024_ver0!F833</f>
        <v>3</v>
      </c>
      <c r="H833" s="3">
        <f>parking_demand_data_2024_ver0!G833</f>
        <v>1</v>
      </c>
      <c r="I833" s="3">
        <f>parking_demand_data_2024_ver0!H833</f>
        <v>0</v>
      </c>
      <c r="J833" s="3">
        <f>parking_demand_data_2024_ver0!I833</f>
        <v>1</v>
      </c>
      <c r="K833" s="3">
        <f>parking_demand_data_2024_ver0!J833</f>
        <v>0</v>
      </c>
      <c r="L833" s="3">
        <f>parking_demand_data_2024_ver0!K833</f>
        <v>0</v>
      </c>
      <c r="M833" s="3">
        <f>parking_demand_data_2024_ver0!L833</f>
        <v>1</v>
      </c>
      <c r="N833" s="3">
        <f>parking_demand_data_2024_ver0!M833</f>
        <v>120</v>
      </c>
      <c r="O833" s="3">
        <f>parking_demand_data_2024_ver0!N833</f>
        <v>100</v>
      </c>
      <c r="P833" s="3">
        <f>parking_demand_data_2024_ver0!O833</f>
        <v>0</v>
      </c>
      <c r="Q833" s="3">
        <f>parking_demand_data_2024_ver0!P833</f>
        <v>10</v>
      </c>
      <c r="R833" s="3">
        <f>parking_demand_data_2024_ver0!Q833</f>
        <v>0</v>
      </c>
      <c r="S833" s="3">
        <f>parking_demand_data_2024_ver0!R833</f>
        <v>0</v>
      </c>
      <c r="T833" s="3">
        <f>parking_demand_data_2024_ver0!S833</f>
        <v>10</v>
      </c>
    </row>
    <row r="834" spans="1:20" x14ac:dyDescent="0.25">
      <c r="A834">
        <v>18069</v>
      </c>
      <c r="B834" t="s">
        <v>63</v>
      </c>
      <c r="C834">
        <v>16</v>
      </c>
      <c r="D834" s="3">
        <f>parking_demand_data_2024_ver0!D834*calibration!$I$31</f>
        <v>12.4208255473501</v>
      </c>
      <c r="E834" s="3">
        <f>parking_demand_data_2024_ver0!E834*calibration!$I$31</f>
        <v>3.31436536626182</v>
      </c>
      <c r="F834" s="3">
        <f t="shared" si="12"/>
        <v>15.73519091361192</v>
      </c>
      <c r="G834" s="3">
        <f>parking_demand_data_2024_ver0!F834</f>
        <v>3</v>
      </c>
      <c r="H834" s="3">
        <f>parking_demand_data_2024_ver0!G834</f>
        <v>1</v>
      </c>
      <c r="I834" s="3">
        <f>parking_demand_data_2024_ver0!H834</f>
        <v>0</v>
      </c>
      <c r="J834" s="3">
        <f>parking_demand_data_2024_ver0!I834</f>
        <v>1</v>
      </c>
      <c r="K834" s="3">
        <f>parking_demand_data_2024_ver0!J834</f>
        <v>0</v>
      </c>
      <c r="L834" s="3">
        <f>parking_demand_data_2024_ver0!K834</f>
        <v>0</v>
      </c>
      <c r="M834" s="3">
        <f>parking_demand_data_2024_ver0!L834</f>
        <v>1</v>
      </c>
      <c r="N834" s="3">
        <f>parking_demand_data_2024_ver0!M834</f>
        <v>120</v>
      </c>
      <c r="O834" s="3">
        <f>parking_demand_data_2024_ver0!N834</f>
        <v>100</v>
      </c>
      <c r="P834" s="3">
        <f>parking_demand_data_2024_ver0!O834</f>
        <v>0</v>
      </c>
      <c r="Q834" s="3">
        <f>parking_demand_data_2024_ver0!P834</f>
        <v>10</v>
      </c>
      <c r="R834" s="3">
        <f>parking_demand_data_2024_ver0!Q834</f>
        <v>0</v>
      </c>
      <c r="S834" s="3">
        <f>parking_demand_data_2024_ver0!R834</f>
        <v>0</v>
      </c>
      <c r="T834" s="3">
        <f>parking_demand_data_2024_ver0!S834</f>
        <v>10</v>
      </c>
    </row>
    <row r="835" spans="1:20" x14ac:dyDescent="0.25">
      <c r="A835">
        <v>18069</v>
      </c>
      <c r="B835" t="s">
        <v>63</v>
      </c>
      <c r="C835">
        <v>17</v>
      </c>
      <c r="D835" s="3">
        <f>parking_demand_data_2024_ver0!D835*calibration!$I$31</f>
        <v>16.443113613201799</v>
      </c>
      <c r="E835" s="3">
        <f>parking_demand_data_2024_ver0!E835*calibration!$I$31</f>
        <v>2.76733418930599</v>
      </c>
      <c r="F835" s="3">
        <f t="shared" ref="F835:F898" si="13">SUM(D835:E835)</f>
        <v>19.21044780250779</v>
      </c>
      <c r="G835" s="3">
        <f>parking_demand_data_2024_ver0!F835</f>
        <v>3</v>
      </c>
      <c r="H835" s="3">
        <f>parking_demand_data_2024_ver0!G835</f>
        <v>1</v>
      </c>
      <c r="I835" s="3">
        <f>parking_demand_data_2024_ver0!H835</f>
        <v>0</v>
      </c>
      <c r="J835" s="3">
        <f>parking_demand_data_2024_ver0!I835</f>
        <v>1</v>
      </c>
      <c r="K835" s="3">
        <f>parking_demand_data_2024_ver0!J835</f>
        <v>0</v>
      </c>
      <c r="L835" s="3">
        <f>parking_demand_data_2024_ver0!K835</f>
        <v>0</v>
      </c>
      <c r="M835" s="3">
        <f>parking_demand_data_2024_ver0!L835</f>
        <v>1</v>
      </c>
      <c r="N835" s="3">
        <f>parking_demand_data_2024_ver0!M835</f>
        <v>120</v>
      </c>
      <c r="O835" s="3">
        <f>parking_demand_data_2024_ver0!N835</f>
        <v>100</v>
      </c>
      <c r="P835" s="3">
        <f>parking_demand_data_2024_ver0!O835</f>
        <v>0</v>
      </c>
      <c r="Q835" s="3">
        <f>parking_demand_data_2024_ver0!P835</f>
        <v>10</v>
      </c>
      <c r="R835" s="3">
        <f>parking_demand_data_2024_ver0!Q835</f>
        <v>0</v>
      </c>
      <c r="S835" s="3">
        <f>parking_demand_data_2024_ver0!R835</f>
        <v>0</v>
      </c>
      <c r="T835" s="3">
        <f>parking_demand_data_2024_ver0!S835</f>
        <v>10</v>
      </c>
    </row>
    <row r="836" spans="1:20" x14ac:dyDescent="0.25">
      <c r="A836">
        <v>18069</v>
      </c>
      <c r="B836" t="s">
        <v>63</v>
      </c>
      <c r="C836">
        <v>18</v>
      </c>
      <c r="D836" s="3">
        <f>parking_demand_data_2024_ver0!D836*calibration!$I$31</f>
        <v>18.985199670820101</v>
      </c>
      <c r="E836" s="3">
        <f>parking_demand_data_2024_ver0!E836*calibration!$I$31</f>
        <v>1.8985199670820101</v>
      </c>
      <c r="F836" s="3">
        <f t="shared" si="13"/>
        <v>20.883719637902111</v>
      </c>
      <c r="G836" s="3">
        <f>parking_demand_data_2024_ver0!F836</f>
        <v>3</v>
      </c>
      <c r="H836" s="3">
        <f>parking_demand_data_2024_ver0!G836</f>
        <v>1</v>
      </c>
      <c r="I836" s="3">
        <f>parking_demand_data_2024_ver0!H836</f>
        <v>0</v>
      </c>
      <c r="J836" s="3">
        <f>parking_demand_data_2024_ver0!I836</f>
        <v>1</v>
      </c>
      <c r="K836" s="3">
        <f>parking_demand_data_2024_ver0!J836</f>
        <v>0</v>
      </c>
      <c r="L836" s="3">
        <f>parking_demand_data_2024_ver0!K836</f>
        <v>0</v>
      </c>
      <c r="M836" s="3">
        <f>parking_demand_data_2024_ver0!L836</f>
        <v>1</v>
      </c>
      <c r="N836" s="3">
        <f>parking_demand_data_2024_ver0!M836</f>
        <v>120</v>
      </c>
      <c r="O836" s="3">
        <f>parking_demand_data_2024_ver0!N836</f>
        <v>100</v>
      </c>
      <c r="P836" s="3">
        <f>parking_demand_data_2024_ver0!O836</f>
        <v>0</v>
      </c>
      <c r="Q836" s="3">
        <f>parking_demand_data_2024_ver0!P836</f>
        <v>10</v>
      </c>
      <c r="R836" s="3">
        <f>parking_demand_data_2024_ver0!Q836</f>
        <v>0</v>
      </c>
      <c r="S836" s="3">
        <f>parking_demand_data_2024_ver0!R836</f>
        <v>0</v>
      </c>
      <c r="T836" s="3">
        <f>parking_demand_data_2024_ver0!S836</f>
        <v>10</v>
      </c>
    </row>
    <row r="837" spans="1:20" x14ac:dyDescent="0.25">
      <c r="A837">
        <v>18069</v>
      </c>
      <c r="B837" t="s">
        <v>63</v>
      </c>
      <c r="C837">
        <v>19</v>
      </c>
      <c r="D837" s="3">
        <f>parking_demand_data_2024_ver0!D837*calibration!$I$31</f>
        <v>23.490162304574099</v>
      </c>
      <c r="E837" s="3">
        <f>parking_demand_data_2024_ver0!E837*calibration!$I$31</f>
        <v>1.80198505350157</v>
      </c>
      <c r="F837" s="3">
        <f t="shared" si="13"/>
        <v>25.29214735807567</v>
      </c>
      <c r="G837" s="3">
        <f>parking_demand_data_2024_ver0!F837</f>
        <v>3</v>
      </c>
      <c r="H837" s="3">
        <f>parking_demand_data_2024_ver0!G837</f>
        <v>1</v>
      </c>
      <c r="I837" s="3">
        <f>parking_demand_data_2024_ver0!H837</f>
        <v>0</v>
      </c>
      <c r="J837" s="3">
        <f>parking_demand_data_2024_ver0!I837</f>
        <v>1</v>
      </c>
      <c r="K837" s="3">
        <f>parking_demand_data_2024_ver0!J837</f>
        <v>0</v>
      </c>
      <c r="L837" s="3">
        <f>parking_demand_data_2024_ver0!K837</f>
        <v>0</v>
      </c>
      <c r="M837" s="3">
        <f>parking_demand_data_2024_ver0!L837</f>
        <v>1</v>
      </c>
      <c r="N837" s="3">
        <f>parking_demand_data_2024_ver0!M837</f>
        <v>120</v>
      </c>
      <c r="O837" s="3">
        <f>parking_demand_data_2024_ver0!N837</f>
        <v>100</v>
      </c>
      <c r="P837" s="3">
        <f>parking_demand_data_2024_ver0!O837</f>
        <v>0</v>
      </c>
      <c r="Q837" s="3">
        <f>parking_demand_data_2024_ver0!P837</f>
        <v>10</v>
      </c>
      <c r="R837" s="3">
        <f>parking_demand_data_2024_ver0!Q837</f>
        <v>0</v>
      </c>
      <c r="S837" s="3">
        <f>parking_demand_data_2024_ver0!R837</f>
        <v>0</v>
      </c>
      <c r="T837" s="3">
        <f>parking_demand_data_2024_ver0!S837</f>
        <v>10</v>
      </c>
    </row>
    <row r="838" spans="1:20" x14ac:dyDescent="0.25">
      <c r="A838">
        <v>18069</v>
      </c>
      <c r="B838" t="s">
        <v>63</v>
      </c>
      <c r="C838">
        <v>20</v>
      </c>
      <c r="D838" s="3">
        <f>parking_demand_data_2024_ver0!D838*calibration!$I$31</f>
        <v>26.804527670835899</v>
      </c>
      <c r="E838" s="3">
        <f>parking_demand_data_2024_ver0!E838*calibration!$I$31</f>
        <v>1.6410935308675001</v>
      </c>
      <c r="F838" s="3">
        <f t="shared" si="13"/>
        <v>28.4456212017034</v>
      </c>
      <c r="G838" s="3">
        <f>parking_demand_data_2024_ver0!F838</f>
        <v>3</v>
      </c>
      <c r="H838" s="3">
        <f>parking_demand_data_2024_ver0!G838</f>
        <v>1</v>
      </c>
      <c r="I838" s="3">
        <f>parking_demand_data_2024_ver0!H838</f>
        <v>0</v>
      </c>
      <c r="J838" s="3">
        <f>parking_demand_data_2024_ver0!I838</f>
        <v>1</v>
      </c>
      <c r="K838" s="3">
        <f>parking_demand_data_2024_ver0!J838</f>
        <v>0</v>
      </c>
      <c r="L838" s="3">
        <f>parking_demand_data_2024_ver0!K838</f>
        <v>0</v>
      </c>
      <c r="M838" s="3">
        <f>parking_demand_data_2024_ver0!L838</f>
        <v>1</v>
      </c>
      <c r="N838" s="3">
        <f>parking_demand_data_2024_ver0!M838</f>
        <v>120</v>
      </c>
      <c r="O838" s="3">
        <f>parking_demand_data_2024_ver0!N838</f>
        <v>100</v>
      </c>
      <c r="P838" s="3">
        <f>parking_demand_data_2024_ver0!O838</f>
        <v>0</v>
      </c>
      <c r="Q838" s="3">
        <f>parking_demand_data_2024_ver0!P838</f>
        <v>10</v>
      </c>
      <c r="R838" s="3">
        <f>parking_demand_data_2024_ver0!Q838</f>
        <v>0</v>
      </c>
      <c r="S838" s="3">
        <f>parking_demand_data_2024_ver0!R838</f>
        <v>0</v>
      </c>
      <c r="T838" s="3">
        <f>parking_demand_data_2024_ver0!S838</f>
        <v>10</v>
      </c>
    </row>
    <row r="839" spans="1:20" x14ac:dyDescent="0.25">
      <c r="A839">
        <v>18069</v>
      </c>
      <c r="B839" t="s">
        <v>63</v>
      </c>
      <c r="C839">
        <v>21</v>
      </c>
      <c r="D839" s="3">
        <f>parking_demand_data_2024_ver0!D839*calibration!$I$31</f>
        <v>29.571861860141901</v>
      </c>
      <c r="E839" s="3">
        <f>parking_demand_data_2024_ver0!E839*calibration!$I$31</f>
        <v>1.80198505350157</v>
      </c>
      <c r="F839" s="3">
        <f t="shared" si="13"/>
        <v>31.373846913643472</v>
      </c>
      <c r="G839" s="3">
        <f>parking_demand_data_2024_ver0!F839</f>
        <v>3</v>
      </c>
      <c r="H839" s="3">
        <f>parking_demand_data_2024_ver0!G839</f>
        <v>1</v>
      </c>
      <c r="I839" s="3">
        <f>parking_demand_data_2024_ver0!H839</f>
        <v>0</v>
      </c>
      <c r="J839" s="3">
        <f>parking_demand_data_2024_ver0!I839</f>
        <v>1</v>
      </c>
      <c r="K839" s="3">
        <f>parking_demand_data_2024_ver0!J839</f>
        <v>0</v>
      </c>
      <c r="L839" s="3">
        <f>parking_demand_data_2024_ver0!K839</f>
        <v>0</v>
      </c>
      <c r="M839" s="3">
        <f>parking_demand_data_2024_ver0!L839</f>
        <v>1</v>
      </c>
      <c r="N839" s="3">
        <f>parking_demand_data_2024_ver0!M839</f>
        <v>120</v>
      </c>
      <c r="O839" s="3">
        <f>parking_demand_data_2024_ver0!N839</f>
        <v>100</v>
      </c>
      <c r="P839" s="3">
        <f>parking_demand_data_2024_ver0!O839</f>
        <v>0</v>
      </c>
      <c r="Q839" s="3">
        <f>parking_demand_data_2024_ver0!P839</f>
        <v>10</v>
      </c>
      <c r="R839" s="3">
        <f>parking_demand_data_2024_ver0!Q839</f>
        <v>0</v>
      </c>
      <c r="S839" s="3">
        <f>parking_demand_data_2024_ver0!R839</f>
        <v>0</v>
      </c>
      <c r="T839" s="3">
        <f>parking_demand_data_2024_ver0!S839</f>
        <v>10</v>
      </c>
    </row>
    <row r="840" spans="1:20" x14ac:dyDescent="0.25">
      <c r="A840">
        <v>18069</v>
      </c>
      <c r="B840" t="s">
        <v>63</v>
      </c>
      <c r="C840">
        <v>22</v>
      </c>
      <c r="D840" s="3">
        <f>parking_demand_data_2024_ver0!D840*calibration!$I$31</f>
        <v>31.2451336955362</v>
      </c>
      <c r="E840" s="3">
        <f>parking_demand_data_2024_ver0!E840*calibration!$I$31</f>
        <v>2.28465962140378</v>
      </c>
      <c r="F840" s="3">
        <f t="shared" si="13"/>
        <v>33.52979331693998</v>
      </c>
      <c r="G840" s="3">
        <f>parking_demand_data_2024_ver0!F840</f>
        <v>3</v>
      </c>
      <c r="H840" s="3">
        <f>parking_demand_data_2024_ver0!G840</f>
        <v>1</v>
      </c>
      <c r="I840" s="3">
        <f>parking_demand_data_2024_ver0!H840</f>
        <v>0</v>
      </c>
      <c r="J840" s="3">
        <f>parking_demand_data_2024_ver0!I840</f>
        <v>1</v>
      </c>
      <c r="K840" s="3">
        <f>parking_demand_data_2024_ver0!J840</f>
        <v>0</v>
      </c>
      <c r="L840" s="3">
        <f>parking_demand_data_2024_ver0!K840</f>
        <v>0</v>
      </c>
      <c r="M840" s="3">
        <f>parking_demand_data_2024_ver0!L840</f>
        <v>1</v>
      </c>
      <c r="N840" s="3">
        <f>parking_demand_data_2024_ver0!M840</f>
        <v>120</v>
      </c>
      <c r="O840" s="3">
        <f>parking_demand_data_2024_ver0!N840</f>
        <v>100</v>
      </c>
      <c r="P840" s="3">
        <f>parking_demand_data_2024_ver0!O840</f>
        <v>0</v>
      </c>
      <c r="Q840" s="3">
        <f>parking_demand_data_2024_ver0!P840</f>
        <v>10</v>
      </c>
      <c r="R840" s="3">
        <f>parking_demand_data_2024_ver0!Q840</f>
        <v>0</v>
      </c>
      <c r="S840" s="3">
        <f>parking_demand_data_2024_ver0!R840</f>
        <v>0</v>
      </c>
      <c r="T840" s="3">
        <f>parking_demand_data_2024_ver0!S840</f>
        <v>10</v>
      </c>
    </row>
    <row r="841" spans="1:20" x14ac:dyDescent="0.25">
      <c r="A841">
        <v>18069</v>
      </c>
      <c r="B841" t="s">
        <v>63</v>
      </c>
      <c r="C841">
        <v>23</v>
      </c>
      <c r="D841" s="3">
        <f>parking_demand_data_2024_ver0!D841*calibration!$I$31</f>
        <v>31.8886997860725</v>
      </c>
      <c r="E841" s="3">
        <f>parking_demand_data_2024_ver0!E841*calibration!$I$31</f>
        <v>2.54208605761829</v>
      </c>
      <c r="F841" s="3">
        <f t="shared" si="13"/>
        <v>34.430785843690792</v>
      </c>
      <c r="G841" s="3">
        <f>parking_demand_data_2024_ver0!F841</f>
        <v>3</v>
      </c>
      <c r="H841" s="3">
        <f>parking_demand_data_2024_ver0!G841</f>
        <v>1</v>
      </c>
      <c r="I841" s="3">
        <f>parking_demand_data_2024_ver0!H841</f>
        <v>0</v>
      </c>
      <c r="J841" s="3">
        <f>parking_demand_data_2024_ver0!I841</f>
        <v>1</v>
      </c>
      <c r="K841" s="3">
        <f>parking_demand_data_2024_ver0!J841</f>
        <v>0</v>
      </c>
      <c r="L841" s="3">
        <f>parking_demand_data_2024_ver0!K841</f>
        <v>0</v>
      </c>
      <c r="M841" s="3">
        <f>parking_demand_data_2024_ver0!L841</f>
        <v>1</v>
      </c>
      <c r="N841" s="3">
        <f>parking_demand_data_2024_ver0!M841</f>
        <v>120</v>
      </c>
      <c r="O841" s="3">
        <f>parking_demand_data_2024_ver0!N841</f>
        <v>100</v>
      </c>
      <c r="P841" s="3">
        <f>parking_demand_data_2024_ver0!O841</f>
        <v>0</v>
      </c>
      <c r="Q841" s="3">
        <f>parking_demand_data_2024_ver0!P841</f>
        <v>10</v>
      </c>
      <c r="R841" s="3">
        <f>parking_demand_data_2024_ver0!Q841</f>
        <v>0</v>
      </c>
      <c r="S841" s="3">
        <f>parking_demand_data_2024_ver0!R841</f>
        <v>0</v>
      </c>
      <c r="T841" s="3">
        <f>parking_demand_data_2024_ver0!S841</f>
        <v>10</v>
      </c>
    </row>
    <row r="842" spans="1:20" x14ac:dyDescent="0.25">
      <c r="A842">
        <v>18071</v>
      </c>
      <c r="B842" t="s">
        <v>64</v>
      </c>
      <c r="C842">
        <v>0</v>
      </c>
      <c r="D842" s="3">
        <f>parking_demand_data_2024_ver0!D842*calibration!$I$31</f>
        <v>186.097896039603</v>
      </c>
      <c r="E842" s="3">
        <f>parking_demand_data_2024_ver0!E842*calibration!$I$31</f>
        <v>9.5842821782178191</v>
      </c>
      <c r="F842" s="3">
        <f t="shared" si="13"/>
        <v>195.68217821782082</v>
      </c>
      <c r="G842" s="3">
        <f>parking_demand_data_2024_ver0!F842</f>
        <v>2</v>
      </c>
      <c r="H842" s="3">
        <f>parking_demand_data_2024_ver0!G842</f>
        <v>1</v>
      </c>
      <c r="I842" s="3">
        <f>parking_demand_data_2024_ver0!H842</f>
        <v>0</v>
      </c>
      <c r="J842" s="3">
        <f>parking_demand_data_2024_ver0!I842</f>
        <v>0</v>
      </c>
      <c r="K842" s="3">
        <f>parking_demand_data_2024_ver0!J842</f>
        <v>0</v>
      </c>
      <c r="L842" s="3">
        <f>parking_demand_data_2024_ver0!K842</f>
        <v>0</v>
      </c>
      <c r="M842" s="3">
        <f>parking_demand_data_2024_ver0!L842</f>
        <v>1</v>
      </c>
      <c r="N842" s="3">
        <f>parking_demand_data_2024_ver0!M842</f>
        <v>169</v>
      </c>
      <c r="O842" s="3">
        <f>parking_demand_data_2024_ver0!N842</f>
        <v>160</v>
      </c>
      <c r="P842" s="3">
        <f>parking_demand_data_2024_ver0!O842</f>
        <v>0</v>
      </c>
      <c r="Q842" s="3">
        <f>parking_demand_data_2024_ver0!P842</f>
        <v>0</v>
      </c>
      <c r="R842" s="3">
        <f>parking_demand_data_2024_ver0!Q842</f>
        <v>0</v>
      </c>
      <c r="S842" s="3">
        <f>parking_demand_data_2024_ver0!R842</f>
        <v>0</v>
      </c>
      <c r="T842" s="3">
        <f>parking_demand_data_2024_ver0!S842</f>
        <v>9</v>
      </c>
    </row>
    <row r="843" spans="1:20" x14ac:dyDescent="0.25">
      <c r="A843">
        <v>18071</v>
      </c>
      <c r="B843" t="s">
        <v>64</v>
      </c>
      <c r="C843">
        <v>1</v>
      </c>
      <c r="D843" s="3">
        <f>parking_demand_data_2024_ver0!D843*calibration!$I$31</f>
        <v>192.38873762376201</v>
      </c>
      <c r="E843" s="3">
        <f>parking_demand_data_2024_ver0!E843*calibration!$I$31</f>
        <v>11.0274752475247</v>
      </c>
      <c r="F843" s="3">
        <f t="shared" si="13"/>
        <v>203.41621287128672</v>
      </c>
      <c r="G843" s="3">
        <f>parking_demand_data_2024_ver0!F843</f>
        <v>2</v>
      </c>
      <c r="H843" s="3">
        <f>parking_demand_data_2024_ver0!G843</f>
        <v>1</v>
      </c>
      <c r="I843" s="3">
        <f>parking_demand_data_2024_ver0!H843</f>
        <v>0</v>
      </c>
      <c r="J843" s="3">
        <f>parking_demand_data_2024_ver0!I843</f>
        <v>0</v>
      </c>
      <c r="K843" s="3">
        <f>parking_demand_data_2024_ver0!J843</f>
        <v>0</v>
      </c>
      <c r="L843" s="3">
        <f>parking_demand_data_2024_ver0!K843</f>
        <v>0</v>
      </c>
      <c r="M843" s="3">
        <f>parking_demand_data_2024_ver0!L843</f>
        <v>1</v>
      </c>
      <c r="N843" s="3">
        <f>parking_demand_data_2024_ver0!M843</f>
        <v>169</v>
      </c>
      <c r="O843" s="3">
        <f>parking_demand_data_2024_ver0!N843</f>
        <v>160</v>
      </c>
      <c r="P843" s="3">
        <f>parking_demand_data_2024_ver0!O843</f>
        <v>0</v>
      </c>
      <c r="Q843" s="3">
        <f>parking_demand_data_2024_ver0!P843</f>
        <v>0</v>
      </c>
      <c r="R843" s="3">
        <f>parking_demand_data_2024_ver0!Q843</f>
        <v>0</v>
      </c>
      <c r="S843" s="3">
        <f>parking_demand_data_2024_ver0!R843</f>
        <v>0</v>
      </c>
      <c r="T843" s="3">
        <f>parking_demand_data_2024_ver0!S843</f>
        <v>9</v>
      </c>
    </row>
    <row r="844" spans="1:20" x14ac:dyDescent="0.25">
      <c r="A844">
        <v>18071</v>
      </c>
      <c r="B844" t="s">
        <v>64</v>
      </c>
      <c r="C844">
        <v>2</v>
      </c>
      <c r="D844" s="3">
        <f>parking_demand_data_2024_ver0!D844*calibration!$I$31</f>
        <v>194.35</v>
      </c>
      <c r="E844" s="3">
        <f>parking_demand_data_2024_ver0!E844*calibration!$I$31</f>
        <v>11.989603960396</v>
      </c>
      <c r="F844" s="3">
        <f t="shared" si="13"/>
        <v>206.339603960396</v>
      </c>
      <c r="G844" s="3">
        <f>parking_demand_data_2024_ver0!F844</f>
        <v>2</v>
      </c>
      <c r="H844" s="3">
        <f>parking_demand_data_2024_ver0!G844</f>
        <v>1</v>
      </c>
      <c r="I844" s="3">
        <f>parking_demand_data_2024_ver0!H844</f>
        <v>0</v>
      </c>
      <c r="J844" s="3">
        <f>parking_demand_data_2024_ver0!I844</f>
        <v>0</v>
      </c>
      <c r="K844" s="3">
        <f>parking_demand_data_2024_ver0!J844</f>
        <v>0</v>
      </c>
      <c r="L844" s="3">
        <f>parking_demand_data_2024_ver0!K844</f>
        <v>0</v>
      </c>
      <c r="M844" s="3">
        <f>parking_demand_data_2024_ver0!L844</f>
        <v>1</v>
      </c>
      <c r="N844" s="3">
        <f>parking_demand_data_2024_ver0!M844</f>
        <v>169</v>
      </c>
      <c r="O844" s="3">
        <f>parking_demand_data_2024_ver0!N844</f>
        <v>160</v>
      </c>
      <c r="P844" s="3">
        <f>parking_demand_data_2024_ver0!O844</f>
        <v>0</v>
      </c>
      <c r="Q844" s="3">
        <f>parking_demand_data_2024_ver0!P844</f>
        <v>0</v>
      </c>
      <c r="R844" s="3">
        <f>parking_demand_data_2024_ver0!Q844</f>
        <v>0</v>
      </c>
      <c r="S844" s="3">
        <f>parking_demand_data_2024_ver0!R844</f>
        <v>0</v>
      </c>
      <c r="T844" s="3">
        <f>parking_demand_data_2024_ver0!S844</f>
        <v>9</v>
      </c>
    </row>
    <row r="845" spans="1:20" x14ac:dyDescent="0.25">
      <c r="A845">
        <v>18071</v>
      </c>
      <c r="B845" t="s">
        <v>64</v>
      </c>
      <c r="C845">
        <v>3</v>
      </c>
      <c r="D845" s="3">
        <f>parking_demand_data_2024_ver0!D845*calibration!$I$31</f>
        <v>194.12797029702901</v>
      </c>
      <c r="E845" s="3">
        <f>parking_demand_data_2024_ver0!E845*calibration!$I$31</f>
        <v>12.6186881188118</v>
      </c>
      <c r="F845" s="3">
        <f t="shared" si="13"/>
        <v>206.74665841584081</v>
      </c>
      <c r="G845" s="3">
        <f>parking_demand_data_2024_ver0!F845</f>
        <v>2</v>
      </c>
      <c r="H845" s="3">
        <f>parking_demand_data_2024_ver0!G845</f>
        <v>1</v>
      </c>
      <c r="I845" s="3">
        <f>parking_demand_data_2024_ver0!H845</f>
        <v>0</v>
      </c>
      <c r="J845" s="3">
        <f>parking_demand_data_2024_ver0!I845</f>
        <v>0</v>
      </c>
      <c r="K845" s="3">
        <f>parking_demand_data_2024_ver0!J845</f>
        <v>0</v>
      </c>
      <c r="L845" s="3">
        <f>parking_demand_data_2024_ver0!K845</f>
        <v>0</v>
      </c>
      <c r="M845" s="3">
        <f>parking_demand_data_2024_ver0!L845</f>
        <v>1</v>
      </c>
      <c r="N845" s="3">
        <f>parking_demand_data_2024_ver0!M845</f>
        <v>169</v>
      </c>
      <c r="O845" s="3">
        <f>parking_demand_data_2024_ver0!N845</f>
        <v>160</v>
      </c>
      <c r="P845" s="3">
        <f>parking_demand_data_2024_ver0!O845</f>
        <v>0</v>
      </c>
      <c r="Q845" s="3">
        <f>parking_demand_data_2024_ver0!P845</f>
        <v>0</v>
      </c>
      <c r="R845" s="3">
        <f>parking_demand_data_2024_ver0!Q845</f>
        <v>0</v>
      </c>
      <c r="S845" s="3">
        <f>parking_demand_data_2024_ver0!R845</f>
        <v>0</v>
      </c>
      <c r="T845" s="3">
        <f>parking_demand_data_2024_ver0!S845</f>
        <v>9</v>
      </c>
    </row>
    <row r="846" spans="1:20" x14ac:dyDescent="0.25">
      <c r="A846">
        <v>18071</v>
      </c>
      <c r="B846" t="s">
        <v>64</v>
      </c>
      <c r="C846">
        <v>4</v>
      </c>
      <c r="D846" s="3">
        <f>parking_demand_data_2024_ver0!D846*calibration!$I$31</f>
        <v>188.31819306930601</v>
      </c>
      <c r="E846" s="3">
        <f>parking_demand_data_2024_ver0!E846*calibration!$I$31</f>
        <v>12.8407178217821</v>
      </c>
      <c r="F846" s="3">
        <f t="shared" si="13"/>
        <v>201.15891089108811</v>
      </c>
      <c r="G846" s="3">
        <f>parking_demand_data_2024_ver0!F846</f>
        <v>2</v>
      </c>
      <c r="H846" s="3">
        <f>parking_demand_data_2024_ver0!G846</f>
        <v>1</v>
      </c>
      <c r="I846" s="3">
        <f>parking_demand_data_2024_ver0!H846</f>
        <v>0</v>
      </c>
      <c r="J846" s="3">
        <f>parking_demand_data_2024_ver0!I846</f>
        <v>0</v>
      </c>
      <c r="K846" s="3">
        <f>parking_demand_data_2024_ver0!J846</f>
        <v>0</v>
      </c>
      <c r="L846" s="3">
        <f>parking_demand_data_2024_ver0!K846</f>
        <v>0</v>
      </c>
      <c r="M846" s="3">
        <f>parking_demand_data_2024_ver0!L846</f>
        <v>1</v>
      </c>
      <c r="N846" s="3">
        <f>parking_demand_data_2024_ver0!M846</f>
        <v>169</v>
      </c>
      <c r="O846" s="3">
        <f>parking_demand_data_2024_ver0!N846</f>
        <v>160</v>
      </c>
      <c r="P846" s="3">
        <f>parking_demand_data_2024_ver0!O846</f>
        <v>0</v>
      </c>
      <c r="Q846" s="3">
        <f>parking_demand_data_2024_ver0!P846</f>
        <v>0</v>
      </c>
      <c r="R846" s="3">
        <f>parking_demand_data_2024_ver0!Q846</f>
        <v>0</v>
      </c>
      <c r="S846" s="3">
        <f>parking_demand_data_2024_ver0!R846</f>
        <v>0</v>
      </c>
      <c r="T846" s="3">
        <f>parking_demand_data_2024_ver0!S846</f>
        <v>9</v>
      </c>
    </row>
    <row r="847" spans="1:20" x14ac:dyDescent="0.25">
      <c r="A847">
        <v>18071</v>
      </c>
      <c r="B847" t="s">
        <v>64</v>
      </c>
      <c r="C847">
        <v>5</v>
      </c>
      <c r="D847" s="3">
        <f>parking_demand_data_2024_ver0!D847*calibration!$I$31</f>
        <v>177.43873762376199</v>
      </c>
      <c r="E847" s="3">
        <f>parking_demand_data_2024_ver0!E847*calibration!$I$31</f>
        <v>15.283044554455399</v>
      </c>
      <c r="F847" s="3">
        <f t="shared" si="13"/>
        <v>192.72178217821738</v>
      </c>
      <c r="G847" s="3">
        <f>parking_demand_data_2024_ver0!F847</f>
        <v>2</v>
      </c>
      <c r="H847" s="3">
        <f>parking_demand_data_2024_ver0!G847</f>
        <v>1</v>
      </c>
      <c r="I847" s="3">
        <f>parking_demand_data_2024_ver0!H847</f>
        <v>0</v>
      </c>
      <c r="J847" s="3">
        <f>parking_demand_data_2024_ver0!I847</f>
        <v>0</v>
      </c>
      <c r="K847" s="3">
        <f>parking_demand_data_2024_ver0!J847</f>
        <v>0</v>
      </c>
      <c r="L847" s="3">
        <f>parking_demand_data_2024_ver0!K847</f>
        <v>0</v>
      </c>
      <c r="M847" s="3">
        <f>parking_demand_data_2024_ver0!L847</f>
        <v>1</v>
      </c>
      <c r="N847" s="3">
        <f>parking_demand_data_2024_ver0!M847</f>
        <v>169</v>
      </c>
      <c r="O847" s="3">
        <f>parking_demand_data_2024_ver0!N847</f>
        <v>160</v>
      </c>
      <c r="P847" s="3">
        <f>parking_demand_data_2024_ver0!O847</f>
        <v>0</v>
      </c>
      <c r="Q847" s="3">
        <f>parking_demand_data_2024_ver0!P847</f>
        <v>0</v>
      </c>
      <c r="R847" s="3">
        <f>parking_demand_data_2024_ver0!Q847</f>
        <v>0</v>
      </c>
      <c r="S847" s="3">
        <f>parking_demand_data_2024_ver0!R847</f>
        <v>0</v>
      </c>
      <c r="T847" s="3">
        <f>parking_demand_data_2024_ver0!S847</f>
        <v>9</v>
      </c>
    </row>
    <row r="848" spans="1:20" x14ac:dyDescent="0.25">
      <c r="A848">
        <v>18071</v>
      </c>
      <c r="B848" t="s">
        <v>64</v>
      </c>
      <c r="C848">
        <v>6</v>
      </c>
      <c r="D848" s="3">
        <f>parking_demand_data_2024_ver0!D848*calibration!$I$31</f>
        <v>162.48873762376201</v>
      </c>
      <c r="E848" s="3">
        <f>parking_demand_data_2024_ver0!E848*calibration!$I$31</f>
        <v>16.504207920791998</v>
      </c>
      <c r="F848" s="3">
        <f t="shared" si="13"/>
        <v>178.992945544554</v>
      </c>
      <c r="G848" s="3">
        <f>parking_demand_data_2024_ver0!F848</f>
        <v>2</v>
      </c>
      <c r="H848" s="3">
        <f>parking_demand_data_2024_ver0!G848</f>
        <v>1</v>
      </c>
      <c r="I848" s="3">
        <f>parking_demand_data_2024_ver0!H848</f>
        <v>0</v>
      </c>
      <c r="J848" s="3">
        <f>parking_demand_data_2024_ver0!I848</f>
        <v>0</v>
      </c>
      <c r="K848" s="3">
        <f>parking_demand_data_2024_ver0!J848</f>
        <v>0</v>
      </c>
      <c r="L848" s="3">
        <f>parking_demand_data_2024_ver0!K848</f>
        <v>0</v>
      </c>
      <c r="M848" s="3">
        <f>parking_demand_data_2024_ver0!L848</f>
        <v>1</v>
      </c>
      <c r="N848" s="3">
        <f>parking_demand_data_2024_ver0!M848</f>
        <v>169</v>
      </c>
      <c r="O848" s="3">
        <f>parking_demand_data_2024_ver0!N848</f>
        <v>160</v>
      </c>
      <c r="P848" s="3">
        <f>parking_demand_data_2024_ver0!O848</f>
        <v>0</v>
      </c>
      <c r="Q848" s="3">
        <f>parking_demand_data_2024_ver0!P848</f>
        <v>0</v>
      </c>
      <c r="R848" s="3">
        <f>parking_demand_data_2024_ver0!Q848</f>
        <v>0</v>
      </c>
      <c r="S848" s="3">
        <f>parking_demand_data_2024_ver0!R848</f>
        <v>0</v>
      </c>
      <c r="T848" s="3">
        <f>parking_demand_data_2024_ver0!S848</f>
        <v>9</v>
      </c>
    </row>
    <row r="849" spans="1:20" x14ac:dyDescent="0.25">
      <c r="A849">
        <v>18071</v>
      </c>
      <c r="B849" t="s">
        <v>64</v>
      </c>
      <c r="C849">
        <v>7</v>
      </c>
      <c r="D849" s="3">
        <f>parking_demand_data_2024_ver0!D849*calibration!$I$31</f>
        <v>142.284034653465</v>
      </c>
      <c r="E849" s="3">
        <f>parking_demand_data_2024_ver0!E849*calibration!$I$31</f>
        <v>13.950866336633601</v>
      </c>
      <c r="F849" s="3">
        <f t="shared" si="13"/>
        <v>156.23490099009859</v>
      </c>
      <c r="G849" s="3">
        <f>parking_demand_data_2024_ver0!F849</f>
        <v>2</v>
      </c>
      <c r="H849" s="3">
        <f>parking_demand_data_2024_ver0!G849</f>
        <v>1</v>
      </c>
      <c r="I849" s="3">
        <f>parking_demand_data_2024_ver0!H849</f>
        <v>0</v>
      </c>
      <c r="J849" s="3">
        <f>parking_demand_data_2024_ver0!I849</f>
        <v>0</v>
      </c>
      <c r="K849" s="3">
        <f>parking_demand_data_2024_ver0!J849</f>
        <v>0</v>
      </c>
      <c r="L849" s="3">
        <f>parking_demand_data_2024_ver0!K849</f>
        <v>0</v>
      </c>
      <c r="M849" s="3">
        <f>parking_demand_data_2024_ver0!L849</f>
        <v>1</v>
      </c>
      <c r="N849" s="3">
        <f>parking_demand_data_2024_ver0!M849</f>
        <v>169</v>
      </c>
      <c r="O849" s="3">
        <f>parking_demand_data_2024_ver0!N849</f>
        <v>160</v>
      </c>
      <c r="P849" s="3">
        <f>parking_demand_data_2024_ver0!O849</f>
        <v>0</v>
      </c>
      <c r="Q849" s="3">
        <f>parking_demand_data_2024_ver0!P849</f>
        <v>0</v>
      </c>
      <c r="R849" s="3">
        <f>parking_demand_data_2024_ver0!Q849</f>
        <v>0</v>
      </c>
      <c r="S849" s="3">
        <f>parking_demand_data_2024_ver0!R849</f>
        <v>0</v>
      </c>
      <c r="T849" s="3">
        <f>parking_demand_data_2024_ver0!S849</f>
        <v>9</v>
      </c>
    </row>
    <row r="850" spans="1:20" x14ac:dyDescent="0.25">
      <c r="A850">
        <v>18071</v>
      </c>
      <c r="B850" t="s">
        <v>64</v>
      </c>
      <c r="C850">
        <v>8</v>
      </c>
      <c r="D850" s="3">
        <f>parking_demand_data_2024_ver0!D850*calibration!$I$31</f>
        <v>115.344430693069</v>
      </c>
      <c r="E850" s="3">
        <f>parking_demand_data_2024_ver0!E850*calibration!$I$31</f>
        <v>11.101485148514801</v>
      </c>
      <c r="F850" s="3">
        <f t="shared" si="13"/>
        <v>126.4459158415838</v>
      </c>
      <c r="G850" s="3">
        <f>parking_demand_data_2024_ver0!F850</f>
        <v>2</v>
      </c>
      <c r="H850" s="3">
        <f>parking_demand_data_2024_ver0!G850</f>
        <v>1</v>
      </c>
      <c r="I850" s="3">
        <f>parking_demand_data_2024_ver0!H850</f>
        <v>0</v>
      </c>
      <c r="J850" s="3">
        <f>parking_demand_data_2024_ver0!I850</f>
        <v>0</v>
      </c>
      <c r="K850" s="3">
        <f>parking_demand_data_2024_ver0!J850</f>
        <v>0</v>
      </c>
      <c r="L850" s="3">
        <f>parking_demand_data_2024_ver0!K850</f>
        <v>0</v>
      </c>
      <c r="M850" s="3">
        <f>parking_demand_data_2024_ver0!L850</f>
        <v>1</v>
      </c>
      <c r="N850" s="3">
        <f>parking_demand_data_2024_ver0!M850</f>
        <v>169</v>
      </c>
      <c r="O850" s="3">
        <f>parking_demand_data_2024_ver0!N850</f>
        <v>160</v>
      </c>
      <c r="P850" s="3">
        <f>parking_demand_data_2024_ver0!O850</f>
        <v>0</v>
      </c>
      <c r="Q850" s="3">
        <f>parking_demand_data_2024_ver0!P850</f>
        <v>0</v>
      </c>
      <c r="R850" s="3">
        <f>parking_demand_data_2024_ver0!Q850</f>
        <v>0</v>
      </c>
      <c r="S850" s="3">
        <f>parking_demand_data_2024_ver0!R850</f>
        <v>0</v>
      </c>
      <c r="T850" s="3">
        <f>parking_demand_data_2024_ver0!S850</f>
        <v>9</v>
      </c>
    </row>
    <row r="851" spans="1:20" x14ac:dyDescent="0.25">
      <c r="A851">
        <v>18071</v>
      </c>
      <c r="B851" t="s">
        <v>64</v>
      </c>
      <c r="C851">
        <v>9</v>
      </c>
      <c r="D851" s="3">
        <f>parking_demand_data_2024_ver0!D851*calibration!$I$31</f>
        <v>93.2524752475247</v>
      </c>
      <c r="E851" s="3">
        <f>parking_demand_data_2024_ver0!E851*calibration!$I$31</f>
        <v>9.32524752475247</v>
      </c>
      <c r="F851" s="3">
        <f t="shared" si="13"/>
        <v>102.57772277227717</v>
      </c>
      <c r="G851" s="3">
        <f>parking_demand_data_2024_ver0!F851</f>
        <v>2</v>
      </c>
      <c r="H851" s="3">
        <f>parking_demand_data_2024_ver0!G851</f>
        <v>1</v>
      </c>
      <c r="I851" s="3">
        <f>parking_demand_data_2024_ver0!H851</f>
        <v>0</v>
      </c>
      <c r="J851" s="3">
        <f>parking_demand_data_2024_ver0!I851</f>
        <v>0</v>
      </c>
      <c r="K851" s="3">
        <f>parking_demand_data_2024_ver0!J851</f>
        <v>0</v>
      </c>
      <c r="L851" s="3">
        <f>parking_demand_data_2024_ver0!K851</f>
        <v>0</v>
      </c>
      <c r="M851" s="3">
        <f>parking_demand_data_2024_ver0!L851</f>
        <v>1</v>
      </c>
      <c r="N851" s="3">
        <f>parking_demand_data_2024_ver0!M851</f>
        <v>169</v>
      </c>
      <c r="O851" s="3">
        <f>parking_demand_data_2024_ver0!N851</f>
        <v>160</v>
      </c>
      <c r="P851" s="3">
        <f>parking_demand_data_2024_ver0!O851</f>
        <v>0</v>
      </c>
      <c r="Q851" s="3">
        <f>parking_demand_data_2024_ver0!P851</f>
        <v>0</v>
      </c>
      <c r="R851" s="3">
        <f>parking_demand_data_2024_ver0!Q851</f>
        <v>0</v>
      </c>
      <c r="S851" s="3">
        <f>parking_demand_data_2024_ver0!R851</f>
        <v>0</v>
      </c>
      <c r="T851" s="3">
        <f>parking_demand_data_2024_ver0!S851</f>
        <v>9</v>
      </c>
    </row>
    <row r="852" spans="1:20" x14ac:dyDescent="0.25">
      <c r="A852">
        <v>18071</v>
      </c>
      <c r="B852" t="s">
        <v>64</v>
      </c>
      <c r="C852">
        <v>10</v>
      </c>
      <c r="D852" s="3">
        <f>parking_demand_data_2024_ver0!D852*calibration!$I$31</f>
        <v>79.5976485148514</v>
      </c>
      <c r="E852" s="3">
        <f>parking_demand_data_2024_ver0!E852*calibration!$I$31</f>
        <v>6.5868811881188103</v>
      </c>
      <c r="F852" s="3">
        <f t="shared" si="13"/>
        <v>86.18452970297021</v>
      </c>
      <c r="G852" s="3">
        <f>parking_demand_data_2024_ver0!F852</f>
        <v>2</v>
      </c>
      <c r="H852" s="3">
        <f>parking_demand_data_2024_ver0!G852</f>
        <v>1</v>
      </c>
      <c r="I852" s="3">
        <f>parking_demand_data_2024_ver0!H852</f>
        <v>0</v>
      </c>
      <c r="J852" s="3">
        <f>parking_demand_data_2024_ver0!I852</f>
        <v>0</v>
      </c>
      <c r="K852" s="3">
        <f>parking_demand_data_2024_ver0!J852</f>
        <v>0</v>
      </c>
      <c r="L852" s="3">
        <f>parking_demand_data_2024_ver0!K852</f>
        <v>0</v>
      </c>
      <c r="M852" s="3">
        <f>parking_demand_data_2024_ver0!L852</f>
        <v>1</v>
      </c>
      <c r="N852" s="3">
        <f>parking_demand_data_2024_ver0!M852</f>
        <v>169</v>
      </c>
      <c r="O852" s="3">
        <f>parking_demand_data_2024_ver0!N852</f>
        <v>160</v>
      </c>
      <c r="P852" s="3">
        <f>parking_demand_data_2024_ver0!O852</f>
        <v>0</v>
      </c>
      <c r="Q852" s="3">
        <f>parking_demand_data_2024_ver0!P852</f>
        <v>0</v>
      </c>
      <c r="R852" s="3">
        <f>parking_demand_data_2024_ver0!Q852</f>
        <v>0</v>
      </c>
      <c r="S852" s="3">
        <f>parking_demand_data_2024_ver0!R852</f>
        <v>0</v>
      </c>
      <c r="T852" s="3">
        <f>parking_demand_data_2024_ver0!S852</f>
        <v>9</v>
      </c>
    </row>
    <row r="853" spans="1:20" x14ac:dyDescent="0.25">
      <c r="A853">
        <v>18071</v>
      </c>
      <c r="B853" t="s">
        <v>64</v>
      </c>
      <c r="C853">
        <v>11</v>
      </c>
      <c r="D853" s="3">
        <f>parking_demand_data_2024_ver0!D853*calibration!$I$31</f>
        <v>73.787871287128695</v>
      </c>
      <c r="E853" s="3">
        <f>parking_demand_data_2024_ver0!E853*calibration!$I$31</f>
        <v>6.4758663366336604</v>
      </c>
      <c r="F853" s="3">
        <f t="shared" si="13"/>
        <v>80.263737623762353</v>
      </c>
      <c r="G853" s="3">
        <f>parking_demand_data_2024_ver0!F853</f>
        <v>2</v>
      </c>
      <c r="H853" s="3">
        <f>parking_demand_data_2024_ver0!G853</f>
        <v>1</v>
      </c>
      <c r="I853" s="3">
        <f>parking_demand_data_2024_ver0!H853</f>
        <v>0</v>
      </c>
      <c r="J853" s="3">
        <f>parking_demand_data_2024_ver0!I853</f>
        <v>0</v>
      </c>
      <c r="K853" s="3">
        <f>parking_demand_data_2024_ver0!J853</f>
        <v>0</v>
      </c>
      <c r="L853" s="3">
        <f>parking_demand_data_2024_ver0!K853</f>
        <v>0</v>
      </c>
      <c r="M853" s="3">
        <f>parking_demand_data_2024_ver0!L853</f>
        <v>1</v>
      </c>
      <c r="N853" s="3">
        <f>parking_demand_data_2024_ver0!M853</f>
        <v>169</v>
      </c>
      <c r="O853" s="3">
        <f>parking_demand_data_2024_ver0!N853</f>
        <v>160</v>
      </c>
      <c r="P853" s="3">
        <f>parking_demand_data_2024_ver0!O853</f>
        <v>0</v>
      </c>
      <c r="Q853" s="3">
        <f>parking_demand_data_2024_ver0!P853</f>
        <v>0</v>
      </c>
      <c r="R853" s="3">
        <f>parking_demand_data_2024_ver0!Q853</f>
        <v>0</v>
      </c>
      <c r="S853" s="3">
        <f>parking_demand_data_2024_ver0!R853</f>
        <v>0</v>
      </c>
      <c r="T853" s="3">
        <f>parking_demand_data_2024_ver0!S853</f>
        <v>9</v>
      </c>
    </row>
    <row r="854" spans="1:20" x14ac:dyDescent="0.25">
      <c r="A854">
        <v>18071</v>
      </c>
      <c r="B854" t="s">
        <v>64</v>
      </c>
      <c r="C854">
        <v>12</v>
      </c>
      <c r="D854" s="3">
        <f>parking_demand_data_2024_ver0!D854*calibration!$I$31</f>
        <v>74.194925742574199</v>
      </c>
      <c r="E854" s="3">
        <f>parking_demand_data_2024_ver0!E854*calibration!$I$31</f>
        <v>5.2176980198019702</v>
      </c>
      <c r="F854" s="3">
        <f t="shared" si="13"/>
        <v>79.412623762376171</v>
      </c>
      <c r="G854" s="3">
        <f>parking_demand_data_2024_ver0!F854</f>
        <v>2</v>
      </c>
      <c r="H854" s="3">
        <f>parking_demand_data_2024_ver0!G854</f>
        <v>1</v>
      </c>
      <c r="I854" s="3">
        <f>parking_demand_data_2024_ver0!H854</f>
        <v>0</v>
      </c>
      <c r="J854" s="3">
        <f>parking_demand_data_2024_ver0!I854</f>
        <v>0</v>
      </c>
      <c r="K854" s="3">
        <f>parking_demand_data_2024_ver0!J854</f>
        <v>0</v>
      </c>
      <c r="L854" s="3">
        <f>parking_demand_data_2024_ver0!K854</f>
        <v>0</v>
      </c>
      <c r="M854" s="3">
        <f>parking_demand_data_2024_ver0!L854</f>
        <v>1</v>
      </c>
      <c r="N854" s="3">
        <f>parking_demand_data_2024_ver0!M854</f>
        <v>169</v>
      </c>
      <c r="O854" s="3">
        <f>parking_demand_data_2024_ver0!N854</f>
        <v>160</v>
      </c>
      <c r="P854" s="3">
        <f>parking_demand_data_2024_ver0!O854</f>
        <v>0</v>
      </c>
      <c r="Q854" s="3">
        <f>parking_demand_data_2024_ver0!P854</f>
        <v>0</v>
      </c>
      <c r="R854" s="3">
        <f>parking_demand_data_2024_ver0!Q854</f>
        <v>0</v>
      </c>
      <c r="S854" s="3">
        <f>parking_demand_data_2024_ver0!R854</f>
        <v>0</v>
      </c>
      <c r="T854" s="3">
        <f>parking_demand_data_2024_ver0!S854</f>
        <v>9</v>
      </c>
    </row>
    <row r="855" spans="1:20" x14ac:dyDescent="0.25">
      <c r="A855">
        <v>18071</v>
      </c>
      <c r="B855" t="s">
        <v>64</v>
      </c>
      <c r="C855">
        <v>13</v>
      </c>
      <c r="D855" s="3">
        <f>parking_demand_data_2024_ver0!D855*calibration!$I$31</f>
        <v>72.344678217821695</v>
      </c>
      <c r="E855" s="3">
        <f>parking_demand_data_2024_ver0!E855*calibration!$I$31</f>
        <v>3.9965346534653401</v>
      </c>
      <c r="F855" s="3">
        <f t="shared" si="13"/>
        <v>76.341212871287041</v>
      </c>
      <c r="G855" s="3">
        <f>parking_demand_data_2024_ver0!F855</f>
        <v>2</v>
      </c>
      <c r="H855" s="3">
        <f>parking_demand_data_2024_ver0!G855</f>
        <v>1</v>
      </c>
      <c r="I855" s="3">
        <f>parking_demand_data_2024_ver0!H855</f>
        <v>0</v>
      </c>
      <c r="J855" s="3">
        <f>parking_demand_data_2024_ver0!I855</f>
        <v>0</v>
      </c>
      <c r="K855" s="3">
        <f>parking_demand_data_2024_ver0!J855</f>
        <v>0</v>
      </c>
      <c r="L855" s="3">
        <f>parking_demand_data_2024_ver0!K855</f>
        <v>0</v>
      </c>
      <c r="M855" s="3">
        <f>parking_demand_data_2024_ver0!L855</f>
        <v>1</v>
      </c>
      <c r="N855" s="3">
        <f>parking_demand_data_2024_ver0!M855</f>
        <v>169</v>
      </c>
      <c r="O855" s="3">
        <f>parking_demand_data_2024_ver0!N855</f>
        <v>160</v>
      </c>
      <c r="P855" s="3">
        <f>parking_demand_data_2024_ver0!O855</f>
        <v>0</v>
      </c>
      <c r="Q855" s="3">
        <f>parking_demand_data_2024_ver0!P855</f>
        <v>0</v>
      </c>
      <c r="R855" s="3">
        <f>parking_demand_data_2024_ver0!Q855</f>
        <v>0</v>
      </c>
      <c r="S855" s="3">
        <f>parking_demand_data_2024_ver0!R855</f>
        <v>0</v>
      </c>
      <c r="T855" s="3">
        <f>parking_demand_data_2024_ver0!S855</f>
        <v>9</v>
      </c>
    </row>
    <row r="856" spans="1:20" x14ac:dyDescent="0.25">
      <c r="A856">
        <v>18071</v>
      </c>
      <c r="B856" t="s">
        <v>64</v>
      </c>
      <c r="C856">
        <v>14</v>
      </c>
      <c r="D856" s="3">
        <f>parking_demand_data_2024_ver0!D856*calibration!$I$31</f>
        <v>73.010767326732605</v>
      </c>
      <c r="E856" s="3">
        <f>parking_demand_data_2024_ver0!E856*calibration!$I$31</f>
        <v>3.1824257425742499</v>
      </c>
      <c r="F856" s="3">
        <f t="shared" si="13"/>
        <v>76.193193069306858</v>
      </c>
      <c r="G856" s="3">
        <f>parking_demand_data_2024_ver0!F856</f>
        <v>2</v>
      </c>
      <c r="H856" s="3">
        <f>parking_demand_data_2024_ver0!G856</f>
        <v>1</v>
      </c>
      <c r="I856" s="3">
        <f>parking_demand_data_2024_ver0!H856</f>
        <v>0</v>
      </c>
      <c r="J856" s="3">
        <f>parking_demand_data_2024_ver0!I856</f>
        <v>0</v>
      </c>
      <c r="K856" s="3">
        <f>parking_demand_data_2024_ver0!J856</f>
        <v>0</v>
      </c>
      <c r="L856" s="3">
        <f>parking_demand_data_2024_ver0!K856</f>
        <v>0</v>
      </c>
      <c r="M856" s="3">
        <f>parking_demand_data_2024_ver0!L856</f>
        <v>1</v>
      </c>
      <c r="N856" s="3">
        <f>parking_demand_data_2024_ver0!M856</f>
        <v>169</v>
      </c>
      <c r="O856" s="3">
        <f>parking_demand_data_2024_ver0!N856</f>
        <v>160</v>
      </c>
      <c r="P856" s="3">
        <f>parking_demand_data_2024_ver0!O856</f>
        <v>0</v>
      </c>
      <c r="Q856" s="3">
        <f>parking_demand_data_2024_ver0!P856</f>
        <v>0</v>
      </c>
      <c r="R856" s="3">
        <f>parking_demand_data_2024_ver0!Q856</f>
        <v>0</v>
      </c>
      <c r="S856" s="3">
        <f>parking_demand_data_2024_ver0!R856</f>
        <v>0</v>
      </c>
      <c r="T856" s="3">
        <f>parking_demand_data_2024_ver0!S856</f>
        <v>9</v>
      </c>
    </row>
    <row r="857" spans="1:20" x14ac:dyDescent="0.25">
      <c r="A857">
        <v>18071</v>
      </c>
      <c r="B857" t="s">
        <v>64</v>
      </c>
      <c r="C857">
        <v>15</v>
      </c>
      <c r="D857" s="3">
        <f>parking_demand_data_2024_ver0!D857*calibration!$I$31</f>
        <v>78.746534653465304</v>
      </c>
      <c r="E857" s="3">
        <f>parking_demand_data_2024_ver0!E857*calibration!$I$31</f>
        <v>2.4793316831683101</v>
      </c>
      <c r="F857" s="3">
        <f t="shared" si="13"/>
        <v>81.225866336633615</v>
      </c>
      <c r="G857" s="3">
        <f>parking_demand_data_2024_ver0!F857</f>
        <v>2</v>
      </c>
      <c r="H857" s="3">
        <f>parking_demand_data_2024_ver0!G857</f>
        <v>1</v>
      </c>
      <c r="I857" s="3">
        <f>parking_demand_data_2024_ver0!H857</f>
        <v>0</v>
      </c>
      <c r="J857" s="3">
        <f>parking_demand_data_2024_ver0!I857</f>
        <v>0</v>
      </c>
      <c r="K857" s="3">
        <f>parking_demand_data_2024_ver0!J857</f>
        <v>0</v>
      </c>
      <c r="L857" s="3">
        <f>parking_demand_data_2024_ver0!K857</f>
        <v>0</v>
      </c>
      <c r="M857" s="3">
        <f>parking_demand_data_2024_ver0!L857</f>
        <v>1</v>
      </c>
      <c r="N857" s="3">
        <f>parking_demand_data_2024_ver0!M857</f>
        <v>169</v>
      </c>
      <c r="O857" s="3">
        <f>parking_demand_data_2024_ver0!N857</f>
        <v>160</v>
      </c>
      <c r="P857" s="3">
        <f>parking_demand_data_2024_ver0!O857</f>
        <v>0</v>
      </c>
      <c r="Q857" s="3">
        <f>parking_demand_data_2024_ver0!P857</f>
        <v>0</v>
      </c>
      <c r="R857" s="3">
        <f>parking_demand_data_2024_ver0!Q857</f>
        <v>0</v>
      </c>
      <c r="S857" s="3">
        <f>parking_demand_data_2024_ver0!R857</f>
        <v>0</v>
      </c>
      <c r="T857" s="3">
        <f>parking_demand_data_2024_ver0!S857</f>
        <v>9</v>
      </c>
    </row>
    <row r="858" spans="1:20" x14ac:dyDescent="0.25">
      <c r="A858">
        <v>18071</v>
      </c>
      <c r="B858" t="s">
        <v>64</v>
      </c>
      <c r="C858">
        <v>16</v>
      </c>
      <c r="D858" s="3">
        <f>parking_demand_data_2024_ver0!D858*calibration!$I$31</f>
        <v>87.3316831683168</v>
      </c>
      <c r="E858" s="3">
        <f>parking_demand_data_2024_ver0!E858*calibration!$I$31</f>
        <v>1.55420792079207</v>
      </c>
      <c r="F858" s="3">
        <f t="shared" si="13"/>
        <v>88.885891089108867</v>
      </c>
      <c r="G858" s="3">
        <f>parking_demand_data_2024_ver0!F858</f>
        <v>2</v>
      </c>
      <c r="H858" s="3">
        <f>parking_demand_data_2024_ver0!G858</f>
        <v>1</v>
      </c>
      <c r="I858" s="3">
        <f>parking_demand_data_2024_ver0!H858</f>
        <v>0</v>
      </c>
      <c r="J858" s="3">
        <f>parking_demand_data_2024_ver0!I858</f>
        <v>0</v>
      </c>
      <c r="K858" s="3">
        <f>parking_demand_data_2024_ver0!J858</f>
        <v>0</v>
      </c>
      <c r="L858" s="3">
        <f>parking_demand_data_2024_ver0!K858</f>
        <v>0</v>
      </c>
      <c r="M858" s="3">
        <f>parking_demand_data_2024_ver0!L858</f>
        <v>1</v>
      </c>
      <c r="N858" s="3">
        <f>parking_demand_data_2024_ver0!M858</f>
        <v>169</v>
      </c>
      <c r="O858" s="3">
        <f>parking_demand_data_2024_ver0!N858</f>
        <v>160</v>
      </c>
      <c r="P858" s="3">
        <f>parking_demand_data_2024_ver0!O858</f>
        <v>0</v>
      </c>
      <c r="Q858" s="3">
        <f>parking_demand_data_2024_ver0!P858</f>
        <v>0</v>
      </c>
      <c r="R858" s="3">
        <f>parking_demand_data_2024_ver0!Q858</f>
        <v>0</v>
      </c>
      <c r="S858" s="3">
        <f>parking_demand_data_2024_ver0!R858</f>
        <v>0</v>
      </c>
      <c r="T858" s="3">
        <f>parking_demand_data_2024_ver0!S858</f>
        <v>9</v>
      </c>
    </row>
    <row r="859" spans="1:20" x14ac:dyDescent="0.25">
      <c r="A859">
        <v>18071</v>
      </c>
      <c r="B859" t="s">
        <v>64</v>
      </c>
      <c r="C859">
        <v>17</v>
      </c>
      <c r="D859" s="3">
        <f>parking_demand_data_2024_ver0!D859*calibration!$I$31</f>
        <v>99.913366336633601</v>
      </c>
      <c r="E859" s="3">
        <f>parking_demand_data_2024_ver0!E859*calibration!$I$31</f>
        <v>1.5912128712871201</v>
      </c>
      <c r="F859" s="3">
        <f t="shared" si="13"/>
        <v>101.50457920792073</v>
      </c>
      <c r="G859" s="3">
        <f>parking_demand_data_2024_ver0!F859</f>
        <v>2</v>
      </c>
      <c r="H859" s="3">
        <f>parking_demand_data_2024_ver0!G859</f>
        <v>1</v>
      </c>
      <c r="I859" s="3">
        <f>parking_demand_data_2024_ver0!H859</f>
        <v>0</v>
      </c>
      <c r="J859" s="3">
        <f>parking_demand_data_2024_ver0!I859</f>
        <v>0</v>
      </c>
      <c r="K859" s="3">
        <f>parking_demand_data_2024_ver0!J859</f>
        <v>0</v>
      </c>
      <c r="L859" s="3">
        <f>parking_demand_data_2024_ver0!K859</f>
        <v>0</v>
      </c>
      <c r="M859" s="3">
        <f>parking_demand_data_2024_ver0!L859</f>
        <v>1</v>
      </c>
      <c r="N859" s="3">
        <f>parking_demand_data_2024_ver0!M859</f>
        <v>169</v>
      </c>
      <c r="O859" s="3">
        <f>parking_demand_data_2024_ver0!N859</f>
        <v>160</v>
      </c>
      <c r="P859" s="3">
        <f>parking_demand_data_2024_ver0!O859</f>
        <v>0</v>
      </c>
      <c r="Q859" s="3">
        <f>parking_demand_data_2024_ver0!P859</f>
        <v>0</v>
      </c>
      <c r="R859" s="3">
        <f>parking_demand_data_2024_ver0!Q859</f>
        <v>0</v>
      </c>
      <c r="S859" s="3">
        <f>parking_demand_data_2024_ver0!R859</f>
        <v>0</v>
      </c>
      <c r="T859" s="3">
        <f>parking_demand_data_2024_ver0!S859</f>
        <v>9</v>
      </c>
    </row>
    <row r="860" spans="1:20" x14ac:dyDescent="0.25">
      <c r="A860">
        <v>18071</v>
      </c>
      <c r="B860" t="s">
        <v>64</v>
      </c>
      <c r="C860">
        <v>18</v>
      </c>
      <c r="D860" s="3">
        <f>parking_demand_data_2024_ver0!D860*calibration!$I$31</f>
        <v>116.639603960396</v>
      </c>
      <c r="E860" s="3">
        <f>parking_demand_data_2024_ver0!E860*calibration!$I$31</f>
        <v>2.1092821782178199</v>
      </c>
      <c r="F860" s="3">
        <f t="shared" si="13"/>
        <v>118.74888613861383</v>
      </c>
      <c r="G860" s="3">
        <f>parking_demand_data_2024_ver0!F860</f>
        <v>2</v>
      </c>
      <c r="H860" s="3">
        <f>parking_demand_data_2024_ver0!G860</f>
        <v>1</v>
      </c>
      <c r="I860" s="3">
        <f>parking_demand_data_2024_ver0!H860</f>
        <v>0</v>
      </c>
      <c r="J860" s="3">
        <f>parking_demand_data_2024_ver0!I860</f>
        <v>0</v>
      </c>
      <c r="K860" s="3">
        <f>parking_demand_data_2024_ver0!J860</f>
        <v>0</v>
      </c>
      <c r="L860" s="3">
        <f>parking_demand_data_2024_ver0!K860</f>
        <v>0</v>
      </c>
      <c r="M860" s="3">
        <f>parking_demand_data_2024_ver0!L860</f>
        <v>1</v>
      </c>
      <c r="N860" s="3">
        <f>parking_demand_data_2024_ver0!M860</f>
        <v>169</v>
      </c>
      <c r="O860" s="3">
        <f>parking_demand_data_2024_ver0!N860</f>
        <v>160</v>
      </c>
      <c r="P860" s="3">
        <f>parking_demand_data_2024_ver0!O860</f>
        <v>0</v>
      </c>
      <c r="Q860" s="3">
        <f>parking_demand_data_2024_ver0!P860</f>
        <v>0</v>
      </c>
      <c r="R860" s="3">
        <f>parking_demand_data_2024_ver0!Q860</f>
        <v>0</v>
      </c>
      <c r="S860" s="3">
        <f>parking_demand_data_2024_ver0!R860</f>
        <v>0</v>
      </c>
      <c r="T860" s="3">
        <f>parking_demand_data_2024_ver0!S860</f>
        <v>9</v>
      </c>
    </row>
    <row r="861" spans="1:20" x14ac:dyDescent="0.25">
      <c r="A861">
        <v>18071</v>
      </c>
      <c r="B861" t="s">
        <v>64</v>
      </c>
      <c r="C861">
        <v>19</v>
      </c>
      <c r="D861" s="3">
        <f>parking_demand_data_2024_ver0!D861*calibration!$I$31</f>
        <v>131.92264851485101</v>
      </c>
      <c r="E861" s="3">
        <f>parking_demand_data_2024_ver0!E861*calibration!$I$31</f>
        <v>1.70222772277227</v>
      </c>
      <c r="F861" s="3">
        <f t="shared" si="13"/>
        <v>133.62487623762328</v>
      </c>
      <c r="G861" s="3">
        <f>parking_demand_data_2024_ver0!F861</f>
        <v>2</v>
      </c>
      <c r="H861" s="3">
        <f>parking_demand_data_2024_ver0!G861</f>
        <v>1</v>
      </c>
      <c r="I861" s="3">
        <f>parking_demand_data_2024_ver0!H861</f>
        <v>0</v>
      </c>
      <c r="J861" s="3">
        <f>parking_demand_data_2024_ver0!I861</f>
        <v>0</v>
      </c>
      <c r="K861" s="3">
        <f>parking_demand_data_2024_ver0!J861</f>
        <v>0</v>
      </c>
      <c r="L861" s="3">
        <f>parking_demand_data_2024_ver0!K861</f>
        <v>0</v>
      </c>
      <c r="M861" s="3">
        <f>parking_demand_data_2024_ver0!L861</f>
        <v>1</v>
      </c>
      <c r="N861" s="3">
        <f>parking_demand_data_2024_ver0!M861</f>
        <v>169</v>
      </c>
      <c r="O861" s="3">
        <f>parking_demand_data_2024_ver0!N861</f>
        <v>160</v>
      </c>
      <c r="P861" s="3">
        <f>parking_demand_data_2024_ver0!O861</f>
        <v>0</v>
      </c>
      <c r="Q861" s="3">
        <f>parking_demand_data_2024_ver0!P861</f>
        <v>0</v>
      </c>
      <c r="R861" s="3">
        <f>parking_demand_data_2024_ver0!Q861</f>
        <v>0</v>
      </c>
      <c r="S861" s="3">
        <f>parking_demand_data_2024_ver0!R861</f>
        <v>0</v>
      </c>
      <c r="T861" s="3">
        <f>parking_demand_data_2024_ver0!S861</f>
        <v>9</v>
      </c>
    </row>
    <row r="862" spans="1:20" x14ac:dyDescent="0.25">
      <c r="A862">
        <v>18071</v>
      </c>
      <c r="B862" t="s">
        <v>64</v>
      </c>
      <c r="C862">
        <v>20</v>
      </c>
      <c r="D862" s="3">
        <f>parking_demand_data_2024_ver0!D862*calibration!$I$31</f>
        <v>149.24096534653401</v>
      </c>
      <c r="E862" s="3">
        <f>parking_demand_data_2024_ver0!E862*calibration!$I$31</f>
        <v>2.8123762376237602</v>
      </c>
      <c r="F862" s="3">
        <f t="shared" si="13"/>
        <v>152.05334158415778</v>
      </c>
      <c r="G862" s="3">
        <f>parking_demand_data_2024_ver0!F862</f>
        <v>2</v>
      </c>
      <c r="H862" s="3">
        <f>parking_demand_data_2024_ver0!G862</f>
        <v>1</v>
      </c>
      <c r="I862" s="3">
        <f>parking_demand_data_2024_ver0!H862</f>
        <v>0</v>
      </c>
      <c r="J862" s="3">
        <f>parking_demand_data_2024_ver0!I862</f>
        <v>0</v>
      </c>
      <c r="K862" s="3">
        <f>parking_demand_data_2024_ver0!J862</f>
        <v>0</v>
      </c>
      <c r="L862" s="3">
        <f>parking_demand_data_2024_ver0!K862</f>
        <v>0</v>
      </c>
      <c r="M862" s="3">
        <f>parking_demand_data_2024_ver0!L862</f>
        <v>1</v>
      </c>
      <c r="N862" s="3">
        <f>parking_demand_data_2024_ver0!M862</f>
        <v>169</v>
      </c>
      <c r="O862" s="3">
        <f>parking_demand_data_2024_ver0!N862</f>
        <v>160</v>
      </c>
      <c r="P862" s="3">
        <f>parking_demand_data_2024_ver0!O862</f>
        <v>0</v>
      </c>
      <c r="Q862" s="3">
        <f>parking_demand_data_2024_ver0!P862</f>
        <v>0</v>
      </c>
      <c r="R862" s="3">
        <f>parking_demand_data_2024_ver0!Q862</f>
        <v>0</v>
      </c>
      <c r="S862" s="3">
        <f>parking_demand_data_2024_ver0!R862</f>
        <v>0</v>
      </c>
      <c r="T862" s="3">
        <f>parking_demand_data_2024_ver0!S862</f>
        <v>9</v>
      </c>
    </row>
    <row r="863" spans="1:20" x14ac:dyDescent="0.25">
      <c r="A863">
        <v>18071</v>
      </c>
      <c r="B863" t="s">
        <v>64</v>
      </c>
      <c r="C863">
        <v>21</v>
      </c>
      <c r="D863" s="3">
        <f>parking_demand_data_2024_ver0!D863*calibration!$I$31</f>
        <v>161.93366336633599</v>
      </c>
      <c r="E863" s="3">
        <f>parking_demand_data_2024_ver0!E863*calibration!$I$31</f>
        <v>4.4405940594059397</v>
      </c>
      <c r="F863" s="3">
        <f t="shared" si="13"/>
        <v>166.37425742574194</v>
      </c>
      <c r="G863" s="3">
        <f>parking_demand_data_2024_ver0!F863</f>
        <v>2</v>
      </c>
      <c r="H863" s="3">
        <f>parking_demand_data_2024_ver0!G863</f>
        <v>1</v>
      </c>
      <c r="I863" s="3">
        <f>parking_demand_data_2024_ver0!H863</f>
        <v>0</v>
      </c>
      <c r="J863" s="3">
        <f>parking_demand_data_2024_ver0!I863</f>
        <v>0</v>
      </c>
      <c r="K863" s="3">
        <f>parking_demand_data_2024_ver0!J863</f>
        <v>0</v>
      </c>
      <c r="L863" s="3">
        <f>parking_demand_data_2024_ver0!K863</f>
        <v>0</v>
      </c>
      <c r="M863" s="3">
        <f>parking_demand_data_2024_ver0!L863</f>
        <v>1</v>
      </c>
      <c r="N863" s="3">
        <f>parking_demand_data_2024_ver0!M863</f>
        <v>169</v>
      </c>
      <c r="O863" s="3">
        <f>parking_demand_data_2024_ver0!N863</f>
        <v>160</v>
      </c>
      <c r="P863" s="3">
        <f>parking_demand_data_2024_ver0!O863</f>
        <v>0</v>
      </c>
      <c r="Q863" s="3">
        <f>parking_demand_data_2024_ver0!P863</f>
        <v>0</v>
      </c>
      <c r="R863" s="3">
        <f>parking_demand_data_2024_ver0!Q863</f>
        <v>0</v>
      </c>
      <c r="S863" s="3">
        <f>parking_demand_data_2024_ver0!R863</f>
        <v>0</v>
      </c>
      <c r="T863" s="3">
        <f>parking_demand_data_2024_ver0!S863</f>
        <v>9</v>
      </c>
    </row>
    <row r="864" spans="1:20" x14ac:dyDescent="0.25">
      <c r="A864">
        <v>18071</v>
      </c>
      <c r="B864" t="s">
        <v>64</v>
      </c>
      <c r="C864">
        <v>22</v>
      </c>
      <c r="D864" s="3">
        <f>parking_demand_data_2024_ver0!D864*calibration!$I$31</f>
        <v>170.92586633663299</v>
      </c>
      <c r="E864" s="3">
        <f>parking_demand_data_2024_ver0!E864*calibration!$I$31</f>
        <v>8.0670792079207896</v>
      </c>
      <c r="F864" s="3">
        <f t="shared" si="13"/>
        <v>178.99294554455378</v>
      </c>
      <c r="G864" s="3">
        <f>parking_demand_data_2024_ver0!F864</f>
        <v>2</v>
      </c>
      <c r="H864" s="3">
        <f>parking_demand_data_2024_ver0!G864</f>
        <v>1</v>
      </c>
      <c r="I864" s="3">
        <f>parking_demand_data_2024_ver0!H864</f>
        <v>0</v>
      </c>
      <c r="J864" s="3">
        <f>parking_demand_data_2024_ver0!I864</f>
        <v>0</v>
      </c>
      <c r="K864" s="3">
        <f>parking_demand_data_2024_ver0!J864</f>
        <v>0</v>
      </c>
      <c r="L864" s="3">
        <f>parking_demand_data_2024_ver0!K864</f>
        <v>0</v>
      </c>
      <c r="M864" s="3">
        <f>parking_demand_data_2024_ver0!L864</f>
        <v>1</v>
      </c>
      <c r="N864" s="3">
        <f>parking_demand_data_2024_ver0!M864</f>
        <v>169</v>
      </c>
      <c r="O864" s="3">
        <f>parking_demand_data_2024_ver0!N864</f>
        <v>160</v>
      </c>
      <c r="P864" s="3">
        <f>parking_demand_data_2024_ver0!O864</f>
        <v>0</v>
      </c>
      <c r="Q864" s="3">
        <f>parking_demand_data_2024_ver0!P864</f>
        <v>0</v>
      </c>
      <c r="R864" s="3">
        <f>parking_demand_data_2024_ver0!Q864</f>
        <v>0</v>
      </c>
      <c r="S864" s="3">
        <f>parking_demand_data_2024_ver0!R864</f>
        <v>0</v>
      </c>
      <c r="T864" s="3">
        <f>parking_demand_data_2024_ver0!S864</f>
        <v>9</v>
      </c>
    </row>
    <row r="865" spans="1:20" x14ac:dyDescent="0.25">
      <c r="A865">
        <v>18071</v>
      </c>
      <c r="B865" t="s">
        <v>64</v>
      </c>
      <c r="C865">
        <v>23</v>
      </c>
      <c r="D865" s="3">
        <f>parking_demand_data_2024_ver0!D865*calibration!$I$31</f>
        <v>180.21410891089101</v>
      </c>
      <c r="E865" s="3">
        <f>parking_demand_data_2024_ver0!E865*calibration!$I$31</f>
        <v>9.6582920792079108</v>
      </c>
      <c r="F865" s="3">
        <f t="shared" si="13"/>
        <v>189.87240099009892</v>
      </c>
      <c r="G865" s="3">
        <f>parking_demand_data_2024_ver0!F865</f>
        <v>2</v>
      </c>
      <c r="H865" s="3">
        <f>parking_demand_data_2024_ver0!G865</f>
        <v>1</v>
      </c>
      <c r="I865" s="3">
        <f>parking_demand_data_2024_ver0!H865</f>
        <v>0</v>
      </c>
      <c r="J865" s="3">
        <f>parking_demand_data_2024_ver0!I865</f>
        <v>0</v>
      </c>
      <c r="K865" s="3">
        <f>parking_demand_data_2024_ver0!J865</f>
        <v>0</v>
      </c>
      <c r="L865" s="3">
        <f>parking_demand_data_2024_ver0!K865</f>
        <v>0</v>
      </c>
      <c r="M865" s="3">
        <f>parking_demand_data_2024_ver0!L865</f>
        <v>1</v>
      </c>
      <c r="N865" s="3">
        <f>parking_demand_data_2024_ver0!M865</f>
        <v>169</v>
      </c>
      <c r="O865" s="3">
        <f>parking_demand_data_2024_ver0!N865</f>
        <v>160</v>
      </c>
      <c r="P865" s="3">
        <f>parking_demand_data_2024_ver0!O865</f>
        <v>0</v>
      </c>
      <c r="Q865" s="3">
        <f>parking_demand_data_2024_ver0!P865</f>
        <v>0</v>
      </c>
      <c r="R865" s="3">
        <f>parking_demand_data_2024_ver0!Q865</f>
        <v>0</v>
      </c>
      <c r="S865" s="3">
        <f>parking_demand_data_2024_ver0!R865</f>
        <v>0</v>
      </c>
      <c r="T865" s="3">
        <f>parking_demand_data_2024_ver0!S865</f>
        <v>9</v>
      </c>
    </row>
    <row r="866" spans="1:20" x14ac:dyDescent="0.25">
      <c r="A866">
        <v>18073</v>
      </c>
      <c r="B866" t="s">
        <v>65</v>
      </c>
      <c r="C866">
        <v>0</v>
      </c>
      <c r="D866" s="3">
        <f>parking_demand_data_2024_ver0!D866*calibration!$I$31</f>
        <v>776.28708916616199</v>
      </c>
      <c r="E866" s="3">
        <f>parking_demand_data_2024_ver0!E866*calibration!$I$31</f>
        <v>21.176669180988899</v>
      </c>
      <c r="F866" s="3">
        <f t="shared" si="13"/>
        <v>797.46375834715093</v>
      </c>
      <c r="G866" s="3">
        <f>parking_demand_data_2024_ver0!F866</f>
        <v>12</v>
      </c>
      <c r="H866" s="3">
        <f>parking_demand_data_2024_ver0!G866</f>
        <v>3</v>
      </c>
      <c r="I866" s="3">
        <f>parking_demand_data_2024_ver0!H866</f>
        <v>3</v>
      </c>
      <c r="J866" s="3">
        <f>parking_demand_data_2024_ver0!I866</f>
        <v>4</v>
      </c>
      <c r="K866" s="3">
        <f>parking_demand_data_2024_ver0!J866</f>
        <v>1</v>
      </c>
      <c r="L866" s="3">
        <f>parking_demand_data_2024_ver0!K866</f>
        <v>1</v>
      </c>
      <c r="M866" s="3">
        <f>parking_demand_data_2024_ver0!L866</f>
        <v>0</v>
      </c>
      <c r="N866" s="3">
        <f>parking_demand_data_2024_ver0!M866</f>
        <v>927</v>
      </c>
      <c r="O866" s="3">
        <f>parking_demand_data_2024_ver0!N866</f>
        <v>400</v>
      </c>
      <c r="P866" s="3">
        <f>parking_demand_data_2024_ver0!O866</f>
        <v>230</v>
      </c>
      <c r="Q866" s="3">
        <f>parking_demand_data_2024_ver0!P866</f>
        <v>64</v>
      </c>
      <c r="R866" s="3">
        <f>parking_demand_data_2024_ver0!Q866</f>
        <v>148</v>
      </c>
      <c r="S866" s="3">
        <f>parking_demand_data_2024_ver0!R866</f>
        <v>85</v>
      </c>
      <c r="T866" s="3">
        <f>parking_demand_data_2024_ver0!S866</f>
        <v>0</v>
      </c>
    </row>
    <row r="867" spans="1:20" x14ac:dyDescent="0.25">
      <c r="A867">
        <v>18073</v>
      </c>
      <c r="B867" t="s">
        <v>65</v>
      </c>
      <c r="C867">
        <v>1</v>
      </c>
      <c r="D867" s="3">
        <f>parking_demand_data_2024_ver0!D867*calibration!$I$31</f>
        <v>783.61307201796296</v>
      </c>
      <c r="E867" s="3">
        <f>parking_demand_data_2024_ver0!E867*calibration!$I$31</f>
        <v>24.877816767576199</v>
      </c>
      <c r="F867" s="3">
        <f t="shared" si="13"/>
        <v>808.49088878553914</v>
      </c>
      <c r="G867" s="3">
        <f>parking_demand_data_2024_ver0!F867</f>
        <v>12</v>
      </c>
      <c r="H867" s="3">
        <f>parking_demand_data_2024_ver0!G867</f>
        <v>3</v>
      </c>
      <c r="I867" s="3">
        <f>parking_demand_data_2024_ver0!H867</f>
        <v>3</v>
      </c>
      <c r="J867" s="3">
        <f>parking_demand_data_2024_ver0!I867</f>
        <v>4</v>
      </c>
      <c r="K867" s="3">
        <f>parking_demand_data_2024_ver0!J867</f>
        <v>1</v>
      </c>
      <c r="L867" s="3">
        <f>parking_demand_data_2024_ver0!K867</f>
        <v>1</v>
      </c>
      <c r="M867" s="3">
        <f>parking_demand_data_2024_ver0!L867</f>
        <v>0</v>
      </c>
      <c r="N867" s="3">
        <f>parking_demand_data_2024_ver0!M867</f>
        <v>927</v>
      </c>
      <c r="O867" s="3">
        <f>parking_demand_data_2024_ver0!N867</f>
        <v>400</v>
      </c>
      <c r="P867" s="3">
        <f>parking_demand_data_2024_ver0!O867</f>
        <v>230</v>
      </c>
      <c r="Q867" s="3">
        <f>parking_demand_data_2024_ver0!P867</f>
        <v>64</v>
      </c>
      <c r="R867" s="3">
        <f>parking_demand_data_2024_ver0!Q867</f>
        <v>148</v>
      </c>
      <c r="S867" s="3">
        <f>parking_demand_data_2024_ver0!R867</f>
        <v>85</v>
      </c>
      <c r="T867" s="3">
        <f>parking_demand_data_2024_ver0!S867</f>
        <v>0</v>
      </c>
    </row>
    <row r="868" spans="1:20" x14ac:dyDescent="0.25">
      <c r="A868">
        <v>18073</v>
      </c>
      <c r="B868" t="s">
        <v>65</v>
      </c>
      <c r="C868">
        <v>2</v>
      </c>
      <c r="D868" s="3">
        <f>parking_demand_data_2024_ver0!D868*calibration!$I$31</f>
        <v>780.675047645105</v>
      </c>
      <c r="E868" s="3">
        <f>parking_demand_data_2024_ver0!E868*calibration!$I$31</f>
        <v>30.219679263681499</v>
      </c>
      <c r="F868" s="3">
        <f t="shared" si="13"/>
        <v>810.89472690878654</v>
      </c>
      <c r="G868" s="3">
        <f>parking_demand_data_2024_ver0!F868</f>
        <v>12</v>
      </c>
      <c r="H868" s="3">
        <f>parking_demand_data_2024_ver0!G868</f>
        <v>3</v>
      </c>
      <c r="I868" s="3">
        <f>parking_demand_data_2024_ver0!H868</f>
        <v>3</v>
      </c>
      <c r="J868" s="3">
        <f>parking_demand_data_2024_ver0!I868</f>
        <v>4</v>
      </c>
      <c r="K868" s="3">
        <f>parking_demand_data_2024_ver0!J868</f>
        <v>1</v>
      </c>
      <c r="L868" s="3">
        <f>parking_demand_data_2024_ver0!K868</f>
        <v>1</v>
      </c>
      <c r="M868" s="3">
        <f>parking_demand_data_2024_ver0!L868</f>
        <v>0</v>
      </c>
      <c r="N868" s="3">
        <f>parking_demand_data_2024_ver0!M868</f>
        <v>927</v>
      </c>
      <c r="O868" s="3">
        <f>parking_demand_data_2024_ver0!N868</f>
        <v>400</v>
      </c>
      <c r="P868" s="3">
        <f>parking_demand_data_2024_ver0!O868</f>
        <v>230</v>
      </c>
      <c r="Q868" s="3">
        <f>parking_demand_data_2024_ver0!P868</f>
        <v>64</v>
      </c>
      <c r="R868" s="3">
        <f>parking_demand_data_2024_ver0!Q868</f>
        <v>148</v>
      </c>
      <c r="S868" s="3">
        <f>parking_demand_data_2024_ver0!R868</f>
        <v>85</v>
      </c>
      <c r="T868" s="3">
        <f>parking_demand_data_2024_ver0!S868</f>
        <v>0</v>
      </c>
    </row>
    <row r="869" spans="1:20" x14ac:dyDescent="0.25">
      <c r="A869">
        <v>18073</v>
      </c>
      <c r="B869" t="s">
        <v>65</v>
      </c>
      <c r="C869">
        <v>3</v>
      </c>
      <c r="D869" s="3">
        <f>parking_demand_data_2024_ver0!D869*calibration!$I$31</f>
        <v>758.27738132214995</v>
      </c>
      <c r="E869" s="3">
        <f>parking_demand_data_2024_ver0!E869*calibration!$I$31</f>
        <v>32.089331137318297</v>
      </c>
      <c r="F869" s="3">
        <f t="shared" si="13"/>
        <v>790.3667124594682</v>
      </c>
      <c r="G869" s="3">
        <f>parking_demand_data_2024_ver0!F869</f>
        <v>12</v>
      </c>
      <c r="H869" s="3">
        <f>parking_demand_data_2024_ver0!G869</f>
        <v>3</v>
      </c>
      <c r="I869" s="3">
        <f>parking_demand_data_2024_ver0!H869</f>
        <v>3</v>
      </c>
      <c r="J869" s="3">
        <f>parking_demand_data_2024_ver0!I869</f>
        <v>4</v>
      </c>
      <c r="K869" s="3">
        <f>parking_demand_data_2024_ver0!J869</f>
        <v>1</v>
      </c>
      <c r="L869" s="3">
        <f>parking_demand_data_2024_ver0!K869</f>
        <v>1</v>
      </c>
      <c r="M869" s="3">
        <f>parking_demand_data_2024_ver0!L869</f>
        <v>0</v>
      </c>
      <c r="N869" s="3">
        <f>parking_demand_data_2024_ver0!M869</f>
        <v>927</v>
      </c>
      <c r="O869" s="3">
        <f>parking_demand_data_2024_ver0!N869</f>
        <v>400</v>
      </c>
      <c r="P869" s="3">
        <f>parking_demand_data_2024_ver0!O869</f>
        <v>230</v>
      </c>
      <c r="Q869" s="3">
        <f>parking_demand_data_2024_ver0!P869</f>
        <v>64</v>
      </c>
      <c r="R869" s="3">
        <f>parking_demand_data_2024_ver0!Q869</f>
        <v>148</v>
      </c>
      <c r="S869" s="3">
        <f>parking_demand_data_2024_ver0!R869</f>
        <v>85</v>
      </c>
      <c r="T869" s="3">
        <f>parking_demand_data_2024_ver0!S869</f>
        <v>0</v>
      </c>
    </row>
    <row r="870" spans="1:20" x14ac:dyDescent="0.25">
      <c r="A870">
        <v>18073</v>
      </c>
      <c r="B870" t="s">
        <v>65</v>
      </c>
      <c r="C870">
        <v>4</v>
      </c>
      <c r="D870" s="3">
        <f>parking_demand_data_2024_ver0!D870*calibration!$I$31</f>
        <v>733.01800294770896</v>
      </c>
      <c r="E870" s="3">
        <f>parking_demand_data_2024_ver0!E870*calibration!$I$31</f>
        <v>30.295991585054399</v>
      </c>
      <c r="F870" s="3">
        <f t="shared" si="13"/>
        <v>763.31399453276333</v>
      </c>
      <c r="G870" s="3">
        <f>parking_demand_data_2024_ver0!F870</f>
        <v>12</v>
      </c>
      <c r="H870" s="3">
        <f>parking_demand_data_2024_ver0!G870</f>
        <v>3</v>
      </c>
      <c r="I870" s="3">
        <f>parking_demand_data_2024_ver0!H870</f>
        <v>3</v>
      </c>
      <c r="J870" s="3">
        <f>parking_demand_data_2024_ver0!I870</f>
        <v>4</v>
      </c>
      <c r="K870" s="3">
        <f>parking_demand_data_2024_ver0!J870</f>
        <v>1</v>
      </c>
      <c r="L870" s="3">
        <f>parking_demand_data_2024_ver0!K870</f>
        <v>1</v>
      </c>
      <c r="M870" s="3">
        <f>parking_demand_data_2024_ver0!L870</f>
        <v>0</v>
      </c>
      <c r="N870" s="3">
        <f>parking_demand_data_2024_ver0!M870</f>
        <v>927</v>
      </c>
      <c r="O870" s="3">
        <f>parking_demand_data_2024_ver0!N870</f>
        <v>400</v>
      </c>
      <c r="P870" s="3">
        <f>parking_demand_data_2024_ver0!O870</f>
        <v>230</v>
      </c>
      <c r="Q870" s="3">
        <f>parking_demand_data_2024_ver0!P870</f>
        <v>64</v>
      </c>
      <c r="R870" s="3">
        <f>parking_demand_data_2024_ver0!Q870</f>
        <v>148</v>
      </c>
      <c r="S870" s="3">
        <f>parking_demand_data_2024_ver0!R870</f>
        <v>85</v>
      </c>
      <c r="T870" s="3">
        <f>parking_demand_data_2024_ver0!S870</f>
        <v>0</v>
      </c>
    </row>
    <row r="871" spans="1:20" x14ac:dyDescent="0.25">
      <c r="A871">
        <v>18073</v>
      </c>
      <c r="B871" t="s">
        <v>65</v>
      </c>
      <c r="C871">
        <v>5</v>
      </c>
      <c r="D871" s="3">
        <f>parking_demand_data_2024_ver0!D871*calibration!$I$31</f>
        <v>674.60092093672802</v>
      </c>
      <c r="E871" s="3">
        <f>parking_demand_data_2024_ver0!E871*calibration!$I$31</f>
        <v>33.119547475852897</v>
      </c>
      <c r="F871" s="3">
        <f t="shared" si="13"/>
        <v>707.72046841258089</v>
      </c>
      <c r="G871" s="3">
        <f>parking_demand_data_2024_ver0!F871</f>
        <v>12</v>
      </c>
      <c r="H871" s="3">
        <f>parking_demand_data_2024_ver0!G871</f>
        <v>3</v>
      </c>
      <c r="I871" s="3">
        <f>parking_demand_data_2024_ver0!H871</f>
        <v>3</v>
      </c>
      <c r="J871" s="3">
        <f>parking_demand_data_2024_ver0!I871</f>
        <v>4</v>
      </c>
      <c r="K871" s="3">
        <f>parking_demand_data_2024_ver0!J871</f>
        <v>1</v>
      </c>
      <c r="L871" s="3">
        <f>parking_demand_data_2024_ver0!K871</f>
        <v>1</v>
      </c>
      <c r="M871" s="3">
        <f>parking_demand_data_2024_ver0!L871</f>
        <v>0</v>
      </c>
      <c r="N871" s="3">
        <f>parking_demand_data_2024_ver0!M871</f>
        <v>927</v>
      </c>
      <c r="O871" s="3">
        <f>parking_demand_data_2024_ver0!N871</f>
        <v>400</v>
      </c>
      <c r="P871" s="3">
        <f>parking_demand_data_2024_ver0!O871</f>
        <v>230</v>
      </c>
      <c r="Q871" s="3">
        <f>parking_demand_data_2024_ver0!P871</f>
        <v>64</v>
      </c>
      <c r="R871" s="3">
        <f>parking_demand_data_2024_ver0!Q871</f>
        <v>148</v>
      </c>
      <c r="S871" s="3">
        <f>parking_demand_data_2024_ver0!R871</f>
        <v>85</v>
      </c>
      <c r="T871" s="3">
        <f>parking_demand_data_2024_ver0!S871</f>
        <v>0</v>
      </c>
    </row>
    <row r="872" spans="1:20" x14ac:dyDescent="0.25">
      <c r="A872">
        <v>18073</v>
      </c>
      <c r="B872" t="s">
        <v>65</v>
      </c>
      <c r="C872">
        <v>6</v>
      </c>
      <c r="D872" s="3">
        <f>parking_demand_data_2024_ver0!D872*calibration!$I$31</f>
        <v>575.89093324083899</v>
      </c>
      <c r="E872" s="3">
        <f>parking_demand_data_2024_ver0!E872*calibration!$I$31</f>
        <v>23.962068911100999</v>
      </c>
      <c r="F872" s="3">
        <f t="shared" si="13"/>
        <v>599.85300215194002</v>
      </c>
      <c r="G872" s="3">
        <f>parking_demand_data_2024_ver0!F872</f>
        <v>12</v>
      </c>
      <c r="H872" s="3">
        <f>parking_demand_data_2024_ver0!G872</f>
        <v>3</v>
      </c>
      <c r="I872" s="3">
        <f>parking_demand_data_2024_ver0!H872</f>
        <v>3</v>
      </c>
      <c r="J872" s="3">
        <f>parking_demand_data_2024_ver0!I872</f>
        <v>4</v>
      </c>
      <c r="K872" s="3">
        <f>parking_demand_data_2024_ver0!J872</f>
        <v>1</v>
      </c>
      <c r="L872" s="3">
        <f>parking_demand_data_2024_ver0!K872</f>
        <v>1</v>
      </c>
      <c r="M872" s="3">
        <f>parking_demand_data_2024_ver0!L872</f>
        <v>0</v>
      </c>
      <c r="N872" s="3">
        <f>parking_demand_data_2024_ver0!M872</f>
        <v>927</v>
      </c>
      <c r="O872" s="3">
        <f>parking_demand_data_2024_ver0!N872</f>
        <v>400</v>
      </c>
      <c r="P872" s="3">
        <f>parking_demand_data_2024_ver0!O872</f>
        <v>230</v>
      </c>
      <c r="Q872" s="3">
        <f>parking_demand_data_2024_ver0!P872</f>
        <v>64</v>
      </c>
      <c r="R872" s="3">
        <f>parking_demand_data_2024_ver0!Q872</f>
        <v>148</v>
      </c>
      <c r="S872" s="3">
        <f>parking_demand_data_2024_ver0!R872</f>
        <v>85</v>
      </c>
      <c r="T872" s="3">
        <f>parking_demand_data_2024_ver0!S872</f>
        <v>0</v>
      </c>
    </row>
    <row r="873" spans="1:20" x14ac:dyDescent="0.25">
      <c r="A873">
        <v>18073</v>
      </c>
      <c r="B873" t="s">
        <v>65</v>
      </c>
      <c r="C873">
        <v>7</v>
      </c>
      <c r="D873" s="3">
        <f>parking_demand_data_2024_ver0!D873*calibration!$I$31</f>
        <v>470.08389965726798</v>
      </c>
      <c r="E873" s="3">
        <f>parking_demand_data_2024_ver0!E873*calibration!$I$31</f>
        <v>15.0716834711542</v>
      </c>
      <c r="F873" s="3">
        <f t="shared" si="13"/>
        <v>485.15558312842217</v>
      </c>
      <c r="G873" s="3">
        <f>parking_demand_data_2024_ver0!F873</f>
        <v>12</v>
      </c>
      <c r="H873" s="3">
        <f>parking_demand_data_2024_ver0!G873</f>
        <v>3</v>
      </c>
      <c r="I873" s="3">
        <f>parking_demand_data_2024_ver0!H873</f>
        <v>3</v>
      </c>
      <c r="J873" s="3">
        <f>parking_demand_data_2024_ver0!I873</f>
        <v>4</v>
      </c>
      <c r="K873" s="3">
        <f>parking_demand_data_2024_ver0!J873</f>
        <v>1</v>
      </c>
      <c r="L873" s="3">
        <f>parking_demand_data_2024_ver0!K873</f>
        <v>1</v>
      </c>
      <c r="M873" s="3">
        <f>parking_demand_data_2024_ver0!L873</f>
        <v>0</v>
      </c>
      <c r="N873" s="3">
        <f>parking_demand_data_2024_ver0!M873</f>
        <v>927</v>
      </c>
      <c r="O873" s="3">
        <f>parking_demand_data_2024_ver0!N873</f>
        <v>400</v>
      </c>
      <c r="P873" s="3">
        <f>parking_demand_data_2024_ver0!O873</f>
        <v>230</v>
      </c>
      <c r="Q873" s="3">
        <f>parking_demand_data_2024_ver0!P873</f>
        <v>64</v>
      </c>
      <c r="R873" s="3">
        <f>parking_demand_data_2024_ver0!Q873</f>
        <v>148</v>
      </c>
      <c r="S873" s="3">
        <f>parking_demand_data_2024_ver0!R873</f>
        <v>85</v>
      </c>
      <c r="T873" s="3">
        <f>parking_demand_data_2024_ver0!S873</f>
        <v>0</v>
      </c>
    </row>
    <row r="874" spans="1:20" x14ac:dyDescent="0.25">
      <c r="A874">
        <v>18073</v>
      </c>
      <c r="B874" t="s">
        <v>65</v>
      </c>
      <c r="C874">
        <v>8</v>
      </c>
      <c r="D874" s="3">
        <f>parking_demand_data_2024_ver0!D874*calibration!$I$31</f>
        <v>376.067119725814</v>
      </c>
      <c r="E874" s="3">
        <f>parking_demand_data_2024_ver0!E874*calibration!$I$31</f>
        <v>10.6074126708377</v>
      </c>
      <c r="F874" s="3">
        <f t="shared" si="13"/>
        <v>386.67453239665167</v>
      </c>
      <c r="G874" s="3">
        <f>parking_demand_data_2024_ver0!F874</f>
        <v>12</v>
      </c>
      <c r="H874" s="3">
        <f>parking_demand_data_2024_ver0!G874</f>
        <v>3</v>
      </c>
      <c r="I874" s="3">
        <f>parking_demand_data_2024_ver0!H874</f>
        <v>3</v>
      </c>
      <c r="J874" s="3">
        <f>parking_demand_data_2024_ver0!I874</f>
        <v>4</v>
      </c>
      <c r="K874" s="3">
        <f>parking_demand_data_2024_ver0!J874</f>
        <v>1</v>
      </c>
      <c r="L874" s="3">
        <f>parking_demand_data_2024_ver0!K874</f>
        <v>1</v>
      </c>
      <c r="M874" s="3">
        <f>parking_demand_data_2024_ver0!L874</f>
        <v>0</v>
      </c>
      <c r="N874" s="3">
        <f>parking_demand_data_2024_ver0!M874</f>
        <v>927</v>
      </c>
      <c r="O874" s="3">
        <f>parking_demand_data_2024_ver0!N874</f>
        <v>400</v>
      </c>
      <c r="P874" s="3">
        <f>parking_demand_data_2024_ver0!O874</f>
        <v>230</v>
      </c>
      <c r="Q874" s="3">
        <f>parking_demand_data_2024_ver0!P874</f>
        <v>64</v>
      </c>
      <c r="R874" s="3">
        <f>parking_demand_data_2024_ver0!Q874</f>
        <v>148</v>
      </c>
      <c r="S874" s="3">
        <f>parking_demand_data_2024_ver0!R874</f>
        <v>85</v>
      </c>
      <c r="T874" s="3">
        <f>parking_demand_data_2024_ver0!S874</f>
        <v>0</v>
      </c>
    </row>
    <row r="875" spans="1:20" x14ac:dyDescent="0.25">
      <c r="A875">
        <v>18073</v>
      </c>
      <c r="B875" t="s">
        <v>65</v>
      </c>
      <c r="C875">
        <v>9</v>
      </c>
      <c r="D875" s="3">
        <f>parking_demand_data_2024_ver0!D875*calibration!$I$31</f>
        <v>317.95528700032497</v>
      </c>
      <c r="E875" s="3">
        <f>parking_demand_data_2024_ver0!E875*calibration!$I$31</f>
        <v>9.2719470468113698</v>
      </c>
      <c r="F875" s="3">
        <f t="shared" si="13"/>
        <v>327.22723404713633</v>
      </c>
      <c r="G875" s="3">
        <f>parking_demand_data_2024_ver0!F875</f>
        <v>12</v>
      </c>
      <c r="H875" s="3">
        <f>parking_demand_data_2024_ver0!G875</f>
        <v>3</v>
      </c>
      <c r="I875" s="3">
        <f>parking_demand_data_2024_ver0!H875</f>
        <v>3</v>
      </c>
      <c r="J875" s="3">
        <f>parking_demand_data_2024_ver0!I875</f>
        <v>4</v>
      </c>
      <c r="K875" s="3">
        <f>parking_demand_data_2024_ver0!J875</f>
        <v>1</v>
      </c>
      <c r="L875" s="3">
        <f>parking_demand_data_2024_ver0!K875</f>
        <v>1</v>
      </c>
      <c r="M875" s="3">
        <f>parking_demand_data_2024_ver0!L875</f>
        <v>0</v>
      </c>
      <c r="N875" s="3">
        <f>parking_demand_data_2024_ver0!M875</f>
        <v>927</v>
      </c>
      <c r="O875" s="3">
        <f>parking_demand_data_2024_ver0!N875</f>
        <v>400</v>
      </c>
      <c r="P875" s="3">
        <f>parking_demand_data_2024_ver0!O875</f>
        <v>230</v>
      </c>
      <c r="Q875" s="3">
        <f>parking_demand_data_2024_ver0!P875</f>
        <v>64</v>
      </c>
      <c r="R875" s="3">
        <f>parking_demand_data_2024_ver0!Q875</f>
        <v>148</v>
      </c>
      <c r="S875" s="3">
        <f>parking_demand_data_2024_ver0!R875</f>
        <v>85</v>
      </c>
      <c r="T875" s="3">
        <f>parking_demand_data_2024_ver0!S875</f>
        <v>0</v>
      </c>
    </row>
    <row r="876" spans="1:20" x14ac:dyDescent="0.25">
      <c r="A876">
        <v>18073</v>
      </c>
      <c r="B876" t="s">
        <v>65</v>
      </c>
      <c r="C876">
        <v>10</v>
      </c>
      <c r="D876" s="3">
        <f>parking_demand_data_2024_ver0!D876*calibration!$I$31</f>
        <v>294.069530410597</v>
      </c>
      <c r="E876" s="3">
        <f>parking_demand_data_2024_ver0!E876*calibration!$I$31</f>
        <v>8.1272622262173702</v>
      </c>
      <c r="F876" s="3">
        <f t="shared" si="13"/>
        <v>302.19679263681439</v>
      </c>
      <c r="G876" s="3">
        <f>parking_demand_data_2024_ver0!F876</f>
        <v>12</v>
      </c>
      <c r="H876" s="3">
        <f>parking_demand_data_2024_ver0!G876</f>
        <v>3</v>
      </c>
      <c r="I876" s="3">
        <f>parking_demand_data_2024_ver0!H876</f>
        <v>3</v>
      </c>
      <c r="J876" s="3">
        <f>parking_demand_data_2024_ver0!I876</f>
        <v>4</v>
      </c>
      <c r="K876" s="3">
        <f>parking_demand_data_2024_ver0!J876</f>
        <v>1</v>
      </c>
      <c r="L876" s="3">
        <f>parking_demand_data_2024_ver0!K876</f>
        <v>1</v>
      </c>
      <c r="M876" s="3">
        <f>parking_demand_data_2024_ver0!L876</f>
        <v>0</v>
      </c>
      <c r="N876" s="3">
        <f>parking_demand_data_2024_ver0!M876</f>
        <v>927</v>
      </c>
      <c r="O876" s="3">
        <f>parking_demand_data_2024_ver0!N876</f>
        <v>400</v>
      </c>
      <c r="P876" s="3">
        <f>parking_demand_data_2024_ver0!O876</f>
        <v>230</v>
      </c>
      <c r="Q876" s="3">
        <f>parking_demand_data_2024_ver0!P876</f>
        <v>64</v>
      </c>
      <c r="R876" s="3">
        <f>parking_demand_data_2024_ver0!Q876</f>
        <v>148</v>
      </c>
      <c r="S876" s="3">
        <f>parking_demand_data_2024_ver0!R876</f>
        <v>85</v>
      </c>
      <c r="T876" s="3">
        <f>parking_demand_data_2024_ver0!S876</f>
        <v>0</v>
      </c>
    </row>
    <row r="877" spans="1:20" x14ac:dyDescent="0.25">
      <c r="A877">
        <v>18073</v>
      </c>
      <c r="B877" t="s">
        <v>65</v>
      </c>
      <c r="C877">
        <v>11</v>
      </c>
      <c r="D877" s="3">
        <f>parking_demand_data_2024_ver0!D877*calibration!$I$31</f>
        <v>292.00909773352799</v>
      </c>
      <c r="E877" s="3">
        <f>parking_demand_data_2024_ver0!E877*calibration!$I$31</f>
        <v>8.2417307082767692</v>
      </c>
      <c r="F877" s="3">
        <f t="shared" si="13"/>
        <v>300.25082844180474</v>
      </c>
      <c r="G877" s="3">
        <f>parking_demand_data_2024_ver0!F877</f>
        <v>12</v>
      </c>
      <c r="H877" s="3">
        <f>parking_demand_data_2024_ver0!G877</f>
        <v>3</v>
      </c>
      <c r="I877" s="3">
        <f>parking_demand_data_2024_ver0!H877</f>
        <v>3</v>
      </c>
      <c r="J877" s="3">
        <f>parking_demand_data_2024_ver0!I877</f>
        <v>4</v>
      </c>
      <c r="K877" s="3">
        <f>parking_demand_data_2024_ver0!J877</f>
        <v>1</v>
      </c>
      <c r="L877" s="3">
        <f>parking_demand_data_2024_ver0!K877</f>
        <v>1</v>
      </c>
      <c r="M877" s="3">
        <f>parking_demand_data_2024_ver0!L877</f>
        <v>0</v>
      </c>
      <c r="N877" s="3">
        <f>parking_demand_data_2024_ver0!M877</f>
        <v>927</v>
      </c>
      <c r="O877" s="3">
        <f>parking_demand_data_2024_ver0!N877</f>
        <v>400</v>
      </c>
      <c r="P877" s="3">
        <f>parking_demand_data_2024_ver0!O877</f>
        <v>230</v>
      </c>
      <c r="Q877" s="3">
        <f>parking_demand_data_2024_ver0!P877</f>
        <v>64</v>
      </c>
      <c r="R877" s="3">
        <f>parking_demand_data_2024_ver0!Q877</f>
        <v>148</v>
      </c>
      <c r="S877" s="3">
        <f>parking_demand_data_2024_ver0!R877</f>
        <v>85</v>
      </c>
      <c r="T877" s="3">
        <f>parking_demand_data_2024_ver0!S877</f>
        <v>0</v>
      </c>
    </row>
    <row r="878" spans="1:20" x14ac:dyDescent="0.25">
      <c r="A878">
        <v>18073</v>
      </c>
      <c r="B878" t="s">
        <v>65</v>
      </c>
      <c r="C878">
        <v>12</v>
      </c>
      <c r="D878" s="3">
        <f>parking_demand_data_2024_ver0!D878*calibration!$I$31</f>
        <v>299.98373531700003</v>
      </c>
      <c r="E878" s="3">
        <f>parking_demand_data_2024_ver0!E878*calibration!$I$31</f>
        <v>10.111382581913601</v>
      </c>
      <c r="F878" s="3">
        <f t="shared" si="13"/>
        <v>310.0951178989136</v>
      </c>
      <c r="G878" s="3">
        <f>parking_demand_data_2024_ver0!F878</f>
        <v>12</v>
      </c>
      <c r="H878" s="3">
        <f>parking_demand_data_2024_ver0!G878</f>
        <v>3</v>
      </c>
      <c r="I878" s="3">
        <f>parking_demand_data_2024_ver0!H878</f>
        <v>3</v>
      </c>
      <c r="J878" s="3">
        <f>parking_demand_data_2024_ver0!I878</f>
        <v>4</v>
      </c>
      <c r="K878" s="3">
        <f>parking_demand_data_2024_ver0!J878</f>
        <v>1</v>
      </c>
      <c r="L878" s="3">
        <f>parking_demand_data_2024_ver0!K878</f>
        <v>1</v>
      </c>
      <c r="M878" s="3">
        <f>parking_demand_data_2024_ver0!L878</f>
        <v>0</v>
      </c>
      <c r="N878" s="3">
        <f>parking_demand_data_2024_ver0!M878</f>
        <v>927</v>
      </c>
      <c r="O878" s="3">
        <f>parking_demand_data_2024_ver0!N878</f>
        <v>400</v>
      </c>
      <c r="P878" s="3">
        <f>parking_demand_data_2024_ver0!O878</f>
        <v>230</v>
      </c>
      <c r="Q878" s="3">
        <f>parking_demand_data_2024_ver0!P878</f>
        <v>64</v>
      </c>
      <c r="R878" s="3">
        <f>parking_demand_data_2024_ver0!Q878</f>
        <v>148</v>
      </c>
      <c r="S878" s="3">
        <f>parking_demand_data_2024_ver0!R878</f>
        <v>85</v>
      </c>
      <c r="T878" s="3">
        <f>parking_demand_data_2024_ver0!S878</f>
        <v>0</v>
      </c>
    </row>
    <row r="879" spans="1:20" x14ac:dyDescent="0.25">
      <c r="A879">
        <v>18073</v>
      </c>
      <c r="B879" t="s">
        <v>65</v>
      </c>
      <c r="C879">
        <v>13</v>
      </c>
      <c r="D879" s="3">
        <f>parking_demand_data_2024_ver0!D879*calibration!$I$31</f>
        <v>313.52917236069499</v>
      </c>
      <c r="E879" s="3">
        <f>parking_demand_data_2024_ver0!E879*calibration!$I$31</f>
        <v>11.7139413307452</v>
      </c>
      <c r="F879" s="3">
        <f t="shared" si="13"/>
        <v>325.24311369144016</v>
      </c>
      <c r="G879" s="3">
        <f>parking_demand_data_2024_ver0!F879</f>
        <v>12</v>
      </c>
      <c r="H879" s="3">
        <f>parking_demand_data_2024_ver0!G879</f>
        <v>3</v>
      </c>
      <c r="I879" s="3">
        <f>parking_demand_data_2024_ver0!H879</f>
        <v>3</v>
      </c>
      <c r="J879" s="3">
        <f>parking_demand_data_2024_ver0!I879</f>
        <v>4</v>
      </c>
      <c r="K879" s="3">
        <f>parking_demand_data_2024_ver0!J879</f>
        <v>1</v>
      </c>
      <c r="L879" s="3">
        <f>parking_demand_data_2024_ver0!K879</f>
        <v>1</v>
      </c>
      <c r="M879" s="3">
        <f>parking_demand_data_2024_ver0!L879</f>
        <v>0</v>
      </c>
      <c r="N879" s="3">
        <f>parking_demand_data_2024_ver0!M879</f>
        <v>927</v>
      </c>
      <c r="O879" s="3">
        <f>parking_demand_data_2024_ver0!N879</f>
        <v>400</v>
      </c>
      <c r="P879" s="3">
        <f>parking_demand_data_2024_ver0!O879</f>
        <v>230</v>
      </c>
      <c r="Q879" s="3">
        <f>parking_demand_data_2024_ver0!P879</f>
        <v>64</v>
      </c>
      <c r="R879" s="3">
        <f>parking_demand_data_2024_ver0!Q879</f>
        <v>148</v>
      </c>
      <c r="S879" s="3">
        <f>parking_demand_data_2024_ver0!R879</f>
        <v>85</v>
      </c>
      <c r="T879" s="3">
        <f>parking_demand_data_2024_ver0!S879</f>
        <v>0</v>
      </c>
    </row>
    <row r="880" spans="1:20" x14ac:dyDescent="0.25">
      <c r="A880">
        <v>18073</v>
      </c>
      <c r="B880" t="s">
        <v>65</v>
      </c>
      <c r="C880">
        <v>14</v>
      </c>
      <c r="D880" s="3">
        <f>parking_demand_data_2024_ver0!D880*calibration!$I$31</f>
        <v>336.34655645120199</v>
      </c>
      <c r="E880" s="3">
        <f>parking_demand_data_2024_ver0!E880*calibration!$I$31</f>
        <v>10.9126619563294</v>
      </c>
      <c r="F880" s="3">
        <f t="shared" si="13"/>
        <v>347.25921840753136</v>
      </c>
      <c r="G880" s="3">
        <f>parking_demand_data_2024_ver0!F880</f>
        <v>12</v>
      </c>
      <c r="H880" s="3">
        <f>parking_demand_data_2024_ver0!G880</f>
        <v>3</v>
      </c>
      <c r="I880" s="3">
        <f>parking_demand_data_2024_ver0!H880</f>
        <v>3</v>
      </c>
      <c r="J880" s="3">
        <f>parking_demand_data_2024_ver0!I880</f>
        <v>4</v>
      </c>
      <c r="K880" s="3">
        <f>parking_demand_data_2024_ver0!J880</f>
        <v>1</v>
      </c>
      <c r="L880" s="3">
        <f>parking_demand_data_2024_ver0!K880</f>
        <v>1</v>
      </c>
      <c r="M880" s="3">
        <f>parking_demand_data_2024_ver0!L880</f>
        <v>0</v>
      </c>
      <c r="N880" s="3">
        <f>parking_demand_data_2024_ver0!M880</f>
        <v>927</v>
      </c>
      <c r="O880" s="3">
        <f>parking_demand_data_2024_ver0!N880</f>
        <v>400</v>
      </c>
      <c r="P880" s="3">
        <f>parking_demand_data_2024_ver0!O880</f>
        <v>230</v>
      </c>
      <c r="Q880" s="3">
        <f>parking_demand_data_2024_ver0!P880</f>
        <v>64</v>
      </c>
      <c r="R880" s="3">
        <f>parking_demand_data_2024_ver0!Q880</f>
        <v>148</v>
      </c>
      <c r="S880" s="3">
        <f>parking_demand_data_2024_ver0!R880</f>
        <v>85</v>
      </c>
      <c r="T880" s="3">
        <f>parking_demand_data_2024_ver0!S880</f>
        <v>0</v>
      </c>
    </row>
    <row r="881" spans="1:20" x14ac:dyDescent="0.25">
      <c r="A881">
        <v>18073</v>
      </c>
      <c r="B881" t="s">
        <v>65</v>
      </c>
      <c r="C881">
        <v>15</v>
      </c>
      <c r="D881" s="3">
        <f>parking_demand_data_2024_ver0!D881*calibration!$I$31</f>
        <v>369.38979160568198</v>
      </c>
      <c r="E881" s="3">
        <f>parking_demand_data_2024_ver0!E881*calibration!$I$31</f>
        <v>9.2337908861249094</v>
      </c>
      <c r="F881" s="3">
        <f t="shared" si="13"/>
        <v>378.62358249180687</v>
      </c>
      <c r="G881" s="3">
        <f>parking_demand_data_2024_ver0!F881</f>
        <v>12</v>
      </c>
      <c r="H881" s="3">
        <f>parking_demand_data_2024_ver0!G881</f>
        <v>3</v>
      </c>
      <c r="I881" s="3">
        <f>parking_demand_data_2024_ver0!H881</f>
        <v>3</v>
      </c>
      <c r="J881" s="3">
        <f>parking_demand_data_2024_ver0!I881</f>
        <v>4</v>
      </c>
      <c r="K881" s="3">
        <f>parking_demand_data_2024_ver0!J881</f>
        <v>1</v>
      </c>
      <c r="L881" s="3">
        <f>parking_demand_data_2024_ver0!K881</f>
        <v>1</v>
      </c>
      <c r="M881" s="3">
        <f>parking_demand_data_2024_ver0!L881</f>
        <v>0</v>
      </c>
      <c r="N881" s="3">
        <f>parking_demand_data_2024_ver0!M881</f>
        <v>927</v>
      </c>
      <c r="O881" s="3">
        <f>parking_demand_data_2024_ver0!N881</f>
        <v>400</v>
      </c>
      <c r="P881" s="3">
        <f>parking_demand_data_2024_ver0!O881</f>
        <v>230</v>
      </c>
      <c r="Q881" s="3">
        <f>parking_demand_data_2024_ver0!P881</f>
        <v>64</v>
      </c>
      <c r="R881" s="3">
        <f>parking_demand_data_2024_ver0!Q881</f>
        <v>148</v>
      </c>
      <c r="S881" s="3">
        <f>parking_demand_data_2024_ver0!R881</f>
        <v>85</v>
      </c>
      <c r="T881" s="3">
        <f>parking_demand_data_2024_ver0!S881</f>
        <v>0</v>
      </c>
    </row>
    <row r="882" spans="1:20" x14ac:dyDescent="0.25">
      <c r="A882">
        <v>18073</v>
      </c>
      <c r="B882" t="s">
        <v>65</v>
      </c>
      <c r="C882">
        <v>16</v>
      </c>
      <c r="D882" s="3">
        <f>parking_demand_data_2024_ver0!D882*calibration!$I$31</f>
        <v>413.42200103786502</v>
      </c>
      <c r="E882" s="3">
        <f>parking_demand_data_2024_ver0!E882*calibration!$I$31</f>
        <v>8.0509499048444404</v>
      </c>
      <c r="F882" s="3">
        <f t="shared" si="13"/>
        <v>421.47295094270947</v>
      </c>
      <c r="G882" s="3">
        <f>parking_demand_data_2024_ver0!F882</f>
        <v>12</v>
      </c>
      <c r="H882" s="3">
        <f>parking_demand_data_2024_ver0!G882</f>
        <v>3</v>
      </c>
      <c r="I882" s="3">
        <f>parking_demand_data_2024_ver0!H882</f>
        <v>3</v>
      </c>
      <c r="J882" s="3">
        <f>parking_demand_data_2024_ver0!I882</f>
        <v>4</v>
      </c>
      <c r="K882" s="3">
        <f>parking_demand_data_2024_ver0!J882</f>
        <v>1</v>
      </c>
      <c r="L882" s="3">
        <f>parking_demand_data_2024_ver0!K882</f>
        <v>1</v>
      </c>
      <c r="M882" s="3">
        <f>parking_demand_data_2024_ver0!L882</f>
        <v>0</v>
      </c>
      <c r="N882" s="3">
        <f>parking_demand_data_2024_ver0!M882</f>
        <v>927</v>
      </c>
      <c r="O882" s="3">
        <f>parking_demand_data_2024_ver0!N882</f>
        <v>400</v>
      </c>
      <c r="P882" s="3">
        <f>parking_demand_data_2024_ver0!O882</f>
        <v>230</v>
      </c>
      <c r="Q882" s="3">
        <f>parking_demand_data_2024_ver0!P882</f>
        <v>64</v>
      </c>
      <c r="R882" s="3">
        <f>parking_demand_data_2024_ver0!Q882</f>
        <v>148</v>
      </c>
      <c r="S882" s="3">
        <f>parking_demand_data_2024_ver0!R882</f>
        <v>85</v>
      </c>
      <c r="T882" s="3">
        <f>parking_demand_data_2024_ver0!S882</f>
        <v>0</v>
      </c>
    </row>
    <row r="883" spans="1:20" x14ac:dyDescent="0.25">
      <c r="A883">
        <v>18073</v>
      </c>
      <c r="B883" t="s">
        <v>65</v>
      </c>
      <c r="C883">
        <v>17</v>
      </c>
      <c r="D883" s="3">
        <f>parking_demand_data_2024_ver0!D883*calibration!$I$31</f>
        <v>470.88517903168298</v>
      </c>
      <c r="E883" s="3">
        <f>parking_demand_data_2024_ver0!E883*calibration!$I$31</f>
        <v>8.0509499048444404</v>
      </c>
      <c r="F883" s="3">
        <f t="shared" si="13"/>
        <v>478.93612893652744</v>
      </c>
      <c r="G883" s="3">
        <f>parking_demand_data_2024_ver0!F883</f>
        <v>12</v>
      </c>
      <c r="H883" s="3">
        <f>parking_demand_data_2024_ver0!G883</f>
        <v>3</v>
      </c>
      <c r="I883" s="3">
        <f>parking_demand_data_2024_ver0!H883</f>
        <v>3</v>
      </c>
      <c r="J883" s="3">
        <f>parking_demand_data_2024_ver0!I883</f>
        <v>4</v>
      </c>
      <c r="K883" s="3">
        <f>parking_demand_data_2024_ver0!J883</f>
        <v>1</v>
      </c>
      <c r="L883" s="3">
        <f>parking_demand_data_2024_ver0!K883</f>
        <v>1</v>
      </c>
      <c r="M883" s="3">
        <f>parking_demand_data_2024_ver0!L883</f>
        <v>0</v>
      </c>
      <c r="N883" s="3">
        <f>parking_demand_data_2024_ver0!M883</f>
        <v>927</v>
      </c>
      <c r="O883" s="3">
        <f>parking_demand_data_2024_ver0!N883</f>
        <v>400</v>
      </c>
      <c r="P883" s="3">
        <f>parking_demand_data_2024_ver0!O883</f>
        <v>230</v>
      </c>
      <c r="Q883" s="3">
        <f>parking_demand_data_2024_ver0!P883</f>
        <v>64</v>
      </c>
      <c r="R883" s="3">
        <f>parking_demand_data_2024_ver0!Q883</f>
        <v>148</v>
      </c>
      <c r="S883" s="3">
        <f>parking_demand_data_2024_ver0!R883</f>
        <v>85</v>
      </c>
      <c r="T883" s="3">
        <f>parking_demand_data_2024_ver0!S883</f>
        <v>0</v>
      </c>
    </row>
    <row r="884" spans="1:20" x14ac:dyDescent="0.25">
      <c r="A884">
        <v>18073</v>
      </c>
      <c r="B884" t="s">
        <v>65</v>
      </c>
      <c r="C884">
        <v>18</v>
      </c>
      <c r="D884" s="3">
        <f>parking_demand_data_2024_ver0!D884*calibration!$I$31</f>
        <v>533.15603327199699</v>
      </c>
      <c r="E884" s="3">
        <f>parking_demand_data_2024_ver0!E884*calibration!$I$31</f>
        <v>8.0127937441579693</v>
      </c>
      <c r="F884" s="3">
        <f t="shared" si="13"/>
        <v>541.16882701615498</v>
      </c>
      <c r="G884" s="3">
        <f>parking_demand_data_2024_ver0!F884</f>
        <v>12</v>
      </c>
      <c r="H884" s="3">
        <f>parking_demand_data_2024_ver0!G884</f>
        <v>3</v>
      </c>
      <c r="I884" s="3">
        <f>parking_demand_data_2024_ver0!H884</f>
        <v>3</v>
      </c>
      <c r="J884" s="3">
        <f>parking_demand_data_2024_ver0!I884</f>
        <v>4</v>
      </c>
      <c r="K884" s="3">
        <f>parking_demand_data_2024_ver0!J884</f>
        <v>1</v>
      </c>
      <c r="L884" s="3">
        <f>parking_demand_data_2024_ver0!K884</f>
        <v>1</v>
      </c>
      <c r="M884" s="3">
        <f>parking_demand_data_2024_ver0!L884</f>
        <v>0</v>
      </c>
      <c r="N884" s="3">
        <f>parking_demand_data_2024_ver0!M884</f>
        <v>927</v>
      </c>
      <c r="O884" s="3">
        <f>parking_demand_data_2024_ver0!N884</f>
        <v>400</v>
      </c>
      <c r="P884" s="3">
        <f>parking_demand_data_2024_ver0!O884</f>
        <v>230</v>
      </c>
      <c r="Q884" s="3">
        <f>parking_demand_data_2024_ver0!P884</f>
        <v>64</v>
      </c>
      <c r="R884" s="3">
        <f>parking_demand_data_2024_ver0!Q884</f>
        <v>148</v>
      </c>
      <c r="S884" s="3">
        <f>parking_demand_data_2024_ver0!R884</f>
        <v>85</v>
      </c>
      <c r="T884" s="3">
        <f>parking_demand_data_2024_ver0!S884</f>
        <v>0</v>
      </c>
    </row>
    <row r="885" spans="1:20" x14ac:dyDescent="0.25">
      <c r="A885">
        <v>18073</v>
      </c>
      <c r="B885" t="s">
        <v>65</v>
      </c>
      <c r="C885">
        <v>19</v>
      </c>
      <c r="D885" s="3">
        <f>parking_demand_data_2024_ver0!D885*calibration!$I$31</f>
        <v>599.31881590233002</v>
      </c>
      <c r="E885" s="3">
        <f>parking_demand_data_2024_ver0!E885*calibration!$I$31</f>
        <v>9.6153524929895706</v>
      </c>
      <c r="F885" s="3">
        <f t="shared" si="13"/>
        <v>608.9341683953196</v>
      </c>
      <c r="G885" s="3">
        <f>parking_demand_data_2024_ver0!F885</f>
        <v>12</v>
      </c>
      <c r="H885" s="3">
        <f>parking_demand_data_2024_ver0!G885</f>
        <v>3</v>
      </c>
      <c r="I885" s="3">
        <f>parking_demand_data_2024_ver0!H885</f>
        <v>3</v>
      </c>
      <c r="J885" s="3">
        <f>parking_demand_data_2024_ver0!I885</f>
        <v>4</v>
      </c>
      <c r="K885" s="3">
        <f>parking_demand_data_2024_ver0!J885</f>
        <v>1</v>
      </c>
      <c r="L885" s="3">
        <f>parking_demand_data_2024_ver0!K885</f>
        <v>1</v>
      </c>
      <c r="M885" s="3">
        <f>parking_demand_data_2024_ver0!L885</f>
        <v>0</v>
      </c>
      <c r="N885" s="3">
        <f>parking_demand_data_2024_ver0!M885</f>
        <v>927</v>
      </c>
      <c r="O885" s="3">
        <f>parking_demand_data_2024_ver0!N885</f>
        <v>400</v>
      </c>
      <c r="P885" s="3">
        <f>parking_demand_data_2024_ver0!O885</f>
        <v>230</v>
      </c>
      <c r="Q885" s="3">
        <f>parking_demand_data_2024_ver0!P885</f>
        <v>64</v>
      </c>
      <c r="R885" s="3">
        <f>parking_demand_data_2024_ver0!Q885</f>
        <v>148</v>
      </c>
      <c r="S885" s="3">
        <f>parking_demand_data_2024_ver0!R885</f>
        <v>85</v>
      </c>
      <c r="T885" s="3">
        <f>parking_demand_data_2024_ver0!S885</f>
        <v>0</v>
      </c>
    </row>
    <row r="886" spans="1:20" x14ac:dyDescent="0.25">
      <c r="A886">
        <v>18073</v>
      </c>
      <c r="B886" t="s">
        <v>65</v>
      </c>
      <c r="C886">
        <v>20</v>
      </c>
      <c r="D886" s="3">
        <f>parking_demand_data_2024_ver0!D886*calibration!$I$31</f>
        <v>656.17149532516498</v>
      </c>
      <c r="E886" s="3">
        <f>parking_demand_data_2024_ver0!E886*calibration!$I$31</f>
        <v>10.225851063973</v>
      </c>
      <c r="F886" s="3">
        <f t="shared" si="13"/>
        <v>666.39734638913797</v>
      </c>
      <c r="G886" s="3">
        <f>parking_demand_data_2024_ver0!F886</f>
        <v>12</v>
      </c>
      <c r="H886" s="3">
        <f>parking_demand_data_2024_ver0!G886</f>
        <v>3</v>
      </c>
      <c r="I886" s="3">
        <f>parking_demand_data_2024_ver0!H886</f>
        <v>3</v>
      </c>
      <c r="J886" s="3">
        <f>parking_demand_data_2024_ver0!I886</f>
        <v>4</v>
      </c>
      <c r="K886" s="3">
        <f>parking_demand_data_2024_ver0!J886</f>
        <v>1</v>
      </c>
      <c r="L886" s="3">
        <f>parking_demand_data_2024_ver0!K886</f>
        <v>1</v>
      </c>
      <c r="M886" s="3">
        <f>parking_demand_data_2024_ver0!L886</f>
        <v>0</v>
      </c>
      <c r="N886" s="3">
        <f>parking_demand_data_2024_ver0!M886</f>
        <v>927</v>
      </c>
      <c r="O886" s="3">
        <f>parking_demand_data_2024_ver0!N886</f>
        <v>400</v>
      </c>
      <c r="P886" s="3">
        <f>parking_demand_data_2024_ver0!O886</f>
        <v>230</v>
      </c>
      <c r="Q886" s="3">
        <f>parking_demand_data_2024_ver0!P886</f>
        <v>64</v>
      </c>
      <c r="R886" s="3">
        <f>parking_demand_data_2024_ver0!Q886</f>
        <v>148</v>
      </c>
      <c r="S886" s="3">
        <f>parking_demand_data_2024_ver0!R886</f>
        <v>85</v>
      </c>
      <c r="T886" s="3">
        <f>parking_demand_data_2024_ver0!S886</f>
        <v>0</v>
      </c>
    </row>
    <row r="887" spans="1:20" x14ac:dyDescent="0.25">
      <c r="A887">
        <v>18073</v>
      </c>
      <c r="B887" t="s">
        <v>65</v>
      </c>
      <c r="C887">
        <v>21</v>
      </c>
      <c r="D887" s="3">
        <f>parking_demand_data_2024_ver0!D887*calibration!$I$31</f>
        <v>697.57092966998096</v>
      </c>
      <c r="E887" s="3">
        <f>parking_demand_data_2024_ver0!E887*calibration!$I$31</f>
        <v>11.904722134177501</v>
      </c>
      <c r="F887" s="3">
        <f t="shared" si="13"/>
        <v>709.47565180415847</v>
      </c>
      <c r="G887" s="3">
        <f>parking_demand_data_2024_ver0!F887</f>
        <v>12</v>
      </c>
      <c r="H887" s="3">
        <f>parking_demand_data_2024_ver0!G887</f>
        <v>3</v>
      </c>
      <c r="I887" s="3">
        <f>parking_demand_data_2024_ver0!H887</f>
        <v>3</v>
      </c>
      <c r="J887" s="3">
        <f>parking_demand_data_2024_ver0!I887</f>
        <v>4</v>
      </c>
      <c r="K887" s="3">
        <f>parking_demand_data_2024_ver0!J887</f>
        <v>1</v>
      </c>
      <c r="L887" s="3">
        <f>parking_demand_data_2024_ver0!K887</f>
        <v>1</v>
      </c>
      <c r="M887" s="3">
        <f>parking_demand_data_2024_ver0!L887</f>
        <v>0</v>
      </c>
      <c r="N887" s="3">
        <f>parking_demand_data_2024_ver0!M887</f>
        <v>927</v>
      </c>
      <c r="O887" s="3">
        <f>parking_demand_data_2024_ver0!N887</f>
        <v>400</v>
      </c>
      <c r="P887" s="3">
        <f>parking_demand_data_2024_ver0!O887</f>
        <v>230</v>
      </c>
      <c r="Q887" s="3">
        <f>parking_demand_data_2024_ver0!P887</f>
        <v>64</v>
      </c>
      <c r="R887" s="3">
        <f>parking_demand_data_2024_ver0!Q887</f>
        <v>148</v>
      </c>
      <c r="S887" s="3">
        <f>parking_demand_data_2024_ver0!R887</f>
        <v>85</v>
      </c>
      <c r="T887" s="3">
        <f>parking_demand_data_2024_ver0!S887</f>
        <v>0</v>
      </c>
    </row>
    <row r="888" spans="1:20" x14ac:dyDescent="0.25">
      <c r="A888">
        <v>18073</v>
      </c>
      <c r="B888" t="s">
        <v>65</v>
      </c>
      <c r="C888">
        <v>22</v>
      </c>
      <c r="D888" s="3">
        <f>parking_demand_data_2024_ver0!D888*calibration!$I$31</f>
        <v>730.91941410995298</v>
      </c>
      <c r="E888" s="3">
        <f>parking_demand_data_2024_ver0!E888*calibration!$I$31</f>
        <v>14.4993410608572</v>
      </c>
      <c r="F888" s="3">
        <f t="shared" si="13"/>
        <v>745.41875517081019</v>
      </c>
      <c r="G888" s="3">
        <f>parking_demand_data_2024_ver0!F888</f>
        <v>12</v>
      </c>
      <c r="H888" s="3">
        <f>parking_demand_data_2024_ver0!G888</f>
        <v>3</v>
      </c>
      <c r="I888" s="3">
        <f>parking_demand_data_2024_ver0!H888</f>
        <v>3</v>
      </c>
      <c r="J888" s="3">
        <f>parking_demand_data_2024_ver0!I888</f>
        <v>4</v>
      </c>
      <c r="K888" s="3">
        <f>parking_demand_data_2024_ver0!J888</f>
        <v>1</v>
      </c>
      <c r="L888" s="3">
        <f>parking_demand_data_2024_ver0!K888</f>
        <v>1</v>
      </c>
      <c r="M888" s="3">
        <f>parking_demand_data_2024_ver0!L888</f>
        <v>0</v>
      </c>
      <c r="N888" s="3">
        <f>parking_demand_data_2024_ver0!M888</f>
        <v>927</v>
      </c>
      <c r="O888" s="3">
        <f>parking_demand_data_2024_ver0!N888</f>
        <v>400</v>
      </c>
      <c r="P888" s="3">
        <f>parking_demand_data_2024_ver0!O888</f>
        <v>230</v>
      </c>
      <c r="Q888" s="3">
        <f>parking_demand_data_2024_ver0!P888</f>
        <v>64</v>
      </c>
      <c r="R888" s="3">
        <f>parking_demand_data_2024_ver0!Q888</f>
        <v>148</v>
      </c>
      <c r="S888" s="3">
        <f>parking_demand_data_2024_ver0!R888</f>
        <v>85</v>
      </c>
      <c r="T888" s="3">
        <f>parking_demand_data_2024_ver0!S888</f>
        <v>0</v>
      </c>
    </row>
    <row r="889" spans="1:20" x14ac:dyDescent="0.25">
      <c r="A889">
        <v>18073</v>
      </c>
      <c r="B889" t="s">
        <v>65</v>
      </c>
      <c r="C889">
        <v>23</v>
      </c>
      <c r="D889" s="3">
        <f>parking_demand_data_2024_ver0!D889*calibration!$I$31</f>
        <v>759.42206614274403</v>
      </c>
      <c r="E889" s="3">
        <f>parking_demand_data_2024_ver0!E889*calibration!$I$31</f>
        <v>18.582050254309198</v>
      </c>
      <c r="F889" s="3">
        <f t="shared" si="13"/>
        <v>778.00411639705328</v>
      </c>
      <c r="G889" s="3">
        <f>parking_demand_data_2024_ver0!F889</f>
        <v>12</v>
      </c>
      <c r="H889" s="3">
        <f>parking_demand_data_2024_ver0!G889</f>
        <v>3</v>
      </c>
      <c r="I889" s="3">
        <f>parking_demand_data_2024_ver0!H889</f>
        <v>3</v>
      </c>
      <c r="J889" s="3">
        <f>parking_demand_data_2024_ver0!I889</f>
        <v>4</v>
      </c>
      <c r="K889" s="3">
        <f>parking_demand_data_2024_ver0!J889</f>
        <v>1</v>
      </c>
      <c r="L889" s="3">
        <f>parking_demand_data_2024_ver0!K889</f>
        <v>1</v>
      </c>
      <c r="M889" s="3">
        <f>parking_demand_data_2024_ver0!L889</f>
        <v>0</v>
      </c>
      <c r="N889" s="3">
        <f>parking_demand_data_2024_ver0!M889</f>
        <v>927</v>
      </c>
      <c r="O889" s="3">
        <f>parking_demand_data_2024_ver0!N889</f>
        <v>400</v>
      </c>
      <c r="P889" s="3">
        <f>parking_demand_data_2024_ver0!O889</f>
        <v>230</v>
      </c>
      <c r="Q889" s="3">
        <f>parking_demand_data_2024_ver0!P889</f>
        <v>64</v>
      </c>
      <c r="R889" s="3">
        <f>parking_demand_data_2024_ver0!Q889</f>
        <v>148</v>
      </c>
      <c r="S889" s="3">
        <f>parking_demand_data_2024_ver0!R889</f>
        <v>85</v>
      </c>
      <c r="T889" s="3">
        <f>parking_demand_data_2024_ver0!S889</f>
        <v>0</v>
      </c>
    </row>
    <row r="890" spans="1:20" x14ac:dyDescent="0.25">
      <c r="A890">
        <v>18075</v>
      </c>
      <c r="B890" t="s">
        <v>66</v>
      </c>
      <c r="C890">
        <v>0</v>
      </c>
      <c r="D890" s="3">
        <f>parking_demand_data_2024_ver0!D890*calibration!$I$31</f>
        <v>7.7356000006107504</v>
      </c>
      <c r="E890" s="3">
        <f>parking_demand_data_2024_ver0!E890*calibration!$I$31</f>
        <v>0</v>
      </c>
      <c r="F890" s="3">
        <f t="shared" si="13"/>
        <v>7.7356000006107504</v>
      </c>
      <c r="G890" s="3">
        <f>parking_demand_data_2024_ver0!F890</f>
        <v>1</v>
      </c>
      <c r="H890" s="3">
        <f>parking_demand_data_2024_ver0!G890</f>
        <v>0</v>
      </c>
      <c r="I890" s="3">
        <f>parking_demand_data_2024_ver0!H890</f>
        <v>0</v>
      </c>
      <c r="J890" s="3">
        <f>parking_demand_data_2024_ver0!I890</f>
        <v>1</v>
      </c>
      <c r="K890" s="3">
        <f>parking_demand_data_2024_ver0!J890</f>
        <v>0</v>
      </c>
      <c r="L890" s="3">
        <f>parking_demand_data_2024_ver0!K890</f>
        <v>0</v>
      </c>
      <c r="M890" s="3">
        <f>parking_demand_data_2024_ver0!L890</f>
        <v>0</v>
      </c>
      <c r="N890" s="3">
        <f>parking_demand_data_2024_ver0!M890</f>
        <v>30</v>
      </c>
      <c r="O890" s="3">
        <f>parking_demand_data_2024_ver0!N890</f>
        <v>0</v>
      </c>
      <c r="P890" s="3">
        <f>parking_demand_data_2024_ver0!O890</f>
        <v>0</v>
      </c>
      <c r="Q890" s="3">
        <f>parking_demand_data_2024_ver0!P890</f>
        <v>30</v>
      </c>
      <c r="R890" s="3">
        <f>parking_demand_data_2024_ver0!Q890</f>
        <v>0</v>
      </c>
      <c r="S890" s="3">
        <f>parking_demand_data_2024_ver0!R890</f>
        <v>0</v>
      </c>
      <c r="T890" s="3">
        <f>parking_demand_data_2024_ver0!S890</f>
        <v>0</v>
      </c>
    </row>
    <row r="891" spans="1:20" x14ac:dyDescent="0.25">
      <c r="A891">
        <v>18075</v>
      </c>
      <c r="B891" t="s">
        <v>66</v>
      </c>
      <c r="C891">
        <v>1</v>
      </c>
      <c r="D891" s="3">
        <f>parking_demand_data_2024_ver0!D891*calibration!$I$31</f>
        <v>7.89455068555481</v>
      </c>
      <c r="E891" s="3">
        <f>parking_demand_data_2024_ver0!E891*calibration!$I$31</f>
        <v>0</v>
      </c>
      <c r="F891" s="3">
        <f t="shared" si="13"/>
        <v>7.89455068555481</v>
      </c>
      <c r="G891" s="3">
        <f>parking_demand_data_2024_ver0!F891</f>
        <v>1</v>
      </c>
      <c r="H891" s="3">
        <f>parking_demand_data_2024_ver0!G891</f>
        <v>0</v>
      </c>
      <c r="I891" s="3">
        <f>parking_demand_data_2024_ver0!H891</f>
        <v>0</v>
      </c>
      <c r="J891" s="3">
        <f>parking_demand_data_2024_ver0!I891</f>
        <v>1</v>
      </c>
      <c r="K891" s="3">
        <f>parking_demand_data_2024_ver0!J891</f>
        <v>0</v>
      </c>
      <c r="L891" s="3">
        <f>parking_demand_data_2024_ver0!K891</f>
        <v>0</v>
      </c>
      <c r="M891" s="3">
        <f>parking_demand_data_2024_ver0!L891</f>
        <v>0</v>
      </c>
      <c r="N891" s="3">
        <f>parking_demand_data_2024_ver0!M891</f>
        <v>30</v>
      </c>
      <c r="O891" s="3">
        <f>parking_demand_data_2024_ver0!N891</f>
        <v>0</v>
      </c>
      <c r="P891" s="3">
        <f>parking_demand_data_2024_ver0!O891</f>
        <v>0</v>
      </c>
      <c r="Q891" s="3">
        <f>parking_demand_data_2024_ver0!P891</f>
        <v>30</v>
      </c>
      <c r="R891" s="3">
        <f>parking_demand_data_2024_ver0!Q891</f>
        <v>0</v>
      </c>
      <c r="S891" s="3">
        <f>parking_demand_data_2024_ver0!R891</f>
        <v>0</v>
      </c>
      <c r="T891" s="3">
        <f>parking_demand_data_2024_ver0!S891</f>
        <v>0</v>
      </c>
    </row>
    <row r="892" spans="1:20" x14ac:dyDescent="0.25">
      <c r="A892">
        <v>18075</v>
      </c>
      <c r="B892" t="s">
        <v>66</v>
      </c>
      <c r="C892">
        <v>2</v>
      </c>
      <c r="D892" s="3">
        <f>parking_demand_data_2024_ver0!D892*calibration!$I$31</f>
        <v>7.89455068555481</v>
      </c>
      <c r="E892" s="3">
        <f>parking_demand_data_2024_ver0!E892*calibration!$I$31</f>
        <v>0</v>
      </c>
      <c r="F892" s="3">
        <f t="shared" si="13"/>
        <v>7.89455068555481</v>
      </c>
      <c r="G892" s="3">
        <f>parking_demand_data_2024_ver0!F892</f>
        <v>1</v>
      </c>
      <c r="H892" s="3">
        <f>parking_demand_data_2024_ver0!G892</f>
        <v>0</v>
      </c>
      <c r="I892" s="3">
        <f>parking_demand_data_2024_ver0!H892</f>
        <v>0</v>
      </c>
      <c r="J892" s="3">
        <f>parking_demand_data_2024_ver0!I892</f>
        <v>1</v>
      </c>
      <c r="K892" s="3">
        <f>parking_demand_data_2024_ver0!J892</f>
        <v>0</v>
      </c>
      <c r="L892" s="3">
        <f>parking_demand_data_2024_ver0!K892</f>
        <v>0</v>
      </c>
      <c r="M892" s="3">
        <f>parking_demand_data_2024_ver0!L892</f>
        <v>0</v>
      </c>
      <c r="N892" s="3">
        <f>parking_demand_data_2024_ver0!M892</f>
        <v>30</v>
      </c>
      <c r="O892" s="3">
        <f>parking_demand_data_2024_ver0!N892</f>
        <v>0</v>
      </c>
      <c r="P892" s="3">
        <f>parking_demand_data_2024_ver0!O892</f>
        <v>0</v>
      </c>
      <c r="Q892" s="3">
        <f>parking_demand_data_2024_ver0!P892</f>
        <v>30</v>
      </c>
      <c r="R892" s="3">
        <f>parking_demand_data_2024_ver0!Q892</f>
        <v>0</v>
      </c>
      <c r="S892" s="3">
        <f>parking_demand_data_2024_ver0!R892</f>
        <v>0</v>
      </c>
      <c r="T892" s="3">
        <f>parking_demand_data_2024_ver0!S892</f>
        <v>0</v>
      </c>
    </row>
    <row r="893" spans="1:20" x14ac:dyDescent="0.25">
      <c r="A893">
        <v>18075</v>
      </c>
      <c r="B893" t="s">
        <v>66</v>
      </c>
      <c r="C893">
        <v>3</v>
      </c>
      <c r="D893" s="3">
        <f>parking_demand_data_2024_ver0!D893*calibration!$I$31</f>
        <v>7.6826164389627296</v>
      </c>
      <c r="E893" s="3">
        <f>parking_demand_data_2024_ver0!E893*calibration!$I$31</f>
        <v>0</v>
      </c>
      <c r="F893" s="3">
        <f t="shared" si="13"/>
        <v>7.6826164389627296</v>
      </c>
      <c r="G893" s="3">
        <f>parking_demand_data_2024_ver0!F893</f>
        <v>1</v>
      </c>
      <c r="H893" s="3">
        <f>parking_demand_data_2024_ver0!G893</f>
        <v>0</v>
      </c>
      <c r="I893" s="3">
        <f>parking_demand_data_2024_ver0!H893</f>
        <v>0</v>
      </c>
      <c r="J893" s="3">
        <f>parking_demand_data_2024_ver0!I893</f>
        <v>1</v>
      </c>
      <c r="K893" s="3">
        <f>parking_demand_data_2024_ver0!J893</f>
        <v>0</v>
      </c>
      <c r="L893" s="3">
        <f>parking_demand_data_2024_ver0!K893</f>
        <v>0</v>
      </c>
      <c r="M893" s="3">
        <f>parking_demand_data_2024_ver0!L893</f>
        <v>0</v>
      </c>
      <c r="N893" s="3">
        <f>parking_demand_data_2024_ver0!M893</f>
        <v>30</v>
      </c>
      <c r="O893" s="3">
        <f>parking_demand_data_2024_ver0!N893</f>
        <v>0</v>
      </c>
      <c r="P893" s="3">
        <f>parking_demand_data_2024_ver0!O893</f>
        <v>0</v>
      </c>
      <c r="Q893" s="3">
        <f>parking_demand_data_2024_ver0!P893</f>
        <v>30</v>
      </c>
      <c r="R893" s="3">
        <f>parking_demand_data_2024_ver0!Q893</f>
        <v>0</v>
      </c>
      <c r="S893" s="3">
        <f>parking_demand_data_2024_ver0!R893</f>
        <v>0</v>
      </c>
      <c r="T893" s="3">
        <f>parking_demand_data_2024_ver0!S893</f>
        <v>0</v>
      </c>
    </row>
    <row r="894" spans="1:20" x14ac:dyDescent="0.25">
      <c r="A894">
        <v>18075</v>
      </c>
      <c r="B894" t="s">
        <v>66</v>
      </c>
      <c r="C894">
        <v>4</v>
      </c>
      <c r="D894" s="3">
        <f>parking_demand_data_2024_ver0!D894*calibration!$I$31</f>
        <v>7.6826164389627296</v>
      </c>
      <c r="E894" s="3">
        <f>parking_demand_data_2024_ver0!E894*calibration!$I$31</f>
        <v>0</v>
      </c>
      <c r="F894" s="3">
        <f t="shared" si="13"/>
        <v>7.6826164389627296</v>
      </c>
      <c r="G894" s="3">
        <f>parking_demand_data_2024_ver0!F894</f>
        <v>1</v>
      </c>
      <c r="H894" s="3">
        <f>parking_demand_data_2024_ver0!G894</f>
        <v>0</v>
      </c>
      <c r="I894" s="3">
        <f>parking_demand_data_2024_ver0!H894</f>
        <v>0</v>
      </c>
      <c r="J894" s="3">
        <f>parking_demand_data_2024_ver0!I894</f>
        <v>1</v>
      </c>
      <c r="K894" s="3">
        <f>parking_demand_data_2024_ver0!J894</f>
        <v>0</v>
      </c>
      <c r="L894" s="3">
        <f>parking_demand_data_2024_ver0!K894</f>
        <v>0</v>
      </c>
      <c r="M894" s="3">
        <f>parking_demand_data_2024_ver0!L894</f>
        <v>0</v>
      </c>
      <c r="N894" s="3">
        <f>parking_demand_data_2024_ver0!M894</f>
        <v>30</v>
      </c>
      <c r="O894" s="3">
        <f>parking_demand_data_2024_ver0!N894</f>
        <v>0</v>
      </c>
      <c r="P894" s="3">
        <f>parking_demand_data_2024_ver0!O894</f>
        <v>0</v>
      </c>
      <c r="Q894" s="3">
        <f>parking_demand_data_2024_ver0!P894</f>
        <v>30</v>
      </c>
      <c r="R894" s="3">
        <f>parking_demand_data_2024_ver0!Q894</f>
        <v>0</v>
      </c>
      <c r="S894" s="3">
        <f>parking_demand_data_2024_ver0!R894</f>
        <v>0</v>
      </c>
      <c r="T894" s="3">
        <f>parking_demand_data_2024_ver0!S894</f>
        <v>0</v>
      </c>
    </row>
    <row r="895" spans="1:20" x14ac:dyDescent="0.25">
      <c r="A895">
        <v>18075</v>
      </c>
      <c r="B895" t="s">
        <v>66</v>
      </c>
      <c r="C895">
        <v>5</v>
      </c>
      <c r="D895" s="3">
        <f>parking_demand_data_2024_ver0!D895*calibration!$I$31</f>
        <v>7.2587479457785804</v>
      </c>
      <c r="E895" s="3">
        <f>parking_demand_data_2024_ver0!E895*calibration!$I$31</f>
        <v>0</v>
      </c>
      <c r="F895" s="3">
        <f t="shared" si="13"/>
        <v>7.2587479457785804</v>
      </c>
      <c r="G895" s="3">
        <f>parking_demand_data_2024_ver0!F895</f>
        <v>1</v>
      </c>
      <c r="H895" s="3">
        <f>parking_demand_data_2024_ver0!G895</f>
        <v>0</v>
      </c>
      <c r="I895" s="3">
        <f>parking_demand_data_2024_ver0!H895</f>
        <v>0</v>
      </c>
      <c r="J895" s="3">
        <f>parking_demand_data_2024_ver0!I895</f>
        <v>1</v>
      </c>
      <c r="K895" s="3">
        <f>parking_demand_data_2024_ver0!J895</f>
        <v>0</v>
      </c>
      <c r="L895" s="3">
        <f>parking_demand_data_2024_ver0!K895</f>
        <v>0</v>
      </c>
      <c r="M895" s="3">
        <f>parking_demand_data_2024_ver0!L895</f>
        <v>0</v>
      </c>
      <c r="N895" s="3">
        <f>parking_demand_data_2024_ver0!M895</f>
        <v>30</v>
      </c>
      <c r="O895" s="3">
        <f>parking_demand_data_2024_ver0!N895</f>
        <v>0</v>
      </c>
      <c r="P895" s="3">
        <f>parking_demand_data_2024_ver0!O895</f>
        <v>0</v>
      </c>
      <c r="Q895" s="3">
        <f>parking_demand_data_2024_ver0!P895</f>
        <v>30</v>
      </c>
      <c r="R895" s="3">
        <f>parking_demand_data_2024_ver0!Q895</f>
        <v>0</v>
      </c>
      <c r="S895" s="3">
        <f>parking_demand_data_2024_ver0!R895</f>
        <v>0</v>
      </c>
      <c r="T895" s="3">
        <f>parking_demand_data_2024_ver0!S895</f>
        <v>0</v>
      </c>
    </row>
    <row r="896" spans="1:20" x14ac:dyDescent="0.25">
      <c r="A896">
        <v>18075</v>
      </c>
      <c r="B896" t="s">
        <v>66</v>
      </c>
      <c r="C896">
        <v>6</v>
      </c>
      <c r="D896" s="3">
        <f>parking_demand_data_2024_ver0!D896*calibration!$I$31</f>
        <v>8.2124520554429203</v>
      </c>
      <c r="E896" s="3">
        <f>parking_demand_data_2024_ver0!E896*calibration!$I$31</f>
        <v>0</v>
      </c>
      <c r="F896" s="3">
        <f t="shared" si="13"/>
        <v>8.2124520554429203</v>
      </c>
      <c r="G896" s="3">
        <f>parking_demand_data_2024_ver0!F896</f>
        <v>1</v>
      </c>
      <c r="H896" s="3">
        <f>parking_demand_data_2024_ver0!G896</f>
        <v>0</v>
      </c>
      <c r="I896" s="3">
        <f>parking_demand_data_2024_ver0!H896</f>
        <v>0</v>
      </c>
      <c r="J896" s="3">
        <f>parking_demand_data_2024_ver0!I896</f>
        <v>1</v>
      </c>
      <c r="K896" s="3">
        <f>parking_demand_data_2024_ver0!J896</f>
        <v>0</v>
      </c>
      <c r="L896" s="3">
        <f>parking_demand_data_2024_ver0!K896</f>
        <v>0</v>
      </c>
      <c r="M896" s="3">
        <f>parking_demand_data_2024_ver0!L896</f>
        <v>0</v>
      </c>
      <c r="N896" s="3">
        <f>parking_demand_data_2024_ver0!M896</f>
        <v>30</v>
      </c>
      <c r="O896" s="3">
        <f>parking_demand_data_2024_ver0!N896</f>
        <v>0</v>
      </c>
      <c r="P896" s="3">
        <f>parking_demand_data_2024_ver0!O896</f>
        <v>0</v>
      </c>
      <c r="Q896" s="3">
        <f>parking_demand_data_2024_ver0!P896</f>
        <v>30</v>
      </c>
      <c r="R896" s="3">
        <f>parking_demand_data_2024_ver0!Q896</f>
        <v>0</v>
      </c>
      <c r="S896" s="3">
        <f>parking_demand_data_2024_ver0!R896</f>
        <v>0</v>
      </c>
      <c r="T896" s="3">
        <f>parking_demand_data_2024_ver0!S896</f>
        <v>0</v>
      </c>
    </row>
    <row r="897" spans="1:20" x14ac:dyDescent="0.25">
      <c r="A897">
        <v>18075</v>
      </c>
      <c r="B897" t="s">
        <v>66</v>
      </c>
      <c r="C897">
        <v>7</v>
      </c>
      <c r="D897" s="3">
        <f>parking_demand_data_2024_ver0!D897*calibration!$I$31</f>
        <v>8.5303534253310307</v>
      </c>
      <c r="E897" s="3">
        <f>parking_demand_data_2024_ver0!E897*calibration!$I$31</f>
        <v>0</v>
      </c>
      <c r="F897" s="3">
        <f t="shared" si="13"/>
        <v>8.5303534253310307</v>
      </c>
      <c r="G897" s="3">
        <f>parking_demand_data_2024_ver0!F897</f>
        <v>1</v>
      </c>
      <c r="H897" s="3">
        <f>parking_demand_data_2024_ver0!G897</f>
        <v>0</v>
      </c>
      <c r="I897" s="3">
        <f>parking_demand_data_2024_ver0!H897</f>
        <v>0</v>
      </c>
      <c r="J897" s="3">
        <f>parking_demand_data_2024_ver0!I897</f>
        <v>1</v>
      </c>
      <c r="K897" s="3">
        <f>parking_demand_data_2024_ver0!J897</f>
        <v>0</v>
      </c>
      <c r="L897" s="3">
        <f>parking_demand_data_2024_ver0!K897</f>
        <v>0</v>
      </c>
      <c r="M897" s="3">
        <f>parking_demand_data_2024_ver0!L897</f>
        <v>0</v>
      </c>
      <c r="N897" s="3">
        <f>parking_demand_data_2024_ver0!M897</f>
        <v>30</v>
      </c>
      <c r="O897" s="3">
        <f>parking_demand_data_2024_ver0!N897</f>
        <v>0</v>
      </c>
      <c r="P897" s="3">
        <f>parking_demand_data_2024_ver0!O897</f>
        <v>0</v>
      </c>
      <c r="Q897" s="3">
        <f>parking_demand_data_2024_ver0!P897</f>
        <v>30</v>
      </c>
      <c r="R897" s="3">
        <f>parking_demand_data_2024_ver0!Q897</f>
        <v>0</v>
      </c>
      <c r="S897" s="3">
        <f>parking_demand_data_2024_ver0!R897</f>
        <v>0</v>
      </c>
      <c r="T897" s="3">
        <f>parking_demand_data_2024_ver0!S897</f>
        <v>0</v>
      </c>
    </row>
    <row r="898" spans="1:20" x14ac:dyDescent="0.25">
      <c r="A898">
        <v>18075</v>
      </c>
      <c r="B898" t="s">
        <v>66</v>
      </c>
      <c r="C898">
        <v>8</v>
      </c>
      <c r="D898" s="3">
        <f>parking_demand_data_2024_ver0!D898*calibration!$I$31</f>
        <v>5.8281917812820696</v>
      </c>
      <c r="E898" s="3">
        <f>parking_demand_data_2024_ver0!E898*calibration!$I$31</f>
        <v>0</v>
      </c>
      <c r="F898" s="3">
        <f t="shared" si="13"/>
        <v>5.8281917812820696</v>
      </c>
      <c r="G898" s="3">
        <f>parking_demand_data_2024_ver0!F898</f>
        <v>1</v>
      </c>
      <c r="H898" s="3">
        <f>parking_demand_data_2024_ver0!G898</f>
        <v>0</v>
      </c>
      <c r="I898" s="3">
        <f>parking_demand_data_2024_ver0!H898</f>
        <v>0</v>
      </c>
      <c r="J898" s="3">
        <f>parking_demand_data_2024_ver0!I898</f>
        <v>1</v>
      </c>
      <c r="K898" s="3">
        <f>parking_demand_data_2024_ver0!J898</f>
        <v>0</v>
      </c>
      <c r="L898" s="3">
        <f>parking_demand_data_2024_ver0!K898</f>
        <v>0</v>
      </c>
      <c r="M898" s="3">
        <f>parking_demand_data_2024_ver0!L898</f>
        <v>0</v>
      </c>
      <c r="N898" s="3">
        <f>parking_demand_data_2024_ver0!M898</f>
        <v>30</v>
      </c>
      <c r="O898" s="3">
        <f>parking_demand_data_2024_ver0!N898</f>
        <v>0</v>
      </c>
      <c r="P898" s="3">
        <f>parking_demand_data_2024_ver0!O898</f>
        <v>0</v>
      </c>
      <c r="Q898" s="3">
        <f>parking_demand_data_2024_ver0!P898</f>
        <v>30</v>
      </c>
      <c r="R898" s="3">
        <f>parking_demand_data_2024_ver0!Q898</f>
        <v>0</v>
      </c>
      <c r="S898" s="3">
        <f>parking_demand_data_2024_ver0!R898</f>
        <v>0</v>
      </c>
      <c r="T898" s="3">
        <f>parking_demand_data_2024_ver0!S898</f>
        <v>0</v>
      </c>
    </row>
    <row r="899" spans="1:20" x14ac:dyDescent="0.25">
      <c r="A899">
        <v>18075</v>
      </c>
      <c r="B899" t="s">
        <v>66</v>
      </c>
      <c r="C899">
        <v>9</v>
      </c>
      <c r="D899" s="3">
        <f>parking_demand_data_2024_ver0!D899*calibration!$I$31</f>
        <v>4.6095698633776401</v>
      </c>
      <c r="E899" s="3">
        <f>parking_demand_data_2024_ver0!E899*calibration!$I$31</f>
        <v>0</v>
      </c>
      <c r="F899" s="3">
        <f t="shared" ref="F899:F962" si="14">SUM(D899:E899)</f>
        <v>4.6095698633776401</v>
      </c>
      <c r="G899" s="3">
        <f>parking_demand_data_2024_ver0!F899</f>
        <v>1</v>
      </c>
      <c r="H899" s="3">
        <f>parking_demand_data_2024_ver0!G899</f>
        <v>0</v>
      </c>
      <c r="I899" s="3">
        <f>parking_demand_data_2024_ver0!H899</f>
        <v>0</v>
      </c>
      <c r="J899" s="3">
        <f>parking_demand_data_2024_ver0!I899</f>
        <v>1</v>
      </c>
      <c r="K899" s="3">
        <f>parking_demand_data_2024_ver0!J899</f>
        <v>0</v>
      </c>
      <c r="L899" s="3">
        <f>parking_demand_data_2024_ver0!K899</f>
        <v>0</v>
      </c>
      <c r="M899" s="3">
        <f>parking_demand_data_2024_ver0!L899</f>
        <v>0</v>
      </c>
      <c r="N899" s="3">
        <f>parking_demand_data_2024_ver0!M899</f>
        <v>30</v>
      </c>
      <c r="O899" s="3">
        <f>parking_demand_data_2024_ver0!N899</f>
        <v>0</v>
      </c>
      <c r="P899" s="3">
        <f>parking_demand_data_2024_ver0!O899</f>
        <v>0</v>
      </c>
      <c r="Q899" s="3">
        <f>parking_demand_data_2024_ver0!P899</f>
        <v>30</v>
      </c>
      <c r="R899" s="3">
        <f>parking_demand_data_2024_ver0!Q899</f>
        <v>0</v>
      </c>
      <c r="S899" s="3">
        <f>parking_demand_data_2024_ver0!R899</f>
        <v>0</v>
      </c>
      <c r="T899" s="3">
        <f>parking_demand_data_2024_ver0!S899</f>
        <v>0</v>
      </c>
    </row>
    <row r="900" spans="1:20" x14ac:dyDescent="0.25">
      <c r="A900">
        <v>18075</v>
      </c>
      <c r="B900" t="s">
        <v>66</v>
      </c>
      <c r="C900">
        <v>10</v>
      </c>
      <c r="D900" s="3">
        <f>parking_demand_data_2024_ver0!D900*calibration!$I$31</f>
        <v>5.3513397264498996</v>
      </c>
      <c r="E900" s="3">
        <f>parking_demand_data_2024_ver0!E900*calibration!$I$31</f>
        <v>0</v>
      </c>
      <c r="F900" s="3">
        <f t="shared" si="14"/>
        <v>5.3513397264498996</v>
      </c>
      <c r="G900" s="3">
        <f>parking_demand_data_2024_ver0!F900</f>
        <v>1</v>
      </c>
      <c r="H900" s="3">
        <f>parking_demand_data_2024_ver0!G900</f>
        <v>0</v>
      </c>
      <c r="I900" s="3">
        <f>parking_demand_data_2024_ver0!H900</f>
        <v>0</v>
      </c>
      <c r="J900" s="3">
        <f>parking_demand_data_2024_ver0!I900</f>
        <v>1</v>
      </c>
      <c r="K900" s="3">
        <f>parking_demand_data_2024_ver0!J900</f>
        <v>0</v>
      </c>
      <c r="L900" s="3">
        <f>parking_demand_data_2024_ver0!K900</f>
        <v>0</v>
      </c>
      <c r="M900" s="3">
        <f>parking_demand_data_2024_ver0!L900</f>
        <v>0</v>
      </c>
      <c r="N900" s="3">
        <f>parking_demand_data_2024_ver0!M900</f>
        <v>30</v>
      </c>
      <c r="O900" s="3">
        <f>parking_demand_data_2024_ver0!N900</f>
        <v>0</v>
      </c>
      <c r="P900" s="3">
        <f>parking_demand_data_2024_ver0!O900</f>
        <v>0</v>
      </c>
      <c r="Q900" s="3">
        <f>parking_demand_data_2024_ver0!P900</f>
        <v>30</v>
      </c>
      <c r="R900" s="3">
        <f>parking_demand_data_2024_ver0!Q900</f>
        <v>0</v>
      </c>
      <c r="S900" s="3">
        <f>parking_demand_data_2024_ver0!R900</f>
        <v>0</v>
      </c>
      <c r="T900" s="3">
        <f>parking_demand_data_2024_ver0!S900</f>
        <v>0</v>
      </c>
    </row>
    <row r="901" spans="1:20" x14ac:dyDescent="0.25">
      <c r="A901">
        <v>18075</v>
      </c>
      <c r="B901" t="s">
        <v>66</v>
      </c>
      <c r="C901">
        <v>11</v>
      </c>
      <c r="D901" s="3">
        <f>parking_demand_data_2024_ver0!D901*calibration!$I$31</f>
        <v>7.0997972608345199</v>
      </c>
      <c r="E901" s="3">
        <f>parking_demand_data_2024_ver0!E901*calibration!$I$31</f>
        <v>0</v>
      </c>
      <c r="F901" s="3">
        <f t="shared" si="14"/>
        <v>7.0997972608345199</v>
      </c>
      <c r="G901" s="3">
        <f>parking_demand_data_2024_ver0!F901</f>
        <v>1</v>
      </c>
      <c r="H901" s="3">
        <f>parking_demand_data_2024_ver0!G901</f>
        <v>0</v>
      </c>
      <c r="I901" s="3">
        <f>parking_demand_data_2024_ver0!H901</f>
        <v>0</v>
      </c>
      <c r="J901" s="3">
        <f>parking_demand_data_2024_ver0!I901</f>
        <v>1</v>
      </c>
      <c r="K901" s="3">
        <f>parking_demand_data_2024_ver0!J901</f>
        <v>0</v>
      </c>
      <c r="L901" s="3">
        <f>parking_demand_data_2024_ver0!K901</f>
        <v>0</v>
      </c>
      <c r="M901" s="3">
        <f>parking_demand_data_2024_ver0!L901</f>
        <v>0</v>
      </c>
      <c r="N901" s="3">
        <f>parking_demand_data_2024_ver0!M901</f>
        <v>30</v>
      </c>
      <c r="O901" s="3">
        <f>parking_demand_data_2024_ver0!N901</f>
        <v>0</v>
      </c>
      <c r="P901" s="3">
        <f>parking_demand_data_2024_ver0!O901</f>
        <v>0</v>
      </c>
      <c r="Q901" s="3">
        <f>parking_demand_data_2024_ver0!P901</f>
        <v>30</v>
      </c>
      <c r="R901" s="3">
        <f>parking_demand_data_2024_ver0!Q901</f>
        <v>0</v>
      </c>
      <c r="S901" s="3">
        <f>parking_demand_data_2024_ver0!R901</f>
        <v>0</v>
      </c>
      <c r="T901" s="3">
        <f>parking_demand_data_2024_ver0!S901</f>
        <v>0</v>
      </c>
    </row>
    <row r="902" spans="1:20" x14ac:dyDescent="0.25">
      <c r="A902">
        <v>18075</v>
      </c>
      <c r="B902" t="s">
        <v>66</v>
      </c>
      <c r="C902">
        <v>12</v>
      </c>
      <c r="D902" s="3">
        <f>parking_demand_data_2024_ver0!D902*calibration!$I$31</f>
        <v>8.1594684937949005</v>
      </c>
      <c r="E902" s="3">
        <f>parking_demand_data_2024_ver0!E902*calibration!$I$31</f>
        <v>0</v>
      </c>
      <c r="F902" s="3">
        <f t="shared" si="14"/>
        <v>8.1594684937949005</v>
      </c>
      <c r="G902" s="3">
        <f>parking_demand_data_2024_ver0!F902</f>
        <v>1</v>
      </c>
      <c r="H902" s="3">
        <f>parking_demand_data_2024_ver0!G902</f>
        <v>0</v>
      </c>
      <c r="I902" s="3">
        <f>parking_demand_data_2024_ver0!H902</f>
        <v>0</v>
      </c>
      <c r="J902" s="3">
        <f>parking_demand_data_2024_ver0!I902</f>
        <v>1</v>
      </c>
      <c r="K902" s="3">
        <f>parking_demand_data_2024_ver0!J902</f>
        <v>0</v>
      </c>
      <c r="L902" s="3">
        <f>parking_demand_data_2024_ver0!K902</f>
        <v>0</v>
      </c>
      <c r="M902" s="3">
        <f>parking_demand_data_2024_ver0!L902</f>
        <v>0</v>
      </c>
      <c r="N902" s="3">
        <f>parking_demand_data_2024_ver0!M902</f>
        <v>30</v>
      </c>
      <c r="O902" s="3">
        <f>parking_demand_data_2024_ver0!N902</f>
        <v>0</v>
      </c>
      <c r="P902" s="3">
        <f>parking_demand_data_2024_ver0!O902</f>
        <v>0</v>
      </c>
      <c r="Q902" s="3">
        <f>parking_demand_data_2024_ver0!P902</f>
        <v>30</v>
      </c>
      <c r="R902" s="3">
        <f>parking_demand_data_2024_ver0!Q902</f>
        <v>0</v>
      </c>
      <c r="S902" s="3">
        <f>parking_demand_data_2024_ver0!R902</f>
        <v>0</v>
      </c>
      <c r="T902" s="3">
        <f>parking_demand_data_2024_ver0!S902</f>
        <v>0</v>
      </c>
    </row>
    <row r="903" spans="1:20" x14ac:dyDescent="0.25">
      <c r="A903">
        <v>18075</v>
      </c>
      <c r="B903" t="s">
        <v>66</v>
      </c>
      <c r="C903">
        <v>13</v>
      </c>
      <c r="D903" s="3">
        <f>parking_demand_data_2024_ver0!D903*calibration!$I$31</f>
        <v>6.94084657589047</v>
      </c>
      <c r="E903" s="3">
        <f>parking_demand_data_2024_ver0!E903*calibration!$I$31</f>
        <v>0</v>
      </c>
      <c r="F903" s="3">
        <f t="shared" si="14"/>
        <v>6.94084657589047</v>
      </c>
      <c r="G903" s="3">
        <f>parking_demand_data_2024_ver0!F903</f>
        <v>1</v>
      </c>
      <c r="H903" s="3">
        <f>parking_demand_data_2024_ver0!G903</f>
        <v>0</v>
      </c>
      <c r="I903" s="3">
        <f>parking_demand_data_2024_ver0!H903</f>
        <v>0</v>
      </c>
      <c r="J903" s="3">
        <f>parking_demand_data_2024_ver0!I903</f>
        <v>1</v>
      </c>
      <c r="K903" s="3">
        <f>parking_demand_data_2024_ver0!J903</f>
        <v>0</v>
      </c>
      <c r="L903" s="3">
        <f>parking_demand_data_2024_ver0!K903</f>
        <v>0</v>
      </c>
      <c r="M903" s="3">
        <f>parking_demand_data_2024_ver0!L903</f>
        <v>0</v>
      </c>
      <c r="N903" s="3">
        <f>parking_demand_data_2024_ver0!M903</f>
        <v>30</v>
      </c>
      <c r="O903" s="3">
        <f>parking_demand_data_2024_ver0!N903</f>
        <v>0</v>
      </c>
      <c r="P903" s="3">
        <f>parking_demand_data_2024_ver0!O903</f>
        <v>0</v>
      </c>
      <c r="Q903" s="3">
        <f>parking_demand_data_2024_ver0!P903</f>
        <v>30</v>
      </c>
      <c r="R903" s="3">
        <f>parking_demand_data_2024_ver0!Q903</f>
        <v>0</v>
      </c>
      <c r="S903" s="3">
        <f>parking_demand_data_2024_ver0!R903</f>
        <v>0</v>
      </c>
      <c r="T903" s="3">
        <f>parking_demand_data_2024_ver0!S903</f>
        <v>0</v>
      </c>
    </row>
    <row r="904" spans="1:20" x14ac:dyDescent="0.25">
      <c r="A904">
        <v>18075</v>
      </c>
      <c r="B904" t="s">
        <v>66</v>
      </c>
      <c r="C904">
        <v>14</v>
      </c>
      <c r="D904" s="3">
        <f>parking_demand_data_2024_ver0!D904*calibration!$I$31</f>
        <v>4.9804547949137703</v>
      </c>
      <c r="E904" s="3">
        <f>parking_demand_data_2024_ver0!E904*calibration!$I$31</f>
        <v>0</v>
      </c>
      <c r="F904" s="3">
        <f t="shared" si="14"/>
        <v>4.9804547949137703</v>
      </c>
      <c r="G904" s="3">
        <f>parking_demand_data_2024_ver0!F904</f>
        <v>1</v>
      </c>
      <c r="H904" s="3">
        <f>parking_demand_data_2024_ver0!G904</f>
        <v>0</v>
      </c>
      <c r="I904" s="3">
        <f>parking_demand_data_2024_ver0!H904</f>
        <v>0</v>
      </c>
      <c r="J904" s="3">
        <f>parking_demand_data_2024_ver0!I904</f>
        <v>1</v>
      </c>
      <c r="K904" s="3">
        <f>parking_demand_data_2024_ver0!J904</f>
        <v>0</v>
      </c>
      <c r="L904" s="3">
        <f>parking_demand_data_2024_ver0!K904</f>
        <v>0</v>
      </c>
      <c r="M904" s="3">
        <f>parking_demand_data_2024_ver0!L904</f>
        <v>0</v>
      </c>
      <c r="N904" s="3">
        <f>parking_demand_data_2024_ver0!M904</f>
        <v>30</v>
      </c>
      <c r="O904" s="3">
        <f>parking_demand_data_2024_ver0!N904</f>
        <v>0</v>
      </c>
      <c r="P904" s="3">
        <f>parking_demand_data_2024_ver0!O904</f>
        <v>0</v>
      </c>
      <c r="Q904" s="3">
        <f>parking_demand_data_2024_ver0!P904</f>
        <v>30</v>
      </c>
      <c r="R904" s="3">
        <f>parking_demand_data_2024_ver0!Q904</f>
        <v>0</v>
      </c>
      <c r="S904" s="3">
        <f>parking_demand_data_2024_ver0!R904</f>
        <v>0</v>
      </c>
      <c r="T904" s="3">
        <f>parking_demand_data_2024_ver0!S904</f>
        <v>0</v>
      </c>
    </row>
    <row r="905" spans="1:20" x14ac:dyDescent="0.25">
      <c r="A905">
        <v>18075</v>
      </c>
      <c r="B905" t="s">
        <v>66</v>
      </c>
      <c r="C905">
        <v>15</v>
      </c>
      <c r="D905" s="3">
        <f>parking_demand_data_2024_ver0!D905*calibration!$I$31</f>
        <v>4.2386849318415001</v>
      </c>
      <c r="E905" s="3">
        <f>parking_demand_data_2024_ver0!E905*calibration!$I$31</f>
        <v>0</v>
      </c>
      <c r="F905" s="3">
        <f t="shared" si="14"/>
        <v>4.2386849318415001</v>
      </c>
      <c r="G905" s="3">
        <f>parking_demand_data_2024_ver0!F905</f>
        <v>1</v>
      </c>
      <c r="H905" s="3">
        <f>parking_demand_data_2024_ver0!G905</f>
        <v>0</v>
      </c>
      <c r="I905" s="3">
        <f>parking_demand_data_2024_ver0!H905</f>
        <v>0</v>
      </c>
      <c r="J905" s="3">
        <f>parking_demand_data_2024_ver0!I905</f>
        <v>1</v>
      </c>
      <c r="K905" s="3">
        <f>parking_demand_data_2024_ver0!J905</f>
        <v>0</v>
      </c>
      <c r="L905" s="3">
        <f>parking_demand_data_2024_ver0!K905</f>
        <v>0</v>
      </c>
      <c r="M905" s="3">
        <f>parking_demand_data_2024_ver0!L905</f>
        <v>0</v>
      </c>
      <c r="N905" s="3">
        <f>parking_demand_data_2024_ver0!M905</f>
        <v>30</v>
      </c>
      <c r="O905" s="3">
        <f>parking_demand_data_2024_ver0!N905</f>
        <v>0</v>
      </c>
      <c r="P905" s="3">
        <f>parking_demand_data_2024_ver0!O905</f>
        <v>0</v>
      </c>
      <c r="Q905" s="3">
        <f>parking_demand_data_2024_ver0!P905</f>
        <v>30</v>
      </c>
      <c r="R905" s="3">
        <f>parking_demand_data_2024_ver0!Q905</f>
        <v>0</v>
      </c>
      <c r="S905" s="3">
        <f>parking_demand_data_2024_ver0!R905</f>
        <v>0</v>
      </c>
      <c r="T905" s="3">
        <f>parking_demand_data_2024_ver0!S905</f>
        <v>0</v>
      </c>
    </row>
    <row r="906" spans="1:20" x14ac:dyDescent="0.25">
      <c r="A906">
        <v>18075</v>
      </c>
      <c r="B906" t="s">
        <v>66</v>
      </c>
      <c r="C906">
        <v>16</v>
      </c>
      <c r="D906" s="3">
        <f>parking_demand_data_2024_ver0!D906*calibration!$I$31</f>
        <v>5.6162575346899901</v>
      </c>
      <c r="E906" s="3">
        <f>parking_demand_data_2024_ver0!E906*calibration!$I$31</f>
        <v>0</v>
      </c>
      <c r="F906" s="3">
        <f t="shared" si="14"/>
        <v>5.6162575346899901</v>
      </c>
      <c r="G906" s="3">
        <f>parking_demand_data_2024_ver0!F906</f>
        <v>1</v>
      </c>
      <c r="H906" s="3">
        <f>parking_demand_data_2024_ver0!G906</f>
        <v>0</v>
      </c>
      <c r="I906" s="3">
        <f>parking_demand_data_2024_ver0!H906</f>
        <v>0</v>
      </c>
      <c r="J906" s="3">
        <f>parking_demand_data_2024_ver0!I906</f>
        <v>1</v>
      </c>
      <c r="K906" s="3">
        <f>parking_demand_data_2024_ver0!J906</f>
        <v>0</v>
      </c>
      <c r="L906" s="3">
        <f>parking_demand_data_2024_ver0!K906</f>
        <v>0</v>
      </c>
      <c r="M906" s="3">
        <f>parking_demand_data_2024_ver0!L906</f>
        <v>0</v>
      </c>
      <c r="N906" s="3">
        <f>parking_demand_data_2024_ver0!M906</f>
        <v>30</v>
      </c>
      <c r="O906" s="3">
        <f>parking_demand_data_2024_ver0!N906</f>
        <v>0</v>
      </c>
      <c r="P906" s="3">
        <f>parking_demand_data_2024_ver0!O906</f>
        <v>0</v>
      </c>
      <c r="Q906" s="3">
        <f>parking_demand_data_2024_ver0!P906</f>
        <v>30</v>
      </c>
      <c r="R906" s="3">
        <f>parking_demand_data_2024_ver0!Q906</f>
        <v>0</v>
      </c>
      <c r="S906" s="3">
        <f>parking_demand_data_2024_ver0!R906</f>
        <v>0</v>
      </c>
      <c r="T906" s="3">
        <f>parking_demand_data_2024_ver0!S906</f>
        <v>0</v>
      </c>
    </row>
    <row r="907" spans="1:20" x14ac:dyDescent="0.25">
      <c r="A907">
        <v>18075</v>
      </c>
      <c r="B907" t="s">
        <v>66</v>
      </c>
      <c r="C907">
        <v>17</v>
      </c>
      <c r="D907" s="3">
        <f>parking_demand_data_2024_ver0!D907*calibration!$I$31</f>
        <v>5.08642191820981</v>
      </c>
      <c r="E907" s="3">
        <f>parking_demand_data_2024_ver0!E907*calibration!$I$31</f>
        <v>0</v>
      </c>
      <c r="F907" s="3">
        <f t="shared" si="14"/>
        <v>5.08642191820981</v>
      </c>
      <c r="G907" s="3">
        <f>parking_demand_data_2024_ver0!F907</f>
        <v>1</v>
      </c>
      <c r="H907" s="3">
        <f>parking_demand_data_2024_ver0!G907</f>
        <v>0</v>
      </c>
      <c r="I907" s="3">
        <f>parking_demand_data_2024_ver0!H907</f>
        <v>0</v>
      </c>
      <c r="J907" s="3">
        <f>parking_demand_data_2024_ver0!I907</f>
        <v>1</v>
      </c>
      <c r="K907" s="3">
        <f>parking_demand_data_2024_ver0!J907</f>
        <v>0</v>
      </c>
      <c r="L907" s="3">
        <f>parking_demand_data_2024_ver0!K907</f>
        <v>0</v>
      </c>
      <c r="M907" s="3">
        <f>parking_demand_data_2024_ver0!L907</f>
        <v>0</v>
      </c>
      <c r="N907" s="3">
        <f>parking_demand_data_2024_ver0!M907</f>
        <v>30</v>
      </c>
      <c r="O907" s="3">
        <f>parking_demand_data_2024_ver0!N907</f>
        <v>0</v>
      </c>
      <c r="P907" s="3">
        <f>parking_demand_data_2024_ver0!O907</f>
        <v>0</v>
      </c>
      <c r="Q907" s="3">
        <f>parking_demand_data_2024_ver0!P907</f>
        <v>30</v>
      </c>
      <c r="R907" s="3">
        <f>parking_demand_data_2024_ver0!Q907</f>
        <v>0</v>
      </c>
      <c r="S907" s="3">
        <f>parking_demand_data_2024_ver0!R907</f>
        <v>0</v>
      </c>
      <c r="T907" s="3">
        <f>parking_demand_data_2024_ver0!S907</f>
        <v>0</v>
      </c>
    </row>
    <row r="908" spans="1:20" x14ac:dyDescent="0.25">
      <c r="A908">
        <v>18075</v>
      </c>
      <c r="B908" t="s">
        <v>66</v>
      </c>
      <c r="C908">
        <v>18</v>
      </c>
      <c r="D908" s="3">
        <f>parking_demand_data_2024_ver0!D908*calibration!$I$31</f>
        <v>5.2983561648018798</v>
      </c>
      <c r="E908" s="3">
        <f>parking_demand_data_2024_ver0!E908*calibration!$I$31</f>
        <v>0</v>
      </c>
      <c r="F908" s="3">
        <f t="shared" si="14"/>
        <v>5.2983561648018798</v>
      </c>
      <c r="G908" s="3">
        <f>parking_demand_data_2024_ver0!F908</f>
        <v>1</v>
      </c>
      <c r="H908" s="3">
        <f>parking_demand_data_2024_ver0!G908</f>
        <v>0</v>
      </c>
      <c r="I908" s="3">
        <f>parking_demand_data_2024_ver0!H908</f>
        <v>0</v>
      </c>
      <c r="J908" s="3">
        <f>parking_demand_data_2024_ver0!I908</f>
        <v>1</v>
      </c>
      <c r="K908" s="3">
        <f>parking_demand_data_2024_ver0!J908</f>
        <v>0</v>
      </c>
      <c r="L908" s="3">
        <f>parking_demand_data_2024_ver0!K908</f>
        <v>0</v>
      </c>
      <c r="M908" s="3">
        <f>parking_demand_data_2024_ver0!L908</f>
        <v>0</v>
      </c>
      <c r="N908" s="3">
        <f>parking_demand_data_2024_ver0!M908</f>
        <v>30</v>
      </c>
      <c r="O908" s="3">
        <f>parking_demand_data_2024_ver0!N908</f>
        <v>0</v>
      </c>
      <c r="P908" s="3">
        <f>parking_demand_data_2024_ver0!O908</f>
        <v>0</v>
      </c>
      <c r="Q908" s="3">
        <f>parking_demand_data_2024_ver0!P908</f>
        <v>30</v>
      </c>
      <c r="R908" s="3">
        <f>parking_demand_data_2024_ver0!Q908</f>
        <v>0</v>
      </c>
      <c r="S908" s="3">
        <f>parking_demand_data_2024_ver0!R908</f>
        <v>0</v>
      </c>
      <c r="T908" s="3">
        <f>parking_demand_data_2024_ver0!S908</f>
        <v>0</v>
      </c>
    </row>
    <row r="909" spans="1:20" x14ac:dyDescent="0.25">
      <c r="A909">
        <v>18075</v>
      </c>
      <c r="B909" t="s">
        <v>66</v>
      </c>
      <c r="C909">
        <v>19</v>
      </c>
      <c r="D909" s="3">
        <f>parking_demand_data_2024_ver0!D909*calibration!$I$31</f>
        <v>5.7222246579860299</v>
      </c>
      <c r="E909" s="3">
        <f>parking_demand_data_2024_ver0!E909*calibration!$I$31</f>
        <v>0</v>
      </c>
      <c r="F909" s="3">
        <f t="shared" si="14"/>
        <v>5.7222246579860299</v>
      </c>
      <c r="G909" s="3">
        <f>parking_demand_data_2024_ver0!F909</f>
        <v>1</v>
      </c>
      <c r="H909" s="3">
        <f>parking_demand_data_2024_ver0!G909</f>
        <v>0</v>
      </c>
      <c r="I909" s="3">
        <f>parking_demand_data_2024_ver0!H909</f>
        <v>0</v>
      </c>
      <c r="J909" s="3">
        <f>parking_demand_data_2024_ver0!I909</f>
        <v>1</v>
      </c>
      <c r="K909" s="3">
        <f>parking_demand_data_2024_ver0!J909</f>
        <v>0</v>
      </c>
      <c r="L909" s="3">
        <f>parking_demand_data_2024_ver0!K909</f>
        <v>0</v>
      </c>
      <c r="M909" s="3">
        <f>parking_demand_data_2024_ver0!L909</f>
        <v>0</v>
      </c>
      <c r="N909" s="3">
        <f>parking_demand_data_2024_ver0!M909</f>
        <v>30</v>
      </c>
      <c r="O909" s="3">
        <f>parking_demand_data_2024_ver0!N909</f>
        <v>0</v>
      </c>
      <c r="P909" s="3">
        <f>parking_demand_data_2024_ver0!O909</f>
        <v>0</v>
      </c>
      <c r="Q909" s="3">
        <f>parking_demand_data_2024_ver0!P909</f>
        <v>30</v>
      </c>
      <c r="R909" s="3">
        <f>parking_demand_data_2024_ver0!Q909</f>
        <v>0</v>
      </c>
      <c r="S909" s="3">
        <f>parking_demand_data_2024_ver0!R909</f>
        <v>0</v>
      </c>
      <c r="T909" s="3">
        <f>parking_demand_data_2024_ver0!S909</f>
        <v>0</v>
      </c>
    </row>
    <row r="910" spans="1:20" x14ac:dyDescent="0.25">
      <c r="A910">
        <v>18075</v>
      </c>
      <c r="B910" t="s">
        <v>66</v>
      </c>
      <c r="C910">
        <v>20</v>
      </c>
      <c r="D910" s="3">
        <f>parking_demand_data_2024_ver0!D910*calibration!$I$31</f>
        <v>6.3050438361142396</v>
      </c>
      <c r="E910" s="3">
        <f>parking_demand_data_2024_ver0!E910*calibration!$I$31</f>
        <v>0</v>
      </c>
      <c r="F910" s="3">
        <f t="shared" si="14"/>
        <v>6.3050438361142396</v>
      </c>
      <c r="G910" s="3">
        <f>parking_demand_data_2024_ver0!F910</f>
        <v>1</v>
      </c>
      <c r="H910" s="3">
        <f>parking_demand_data_2024_ver0!G910</f>
        <v>0</v>
      </c>
      <c r="I910" s="3">
        <f>parking_demand_data_2024_ver0!H910</f>
        <v>0</v>
      </c>
      <c r="J910" s="3">
        <f>parking_demand_data_2024_ver0!I910</f>
        <v>1</v>
      </c>
      <c r="K910" s="3">
        <f>parking_demand_data_2024_ver0!J910</f>
        <v>0</v>
      </c>
      <c r="L910" s="3">
        <f>parking_demand_data_2024_ver0!K910</f>
        <v>0</v>
      </c>
      <c r="M910" s="3">
        <f>parking_demand_data_2024_ver0!L910</f>
        <v>0</v>
      </c>
      <c r="N910" s="3">
        <f>parking_demand_data_2024_ver0!M910</f>
        <v>30</v>
      </c>
      <c r="O910" s="3">
        <f>parking_demand_data_2024_ver0!N910</f>
        <v>0</v>
      </c>
      <c r="P910" s="3">
        <f>parking_demand_data_2024_ver0!O910</f>
        <v>0</v>
      </c>
      <c r="Q910" s="3">
        <f>parking_demand_data_2024_ver0!P910</f>
        <v>30</v>
      </c>
      <c r="R910" s="3">
        <f>parking_demand_data_2024_ver0!Q910</f>
        <v>0</v>
      </c>
      <c r="S910" s="3">
        <f>parking_demand_data_2024_ver0!R910</f>
        <v>0</v>
      </c>
      <c r="T910" s="3">
        <f>parking_demand_data_2024_ver0!S910</f>
        <v>0</v>
      </c>
    </row>
    <row r="911" spans="1:20" x14ac:dyDescent="0.25">
      <c r="A911">
        <v>18075</v>
      </c>
      <c r="B911" t="s">
        <v>66</v>
      </c>
      <c r="C911">
        <v>21</v>
      </c>
      <c r="D911" s="3">
        <f>parking_demand_data_2024_ver0!D911*calibration!$I$31</f>
        <v>6.7818958909464104</v>
      </c>
      <c r="E911" s="3">
        <f>parking_demand_data_2024_ver0!E911*calibration!$I$31</f>
        <v>0</v>
      </c>
      <c r="F911" s="3">
        <f t="shared" si="14"/>
        <v>6.7818958909464104</v>
      </c>
      <c r="G911" s="3">
        <f>parking_demand_data_2024_ver0!F911</f>
        <v>1</v>
      </c>
      <c r="H911" s="3">
        <f>parking_demand_data_2024_ver0!G911</f>
        <v>0</v>
      </c>
      <c r="I911" s="3">
        <f>parking_demand_data_2024_ver0!H911</f>
        <v>0</v>
      </c>
      <c r="J911" s="3">
        <f>parking_demand_data_2024_ver0!I911</f>
        <v>1</v>
      </c>
      <c r="K911" s="3">
        <f>parking_demand_data_2024_ver0!J911</f>
        <v>0</v>
      </c>
      <c r="L911" s="3">
        <f>parking_demand_data_2024_ver0!K911</f>
        <v>0</v>
      </c>
      <c r="M911" s="3">
        <f>parking_demand_data_2024_ver0!L911</f>
        <v>0</v>
      </c>
      <c r="N911" s="3">
        <f>parking_demand_data_2024_ver0!M911</f>
        <v>30</v>
      </c>
      <c r="O911" s="3">
        <f>parking_demand_data_2024_ver0!N911</f>
        <v>0</v>
      </c>
      <c r="P911" s="3">
        <f>parking_demand_data_2024_ver0!O911</f>
        <v>0</v>
      </c>
      <c r="Q911" s="3">
        <f>parking_demand_data_2024_ver0!P911</f>
        <v>30</v>
      </c>
      <c r="R911" s="3">
        <f>parking_demand_data_2024_ver0!Q911</f>
        <v>0</v>
      </c>
      <c r="S911" s="3">
        <f>parking_demand_data_2024_ver0!R911</f>
        <v>0</v>
      </c>
      <c r="T911" s="3">
        <f>parking_demand_data_2024_ver0!S911</f>
        <v>0</v>
      </c>
    </row>
    <row r="912" spans="1:20" x14ac:dyDescent="0.25">
      <c r="A912">
        <v>18075</v>
      </c>
      <c r="B912" t="s">
        <v>66</v>
      </c>
      <c r="C912">
        <v>22</v>
      </c>
      <c r="D912" s="3">
        <f>parking_demand_data_2024_ver0!D912*calibration!$I$31</f>
        <v>7.0468136991865</v>
      </c>
      <c r="E912" s="3">
        <f>parking_demand_data_2024_ver0!E912*calibration!$I$31</f>
        <v>0</v>
      </c>
      <c r="F912" s="3">
        <f t="shared" si="14"/>
        <v>7.0468136991865</v>
      </c>
      <c r="G912" s="3">
        <f>parking_demand_data_2024_ver0!F912</f>
        <v>1</v>
      </c>
      <c r="H912" s="3">
        <f>parking_demand_data_2024_ver0!G912</f>
        <v>0</v>
      </c>
      <c r="I912" s="3">
        <f>parking_demand_data_2024_ver0!H912</f>
        <v>0</v>
      </c>
      <c r="J912" s="3">
        <f>parking_demand_data_2024_ver0!I912</f>
        <v>1</v>
      </c>
      <c r="K912" s="3">
        <f>parking_demand_data_2024_ver0!J912</f>
        <v>0</v>
      </c>
      <c r="L912" s="3">
        <f>parking_demand_data_2024_ver0!K912</f>
        <v>0</v>
      </c>
      <c r="M912" s="3">
        <f>parking_demand_data_2024_ver0!L912</f>
        <v>0</v>
      </c>
      <c r="N912" s="3">
        <f>parking_demand_data_2024_ver0!M912</f>
        <v>30</v>
      </c>
      <c r="O912" s="3">
        <f>parking_demand_data_2024_ver0!N912</f>
        <v>0</v>
      </c>
      <c r="P912" s="3">
        <f>parking_demand_data_2024_ver0!O912</f>
        <v>0</v>
      </c>
      <c r="Q912" s="3">
        <f>parking_demand_data_2024_ver0!P912</f>
        <v>30</v>
      </c>
      <c r="R912" s="3">
        <f>parking_demand_data_2024_ver0!Q912</f>
        <v>0</v>
      </c>
      <c r="S912" s="3">
        <f>parking_demand_data_2024_ver0!R912</f>
        <v>0</v>
      </c>
      <c r="T912" s="3">
        <f>parking_demand_data_2024_ver0!S912</f>
        <v>0</v>
      </c>
    </row>
    <row r="913" spans="1:20" x14ac:dyDescent="0.25">
      <c r="A913">
        <v>18075</v>
      </c>
      <c r="B913" t="s">
        <v>66</v>
      </c>
      <c r="C913">
        <v>23</v>
      </c>
      <c r="D913" s="3">
        <f>parking_demand_data_2024_ver0!D913*calibration!$I$31</f>
        <v>7.2587479457785804</v>
      </c>
      <c r="E913" s="3">
        <f>parking_demand_data_2024_ver0!E913*calibration!$I$31</f>
        <v>0</v>
      </c>
      <c r="F913" s="3">
        <f t="shared" si="14"/>
        <v>7.2587479457785804</v>
      </c>
      <c r="G913" s="3">
        <f>parking_demand_data_2024_ver0!F913</f>
        <v>1</v>
      </c>
      <c r="H913" s="3">
        <f>parking_demand_data_2024_ver0!G913</f>
        <v>0</v>
      </c>
      <c r="I913" s="3">
        <f>parking_demand_data_2024_ver0!H913</f>
        <v>0</v>
      </c>
      <c r="J913" s="3">
        <f>parking_demand_data_2024_ver0!I913</f>
        <v>1</v>
      </c>
      <c r="K913" s="3">
        <f>parking_demand_data_2024_ver0!J913</f>
        <v>0</v>
      </c>
      <c r="L913" s="3">
        <f>parking_demand_data_2024_ver0!K913</f>
        <v>0</v>
      </c>
      <c r="M913" s="3">
        <f>parking_demand_data_2024_ver0!L913</f>
        <v>0</v>
      </c>
      <c r="N913" s="3">
        <f>parking_demand_data_2024_ver0!M913</f>
        <v>30</v>
      </c>
      <c r="O913" s="3">
        <f>parking_demand_data_2024_ver0!N913</f>
        <v>0</v>
      </c>
      <c r="P913" s="3">
        <f>parking_demand_data_2024_ver0!O913</f>
        <v>0</v>
      </c>
      <c r="Q913" s="3">
        <f>parking_demand_data_2024_ver0!P913</f>
        <v>30</v>
      </c>
      <c r="R913" s="3">
        <f>parking_demand_data_2024_ver0!Q913</f>
        <v>0</v>
      </c>
      <c r="S913" s="3">
        <f>parking_demand_data_2024_ver0!R913</f>
        <v>0</v>
      </c>
      <c r="T913" s="3">
        <f>parking_demand_data_2024_ver0!S913</f>
        <v>0</v>
      </c>
    </row>
    <row r="914" spans="1:20" x14ac:dyDescent="0.25">
      <c r="A914">
        <v>18077</v>
      </c>
      <c r="B914" t="s">
        <v>67</v>
      </c>
      <c r="C914">
        <v>0</v>
      </c>
      <c r="D914" s="3">
        <f>parking_demand_data_2024_ver0!D914*calibration!$I$31</f>
        <v>0</v>
      </c>
      <c r="E914" s="3">
        <f>parking_demand_data_2024_ver0!E914*calibration!$I$31</f>
        <v>0.51585540764854898</v>
      </c>
      <c r="F914" s="3">
        <f t="shared" si="14"/>
        <v>0.51585540764854898</v>
      </c>
      <c r="G914" s="3">
        <f>parking_demand_data_2024_ver0!F914</f>
        <v>0</v>
      </c>
      <c r="H914" s="3">
        <f>parking_demand_data_2024_ver0!G914</f>
        <v>0</v>
      </c>
      <c r="I914" s="3">
        <f>parking_demand_data_2024_ver0!H914</f>
        <v>0</v>
      </c>
      <c r="J914" s="3">
        <f>parking_demand_data_2024_ver0!I914</f>
        <v>0</v>
      </c>
      <c r="K914" s="3">
        <f>parking_demand_data_2024_ver0!J914</f>
        <v>0</v>
      </c>
      <c r="L914" s="3">
        <f>parking_demand_data_2024_ver0!K914</f>
        <v>0</v>
      </c>
      <c r="M914" s="3">
        <f>parking_demand_data_2024_ver0!L914</f>
        <v>0</v>
      </c>
      <c r="N914" s="3">
        <f>parking_demand_data_2024_ver0!M914</f>
        <v>0</v>
      </c>
      <c r="O914" s="3">
        <f>parking_demand_data_2024_ver0!N914</f>
        <v>0</v>
      </c>
      <c r="P914" s="3">
        <f>parking_demand_data_2024_ver0!O914</f>
        <v>0</v>
      </c>
      <c r="Q914" s="3">
        <f>parking_demand_data_2024_ver0!P914</f>
        <v>0</v>
      </c>
      <c r="R914" s="3">
        <f>parking_demand_data_2024_ver0!Q914</f>
        <v>0</v>
      </c>
      <c r="S914" s="3">
        <f>parking_demand_data_2024_ver0!R914</f>
        <v>0</v>
      </c>
      <c r="T914" s="3">
        <f>parking_demand_data_2024_ver0!S914</f>
        <v>0</v>
      </c>
    </row>
    <row r="915" spans="1:20" x14ac:dyDescent="0.25">
      <c r="A915">
        <v>18077</v>
      </c>
      <c r="B915" t="s">
        <v>67</v>
      </c>
      <c r="C915">
        <v>1</v>
      </c>
      <c r="D915" s="3">
        <f>parking_demand_data_2024_ver0!D915*calibration!$I$31</f>
        <v>0</v>
      </c>
      <c r="E915" s="3">
        <f>parking_demand_data_2024_ver0!E915*calibration!$I$31</f>
        <v>0.51585540764854898</v>
      </c>
      <c r="F915" s="3">
        <f t="shared" si="14"/>
        <v>0.51585540764854898</v>
      </c>
      <c r="G915" s="3">
        <f>parking_demand_data_2024_ver0!F915</f>
        <v>0</v>
      </c>
      <c r="H915" s="3">
        <f>parking_demand_data_2024_ver0!G915</f>
        <v>0</v>
      </c>
      <c r="I915" s="3">
        <f>parking_demand_data_2024_ver0!H915</f>
        <v>0</v>
      </c>
      <c r="J915" s="3">
        <f>parking_demand_data_2024_ver0!I915</f>
        <v>0</v>
      </c>
      <c r="K915" s="3">
        <f>parking_demand_data_2024_ver0!J915</f>
        <v>0</v>
      </c>
      <c r="L915" s="3">
        <f>parking_demand_data_2024_ver0!K915</f>
        <v>0</v>
      </c>
      <c r="M915" s="3">
        <f>parking_demand_data_2024_ver0!L915</f>
        <v>0</v>
      </c>
      <c r="N915" s="3">
        <f>parking_demand_data_2024_ver0!M915</f>
        <v>0</v>
      </c>
      <c r="O915" s="3">
        <f>parking_demand_data_2024_ver0!N915</f>
        <v>0</v>
      </c>
      <c r="P915" s="3">
        <f>parking_demand_data_2024_ver0!O915</f>
        <v>0</v>
      </c>
      <c r="Q915" s="3">
        <f>parking_demand_data_2024_ver0!P915</f>
        <v>0</v>
      </c>
      <c r="R915" s="3">
        <f>parking_demand_data_2024_ver0!Q915</f>
        <v>0</v>
      </c>
      <c r="S915" s="3">
        <f>parking_demand_data_2024_ver0!R915</f>
        <v>0</v>
      </c>
      <c r="T915" s="3">
        <f>parking_demand_data_2024_ver0!S915</f>
        <v>0</v>
      </c>
    </row>
    <row r="916" spans="1:20" x14ac:dyDescent="0.25">
      <c r="A916">
        <v>18077</v>
      </c>
      <c r="B916" t="s">
        <v>67</v>
      </c>
      <c r="C916">
        <v>2</v>
      </c>
      <c r="D916" s="3">
        <f>parking_demand_data_2024_ver0!D916*calibration!$I$31</f>
        <v>0</v>
      </c>
      <c r="E916" s="3">
        <f>parking_demand_data_2024_ver0!E916*calibration!$I$31</f>
        <v>0.58954903731262698</v>
      </c>
      <c r="F916" s="3">
        <f t="shared" si="14"/>
        <v>0.58954903731262698</v>
      </c>
      <c r="G916" s="3">
        <f>parking_demand_data_2024_ver0!F916</f>
        <v>0</v>
      </c>
      <c r="H916" s="3">
        <f>parking_demand_data_2024_ver0!G916</f>
        <v>0</v>
      </c>
      <c r="I916" s="3">
        <f>parking_demand_data_2024_ver0!H916</f>
        <v>0</v>
      </c>
      <c r="J916" s="3">
        <f>parking_demand_data_2024_ver0!I916</f>
        <v>0</v>
      </c>
      <c r="K916" s="3">
        <f>parking_demand_data_2024_ver0!J916</f>
        <v>0</v>
      </c>
      <c r="L916" s="3">
        <f>parking_demand_data_2024_ver0!K916</f>
        <v>0</v>
      </c>
      <c r="M916" s="3">
        <f>parking_demand_data_2024_ver0!L916</f>
        <v>0</v>
      </c>
      <c r="N916" s="3">
        <f>parking_demand_data_2024_ver0!M916</f>
        <v>0</v>
      </c>
      <c r="O916" s="3">
        <f>parking_demand_data_2024_ver0!N916</f>
        <v>0</v>
      </c>
      <c r="P916" s="3">
        <f>parking_demand_data_2024_ver0!O916</f>
        <v>0</v>
      </c>
      <c r="Q916" s="3">
        <f>parking_demand_data_2024_ver0!P916</f>
        <v>0</v>
      </c>
      <c r="R916" s="3">
        <f>parking_demand_data_2024_ver0!Q916</f>
        <v>0</v>
      </c>
      <c r="S916" s="3">
        <f>parking_demand_data_2024_ver0!R916</f>
        <v>0</v>
      </c>
      <c r="T916" s="3">
        <f>parking_demand_data_2024_ver0!S916</f>
        <v>0</v>
      </c>
    </row>
    <row r="917" spans="1:20" x14ac:dyDescent="0.25">
      <c r="A917">
        <v>18077</v>
      </c>
      <c r="B917" t="s">
        <v>67</v>
      </c>
      <c r="C917">
        <v>3</v>
      </c>
      <c r="D917" s="3">
        <f>parking_demand_data_2024_ver0!D917*calibration!$I$31</f>
        <v>0</v>
      </c>
      <c r="E917" s="3">
        <f>parking_demand_data_2024_ver0!E917*calibration!$I$31</f>
        <v>0.58954903731262698</v>
      </c>
      <c r="F917" s="3">
        <f t="shared" si="14"/>
        <v>0.58954903731262698</v>
      </c>
      <c r="G917" s="3">
        <f>parking_demand_data_2024_ver0!F917</f>
        <v>0</v>
      </c>
      <c r="H917" s="3">
        <f>parking_demand_data_2024_ver0!G917</f>
        <v>0</v>
      </c>
      <c r="I917" s="3">
        <f>parking_demand_data_2024_ver0!H917</f>
        <v>0</v>
      </c>
      <c r="J917" s="3">
        <f>parking_demand_data_2024_ver0!I917</f>
        <v>0</v>
      </c>
      <c r="K917" s="3">
        <f>parking_demand_data_2024_ver0!J917</f>
        <v>0</v>
      </c>
      <c r="L917" s="3">
        <f>parking_demand_data_2024_ver0!K917</f>
        <v>0</v>
      </c>
      <c r="M917" s="3">
        <f>parking_demand_data_2024_ver0!L917</f>
        <v>0</v>
      </c>
      <c r="N917" s="3">
        <f>parking_demand_data_2024_ver0!M917</f>
        <v>0</v>
      </c>
      <c r="O917" s="3">
        <f>parking_demand_data_2024_ver0!N917</f>
        <v>0</v>
      </c>
      <c r="P917" s="3">
        <f>parking_demand_data_2024_ver0!O917</f>
        <v>0</v>
      </c>
      <c r="Q917" s="3">
        <f>parking_demand_data_2024_ver0!P917</f>
        <v>0</v>
      </c>
      <c r="R917" s="3">
        <f>parking_demand_data_2024_ver0!Q917</f>
        <v>0</v>
      </c>
      <c r="S917" s="3">
        <f>parking_demand_data_2024_ver0!R917</f>
        <v>0</v>
      </c>
      <c r="T917" s="3">
        <f>parking_demand_data_2024_ver0!S917</f>
        <v>0</v>
      </c>
    </row>
    <row r="918" spans="1:20" x14ac:dyDescent="0.25">
      <c r="A918">
        <v>18077</v>
      </c>
      <c r="B918" t="s">
        <v>67</v>
      </c>
      <c r="C918">
        <v>4</v>
      </c>
      <c r="D918" s="3">
        <f>parking_demand_data_2024_ver0!D918*calibration!$I$31</f>
        <v>0</v>
      </c>
      <c r="E918" s="3">
        <f>parking_demand_data_2024_ver0!E918*calibration!$I$31</f>
        <v>0.47900859281650998</v>
      </c>
      <c r="F918" s="3">
        <f t="shared" si="14"/>
        <v>0.47900859281650998</v>
      </c>
      <c r="G918" s="3">
        <f>parking_demand_data_2024_ver0!F918</f>
        <v>0</v>
      </c>
      <c r="H918" s="3">
        <f>parking_demand_data_2024_ver0!G918</f>
        <v>0</v>
      </c>
      <c r="I918" s="3">
        <f>parking_demand_data_2024_ver0!H918</f>
        <v>0</v>
      </c>
      <c r="J918" s="3">
        <f>parking_demand_data_2024_ver0!I918</f>
        <v>0</v>
      </c>
      <c r="K918" s="3">
        <f>parking_demand_data_2024_ver0!J918</f>
        <v>0</v>
      </c>
      <c r="L918" s="3">
        <f>parking_demand_data_2024_ver0!K918</f>
        <v>0</v>
      </c>
      <c r="M918" s="3">
        <f>parking_demand_data_2024_ver0!L918</f>
        <v>0</v>
      </c>
      <c r="N918" s="3">
        <f>parking_demand_data_2024_ver0!M918</f>
        <v>0</v>
      </c>
      <c r="O918" s="3">
        <f>parking_demand_data_2024_ver0!N918</f>
        <v>0</v>
      </c>
      <c r="P918" s="3">
        <f>parking_demand_data_2024_ver0!O918</f>
        <v>0</v>
      </c>
      <c r="Q918" s="3">
        <f>parking_demand_data_2024_ver0!P918</f>
        <v>0</v>
      </c>
      <c r="R918" s="3">
        <f>parking_demand_data_2024_ver0!Q918</f>
        <v>0</v>
      </c>
      <c r="S918" s="3">
        <f>parking_demand_data_2024_ver0!R918</f>
        <v>0</v>
      </c>
      <c r="T918" s="3">
        <f>parking_demand_data_2024_ver0!S918</f>
        <v>0</v>
      </c>
    </row>
    <row r="919" spans="1:20" x14ac:dyDescent="0.25">
      <c r="A919">
        <v>18077</v>
      </c>
      <c r="B919" t="s">
        <v>67</v>
      </c>
      <c r="C919">
        <v>5</v>
      </c>
      <c r="D919" s="3">
        <f>parking_demand_data_2024_ver0!D919*calibration!$I$31</f>
        <v>0</v>
      </c>
      <c r="E919" s="3">
        <f>parking_demand_data_2024_ver0!E919*calibration!$I$31</f>
        <v>0.84747674113690197</v>
      </c>
      <c r="F919" s="3">
        <f t="shared" si="14"/>
        <v>0.84747674113690197</v>
      </c>
      <c r="G919" s="3">
        <f>parking_demand_data_2024_ver0!F919</f>
        <v>0</v>
      </c>
      <c r="H919" s="3">
        <f>parking_demand_data_2024_ver0!G919</f>
        <v>0</v>
      </c>
      <c r="I919" s="3">
        <f>parking_demand_data_2024_ver0!H919</f>
        <v>0</v>
      </c>
      <c r="J919" s="3">
        <f>parking_demand_data_2024_ver0!I919</f>
        <v>0</v>
      </c>
      <c r="K919" s="3">
        <f>parking_demand_data_2024_ver0!J919</f>
        <v>0</v>
      </c>
      <c r="L919" s="3">
        <f>parking_demand_data_2024_ver0!K919</f>
        <v>0</v>
      </c>
      <c r="M919" s="3">
        <f>parking_demand_data_2024_ver0!L919</f>
        <v>0</v>
      </c>
      <c r="N919" s="3">
        <f>parking_demand_data_2024_ver0!M919</f>
        <v>0</v>
      </c>
      <c r="O919" s="3">
        <f>parking_demand_data_2024_ver0!N919</f>
        <v>0</v>
      </c>
      <c r="P919" s="3">
        <f>parking_demand_data_2024_ver0!O919</f>
        <v>0</v>
      </c>
      <c r="Q919" s="3">
        <f>parking_demand_data_2024_ver0!P919</f>
        <v>0</v>
      </c>
      <c r="R919" s="3">
        <f>parking_demand_data_2024_ver0!Q919</f>
        <v>0</v>
      </c>
      <c r="S919" s="3">
        <f>parking_demand_data_2024_ver0!R919</f>
        <v>0</v>
      </c>
      <c r="T919" s="3">
        <f>parking_demand_data_2024_ver0!S919</f>
        <v>0</v>
      </c>
    </row>
    <row r="920" spans="1:20" x14ac:dyDescent="0.25">
      <c r="A920">
        <v>18077</v>
      </c>
      <c r="B920" t="s">
        <v>67</v>
      </c>
      <c r="C920">
        <v>6</v>
      </c>
      <c r="D920" s="3">
        <f>parking_demand_data_2024_ver0!D920*calibration!$I$31</f>
        <v>0</v>
      </c>
      <c r="E920" s="3">
        <f>parking_demand_data_2024_ver0!E920*calibration!$I$31</f>
        <v>1.21594488945729</v>
      </c>
      <c r="F920" s="3">
        <f t="shared" si="14"/>
        <v>1.21594488945729</v>
      </c>
      <c r="G920" s="3">
        <f>parking_demand_data_2024_ver0!F920</f>
        <v>0</v>
      </c>
      <c r="H920" s="3">
        <f>parking_demand_data_2024_ver0!G920</f>
        <v>0</v>
      </c>
      <c r="I920" s="3">
        <f>parking_demand_data_2024_ver0!H920</f>
        <v>0</v>
      </c>
      <c r="J920" s="3">
        <f>parking_demand_data_2024_ver0!I920</f>
        <v>0</v>
      </c>
      <c r="K920" s="3">
        <f>parking_demand_data_2024_ver0!J920</f>
        <v>0</v>
      </c>
      <c r="L920" s="3">
        <f>parking_demand_data_2024_ver0!K920</f>
        <v>0</v>
      </c>
      <c r="M920" s="3">
        <f>parking_demand_data_2024_ver0!L920</f>
        <v>0</v>
      </c>
      <c r="N920" s="3">
        <f>parking_demand_data_2024_ver0!M920</f>
        <v>0</v>
      </c>
      <c r="O920" s="3">
        <f>parking_demand_data_2024_ver0!N920</f>
        <v>0</v>
      </c>
      <c r="P920" s="3">
        <f>parking_demand_data_2024_ver0!O920</f>
        <v>0</v>
      </c>
      <c r="Q920" s="3">
        <f>parking_demand_data_2024_ver0!P920</f>
        <v>0</v>
      </c>
      <c r="R920" s="3">
        <f>parking_demand_data_2024_ver0!Q920</f>
        <v>0</v>
      </c>
      <c r="S920" s="3">
        <f>parking_demand_data_2024_ver0!R920</f>
        <v>0</v>
      </c>
      <c r="T920" s="3">
        <f>parking_demand_data_2024_ver0!S920</f>
        <v>0</v>
      </c>
    </row>
    <row r="921" spans="1:20" x14ac:dyDescent="0.25">
      <c r="A921">
        <v>18077</v>
      </c>
      <c r="B921" t="s">
        <v>67</v>
      </c>
      <c r="C921">
        <v>7</v>
      </c>
      <c r="D921" s="3">
        <f>parking_demand_data_2024_ver0!D921*calibration!$I$31</f>
        <v>0</v>
      </c>
      <c r="E921" s="3">
        <f>parking_demand_data_2024_ver0!E921*calibration!$I$31</f>
        <v>2.9108983717310899</v>
      </c>
      <c r="F921" s="3">
        <f t="shared" si="14"/>
        <v>2.9108983717310899</v>
      </c>
      <c r="G921" s="3">
        <f>parking_demand_data_2024_ver0!F921</f>
        <v>0</v>
      </c>
      <c r="H921" s="3">
        <f>parking_demand_data_2024_ver0!G921</f>
        <v>0</v>
      </c>
      <c r="I921" s="3">
        <f>parking_demand_data_2024_ver0!H921</f>
        <v>0</v>
      </c>
      <c r="J921" s="3">
        <f>parking_demand_data_2024_ver0!I921</f>
        <v>0</v>
      </c>
      <c r="K921" s="3">
        <f>parking_demand_data_2024_ver0!J921</f>
        <v>0</v>
      </c>
      <c r="L921" s="3">
        <f>parking_demand_data_2024_ver0!K921</f>
        <v>0</v>
      </c>
      <c r="M921" s="3">
        <f>parking_demand_data_2024_ver0!L921</f>
        <v>0</v>
      </c>
      <c r="N921" s="3">
        <f>parking_demand_data_2024_ver0!M921</f>
        <v>0</v>
      </c>
      <c r="O921" s="3">
        <f>parking_demand_data_2024_ver0!N921</f>
        <v>0</v>
      </c>
      <c r="P921" s="3">
        <f>parking_demand_data_2024_ver0!O921</f>
        <v>0</v>
      </c>
      <c r="Q921" s="3">
        <f>parking_demand_data_2024_ver0!P921</f>
        <v>0</v>
      </c>
      <c r="R921" s="3">
        <f>parking_demand_data_2024_ver0!Q921</f>
        <v>0</v>
      </c>
      <c r="S921" s="3">
        <f>parking_demand_data_2024_ver0!R921</f>
        <v>0</v>
      </c>
      <c r="T921" s="3">
        <f>parking_demand_data_2024_ver0!S921</f>
        <v>0</v>
      </c>
    </row>
    <row r="922" spans="1:20" x14ac:dyDescent="0.25">
      <c r="A922">
        <v>18077</v>
      </c>
      <c r="B922" t="s">
        <v>67</v>
      </c>
      <c r="C922">
        <v>8</v>
      </c>
      <c r="D922" s="3">
        <f>parking_demand_data_2024_ver0!D922*calibration!$I$31</f>
        <v>0</v>
      </c>
      <c r="E922" s="3">
        <f>parking_demand_data_2024_ver0!E922*calibration!$I$31</f>
        <v>3.1319792607233299</v>
      </c>
      <c r="F922" s="3">
        <f t="shared" si="14"/>
        <v>3.1319792607233299</v>
      </c>
      <c r="G922" s="3">
        <f>parking_demand_data_2024_ver0!F922</f>
        <v>0</v>
      </c>
      <c r="H922" s="3">
        <f>parking_demand_data_2024_ver0!G922</f>
        <v>0</v>
      </c>
      <c r="I922" s="3">
        <f>parking_demand_data_2024_ver0!H922</f>
        <v>0</v>
      </c>
      <c r="J922" s="3">
        <f>parking_demand_data_2024_ver0!I922</f>
        <v>0</v>
      </c>
      <c r="K922" s="3">
        <f>parking_demand_data_2024_ver0!J922</f>
        <v>0</v>
      </c>
      <c r="L922" s="3">
        <f>parking_demand_data_2024_ver0!K922</f>
        <v>0</v>
      </c>
      <c r="M922" s="3">
        <f>parking_demand_data_2024_ver0!L922</f>
        <v>0</v>
      </c>
      <c r="N922" s="3">
        <f>parking_demand_data_2024_ver0!M922</f>
        <v>0</v>
      </c>
      <c r="O922" s="3">
        <f>parking_demand_data_2024_ver0!N922</f>
        <v>0</v>
      </c>
      <c r="P922" s="3">
        <f>parking_demand_data_2024_ver0!O922</f>
        <v>0</v>
      </c>
      <c r="Q922" s="3">
        <f>parking_demand_data_2024_ver0!P922</f>
        <v>0</v>
      </c>
      <c r="R922" s="3">
        <f>parking_demand_data_2024_ver0!Q922</f>
        <v>0</v>
      </c>
      <c r="S922" s="3">
        <f>parking_demand_data_2024_ver0!R922</f>
        <v>0</v>
      </c>
      <c r="T922" s="3">
        <f>parking_demand_data_2024_ver0!S922</f>
        <v>0</v>
      </c>
    </row>
    <row r="923" spans="1:20" x14ac:dyDescent="0.25">
      <c r="A923">
        <v>18077</v>
      </c>
      <c r="B923" t="s">
        <v>67</v>
      </c>
      <c r="C923">
        <v>9</v>
      </c>
      <c r="D923" s="3">
        <f>parking_demand_data_2024_ver0!D923*calibration!$I$31</f>
        <v>0</v>
      </c>
      <c r="E923" s="3">
        <f>parking_demand_data_2024_ver0!E923*calibration!$I$31</f>
        <v>3.0951324458912901</v>
      </c>
      <c r="F923" s="3">
        <f t="shared" si="14"/>
        <v>3.0951324458912901</v>
      </c>
      <c r="G923" s="3">
        <f>parking_demand_data_2024_ver0!F923</f>
        <v>0</v>
      </c>
      <c r="H923" s="3">
        <f>parking_demand_data_2024_ver0!G923</f>
        <v>0</v>
      </c>
      <c r="I923" s="3">
        <f>parking_demand_data_2024_ver0!H923</f>
        <v>0</v>
      </c>
      <c r="J923" s="3">
        <f>parking_demand_data_2024_ver0!I923</f>
        <v>0</v>
      </c>
      <c r="K923" s="3">
        <f>parking_demand_data_2024_ver0!J923</f>
        <v>0</v>
      </c>
      <c r="L923" s="3">
        <f>parking_demand_data_2024_ver0!K923</f>
        <v>0</v>
      </c>
      <c r="M923" s="3">
        <f>parking_demand_data_2024_ver0!L923</f>
        <v>0</v>
      </c>
      <c r="N923" s="3">
        <f>parking_demand_data_2024_ver0!M923</f>
        <v>0</v>
      </c>
      <c r="O923" s="3">
        <f>parking_demand_data_2024_ver0!N923</f>
        <v>0</v>
      </c>
      <c r="P923" s="3">
        <f>parking_demand_data_2024_ver0!O923</f>
        <v>0</v>
      </c>
      <c r="Q923" s="3">
        <f>parking_demand_data_2024_ver0!P923</f>
        <v>0</v>
      </c>
      <c r="R923" s="3">
        <f>parking_demand_data_2024_ver0!Q923</f>
        <v>0</v>
      </c>
      <c r="S923" s="3">
        <f>parking_demand_data_2024_ver0!R923</f>
        <v>0</v>
      </c>
      <c r="T923" s="3">
        <f>parking_demand_data_2024_ver0!S923</f>
        <v>0</v>
      </c>
    </row>
    <row r="924" spans="1:20" x14ac:dyDescent="0.25">
      <c r="A924">
        <v>18077</v>
      </c>
      <c r="B924" t="s">
        <v>67</v>
      </c>
      <c r="C924">
        <v>10</v>
      </c>
      <c r="D924" s="3">
        <f>parking_demand_data_2024_ver0!D924*calibration!$I$31</f>
        <v>0</v>
      </c>
      <c r="E924" s="3">
        <f>parking_demand_data_2024_ver0!E924*calibration!$I$31</f>
        <v>4.1268432611883901</v>
      </c>
      <c r="F924" s="3">
        <f t="shared" si="14"/>
        <v>4.1268432611883901</v>
      </c>
      <c r="G924" s="3">
        <f>parking_demand_data_2024_ver0!F924</f>
        <v>0</v>
      </c>
      <c r="H924" s="3">
        <f>parking_demand_data_2024_ver0!G924</f>
        <v>0</v>
      </c>
      <c r="I924" s="3">
        <f>parking_demand_data_2024_ver0!H924</f>
        <v>0</v>
      </c>
      <c r="J924" s="3">
        <f>parking_demand_data_2024_ver0!I924</f>
        <v>0</v>
      </c>
      <c r="K924" s="3">
        <f>parking_demand_data_2024_ver0!J924</f>
        <v>0</v>
      </c>
      <c r="L924" s="3">
        <f>parking_demand_data_2024_ver0!K924</f>
        <v>0</v>
      </c>
      <c r="M924" s="3">
        <f>parking_demand_data_2024_ver0!L924</f>
        <v>0</v>
      </c>
      <c r="N924" s="3">
        <f>parking_demand_data_2024_ver0!M924</f>
        <v>0</v>
      </c>
      <c r="O924" s="3">
        <f>parking_demand_data_2024_ver0!N924</f>
        <v>0</v>
      </c>
      <c r="P924" s="3">
        <f>parking_demand_data_2024_ver0!O924</f>
        <v>0</v>
      </c>
      <c r="Q924" s="3">
        <f>parking_demand_data_2024_ver0!P924</f>
        <v>0</v>
      </c>
      <c r="R924" s="3">
        <f>parking_demand_data_2024_ver0!Q924</f>
        <v>0</v>
      </c>
      <c r="S924" s="3">
        <f>parking_demand_data_2024_ver0!R924</f>
        <v>0</v>
      </c>
      <c r="T924" s="3">
        <f>parking_demand_data_2024_ver0!S924</f>
        <v>0</v>
      </c>
    </row>
    <row r="925" spans="1:20" x14ac:dyDescent="0.25">
      <c r="A925">
        <v>18077</v>
      </c>
      <c r="B925" t="s">
        <v>67</v>
      </c>
      <c r="C925">
        <v>11</v>
      </c>
      <c r="D925" s="3">
        <f>parking_demand_data_2024_ver0!D925*calibration!$I$31</f>
        <v>0</v>
      </c>
      <c r="E925" s="3">
        <f>parking_demand_data_2024_ver0!E925*calibration!$I$31</f>
        <v>4.8637795578291696</v>
      </c>
      <c r="F925" s="3">
        <f t="shared" si="14"/>
        <v>4.8637795578291696</v>
      </c>
      <c r="G925" s="3">
        <f>parking_demand_data_2024_ver0!F925</f>
        <v>0</v>
      </c>
      <c r="H925" s="3">
        <f>parking_demand_data_2024_ver0!G925</f>
        <v>0</v>
      </c>
      <c r="I925" s="3">
        <f>parking_demand_data_2024_ver0!H925</f>
        <v>0</v>
      </c>
      <c r="J925" s="3">
        <f>parking_demand_data_2024_ver0!I925</f>
        <v>0</v>
      </c>
      <c r="K925" s="3">
        <f>parking_demand_data_2024_ver0!J925</f>
        <v>0</v>
      </c>
      <c r="L925" s="3">
        <f>parking_demand_data_2024_ver0!K925</f>
        <v>0</v>
      </c>
      <c r="M925" s="3">
        <f>parking_demand_data_2024_ver0!L925</f>
        <v>0</v>
      </c>
      <c r="N925" s="3">
        <f>parking_demand_data_2024_ver0!M925</f>
        <v>0</v>
      </c>
      <c r="O925" s="3">
        <f>parking_demand_data_2024_ver0!N925</f>
        <v>0</v>
      </c>
      <c r="P925" s="3">
        <f>parking_demand_data_2024_ver0!O925</f>
        <v>0</v>
      </c>
      <c r="Q925" s="3">
        <f>parking_demand_data_2024_ver0!P925</f>
        <v>0</v>
      </c>
      <c r="R925" s="3">
        <f>parking_demand_data_2024_ver0!Q925</f>
        <v>0</v>
      </c>
      <c r="S925" s="3">
        <f>parking_demand_data_2024_ver0!R925</f>
        <v>0</v>
      </c>
      <c r="T925" s="3">
        <f>parking_demand_data_2024_ver0!S925</f>
        <v>0</v>
      </c>
    </row>
    <row r="926" spans="1:20" x14ac:dyDescent="0.25">
      <c r="A926">
        <v>18077</v>
      </c>
      <c r="B926" t="s">
        <v>67</v>
      </c>
      <c r="C926">
        <v>12</v>
      </c>
      <c r="D926" s="3">
        <f>parking_demand_data_2024_ver0!D926*calibration!$I$31</f>
        <v>0</v>
      </c>
      <c r="E926" s="3">
        <f>parking_demand_data_2024_ver0!E926*calibration!$I$31</f>
        <v>2.1371152602582701</v>
      </c>
      <c r="F926" s="3">
        <f t="shared" si="14"/>
        <v>2.1371152602582701</v>
      </c>
      <c r="G926" s="3">
        <f>parking_demand_data_2024_ver0!F926</f>
        <v>0</v>
      </c>
      <c r="H926" s="3">
        <f>parking_demand_data_2024_ver0!G926</f>
        <v>0</v>
      </c>
      <c r="I926" s="3">
        <f>parking_demand_data_2024_ver0!H926</f>
        <v>0</v>
      </c>
      <c r="J926" s="3">
        <f>parking_demand_data_2024_ver0!I926</f>
        <v>0</v>
      </c>
      <c r="K926" s="3">
        <f>parking_demand_data_2024_ver0!J926</f>
        <v>0</v>
      </c>
      <c r="L926" s="3">
        <f>parking_demand_data_2024_ver0!K926</f>
        <v>0</v>
      </c>
      <c r="M926" s="3">
        <f>parking_demand_data_2024_ver0!L926</f>
        <v>0</v>
      </c>
      <c r="N926" s="3">
        <f>parking_demand_data_2024_ver0!M926</f>
        <v>0</v>
      </c>
      <c r="O926" s="3">
        <f>parking_demand_data_2024_ver0!N926</f>
        <v>0</v>
      </c>
      <c r="P926" s="3">
        <f>parking_demand_data_2024_ver0!O926</f>
        <v>0</v>
      </c>
      <c r="Q926" s="3">
        <f>parking_demand_data_2024_ver0!P926</f>
        <v>0</v>
      </c>
      <c r="R926" s="3">
        <f>parking_demand_data_2024_ver0!Q926</f>
        <v>0</v>
      </c>
      <c r="S926" s="3">
        <f>parking_demand_data_2024_ver0!R926</f>
        <v>0</v>
      </c>
      <c r="T926" s="3">
        <f>parking_demand_data_2024_ver0!S926</f>
        <v>0</v>
      </c>
    </row>
    <row r="927" spans="1:20" x14ac:dyDescent="0.25">
      <c r="A927">
        <v>18077</v>
      </c>
      <c r="B927" t="s">
        <v>67</v>
      </c>
      <c r="C927">
        <v>13</v>
      </c>
      <c r="D927" s="3">
        <f>parking_demand_data_2024_ver0!D927*calibration!$I$31</f>
        <v>0</v>
      </c>
      <c r="E927" s="3">
        <f>parking_demand_data_2024_ver0!E927*calibration!$I$31</f>
        <v>1.28963851912137</v>
      </c>
      <c r="F927" s="3">
        <f t="shared" si="14"/>
        <v>1.28963851912137</v>
      </c>
      <c r="G927" s="3">
        <f>parking_demand_data_2024_ver0!F927</f>
        <v>0</v>
      </c>
      <c r="H927" s="3">
        <f>parking_demand_data_2024_ver0!G927</f>
        <v>0</v>
      </c>
      <c r="I927" s="3">
        <f>parking_demand_data_2024_ver0!H927</f>
        <v>0</v>
      </c>
      <c r="J927" s="3">
        <f>parking_demand_data_2024_ver0!I927</f>
        <v>0</v>
      </c>
      <c r="K927" s="3">
        <f>parking_demand_data_2024_ver0!J927</f>
        <v>0</v>
      </c>
      <c r="L927" s="3">
        <f>parking_demand_data_2024_ver0!K927</f>
        <v>0</v>
      </c>
      <c r="M927" s="3">
        <f>parking_demand_data_2024_ver0!L927</f>
        <v>0</v>
      </c>
      <c r="N927" s="3">
        <f>parking_demand_data_2024_ver0!M927</f>
        <v>0</v>
      </c>
      <c r="O927" s="3">
        <f>parking_demand_data_2024_ver0!N927</f>
        <v>0</v>
      </c>
      <c r="P927" s="3">
        <f>parking_demand_data_2024_ver0!O927</f>
        <v>0</v>
      </c>
      <c r="Q927" s="3">
        <f>parking_demand_data_2024_ver0!P927</f>
        <v>0</v>
      </c>
      <c r="R927" s="3">
        <f>parking_demand_data_2024_ver0!Q927</f>
        <v>0</v>
      </c>
      <c r="S927" s="3">
        <f>parking_demand_data_2024_ver0!R927</f>
        <v>0</v>
      </c>
      <c r="T927" s="3">
        <f>parking_demand_data_2024_ver0!S927</f>
        <v>0</v>
      </c>
    </row>
    <row r="928" spans="1:20" x14ac:dyDescent="0.25">
      <c r="A928">
        <v>18077</v>
      </c>
      <c r="B928" t="s">
        <v>67</v>
      </c>
      <c r="C928">
        <v>14</v>
      </c>
      <c r="D928" s="3">
        <f>parking_demand_data_2024_ver0!D928*calibration!$I$31</f>
        <v>0</v>
      </c>
      <c r="E928" s="3">
        <f>parking_demand_data_2024_ver0!E928*calibration!$I$31</f>
        <v>0.88432355596894097</v>
      </c>
      <c r="F928" s="3">
        <f t="shared" si="14"/>
        <v>0.88432355596894097</v>
      </c>
      <c r="G928" s="3">
        <f>parking_demand_data_2024_ver0!F928</f>
        <v>0</v>
      </c>
      <c r="H928" s="3">
        <f>parking_demand_data_2024_ver0!G928</f>
        <v>0</v>
      </c>
      <c r="I928" s="3">
        <f>parking_demand_data_2024_ver0!H928</f>
        <v>0</v>
      </c>
      <c r="J928" s="3">
        <f>parking_demand_data_2024_ver0!I928</f>
        <v>0</v>
      </c>
      <c r="K928" s="3">
        <f>parking_demand_data_2024_ver0!J928</f>
        <v>0</v>
      </c>
      <c r="L928" s="3">
        <f>parking_demand_data_2024_ver0!K928</f>
        <v>0</v>
      </c>
      <c r="M928" s="3">
        <f>parking_demand_data_2024_ver0!L928</f>
        <v>0</v>
      </c>
      <c r="N928" s="3">
        <f>parking_demand_data_2024_ver0!M928</f>
        <v>0</v>
      </c>
      <c r="O928" s="3">
        <f>parking_demand_data_2024_ver0!N928</f>
        <v>0</v>
      </c>
      <c r="P928" s="3">
        <f>parking_demand_data_2024_ver0!O928</f>
        <v>0</v>
      </c>
      <c r="Q928" s="3">
        <f>parking_demand_data_2024_ver0!P928</f>
        <v>0</v>
      </c>
      <c r="R928" s="3">
        <f>parking_demand_data_2024_ver0!Q928</f>
        <v>0</v>
      </c>
      <c r="S928" s="3">
        <f>parking_demand_data_2024_ver0!R928</f>
        <v>0</v>
      </c>
      <c r="T928" s="3">
        <f>parking_demand_data_2024_ver0!S928</f>
        <v>0</v>
      </c>
    </row>
    <row r="929" spans="1:20" x14ac:dyDescent="0.25">
      <c r="A929">
        <v>18077</v>
      </c>
      <c r="B929" t="s">
        <v>67</v>
      </c>
      <c r="C929">
        <v>15</v>
      </c>
      <c r="D929" s="3">
        <f>parking_demand_data_2024_ver0!D929*calibration!$I$31</f>
        <v>0</v>
      </c>
      <c r="E929" s="3">
        <f>parking_demand_data_2024_ver0!E929*calibration!$I$31</f>
        <v>0.33162133348835299</v>
      </c>
      <c r="F929" s="3">
        <f t="shared" si="14"/>
        <v>0.33162133348835299</v>
      </c>
      <c r="G929" s="3">
        <f>parking_demand_data_2024_ver0!F929</f>
        <v>0</v>
      </c>
      <c r="H929" s="3">
        <f>parking_demand_data_2024_ver0!G929</f>
        <v>0</v>
      </c>
      <c r="I929" s="3">
        <f>parking_demand_data_2024_ver0!H929</f>
        <v>0</v>
      </c>
      <c r="J929" s="3">
        <f>parking_demand_data_2024_ver0!I929</f>
        <v>0</v>
      </c>
      <c r="K929" s="3">
        <f>parking_demand_data_2024_ver0!J929</f>
        <v>0</v>
      </c>
      <c r="L929" s="3">
        <f>parking_demand_data_2024_ver0!K929</f>
        <v>0</v>
      </c>
      <c r="M929" s="3">
        <f>parking_demand_data_2024_ver0!L929</f>
        <v>0</v>
      </c>
      <c r="N929" s="3">
        <f>parking_demand_data_2024_ver0!M929</f>
        <v>0</v>
      </c>
      <c r="O929" s="3">
        <f>parking_demand_data_2024_ver0!N929</f>
        <v>0</v>
      </c>
      <c r="P929" s="3">
        <f>parking_demand_data_2024_ver0!O929</f>
        <v>0</v>
      </c>
      <c r="Q929" s="3">
        <f>parking_demand_data_2024_ver0!P929</f>
        <v>0</v>
      </c>
      <c r="R929" s="3">
        <f>parking_demand_data_2024_ver0!Q929</f>
        <v>0</v>
      </c>
      <c r="S929" s="3">
        <f>parking_demand_data_2024_ver0!R929</f>
        <v>0</v>
      </c>
      <c r="T929" s="3">
        <f>parking_demand_data_2024_ver0!S929</f>
        <v>0</v>
      </c>
    </row>
    <row r="930" spans="1:20" x14ac:dyDescent="0.25">
      <c r="A930">
        <v>18077</v>
      </c>
      <c r="B930" t="s">
        <v>67</v>
      </c>
      <c r="C930">
        <v>16</v>
      </c>
      <c r="D930" s="3">
        <f>parking_demand_data_2024_ver0!D930*calibration!$I$31</f>
        <v>0</v>
      </c>
      <c r="E930" s="3">
        <f>parking_demand_data_2024_ver0!E930*calibration!$I$31</f>
        <v>0.33162133348835299</v>
      </c>
      <c r="F930" s="3">
        <f t="shared" si="14"/>
        <v>0.33162133348835299</v>
      </c>
      <c r="G930" s="3">
        <f>parking_demand_data_2024_ver0!F930</f>
        <v>0</v>
      </c>
      <c r="H930" s="3">
        <f>parking_demand_data_2024_ver0!G930</f>
        <v>0</v>
      </c>
      <c r="I930" s="3">
        <f>parking_demand_data_2024_ver0!H930</f>
        <v>0</v>
      </c>
      <c r="J930" s="3">
        <f>parking_demand_data_2024_ver0!I930</f>
        <v>0</v>
      </c>
      <c r="K930" s="3">
        <f>parking_demand_data_2024_ver0!J930</f>
        <v>0</v>
      </c>
      <c r="L930" s="3">
        <f>parking_demand_data_2024_ver0!K930</f>
        <v>0</v>
      </c>
      <c r="M930" s="3">
        <f>parking_demand_data_2024_ver0!L930</f>
        <v>0</v>
      </c>
      <c r="N930" s="3">
        <f>parking_demand_data_2024_ver0!M930</f>
        <v>0</v>
      </c>
      <c r="O930" s="3">
        <f>parking_demand_data_2024_ver0!N930</f>
        <v>0</v>
      </c>
      <c r="P930" s="3">
        <f>parking_demand_data_2024_ver0!O930</f>
        <v>0</v>
      </c>
      <c r="Q930" s="3">
        <f>parking_demand_data_2024_ver0!P930</f>
        <v>0</v>
      </c>
      <c r="R930" s="3">
        <f>parking_demand_data_2024_ver0!Q930</f>
        <v>0</v>
      </c>
      <c r="S930" s="3">
        <f>parking_demand_data_2024_ver0!R930</f>
        <v>0</v>
      </c>
      <c r="T930" s="3">
        <f>parking_demand_data_2024_ver0!S930</f>
        <v>0</v>
      </c>
    </row>
    <row r="931" spans="1:20" x14ac:dyDescent="0.25">
      <c r="A931">
        <v>18077</v>
      </c>
      <c r="B931" t="s">
        <v>67</v>
      </c>
      <c r="C931">
        <v>17</v>
      </c>
      <c r="D931" s="3">
        <f>parking_demand_data_2024_ver0!D931*calibration!$I$31</f>
        <v>0</v>
      </c>
      <c r="E931" s="3">
        <f>parking_demand_data_2024_ver0!E931*calibration!$I$31</f>
        <v>0.40531496315243098</v>
      </c>
      <c r="F931" s="3">
        <f t="shared" si="14"/>
        <v>0.40531496315243098</v>
      </c>
      <c r="G931" s="3">
        <f>parking_demand_data_2024_ver0!F931</f>
        <v>0</v>
      </c>
      <c r="H931" s="3">
        <f>parking_demand_data_2024_ver0!G931</f>
        <v>0</v>
      </c>
      <c r="I931" s="3">
        <f>parking_demand_data_2024_ver0!H931</f>
        <v>0</v>
      </c>
      <c r="J931" s="3">
        <f>parking_demand_data_2024_ver0!I931</f>
        <v>0</v>
      </c>
      <c r="K931" s="3">
        <f>parking_demand_data_2024_ver0!J931</f>
        <v>0</v>
      </c>
      <c r="L931" s="3">
        <f>parking_demand_data_2024_ver0!K931</f>
        <v>0</v>
      </c>
      <c r="M931" s="3">
        <f>parking_demand_data_2024_ver0!L931</f>
        <v>0</v>
      </c>
      <c r="N931" s="3">
        <f>parking_demand_data_2024_ver0!M931</f>
        <v>0</v>
      </c>
      <c r="O931" s="3">
        <f>parking_demand_data_2024_ver0!N931</f>
        <v>0</v>
      </c>
      <c r="P931" s="3">
        <f>parking_demand_data_2024_ver0!O931</f>
        <v>0</v>
      </c>
      <c r="Q931" s="3">
        <f>parking_demand_data_2024_ver0!P931</f>
        <v>0</v>
      </c>
      <c r="R931" s="3">
        <f>parking_demand_data_2024_ver0!Q931</f>
        <v>0</v>
      </c>
      <c r="S931" s="3">
        <f>parking_demand_data_2024_ver0!R931</f>
        <v>0</v>
      </c>
      <c r="T931" s="3">
        <f>parking_demand_data_2024_ver0!S931</f>
        <v>0</v>
      </c>
    </row>
    <row r="932" spans="1:20" x14ac:dyDescent="0.25">
      <c r="A932">
        <v>18077</v>
      </c>
      <c r="B932" t="s">
        <v>67</v>
      </c>
      <c r="C932">
        <v>18</v>
      </c>
      <c r="D932" s="3">
        <f>parking_demand_data_2024_ver0!D932*calibration!$I$31</f>
        <v>0</v>
      </c>
      <c r="E932" s="3">
        <f>parking_demand_data_2024_ver0!E932*calibration!$I$31</f>
        <v>0.36846814832039199</v>
      </c>
      <c r="F932" s="3">
        <f t="shared" si="14"/>
        <v>0.36846814832039199</v>
      </c>
      <c r="G932" s="3">
        <f>parking_demand_data_2024_ver0!F932</f>
        <v>0</v>
      </c>
      <c r="H932" s="3">
        <f>parking_demand_data_2024_ver0!G932</f>
        <v>0</v>
      </c>
      <c r="I932" s="3">
        <f>parking_demand_data_2024_ver0!H932</f>
        <v>0</v>
      </c>
      <c r="J932" s="3">
        <f>parking_demand_data_2024_ver0!I932</f>
        <v>0</v>
      </c>
      <c r="K932" s="3">
        <f>parking_demand_data_2024_ver0!J932</f>
        <v>0</v>
      </c>
      <c r="L932" s="3">
        <f>parking_demand_data_2024_ver0!K932</f>
        <v>0</v>
      </c>
      <c r="M932" s="3">
        <f>parking_demand_data_2024_ver0!L932</f>
        <v>0</v>
      </c>
      <c r="N932" s="3">
        <f>parking_demand_data_2024_ver0!M932</f>
        <v>0</v>
      </c>
      <c r="O932" s="3">
        <f>parking_demand_data_2024_ver0!N932</f>
        <v>0</v>
      </c>
      <c r="P932" s="3">
        <f>parking_demand_data_2024_ver0!O932</f>
        <v>0</v>
      </c>
      <c r="Q932" s="3">
        <f>parking_demand_data_2024_ver0!P932</f>
        <v>0</v>
      </c>
      <c r="R932" s="3">
        <f>parking_demand_data_2024_ver0!Q932</f>
        <v>0</v>
      </c>
      <c r="S932" s="3">
        <f>parking_demand_data_2024_ver0!R932</f>
        <v>0</v>
      </c>
      <c r="T932" s="3">
        <f>parking_demand_data_2024_ver0!S932</f>
        <v>0</v>
      </c>
    </row>
    <row r="933" spans="1:20" x14ac:dyDescent="0.25">
      <c r="A933">
        <v>18077</v>
      </c>
      <c r="B933" t="s">
        <v>67</v>
      </c>
      <c r="C933">
        <v>19</v>
      </c>
      <c r="D933" s="3">
        <f>parking_demand_data_2024_ver0!D933*calibration!$I$31</f>
        <v>0</v>
      </c>
      <c r="E933" s="3">
        <f>parking_demand_data_2024_ver0!E933*calibration!$I$31</f>
        <v>0.44216177798446998</v>
      </c>
      <c r="F933" s="3">
        <f t="shared" si="14"/>
        <v>0.44216177798446998</v>
      </c>
      <c r="G933" s="3">
        <f>parking_demand_data_2024_ver0!F933</f>
        <v>0</v>
      </c>
      <c r="H933" s="3">
        <f>parking_demand_data_2024_ver0!G933</f>
        <v>0</v>
      </c>
      <c r="I933" s="3">
        <f>parking_demand_data_2024_ver0!H933</f>
        <v>0</v>
      </c>
      <c r="J933" s="3">
        <f>parking_demand_data_2024_ver0!I933</f>
        <v>0</v>
      </c>
      <c r="K933" s="3">
        <f>parking_demand_data_2024_ver0!J933</f>
        <v>0</v>
      </c>
      <c r="L933" s="3">
        <f>parking_demand_data_2024_ver0!K933</f>
        <v>0</v>
      </c>
      <c r="M933" s="3">
        <f>parking_demand_data_2024_ver0!L933</f>
        <v>0</v>
      </c>
      <c r="N933" s="3">
        <f>parking_demand_data_2024_ver0!M933</f>
        <v>0</v>
      </c>
      <c r="O933" s="3">
        <f>parking_demand_data_2024_ver0!N933</f>
        <v>0</v>
      </c>
      <c r="P933" s="3">
        <f>parking_demand_data_2024_ver0!O933</f>
        <v>0</v>
      </c>
      <c r="Q933" s="3">
        <f>parking_demand_data_2024_ver0!P933</f>
        <v>0</v>
      </c>
      <c r="R933" s="3">
        <f>parking_demand_data_2024_ver0!Q933</f>
        <v>0</v>
      </c>
      <c r="S933" s="3">
        <f>parking_demand_data_2024_ver0!R933</f>
        <v>0</v>
      </c>
      <c r="T933" s="3">
        <f>parking_demand_data_2024_ver0!S933</f>
        <v>0</v>
      </c>
    </row>
    <row r="934" spans="1:20" x14ac:dyDescent="0.25">
      <c r="A934">
        <v>18077</v>
      </c>
      <c r="B934" t="s">
        <v>67</v>
      </c>
      <c r="C934">
        <v>20</v>
      </c>
      <c r="D934" s="3">
        <f>parking_demand_data_2024_ver0!D934*calibration!$I$31</f>
        <v>0</v>
      </c>
      <c r="E934" s="3">
        <f>parking_demand_data_2024_ver0!E934*calibration!$I$31</f>
        <v>0.44216177798446998</v>
      </c>
      <c r="F934" s="3">
        <f t="shared" si="14"/>
        <v>0.44216177798446998</v>
      </c>
      <c r="G934" s="3">
        <f>parking_demand_data_2024_ver0!F934</f>
        <v>0</v>
      </c>
      <c r="H934" s="3">
        <f>parking_demand_data_2024_ver0!G934</f>
        <v>0</v>
      </c>
      <c r="I934" s="3">
        <f>parking_demand_data_2024_ver0!H934</f>
        <v>0</v>
      </c>
      <c r="J934" s="3">
        <f>parking_demand_data_2024_ver0!I934</f>
        <v>0</v>
      </c>
      <c r="K934" s="3">
        <f>parking_demand_data_2024_ver0!J934</f>
        <v>0</v>
      </c>
      <c r="L934" s="3">
        <f>parking_demand_data_2024_ver0!K934</f>
        <v>0</v>
      </c>
      <c r="M934" s="3">
        <f>parking_demand_data_2024_ver0!L934</f>
        <v>0</v>
      </c>
      <c r="N934" s="3">
        <f>parking_demand_data_2024_ver0!M934</f>
        <v>0</v>
      </c>
      <c r="O934" s="3">
        <f>parking_demand_data_2024_ver0!N934</f>
        <v>0</v>
      </c>
      <c r="P934" s="3">
        <f>parking_demand_data_2024_ver0!O934</f>
        <v>0</v>
      </c>
      <c r="Q934" s="3">
        <f>parking_demand_data_2024_ver0!P934</f>
        <v>0</v>
      </c>
      <c r="R934" s="3">
        <f>parking_demand_data_2024_ver0!Q934</f>
        <v>0</v>
      </c>
      <c r="S934" s="3">
        <f>parking_demand_data_2024_ver0!R934</f>
        <v>0</v>
      </c>
      <c r="T934" s="3">
        <f>parking_demand_data_2024_ver0!S934</f>
        <v>0</v>
      </c>
    </row>
    <row r="935" spans="1:20" x14ac:dyDescent="0.25">
      <c r="A935">
        <v>18077</v>
      </c>
      <c r="B935" t="s">
        <v>67</v>
      </c>
      <c r="C935">
        <v>21</v>
      </c>
      <c r="D935" s="3">
        <f>parking_demand_data_2024_ver0!D935*calibration!$I$31</f>
        <v>0</v>
      </c>
      <c r="E935" s="3">
        <f>parking_demand_data_2024_ver0!E935*calibration!$I$31</f>
        <v>0.51585540764854898</v>
      </c>
      <c r="F935" s="3">
        <f t="shared" si="14"/>
        <v>0.51585540764854898</v>
      </c>
      <c r="G935" s="3">
        <f>parking_demand_data_2024_ver0!F935</f>
        <v>0</v>
      </c>
      <c r="H935" s="3">
        <f>parking_demand_data_2024_ver0!G935</f>
        <v>0</v>
      </c>
      <c r="I935" s="3">
        <f>parking_demand_data_2024_ver0!H935</f>
        <v>0</v>
      </c>
      <c r="J935" s="3">
        <f>parking_demand_data_2024_ver0!I935</f>
        <v>0</v>
      </c>
      <c r="K935" s="3">
        <f>parking_demand_data_2024_ver0!J935</f>
        <v>0</v>
      </c>
      <c r="L935" s="3">
        <f>parking_demand_data_2024_ver0!K935</f>
        <v>0</v>
      </c>
      <c r="M935" s="3">
        <f>parking_demand_data_2024_ver0!L935</f>
        <v>0</v>
      </c>
      <c r="N935" s="3">
        <f>parking_demand_data_2024_ver0!M935</f>
        <v>0</v>
      </c>
      <c r="O935" s="3">
        <f>parking_demand_data_2024_ver0!N935</f>
        <v>0</v>
      </c>
      <c r="P935" s="3">
        <f>parking_demand_data_2024_ver0!O935</f>
        <v>0</v>
      </c>
      <c r="Q935" s="3">
        <f>parking_demand_data_2024_ver0!P935</f>
        <v>0</v>
      </c>
      <c r="R935" s="3">
        <f>parking_demand_data_2024_ver0!Q935</f>
        <v>0</v>
      </c>
      <c r="S935" s="3">
        <f>parking_demand_data_2024_ver0!R935</f>
        <v>0</v>
      </c>
      <c r="T935" s="3">
        <f>parking_demand_data_2024_ver0!S935</f>
        <v>0</v>
      </c>
    </row>
    <row r="936" spans="1:20" x14ac:dyDescent="0.25">
      <c r="A936">
        <v>18077</v>
      </c>
      <c r="B936" t="s">
        <v>67</v>
      </c>
      <c r="C936">
        <v>22</v>
      </c>
      <c r="D936" s="3">
        <f>parking_demand_data_2024_ver0!D936*calibration!$I$31</f>
        <v>0</v>
      </c>
      <c r="E936" s="3">
        <f>parking_demand_data_2024_ver0!E936*calibration!$I$31</f>
        <v>0.51585540764854898</v>
      </c>
      <c r="F936" s="3">
        <f t="shared" si="14"/>
        <v>0.51585540764854898</v>
      </c>
      <c r="G936" s="3">
        <f>parking_demand_data_2024_ver0!F936</f>
        <v>0</v>
      </c>
      <c r="H936" s="3">
        <f>parking_demand_data_2024_ver0!G936</f>
        <v>0</v>
      </c>
      <c r="I936" s="3">
        <f>parking_demand_data_2024_ver0!H936</f>
        <v>0</v>
      </c>
      <c r="J936" s="3">
        <f>parking_demand_data_2024_ver0!I936</f>
        <v>0</v>
      </c>
      <c r="K936" s="3">
        <f>parking_demand_data_2024_ver0!J936</f>
        <v>0</v>
      </c>
      <c r="L936" s="3">
        <f>parking_demand_data_2024_ver0!K936</f>
        <v>0</v>
      </c>
      <c r="M936" s="3">
        <f>parking_demand_data_2024_ver0!L936</f>
        <v>0</v>
      </c>
      <c r="N936" s="3">
        <f>parking_demand_data_2024_ver0!M936</f>
        <v>0</v>
      </c>
      <c r="O936" s="3">
        <f>parking_demand_data_2024_ver0!N936</f>
        <v>0</v>
      </c>
      <c r="P936" s="3">
        <f>parking_demand_data_2024_ver0!O936</f>
        <v>0</v>
      </c>
      <c r="Q936" s="3">
        <f>parking_demand_data_2024_ver0!P936</f>
        <v>0</v>
      </c>
      <c r="R936" s="3">
        <f>parking_demand_data_2024_ver0!Q936</f>
        <v>0</v>
      </c>
      <c r="S936" s="3">
        <f>parking_demand_data_2024_ver0!R936</f>
        <v>0</v>
      </c>
      <c r="T936" s="3">
        <f>parking_demand_data_2024_ver0!S936</f>
        <v>0</v>
      </c>
    </row>
    <row r="937" spans="1:20" x14ac:dyDescent="0.25">
      <c r="A937">
        <v>18077</v>
      </c>
      <c r="B937" t="s">
        <v>67</v>
      </c>
      <c r="C937">
        <v>23</v>
      </c>
      <c r="D937" s="3">
        <f>parking_demand_data_2024_ver0!D937*calibration!$I$31</f>
        <v>0</v>
      </c>
      <c r="E937" s="3">
        <f>parking_demand_data_2024_ver0!E937*calibration!$I$31</f>
        <v>0.51585540764854898</v>
      </c>
      <c r="F937" s="3">
        <f t="shared" si="14"/>
        <v>0.51585540764854898</v>
      </c>
      <c r="G937" s="3">
        <f>parking_demand_data_2024_ver0!F937</f>
        <v>0</v>
      </c>
      <c r="H937" s="3">
        <f>parking_demand_data_2024_ver0!G937</f>
        <v>0</v>
      </c>
      <c r="I937" s="3">
        <f>parking_demand_data_2024_ver0!H937</f>
        <v>0</v>
      </c>
      <c r="J937" s="3">
        <f>parking_demand_data_2024_ver0!I937</f>
        <v>0</v>
      </c>
      <c r="K937" s="3">
        <f>parking_demand_data_2024_ver0!J937</f>
        <v>0</v>
      </c>
      <c r="L937" s="3">
        <f>parking_demand_data_2024_ver0!K937</f>
        <v>0</v>
      </c>
      <c r="M937" s="3">
        <f>parking_demand_data_2024_ver0!L937</f>
        <v>0</v>
      </c>
      <c r="N937" s="3">
        <f>parking_demand_data_2024_ver0!M937</f>
        <v>0</v>
      </c>
      <c r="O937" s="3">
        <f>parking_demand_data_2024_ver0!N937</f>
        <v>0</v>
      </c>
      <c r="P937" s="3">
        <f>parking_demand_data_2024_ver0!O937</f>
        <v>0</v>
      </c>
      <c r="Q937" s="3">
        <f>parking_demand_data_2024_ver0!P937</f>
        <v>0</v>
      </c>
      <c r="R937" s="3">
        <f>parking_demand_data_2024_ver0!Q937</f>
        <v>0</v>
      </c>
      <c r="S937" s="3">
        <f>parking_demand_data_2024_ver0!R937</f>
        <v>0</v>
      </c>
      <c r="T937" s="3">
        <f>parking_demand_data_2024_ver0!S937</f>
        <v>0</v>
      </c>
    </row>
    <row r="938" spans="1:20" x14ac:dyDescent="0.25">
      <c r="A938">
        <v>18079</v>
      </c>
      <c r="B938" t="s">
        <v>68</v>
      </c>
      <c r="C938">
        <v>0</v>
      </c>
      <c r="D938" s="3">
        <f>parking_demand_data_2024_ver0!D938*calibration!$I$31</f>
        <v>8.9774193548387107</v>
      </c>
      <c r="E938" s="3">
        <f>parking_demand_data_2024_ver0!E938*calibration!$I$31</f>
        <v>0.32150537634408599</v>
      </c>
      <c r="F938" s="3">
        <f t="shared" si="14"/>
        <v>9.2989247311827974</v>
      </c>
      <c r="G938" s="3">
        <f>parking_demand_data_2024_ver0!F938</f>
        <v>1</v>
      </c>
      <c r="H938" s="3">
        <f>parking_demand_data_2024_ver0!G938</f>
        <v>0</v>
      </c>
      <c r="I938" s="3">
        <f>parking_demand_data_2024_ver0!H938</f>
        <v>0</v>
      </c>
      <c r="J938" s="3">
        <f>parking_demand_data_2024_ver0!I938</f>
        <v>1</v>
      </c>
      <c r="K938" s="3">
        <f>parking_demand_data_2024_ver0!J938</f>
        <v>0</v>
      </c>
      <c r="L938" s="3">
        <f>parking_demand_data_2024_ver0!K938</f>
        <v>0</v>
      </c>
      <c r="M938" s="3">
        <f>parking_demand_data_2024_ver0!L938</f>
        <v>0</v>
      </c>
      <c r="N938" s="3">
        <f>parking_demand_data_2024_ver0!M938</f>
        <v>8</v>
      </c>
      <c r="O938" s="3">
        <f>parking_demand_data_2024_ver0!N938</f>
        <v>0</v>
      </c>
      <c r="P938" s="3">
        <f>parking_demand_data_2024_ver0!O938</f>
        <v>0</v>
      </c>
      <c r="Q938" s="3">
        <f>parking_demand_data_2024_ver0!P938</f>
        <v>8</v>
      </c>
      <c r="R938" s="3">
        <f>parking_demand_data_2024_ver0!Q938</f>
        <v>0</v>
      </c>
      <c r="S938" s="3">
        <f>parking_demand_data_2024_ver0!R938</f>
        <v>0</v>
      </c>
      <c r="T938" s="3">
        <f>parking_demand_data_2024_ver0!S938</f>
        <v>0</v>
      </c>
    </row>
    <row r="939" spans="1:20" x14ac:dyDescent="0.25">
      <c r="A939">
        <v>18079</v>
      </c>
      <c r="B939" t="s">
        <v>68</v>
      </c>
      <c r="C939">
        <v>1</v>
      </c>
      <c r="D939" s="3">
        <f>parking_demand_data_2024_ver0!D939*calibration!$I$31</f>
        <v>9.1505376344086002</v>
      </c>
      <c r="E939" s="3">
        <f>parking_demand_data_2024_ver0!E939*calibration!$I$31</f>
        <v>0.32150537634408599</v>
      </c>
      <c r="F939" s="3">
        <f t="shared" si="14"/>
        <v>9.472043010752687</v>
      </c>
      <c r="G939" s="3">
        <f>parking_demand_data_2024_ver0!F939</f>
        <v>1</v>
      </c>
      <c r="H939" s="3">
        <f>parking_demand_data_2024_ver0!G939</f>
        <v>0</v>
      </c>
      <c r="I939" s="3">
        <f>parking_demand_data_2024_ver0!H939</f>
        <v>0</v>
      </c>
      <c r="J939" s="3">
        <f>parking_demand_data_2024_ver0!I939</f>
        <v>1</v>
      </c>
      <c r="K939" s="3">
        <f>parking_demand_data_2024_ver0!J939</f>
        <v>0</v>
      </c>
      <c r="L939" s="3">
        <f>parking_demand_data_2024_ver0!K939</f>
        <v>0</v>
      </c>
      <c r="M939" s="3">
        <f>parking_demand_data_2024_ver0!L939</f>
        <v>0</v>
      </c>
      <c r="N939" s="3">
        <f>parking_demand_data_2024_ver0!M939</f>
        <v>8</v>
      </c>
      <c r="O939" s="3">
        <f>parking_demand_data_2024_ver0!N939</f>
        <v>0</v>
      </c>
      <c r="P939" s="3">
        <f>parking_demand_data_2024_ver0!O939</f>
        <v>0</v>
      </c>
      <c r="Q939" s="3">
        <f>parking_demand_data_2024_ver0!P939</f>
        <v>8</v>
      </c>
      <c r="R939" s="3">
        <f>parking_demand_data_2024_ver0!Q939</f>
        <v>0</v>
      </c>
      <c r="S939" s="3">
        <f>parking_demand_data_2024_ver0!R939</f>
        <v>0</v>
      </c>
      <c r="T939" s="3">
        <f>parking_demand_data_2024_ver0!S939</f>
        <v>0</v>
      </c>
    </row>
    <row r="940" spans="1:20" x14ac:dyDescent="0.25">
      <c r="A940">
        <v>18079</v>
      </c>
      <c r="B940" t="s">
        <v>68</v>
      </c>
      <c r="C940">
        <v>2</v>
      </c>
      <c r="D940" s="3">
        <f>parking_demand_data_2024_ver0!D940*calibration!$I$31</f>
        <v>9.1999999999999993</v>
      </c>
      <c r="E940" s="3">
        <f>parking_demand_data_2024_ver0!E940*calibration!$I$31</f>
        <v>0.32150537634408599</v>
      </c>
      <c r="F940" s="3">
        <f t="shared" si="14"/>
        <v>9.521505376344086</v>
      </c>
      <c r="G940" s="3">
        <f>parking_demand_data_2024_ver0!F940</f>
        <v>1</v>
      </c>
      <c r="H940" s="3">
        <f>parking_demand_data_2024_ver0!G940</f>
        <v>0</v>
      </c>
      <c r="I940" s="3">
        <f>parking_demand_data_2024_ver0!H940</f>
        <v>0</v>
      </c>
      <c r="J940" s="3">
        <f>parking_demand_data_2024_ver0!I940</f>
        <v>1</v>
      </c>
      <c r="K940" s="3">
        <f>parking_demand_data_2024_ver0!J940</f>
        <v>0</v>
      </c>
      <c r="L940" s="3">
        <f>parking_demand_data_2024_ver0!K940</f>
        <v>0</v>
      </c>
      <c r="M940" s="3">
        <f>parking_demand_data_2024_ver0!L940</f>
        <v>0</v>
      </c>
      <c r="N940" s="3">
        <f>parking_demand_data_2024_ver0!M940</f>
        <v>8</v>
      </c>
      <c r="O940" s="3">
        <f>parking_demand_data_2024_ver0!N940</f>
        <v>0</v>
      </c>
      <c r="P940" s="3">
        <f>parking_demand_data_2024_ver0!O940</f>
        <v>0</v>
      </c>
      <c r="Q940" s="3">
        <f>parking_demand_data_2024_ver0!P940</f>
        <v>8</v>
      </c>
      <c r="R940" s="3">
        <f>parking_demand_data_2024_ver0!Q940</f>
        <v>0</v>
      </c>
      <c r="S940" s="3">
        <f>parking_demand_data_2024_ver0!R940</f>
        <v>0</v>
      </c>
      <c r="T940" s="3">
        <f>parking_demand_data_2024_ver0!S940</f>
        <v>0</v>
      </c>
    </row>
    <row r="941" spans="1:20" x14ac:dyDescent="0.25">
      <c r="A941">
        <v>18079</v>
      </c>
      <c r="B941" t="s">
        <v>68</v>
      </c>
      <c r="C941">
        <v>3</v>
      </c>
      <c r="D941" s="3">
        <f>parking_demand_data_2024_ver0!D941*calibration!$I$31</f>
        <v>9.1999999999999993</v>
      </c>
      <c r="E941" s="3">
        <f>parking_demand_data_2024_ver0!E941*calibration!$I$31</f>
        <v>0.32150537634408599</v>
      </c>
      <c r="F941" s="3">
        <f t="shared" si="14"/>
        <v>9.521505376344086</v>
      </c>
      <c r="G941" s="3">
        <f>parking_demand_data_2024_ver0!F941</f>
        <v>1</v>
      </c>
      <c r="H941" s="3">
        <f>parking_demand_data_2024_ver0!G941</f>
        <v>0</v>
      </c>
      <c r="I941" s="3">
        <f>parking_demand_data_2024_ver0!H941</f>
        <v>0</v>
      </c>
      <c r="J941" s="3">
        <f>parking_demand_data_2024_ver0!I941</f>
        <v>1</v>
      </c>
      <c r="K941" s="3">
        <f>parking_demand_data_2024_ver0!J941</f>
        <v>0</v>
      </c>
      <c r="L941" s="3">
        <f>parking_demand_data_2024_ver0!K941</f>
        <v>0</v>
      </c>
      <c r="M941" s="3">
        <f>parking_demand_data_2024_ver0!L941</f>
        <v>0</v>
      </c>
      <c r="N941" s="3">
        <f>parking_demand_data_2024_ver0!M941</f>
        <v>8</v>
      </c>
      <c r="O941" s="3">
        <f>parking_demand_data_2024_ver0!N941</f>
        <v>0</v>
      </c>
      <c r="P941" s="3">
        <f>parking_demand_data_2024_ver0!O941</f>
        <v>0</v>
      </c>
      <c r="Q941" s="3">
        <f>parking_demand_data_2024_ver0!P941</f>
        <v>8</v>
      </c>
      <c r="R941" s="3">
        <f>parking_demand_data_2024_ver0!Q941</f>
        <v>0</v>
      </c>
      <c r="S941" s="3">
        <f>parking_demand_data_2024_ver0!R941</f>
        <v>0</v>
      </c>
      <c r="T941" s="3">
        <f>parking_demand_data_2024_ver0!S941</f>
        <v>0</v>
      </c>
    </row>
    <row r="942" spans="1:20" x14ac:dyDescent="0.25">
      <c r="A942">
        <v>18079</v>
      </c>
      <c r="B942" t="s">
        <v>68</v>
      </c>
      <c r="C942">
        <v>4</v>
      </c>
      <c r="D942" s="3">
        <f>parking_demand_data_2024_ver0!D942*calibration!$I$31</f>
        <v>9.1752688172042998</v>
      </c>
      <c r="E942" s="3">
        <f>parking_demand_data_2024_ver0!E942*calibration!$I$31</f>
        <v>0.32150537634408599</v>
      </c>
      <c r="F942" s="3">
        <f t="shared" si="14"/>
        <v>9.4967741935483865</v>
      </c>
      <c r="G942" s="3">
        <f>parking_demand_data_2024_ver0!F942</f>
        <v>1</v>
      </c>
      <c r="H942" s="3">
        <f>parking_demand_data_2024_ver0!G942</f>
        <v>0</v>
      </c>
      <c r="I942" s="3">
        <f>parking_demand_data_2024_ver0!H942</f>
        <v>0</v>
      </c>
      <c r="J942" s="3">
        <f>parking_demand_data_2024_ver0!I942</f>
        <v>1</v>
      </c>
      <c r="K942" s="3">
        <f>parking_demand_data_2024_ver0!J942</f>
        <v>0</v>
      </c>
      <c r="L942" s="3">
        <f>parking_demand_data_2024_ver0!K942</f>
        <v>0</v>
      </c>
      <c r="M942" s="3">
        <f>parking_demand_data_2024_ver0!L942</f>
        <v>0</v>
      </c>
      <c r="N942" s="3">
        <f>parking_demand_data_2024_ver0!M942</f>
        <v>8</v>
      </c>
      <c r="O942" s="3">
        <f>parking_demand_data_2024_ver0!N942</f>
        <v>0</v>
      </c>
      <c r="P942" s="3">
        <f>parking_demand_data_2024_ver0!O942</f>
        <v>0</v>
      </c>
      <c r="Q942" s="3">
        <f>parking_demand_data_2024_ver0!P942</f>
        <v>8</v>
      </c>
      <c r="R942" s="3">
        <f>parking_demand_data_2024_ver0!Q942</f>
        <v>0</v>
      </c>
      <c r="S942" s="3">
        <f>parking_demand_data_2024_ver0!R942</f>
        <v>0</v>
      </c>
      <c r="T942" s="3">
        <f>parking_demand_data_2024_ver0!S942</f>
        <v>0</v>
      </c>
    </row>
    <row r="943" spans="1:20" x14ac:dyDescent="0.25">
      <c r="A943">
        <v>18079</v>
      </c>
      <c r="B943" t="s">
        <v>68</v>
      </c>
      <c r="C943">
        <v>5</v>
      </c>
      <c r="D943" s="3">
        <f>parking_demand_data_2024_ver0!D943*calibration!$I$31</f>
        <v>9.0763440860214999</v>
      </c>
      <c r="E943" s="3">
        <f>parking_demand_data_2024_ver0!E943*calibration!$I$31</f>
        <v>0.29677419354838702</v>
      </c>
      <c r="F943" s="3">
        <f t="shared" si="14"/>
        <v>9.3731182795698871</v>
      </c>
      <c r="G943" s="3">
        <f>parking_demand_data_2024_ver0!F943</f>
        <v>1</v>
      </c>
      <c r="H943" s="3">
        <f>parking_demand_data_2024_ver0!G943</f>
        <v>0</v>
      </c>
      <c r="I943" s="3">
        <f>parking_demand_data_2024_ver0!H943</f>
        <v>0</v>
      </c>
      <c r="J943" s="3">
        <f>parking_demand_data_2024_ver0!I943</f>
        <v>1</v>
      </c>
      <c r="K943" s="3">
        <f>parking_demand_data_2024_ver0!J943</f>
        <v>0</v>
      </c>
      <c r="L943" s="3">
        <f>parking_demand_data_2024_ver0!K943</f>
        <v>0</v>
      </c>
      <c r="M943" s="3">
        <f>parking_demand_data_2024_ver0!L943</f>
        <v>0</v>
      </c>
      <c r="N943" s="3">
        <f>parking_demand_data_2024_ver0!M943</f>
        <v>8</v>
      </c>
      <c r="O943" s="3">
        <f>parking_demand_data_2024_ver0!N943</f>
        <v>0</v>
      </c>
      <c r="P943" s="3">
        <f>parking_demand_data_2024_ver0!O943</f>
        <v>0</v>
      </c>
      <c r="Q943" s="3">
        <f>parking_demand_data_2024_ver0!P943</f>
        <v>8</v>
      </c>
      <c r="R943" s="3">
        <f>parking_demand_data_2024_ver0!Q943</f>
        <v>0</v>
      </c>
      <c r="S943" s="3">
        <f>parking_demand_data_2024_ver0!R943</f>
        <v>0</v>
      </c>
      <c r="T943" s="3">
        <f>parking_demand_data_2024_ver0!S943</f>
        <v>0</v>
      </c>
    </row>
    <row r="944" spans="1:20" x14ac:dyDescent="0.25">
      <c r="A944">
        <v>18079</v>
      </c>
      <c r="B944" t="s">
        <v>68</v>
      </c>
      <c r="C944">
        <v>6</v>
      </c>
      <c r="D944" s="3">
        <f>parking_demand_data_2024_ver0!D944*calibration!$I$31</f>
        <v>9.0516129032258004</v>
      </c>
      <c r="E944" s="3">
        <f>parking_demand_data_2024_ver0!E944*calibration!$I$31</f>
        <v>1.1870967741935401</v>
      </c>
      <c r="F944" s="3">
        <f t="shared" si="14"/>
        <v>10.23870967741934</v>
      </c>
      <c r="G944" s="3">
        <f>parking_demand_data_2024_ver0!F944</f>
        <v>1</v>
      </c>
      <c r="H944" s="3">
        <f>parking_demand_data_2024_ver0!G944</f>
        <v>0</v>
      </c>
      <c r="I944" s="3">
        <f>parking_demand_data_2024_ver0!H944</f>
        <v>0</v>
      </c>
      <c r="J944" s="3">
        <f>parking_demand_data_2024_ver0!I944</f>
        <v>1</v>
      </c>
      <c r="K944" s="3">
        <f>parking_demand_data_2024_ver0!J944</f>
        <v>0</v>
      </c>
      <c r="L944" s="3">
        <f>parking_demand_data_2024_ver0!K944</f>
        <v>0</v>
      </c>
      <c r="M944" s="3">
        <f>parking_demand_data_2024_ver0!L944</f>
        <v>0</v>
      </c>
      <c r="N944" s="3">
        <f>parking_demand_data_2024_ver0!M944</f>
        <v>8</v>
      </c>
      <c r="O944" s="3">
        <f>parking_demand_data_2024_ver0!N944</f>
        <v>0</v>
      </c>
      <c r="P944" s="3">
        <f>parking_demand_data_2024_ver0!O944</f>
        <v>0</v>
      </c>
      <c r="Q944" s="3">
        <f>parking_demand_data_2024_ver0!P944</f>
        <v>8</v>
      </c>
      <c r="R944" s="3">
        <f>parking_demand_data_2024_ver0!Q944</f>
        <v>0</v>
      </c>
      <c r="S944" s="3">
        <f>parking_demand_data_2024_ver0!R944</f>
        <v>0</v>
      </c>
      <c r="T944" s="3">
        <f>parking_demand_data_2024_ver0!S944</f>
        <v>0</v>
      </c>
    </row>
    <row r="945" spans="1:20" x14ac:dyDescent="0.25">
      <c r="A945">
        <v>18079</v>
      </c>
      <c r="B945" t="s">
        <v>68</v>
      </c>
      <c r="C945">
        <v>7</v>
      </c>
      <c r="D945" s="3">
        <f>parking_demand_data_2024_ver0!D945*calibration!$I$31</f>
        <v>7.8397849462365503</v>
      </c>
      <c r="E945" s="3">
        <f>parking_demand_data_2024_ver0!E945*calibration!$I$31</f>
        <v>0.989247311827957</v>
      </c>
      <c r="F945" s="3">
        <f t="shared" si="14"/>
        <v>8.8290322580645082</v>
      </c>
      <c r="G945" s="3">
        <f>parking_demand_data_2024_ver0!F945</f>
        <v>1</v>
      </c>
      <c r="H945" s="3">
        <f>parking_demand_data_2024_ver0!G945</f>
        <v>0</v>
      </c>
      <c r="I945" s="3">
        <f>parking_demand_data_2024_ver0!H945</f>
        <v>0</v>
      </c>
      <c r="J945" s="3">
        <f>parking_demand_data_2024_ver0!I945</f>
        <v>1</v>
      </c>
      <c r="K945" s="3">
        <f>parking_demand_data_2024_ver0!J945</f>
        <v>0</v>
      </c>
      <c r="L945" s="3">
        <f>parking_demand_data_2024_ver0!K945</f>
        <v>0</v>
      </c>
      <c r="M945" s="3">
        <f>parking_demand_data_2024_ver0!L945</f>
        <v>0</v>
      </c>
      <c r="N945" s="3">
        <f>parking_demand_data_2024_ver0!M945</f>
        <v>8</v>
      </c>
      <c r="O945" s="3">
        <f>parking_demand_data_2024_ver0!N945</f>
        <v>0</v>
      </c>
      <c r="P945" s="3">
        <f>parking_demand_data_2024_ver0!O945</f>
        <v>0</v>
      </c>
      <c r="Q945" s="3">
        <f>parking_demand_data_2024_ver0!P945</f>
        <v>8</v>
      </c>
      <c r="R945" s="3">
        <f>parking_demand_data_2024_ver0!Q945</f>
        <v>0</v>
      </c>
      <c r="S945" s="3">
        <f>parking_demand_data_2024_ver0!R945</f>
        <v>0</v>
      </c>
      <c r="T945" s="3">
        <f>parking_demand_data_2024_ver0!S945</f>
        <v>0</v>
      </c>
    </row>
    <row r="946" spans="1:20" x14ac:dyDescent="0.25">
      <c r="A946">
        <v>18079</v>
      </c>
      <c r="B946" t="s">
        <v>68</v>
      </c>
      <c r="C946">
        <v>8</v>
      </c>
      <c r="D946" s="3">
        <f>parking_demand_data_2024_ver0!D946*calibration!$I$31</f>
        <v>6.7516129032257997</v>
      </c>
      <c r="E946" s="3">
        <f>parking_demand_data_2024_ver0!E946*calibration!$I$31</f>
        <v>0.89032258064516101</v>
      </c>
      <c r="F946" s="3">
        <f t="shared" si="14"/>
        <v>7.6419354838709603</v>
      </c>
      <c r="G946" s="3">
        <f>parking_demand_data_2024_ver0!F946</f>
        <v>1</v>
      </c>
      <c r="H946" s="3">
        <f>parking_demand_data_2024_ver0!G946</f>
        <v>0</v>
      </c>
      <c r="I946" s="3">
        <f>parking_demand_data_2024_ver0!H946</f>
        <v>0</v>
      </c>
      <c r="J946" s="3">
        <f>parking_demand_data_2024_ver0!I946</f>
        <v>1</v>
      </c>
      <c r="K946" s="3">
        <f>parking_demand_data_2024_ver0!J946</f>
        <v>0</v>
      </c>
      <c r="L946" s="3">
        <f>parking_demand_data_2024_ver0!K946</f>
        <v>0</v>
      </c>
      <c r="M946" s="3">
        <f>parking_demand_data_2024_ver0!L946</f>
        <v>0</v>
      </c>
      <c r="N946" s="3">
        <f>parking_demand_data_2024_ver0!M946</f>
        <v>8</v>
      </c>
      <c r="O946" s="3">
        <f>parking_demand_data_2024_ver0!N946</f>
        <v>0</v>
      </c>
      <c r="P946" s="3">
        <f>parking_demand_data_2024_ver0!O946</f>
        <v>0</v>
      </c>
      <c r="Q946" s="3">
        <f>parking_demand_data_2024_ver0!P946</f>
        <v>8</v>
      </c>
      <c r="R946" s="3">
        <f>parking_demand_data_2024_ver0!Q946</f>
        <v>0</v>
      </c>
      <c r="S946" s="3">
        <f>parking_demand_data_2024_ver0!R946</f>
        <v>0</v>
      </c>
      <c r="T946" s="3">
        <f>parking_demand_data_2024_ver0!S946</f>
        <v>0</v>
      </c>
    </row>
    <row r="947" spans="1:20" x14ac:dyDescent="0.25">
      <c r="A947">
        <v>18079</v>
      </c>
      <c r="B947" t="s">
        <v>68</v>
      </c>
      <c r="C947">
        <v>9</v>
      </c>
      <c r="D947" s="3">
        <f>parking_demand_data_2024_ver0!D947*calibration!$I$31</f>
        <v>6.3559139784946197</v>
      </c>
      <c r="E947" s="3">
        <f>parking_demand_data_2024_ver0!E947*calibration!$I$31</f>
        <v>1.4838709677419299</v>
      </c>
      <c r="F947" s="3">
        <f t="shared" si="14"/>
        <v>7.8397849462365494</v>
      </c>
      <c r="G947" s="3">
        <f>parking_demand_data_2024_ver0!F947</f>
        <v>1</v>
      </c>
      <c r="H947" s="3">
        <f>parking_demand_data_2024_ver0!G947</f>
        <v>0</v>
      </c>
      <c r="I947" s="3">
        <f>parking_demand_data_2024_ver0!H947</f>
        <v>0</v>
      </c>
      <c r="J947" s="3">
        <f>parking_demand_data_2024_ver0!I947</f>
        <v>1</v>
      </c>
      <c r="K947" s="3">
        <f>parking_demand_data_2024_ver0!J947</f>
        <v>0</v>
      </c>
      <c r="L947" s="3">
        <f>parking_demand_data_2024_ver0!K947</f>
        <v>0</v>
      </c>
      <c r="M947" s="3">
        <f>parking_demand_data_2024_ver0!L947</f>
        <v>0</v>
      </c>
      <c r="N947" s="3">
        <f>parking_demand_data_2024_ver0!M947</f>
        <v>8</v>
      </c>
      <c r="O947" s="3">
        <f>parking_demand_data_2024_ver0!N947</f>
        <v>0</v>
      </c>
      <c r="P947" s="3">
        <f>parking_demand_data_2024_ver0!O947</f>
        <v>0</v>
      </c>
      <c r="Q947" s="3">
        <f>parking_demand_data_2024_ver0!P947</f>
        <v>8</v>
      </c>
      <c r="R947" s="3">
        <f>parking_demand_data_2024_ver0!Q947</f>
        <v>0</v>
      </c>
      <c r="S947" s="3">
        <f>parking_demand_data_2024_ver0!R947</f>
        <v>0</v>
      </c>
      <c r="T947" s="3">
        <f>parking_demand_data_2024_ver0!S947</f>
        <v>0</v>
      </c>
    </row>
    <row r="948" spans="1:20" x14ac:dyDescent="0.25">
      <c r="A948">
        <v>18079</v>
      </c>
      <c r="B948" t="s">
        <v>68</v>
      </c>
      <c r="C948">
        <v>10</v>
      </c>
      <c r="D948" s="3">
        <f>parking_demand_data_2024_ver0!D948*calibration!$I$31</f>
        <v>6.2817204301075202</v>
      </c>
      <c r="E948" s="3">
        <f>parking_demand_data_2024_ver0!E948*calibration!$I$31</f>
        <v>1.4838709677419299</v>
      </c>
      <c r="F948" s="3">
        <f t="shared" si="14"/>
        <v>7.76559139784945</v>
      </c>
      <c r="G948" s="3">
        <f>parking_demand_data_2024_ver0!F948</f>
        <v>1</v>
      </c>
      <c r="H948" s="3">
        <f>parking_demand_data_2024_ver0!G948</f>
        <v>0</v>
      </c>
      <c r="I948" s="3">
        <f>parking_demand_data_2024_ver0!H948</f>
        <v>0</v>
      </c>
      <c r="J948" s="3">
        <f>parking_demand_data_2024_ver0!I948</f>
        <v>1</v>
      </c>
      <c r="K948" s="3">
        <f>parking_demand_data_2024_ver0!J948</f>
        <v>0</v>
      </c>
      <c r="L948" s="3">
        <f>parking_demand_data_2024_ver0!K948</f>
        <v>0</v>
      </c>
      <c r="M948" s="3">
        <f>parking_demand_data_2024_ver0!L948</f>
        <v>0</v>
      </c>
      <c r="N948" s="3">
        <f>parking_demand_data_2024_ver0!M948</f>
        <v>8</v>
      </c>
      <c r="O948" s="3">
        <f>parking_demand_data_2024_ver0!N948</f>
        <v>0</v>
      </c>
      <c r="P948" s="3">
        <f>parking_demand_data_2024_ver0!O948</f>
        <v>0</v>
      </c>
      <c r="Q948" s="3">
        <f>parking_demand_data_2024_ver0!P948</f>
        <v>8</v>
      </c>
      <c r="R948" s="3">
        <f>parking_demand_data_2024_ver0!Q948</f>
        <v>0</v>
      </c>
      <c r="S948" s="3">
        <f>parking_demand_data_2024_ver0!R948</f>
        <v>0</v>
      </c>
      <c r="T948" s="3">
        <f>parking_demand_data_2024_ver0!S948</f>
        <v>0</v>
      </c>
    </row>
    <row r="949" spans="1:20" x14ac:dyDescent="0.25">
      <c r="A949">
        <v>18079</v>
      </c>
      <c r="B949" t="s">
        <v>68</v>
      </c>
      <c r="C949">
        <v>11</v>
      </c>
      <c r="D949" s="3">
        <f>parking_demand_data_2024_ver0!D949*calibration!$I$31</f>
        <v>6.8752688172042999</v>
      </c>
      <c r="E949" s="3">
        <f>parking_demand_data_2024_ver0!E949*calibration!$I$31</f>
        <v>1.3602150537634401</v>
      </c>
      <c r="F949" s="3">
        <f t="shared" si="14"/>
        <v>8.2354838709677409</v>
      </c>
      <c r="G949" s="3">
        <f>parking_demand_data_2024_ver0!F949</f>
        <v>1</v>
      </c>
      <c r="H949" s="3">
        <f>parking_demand_data_2024_ver0!G949</f>
        <v>0</v>
      </c>
      <c r="I949" s="3">
        <f>parking_demand_data_2024_ver0!H949</f>
        <v>0</v>
      </c>
      <c r="J949" s="3">
        <f>parking_demand_data_2024_ver0!I949</f>
        <v>1</v>
      </c>
      <c r="K949" s="3">
        <f>parking_demand_data_2024_ver0!J949</f>
        <v>0</v>
      </c>
      <c r="L949" s="3">
        <f>parking_demand_data_2024_ver0!K949</f>
        <v>0</v>
      </c>
      <c r="M949" s="3">
        <f>parking_demand_data_2024_ver0!L949</f>
        <v>0</v>
      </c>
      <c r="N949" s="3">
        <f>parking_demand_data_2024_ver0!M949</f>
        <v>8</v>
      </c>
      <c r="O949" s="3">
        <f>parking_demand_data_2024_ver0!N949</f>
        <v>0</v>
      </c>
      <c r="P949" s="3">
        <f>parking_demand_data_2024_ver0!O949</f>
        <v>0</v>
      </c>
      <c r="Q949" s="3">
        <f>parking_demand_data_2024_ver0!P949</f>
        <v>8</v>
      </c>
      <c r="R949" s="3">
        <f>parking_demand_data_2024_ver0!Q949</f>
        <v>0</v>
      </c>
      <c r="S949" s="3">
        <f>parking_demand_data_2024_ver0!R949</f>
        <v>0</v>
      </c>
      <c r="T949" s="3">
        <f>parking_demand_data_2024_ver0!S949</f>
        <v>0</v>
      </c>
    </row>
    <row r="950" spans="1:20" x14ac:dyDescent="0.25">
      <c r="A950">
        <v>18079</v>
      </c>
      <c r="B950" t="s">
        <v>68</v>
      </c>
      <c r="C950">
        <v>12</v>
      </c>
      <c r="D950" s="3">
        <f>parking_demand_data_2024_ver0!D950*calibration!$I$31</f>
        <v>5.7623655913978498</v>
      </c>
      <c r="E950" s="3">
        <f>parking_demand_data_2024_ver0!E950*calibration!$I$31</f>
        <v>1.3107526881720399</v>
      </c>
      <c r="F950" s="3">
        <f t="shared" si="14"/>
        <v>7.0731182795698899</v>
      </c>
      <c r="G950" s="3">
        <f>parking_demand_data_2024_ver0!F950</f>
        <v>1</v>
      </c>
      <c r="H950" s="3">
        <f>parking_demand_data_2024_ver0!G950</f>
        <v>0</v>
      </c>
      <c r="I950" s="3">
        <f>parking_demand_data_2024_ver0!H950</f>
        <v>0</v>
      </c>
      <c r="J950" s="3">
        <f>parking_demand_data_2024_ver0!I950</f>
        <v>1</v>
      </c>
      <c r="K950" s="3">
        <f>parking_demand_data_2024_ver0!J950</f>
        <v>0</v>
      </c>
      <c r="L950" s="3">
        <f>parking_demand_data_2024_ver0!K950</f>
        <v>0</v>
      </c>
      <c r="M950" s="3">
        <f>parking_demand_data_2024_ver0!L950</f>
        <v>0</v>
      </c>
      <c r="N950" s="3">
        <f>parking_demand_data_2024_ver0!M950</f>
        <v>8</v>
      </c>
      <c r="O950" s="3">
        <f>parking_demand_data_2024_ver0!N950</f>
        <v>0</v>
      </c>
      <c r="P950" s="3">
        <f>parking_demand_data_2024_ver0!O950</f>
        <v>0</v>
      </c>
      <c r="Q950" s="3">
        <f>parking_demand_data_2024_ver0!P950</f>
        <v>8</v>
      </c>
      <c r="R950" s="3">
        <f>parking_demand_data_2024_ver0!Q950</f>
        <v>0</v>
      </c>
      <c r="S950" s="3">
        <f>parking_demand_data_2024_ver0!R950</f>
        <v>0</v>
      </c>
      <c r="T950" s="3">
        <f>parking_demand_data_2024_ver0!S950</f>
        <v>0</v>
      </c>
    </row>
    <row r="951" spans="1:20" x14ac:dyDescent="0.25">
      <c r="A951">
        <v>18079</v>
      </c>
      <c r="B951" t="s">
        <v>68</v>
      </c>
      <c r="C951">
        <v>13</v>
      </c>
      <c r="D951" s="3">
        <f>parking_demand_data_2024_ver0!D951*calibration!$I$31</f>
        <v>4.2537634408602099</v>
      </c>
      <c r="E951" s="3">
        <f>parking_demand_data_2024_ver0!E951*calibration!$I$31</f>
        <v>0.59354838709677404</v>
      </c>
      <c r="F951" s="3">
        <f t="shared" si="14"/>
        <v>4.8473118279569842</v>
      </c>
      <c r="G951" s="3">
        <f>parking_demand_data_2024_ver0!F951</f>
        <v>1</v>
      </c>
      <c r="H951" s="3">
        <f>parking_demand_data_2024_ver0!G951</f>
        <v>0</v>
      </c>
      <c r="I951" s="3">
        <f>parking_demand_data_2024_ver0!H951</f>
        <v>0</v>
      </c>
      <c r="J951" s="3">
        <f>parking_demand_data_2024_ver0!I951</f>
        <v>1</v>
      </c>
      <c r="K951" s="3">
        <f>parking_demand_data_2024_ver0!J951</f>
        <v>0</v>
      </c>
      <c r="L951" s="3">
        <f>parking_demand_data_2024_ver0!K951</f>
        <v>0</v>
      </c>
      <c r="M951" s="3">
        <f>parking_demand_data_2024_ver0!L951</f>
        <v>0</v>
      </c>
      <c r="N951" s="3">
        <f>parking_demand_data_2024_ver0!M951</f>
        <v>8</v>
      </c>
      <c r="O951" s="3">
        <f>parking_demand_data_2024_ver0!N951</f>
        <v>0</v>
      </c>
      <c r="P951" s="3">
        <f>parking_demand_data_2024_ver0!O951</f>
        <v>0</v>
      </c>
      <c r="Q951" s="3">
        <f>parking_demand_data_2024_ver0!P951</f>
        <v>8</v>
      </c>
      <c r="R951" s="3">
        <f>parking_demand_data_2024_ver0!Q951</f>
        <v>0</v>
      </c>
      <c r="S951" s="3">
        <f>parking_demand_data_2024_ver0!R951</f>
        <v>0</v>
      </c>
      <c r="T951" s="3">
        <f>parking_demand_data_2024_ver0!S951</f>
        <v>0</v>
      </c>
    </row>
    <row r="952" spans="1:20" x14ac:dyDescent="0.25">
      <c r="A952">
        <v>18079</v>
      </c>
      <c r="B952" t="s">
        <v>68</v>
      </c>
      <c r="C952">
        <v>14</v>
      </c>
      <c r="D952" s="3">
        <f>parking_demand_data_2024_ver0!D952*calibration!$I$31</f>
        <v>3.7096774193548301</v>
      </c>
      <c r="E952" s="3">
        <f>parking_demand_data_2024_ver0!E952*calibration!$I$31</f>
        <v>0.22258064516129</v>
      </c>
      <c r="F952" s="3">
        <f t="shared" si="14"/>
        <v>3.93225806451612</v>
      </c>
      <c r="G952" s="3">
        <f>parking_demand_data_2024_ver0!F952</f>
        <v>1</v>
      </c>
      <c r="H952" s="3">
        <f>parking_demand_data_2024_ver0!G952</f>
        <v>0</v>
      </c>
      <c r="I952" s="3">
        <f>parking_demand_data_2024_ver0!H952</f>
        <v>0</v>
      </c>
      <c r="J952" s="3">
        <f>parking_demand_data_2024_ver0!I952</f>
        <v>1</v>
      </c>
      <c r="K952" s="3">
        <f>parking_demand_data_2024_ver0!J952</f>
        <v>0</v>
      </c>
      <c r="L952" s="3">
        <f>parking_demand_data_2024_ver0!K952</f>
        <v>0</v>
      </c>
      <c r="M952" s="3">
        <f>parking_demand_data_2024_ver0!L952</f>
        <v>0</v>
      </c>
      <c r="N952" s="3">
        <f>parking_demand_data_2024_ver0!M952</f>
        <v>8</v>
      </c>
      <c r="O952" s="3">
        <f>parking_demand_data_2024_ver0!N952</f>
        <v>0</v>
      </c>
      <c r="P952" s="3">
        <f>parking_demand_data_2024_ver0!O952</f>
        <v>0</v>
      </c>
      <c r="Q952" s="3">
        <f>parking_demand_data_2024_ver0!P952</f>
        <v>8</v>
      </c>
      <c r="R952" s="3">
        <f>parking_demand_data_2024_ver0!Q952</f>
        <v>0</v>
      </c>
      <c r="S952" s="3">
        <f>parking_demand_data_2024_ver0!R952</f>
        <v>0</v>
      </c>
      <c r="T952" s="3">
        <f>parking_demand_data_2024_ver0!S952</f>
        <v>0</v>
      </c>
    </row>
    <row r="953" spans="1:20" x14ac:dyDescent="0.25">
      <c r="A953">
        <v>18079</v>
      </c>
      <c r="B953" t="s">
        <v>68</v>
      </c>
      <c r="C953">
        <v>15</v>
      </c>
      <c r="D953" s="3">
        <f>parking_demand_data_2024_ver0!D953*calibration!$I$31</f>
        <v>3.43763440860215</v>
      </c>
      <c r="E953" s="3">
        <f>parking_demand_data_2024_ver0!E953*calibration!$I$31</f>
        <v>0.14838709677419301</v>
      </c>
      <c r="F953" s="3">
        <f t="shared" si="14"/>
        <v>3.5860215053763431</v>
      </c>
      <c r="G953" s="3">
        <f>parking_demand_data_2024_ver0!F953</f>
        <v>1</v>
      </c>
      <c r="H953" s="3">
        <f>parking_demand_data_2024_ver0!G953</f>
        <v>0</v>
      </c>
      <c r="I953" s="3">
        <f>parking_demand_data_2024_ver0!H953</f>
        <v>0</v>
      </c>
      <c r="J953" s="3">
        <f>parking_demand_data_2024_ver0!I953</f>
        <v>1</v>
      </c>
      <c r="K953" s="3">
        <f>parking_demand_data_2024_ver0!J953</f>
        <v>0</v>
      </c>
      <c r="L953" s="3">
        <f>parking_demand_data_2024_ver0!K953</f>
        <v>0</v>
      </c>
      <c r="M953" s="3">
        <f>parking_demand_data_2024_ver0!L953</f>
        <v>0</v>
      </c>
      <c r="N953" s="3">
        <f>parking_demand_data_2024_ver0!M953</f>
        <v>8</v>
      </c>
      <c r="O953" s="3">
        <f>parking_demand_data_2024_ver0!N953</f>
        <v>0</v>
      </c>
      <c r="P953" s="3">
        <f>parking_demand_data_2024_ver0!O953</f>
        <v>0</v>
      </c>
      <c r="Q953" s="3">
        <f>parking_demand_data_2024_ver0!P953</f>
        <v>8</v>
      </c>
      <c r="R953" s="3">
        <f>parking_demand_data_2024_ver0!Q953</f>
        <v>0</v>
      </c>
      <c r="S953" s="3">
        <f>parking_demand_data_2024_ver0!R953</f>
        <v>0</v>
      </c>
      <c r="T953" s="3">
        <f>parking_demand_data_2024_ver0!S953</f>
        <v>0</v>
      </c>
    </row>
    <row r="954" spans="1:20" x14ac:dyDescent="0.25">
      <c r="A954">
        <v>18079</v>
      </c>
      <c r="B954" t="s">
        <v>68</v>
      </c>
      <c r="C954">
        <v>16</v>
      </c>
      <c r="D954" s="3">
        <f>parking_demand_data_2024_ver0!D954*calibration!$I$31</f>
        <v>3.8580645161290299</v>
      </c>
      <c r="E954" s="3">
        <f>parking_demand_data_2024_ver0!E954*calibration!$I$31</f>
        <v>4.94623655913978E-2</v>
      </c>
      <c r="F954" s="3">
        <f t="shared" si="14"/>
        <v>3.9075268817204276</v>
      </c>
      <c r="G954" s="3">
        <f>parking_demand_data_2024_ver0!F954</f>
        <v>1</v>
      </c>
      <c r="H954" s="3">
        <f>parking_demand_data_2024_ver0!G954</f>
        <v>0</v>
      </c>
      <c r="I954" s="3">
        <f>parking_demand_data_2024_ver0!H954</f>
        <v>0</v>
      </c>
      <c r="J954" s="3">
        <f>parking_demand_data_2024_ver0!I954</f>
        <v>1</v>
      </c>
      <c r="K954" s="3">
        <f>parking_demand_data_2024_ver0!J954</f>
        <v>0</v>
      </c>
      <c r="L954" s="3">
        <f>parking_demand_data_2024_ver0!K954</f>
        <v>0</v>
      </c>
      <c r="M954" s="3">
        <f>parking_demand_data_2024_ver0!L954</f>
        <v>0</v>
      </c>
      <c r="N954" s="3">
        <f>parking_demand_data_2024_ver0!M954</f>
        <v>8</v>
      </c>
      <c r="O954" s="3">
        <f>parking_demand_data_2024_ver0!N954</f>
        <v>0</v>
      </c>
      <c r="P954" s="3">
        <f>parking_demand_data_2024_ver0!O954</f>
        <v>0</v>
      </c>
      <c r="Q954" s="3">
        <f>parking_demand_data_2024_ver0!P954</f>
        <v>8</v>
      </c>
      <c r="R954" s="3">
        <f>parking_demand_data_2024_ver0!Q954</f>
        <v>0</v>
      </c>
      <c r="S954" s="3">
        <f>parking_demand_data_2024_ver0!R954</f>
        <v>0</v>
      </c>
      <c r="T954" s="3">
        <f>parking_demand_data_2024_ver0!S954</f>
        <v>0</v>
      </c>
    </row>
    <row r="955" spans="1:20" x14ac:dyDescent="0.25">
      <c r="A955">
        <v>18079</v>
      </c>
      <c r="B955" t="s">
        <v>68</v>
      </c>
      <c r="C955">
        <v>17</v>
      </c>
      <c r="D955" s="3">
        <f>parking_demand_data_2024_ver0!D955*calibration!$I$31</f>
        <v>4.0559139784946199</v>
      </c>
      <c r="E955" s="3">
        <f>parking_demand_data_2024_ver0!E955*calibration!$I$31</f>
        <v>7.41935483870967E-2</v>
      </c>
      <c r="F955" s="3">
        <f t="shared" si="14"/>
        <v>4.1301075268817167</v>
      </c>
      <c r="G955" s="3">
        <f>parking_demand_data_2024_ver0!F955</f>
        <v>1</v>
      </c>
      <c r="H955" s="3">
        <f>parking_demand_data_2024_ver0!G955</f>
        <v>0</v>
      </c>
      <c r="I955" s="3">
        <f>parking_demand_data_2024_ver0!H955</f>
        <v>0</v>
      </c>
      <c r="J955" s="3">
        <f>parking_demand_data_2024_ver0!I955</f>
        <v>1</v>
      </c>
      <c r="K955" s="3">
        <f>parking_demand_data_2024_ver0!J955</f>
        <v>0</v>
      </c>
      <c r="L955" s="3">
        <f>parking_demand_data_2024_ver0!K955</f>
        <v>0</v>
      </c>
      <c r="M955" s="3">
        <f>parking_demand_data_2024_ver0!L955</f>
        <v>0</v>
      </c>
      <c r="N955" s="3">
        <f>parking_demand_data_2024_ver0!M955</f>
        <v>8</v>
      </c>
      <c r="O955" s="3">
        <f>parking_demand_data_2024_ver0!N955</f>
        <v>0</v>
      </c>
      <c r="P955" s="3">
        <f>parking_demand_data_2024_ver0!O955</f>
        <v>0</v>
      </c>
      <c r="Q955" s="3">
        <f>parking_demand_data_2024_ver0!P955</f>
        <v>8</v>
      </c>
      <c r="R955" s="3">
        <f>parking_demand_data_2024_ver0!Q955</f>
        <v>0</v>
      </c>
      <c r="S955" s="3">
        <f>parking_demand_data_2024_ver0!R955</f>
        <v>0</v>
      </c>
      <c r="T955" s="3">
        <f>parking_demand_data_2024_ver0!S955</f>
        <v>0</v>
      </c>
    </row>
    <row r="956" spans="1:20" x14ac:dyDescent="0.25">
      <c r="A956">
        <v>18079</v>
      </c>
      <c r="B956" t="s">
        <v>68</v>
      </c>
      <c r="C956">
        <v>18</v>
      </c>
      <c r="D956" s="3">
        <f>parking_demand_data_2024_ver0!D956*calibration!$I$31</f>
        <v>4.8473118279569896</v>
      </c>
      <c r="E956" s="3">
        <f>parking_demand_data_2024_ver0!E956*calibration!$I$31</f>
        <v>0.19784946236559101</v>
      </c>
      <c r="F956" s="3">
        <f t="shared" si="14"/>
        <v>5.0451612903225804</v>
      </c>
      <c r="G956" s="3">
        <f>parking_demand_data_2024_ver0!F956</f>
        <v>1</v>
      </c>
      <c r="H956" s="3">
        <f>parking_demand_data_2024_ver0!G956</f>
        <v>0</v>
      </c>
      <c r="I956" s="3">
        <f>parking_demand_data_2024_ver0!H956</f>
        <v>0</v>
      </c>
      <c r="J956" s="3">
        <f>parking_demand_data_2024_ver0!I956</f>
        <v>1</v>
      </c>
      <c r="K956" s="3">
        <f>parking_demand_data_2024_ver0!J956</f>
        <v>0</v>
      </c>
      <c r="L956" s="3">
        <f>parking_demand_data_2024_ver0!K956</f>
        <v>0</v>
      </c>
      <c r="M956" s="3">
        <f>parking_demand_data_2024_ver0!L956</f>
        <v>0</v>
      </c>
      <c r="N956" s="3">
        <f>parking_demand_data_2024_ver0!M956</f>
        <v>8</v>
      </c>
      <c r="O956" s="3">
        <f>parking_demand_data_2024_ver0!N956</f>
        <v>0</v>
      </c>
      <c r="P956" s="3">
        <f>parking_demand_data_2024_ver0!O956</f>
        <v>0</v>
      </c>
      <c r="Q956" s="3">
        <f>parking_demand_data_2024_ver0!P956</f>
        <v>8</v>
      </c>
      <c r="R956" s="3">
        <f>parking_demand_data_2024_ver0!Q956</f>
        <v>0</v>
      </c>
      <c r="S956" s="3">
        <f>parking_demand_data_2024_ver0!R956</f>
        <v>0</v>
      </c>
      <c r="T956" s="3">
        <f>parking_demand_data_2024_ver0!S956</f>
        <v>0</v>
      </c>
    </row>
    <row r="957" spans="1:20" x14ac:dyDescent="0.25">
      <c r="A957">
        <v>18079</v>
      </c>
      <c r="B957" t="s">
        <v>68</v>
      </c>
      <c r="C957">
        <v>19</v>
      </c>
      <c r="D957" s="3">
        <f>parking_demand_data_2024_ver0!D957*calibration!$I$31</f>
        <v>5.56451612903225</v>
      </c>
      <c r="E957" s="3">
        <f>parking_demand_data_2024_ver0!E957*calibration!$I$31</f>
        <v>0.14838709677419301</v>
      </c>
      <c r="F957" s="3">
        <f t="shared" si="14"/>
        <v>5.7129032258064427</v>
      </c>
      <c r="G957" s="3">
        <f>parking_demand_data_2024_ver0!F957</f>
        <v>1</v>
      </c>
      <c r="H957" s="3">
        <f>parking_demand_data_2024_ver0!G957</f>
        <v>0</v>
      </c>
      <c r="I957" s="3">
        <f>parking_demand_data_2024_ver0!H957</f>
        <v>0</v>
      </c>
      <c r="J957" s="3">
        <f>parking_demand_data_2024_ver0!I957</f>
        <v>1</v>
      </c>
      <c r="K957" s="3">
        <f>parking_demand_data_2024_ver0!J957</f>
        <v>0</v>
      </c>
      <c r="L957" s="3">
        <f>parking_demand_data_2024_ver0!K957</f>
        <v>0</v>
      </c>
      <c r="M957" s="3">
        <f>parking_demand_data_2024_ver0!L957</f>
        <v>0</v>
      </c>
      <c r="N957" s="3">
        <f>parking_demand_data_2024_ver0!M957</f>
        <v>8</v>
      </c>
      <c r="O957" s="3">
        <f>parking_demand_data_2024_ver0!N957</f>
        <v>0</v>
      </c>
      <c r="P957" s="3">
        <f>parking_demand_data_2024_ver0!O957</f>
        <v>0</v>
      </c>
      <c r="Q957" s="3">
        <f>parking_demand_data_2024_ver0!P957</f>
        <v>8</v>
      </c>
      <c r="R957" s="3">
        <f>parking_demand_data_2024_ver0!Q957</f>
        <v>0</v>
      </c>
      <c r="S957" s="3">
        <f>parking_demand_data_2024_ver0!R957</f>
        <v>0</v>
      </c>
      <c r="T957" s="3">
        <f>parking_demand_data_2024_ver0!S957</f>
        <v>0</v>
      </c>
    </row>
    <row r="958" spans="1:20" x14ac:dyDescent="0.25">
      <c r="A958">
        <v>18079</v>
      </c>
      <c r="B958" t="s">
        <v>68</v>
      </c>
      <c r="C958">
        <v>20</v>
      </c>
      <c r="D958" s="3">
        <f>parking_demand_data_2024_ver0!D958*calibration!$I$31</f>
        <v>6.4053763440860196</v>
      </c>
      <c r="E958" s="3">
        <f>parking_demand_data_2024_ver0!E958*calibration!$I$31</f>
        <v>0.22258064516129</v>
      </c>
      <c r="F958" s="3">
        <f t="shared" si="14"/>
        <v>6.62795698924731</v>
      </c>
      <c r="G958" s="3">
        <f>parking_demand_data_2024_ver0!F958</f>
        <v>1</v>
      </c>
      <c r="H958" s="3">
        <f>parking_demand_data_2024_ver0!G958</f>
        <v>0</v>
      </c>
      <c r="I958" s="3">
        <f>parking_demand_data_2024_ver0!H958</f>
        <v>0</v>
      </c>
      <c r="J958" s="3">
        <f>parking_demand_data_2024_ver0!I958</f>
        <v>1</v>
      </c>
      <c r="K958" s="3">
        <f>parking_demand_data_2024_ver0!J958</f>
        <v>0</v>
      </c>
      <c r="L958" s="3">
        <f>parking_demand_data_2024_ver0!K958</f>
        <v>0</v>
      </c>
      <c r="M958" s="3">
        <f>parking_demand_data_2024_ver0!L958</f>
        <v>0</v>
      </c>
      <c r="N958" s="3">
        <f>parking_demand_data_2024_ver0!M958</f>
        <v>8</v>
      </c>
      <c r="O958" s="3">
        <f>parking_demand_data_2024_ver0!N958</f>
        <v>0</v>
      </c>
      <c r="P958" s="3">
        <f>parking_demand_data_2024_ver0!O958</f>
        <v>0</v>
      </c>
      <c r="Q958" s="3">
        <f>parking_demand_data_2024_ver0!P958</f>
        <v>8</v>
      </c>
      <c r="R958" s="3">
        <f>parking_demand_data_2024_ver0!Q958</f>
        <v>0</v>
      </c>
      <c r="S958" s="3">
        <f>parking_demand_data_2024_ver0!R958</f>
        <v>0</v>
      </c>
      <c r="T958" s="3">
        <f>parking_demand_data_2024_ver0!S958</f>
        <v>0</v>
      </c>
    </row>
    <row r="959" spans="1:20" x14ac:dyDescent="0.25">
      <c r="A959">
        <v>18079</v>
      </c>
      <c r="B959" t="s">
        <v>68</v>
      </c>
      <c r="C959">
        <v>21</v>
      </c>
      <c r="D959" s="3">
        <f>parking_demand_data_2024_ver0!D959*calibration!$I$31</f>
        <v>7.1967741935483804</v>
      </c>
      <c r="E959" s="3">
        <f>parking_demand_data_2024_ver0!E959*calibration!$I$31</f>
        <v>0.247311827956989</v>
      </c>
      <c r="F959" s="3">
        <f t="shared" si="14"/>
        <v>7.4440860215053695</v>
      </c>
      <c r="G959" s="3">
        <f>parking_demand_data_2024_ver0!F959</f>
        <v>1</v>
      </c>
      <c r="H959" s="3">
        <f>parking_demand_data_2024_ver0!G959</f>
        <v>0</v>
      </c>
      <c r="I959" s="3">
        <f>parking_demand_data_2024_ver0!H959</f>
        <v>0</v>
      </c>
      <c r="J959" s="3">
        <f>parking_demand_data_2024_ver0!I959</f>
        <v>1</v>
      </c>
      <c r="K959" s="3">
        <f>parking_demand_data_2024_ver0!J959</f>
        <v>0</v>
      </c>
      <c r="L959" s="3">
        <f>parking_demand_data_2024_ver0!K959</f>
        <v>0</v>
      </c>
      <c r="M959" s="3">
        <f>parking_demand_data_2024_ver0!L959</f>
        <v>0</v>
      </c>
      <c r="N959" s="3">
        <f>parking_demand_data_2024_ver0!M959</f>
        <v>8</v>
      </c>
      <c r="O959" s="3">
        <f>parking_demand_data_2024_ver0!N959</f>
        <v>0</v>
      </c>
      <c r="P959" s="3">
        <f>parking_demand_data_2024_ver0!O959</f>
        <v>0</v>
      </c>
      <c r="Q959" s="3">
        <f>parking_demand_data_2024_ver0!P959</f>
        <v>8</v>
      </c>
      <c r="R959" s="3">
        <f>parking_demand_data_2024_ver0!Q959</f>
        <v>0</v>
      </c>
      <c r="S959" s="3">
        <f>parking_demand_data_2024_ver0!R959</f>
        <v>0</v>
      </c>
      <c r="T959" s="3">
        <f>parking_demand_data_2024_ver0!S959</f>
        <v>0</v>
      </c>
    </row>
    <row r="960" spans="1:20" x14ac:dyDescent="0.25">
      <c r="A960">
        <v>18079</v>
      </c>
      <c r="B960" t="s">
        <v>68</v>
      </c>
      <c r="C960">
        <v>22</v>
      </c>
      <c r="D960" s="3">
        <f>parking_demand_data_2024_ver0!D960*calibration!$I$31</f>
        <v>7.6913978494623603</v>
      </c>
      <c r="E960" s="3">
        <f>parking_demand_data_2024_ver0!E960*calibration!$I$31</f>
        <v>0.19784946236559101</v>
      </c>
      <c r="F960" s="3">
        <f t="shared" si="14"/>
        <v>7.8892473118279511</v>
      </c>
      <c r="G960" s="3">
        <f>parking_demand_data_2024_ver0!F960</f>
        <v>1</v>
      </c>
      <c r="H960" s="3">
        <f>parking_demand_data_2024_ver0!G960</f>
        <v>0</v>
      </c>
      <c r="I960" s="3">
        <f>parking_demand_data_2024_ver0!H960</f>
        <v>0</v>
      </c>
      <c r="J960" s="3">
        <f>parking_demand_data_2024_ver0!I960</f>
        <v>1</v>
      </c>
      <c r="K960" s="3">
        <f>parking_demand_data_2024_ver0!J960</f>
        <v>0</v>
      </c>
      <c r="L960" s="3">
        <f>parking_demand_data_2024_ver0!K960</f>
        <v>0</v>
      </c>
      <c r="M960" s="3">
        <f>parking_demand_data_2024_ver0!L960</f>
        <v>0</v>
      </c>
      <c r="N960" s="3">
        <f>parking_demand_data_2024_ver0!M960</f>
        <v>8</v>
      </c>
      <c r="O960" s="3">
        <f>parking_demand_data_2024_ver0!N960</f>
        <v>0</v>
      </c>
      <c r="P960" s="3">
        <f>parking_demand_data_2024_ver0!O960</f>
        <v>0</v>
      </c>
      <c r="Q960" s="3">
        <f>parking_demand_data_2024_ver0!P960</f>
        <v>8</v>
      </c>
      <c r="R960" s="3">
        <f>parking_demand_data_2024_ver0!Q960</f>
        <v>0</v>
      </c>
      <c r="S960" s="3">
        <f>parking_demand_data_2024_ver0!R960</f>
        <v>0</v>
      </c>
      <c r="T960" s="3">
        <f>parking_demand_data_2024_ver0!S960</f>
        <v>0</v>
      </c>
    </row>
    <row r="961" spans="1:20" x14ac:dyDescent="0.25">
      <c r="A961">
        <v>18079</v>
      </c>
      <c r="B961" t="s">
        <v>68</v>
      </c>
      <c r="C961">
        <v>23</v>
      </c>
      <c r="D961" s="3">
        <f>parking_demand_data_2024_ver0!D961*calibration!$I$31</f>
        <v>8.6311827956989209</v>
      </c>
      <c r="E961" s="3">
        <f>parking_demand_data_2024_ver0!E961*calibration!$I$31</f>
        <v>0.272043010752688</v>
      </c>
      <c r="F961" s="3">
        <f t="shared" si="14"/>
        <v>8.9032258064516085</v>
      </c>
      <c r="G961" s="3">
        <f>parking_demand_data_2024_ver0!F961</f>
        <v>1</v>
      </c>
      <c r="H961" s="3">
        <f>parking_demand_data_2024_ver0!G961</f>
        <v>0</v>
      </c>
      <c r="I961" s="3">
        <f>parking_demand_data_2024_ver0!H961</f>
        <v>0</v>
      </c>
      <c r="J961" s="3">
        <f>parking_demand_data_2024_ver0!I961</f>
        <v>1</v>
      </c>
      <c r="K961" s="3">
        <f>parking_demand_data_2024_ver0!J961</f>
        <v>0</v>
      </c>
      <c r="L961" s="3">
        <f>parking_demand_data_2024_ver0!K961</f>
        <v>0</v>
      </c>
      <c r="M961" s="3">
        <f>parking_demand_data_2024_ver0!L961</f>
        <v>0</v>
      </c>
      <c r="N961" s="3">
        <f>parking_demand_data_2024_ver0!M961</f>
        <v>8</v>
      </c>
      <c r="O961" s="3">
        <f>parking_demand_data_2024_ver0!N961</f>
        <v>0</v>
      </c>
      <c r="P961" s="3">
        <f>parking_demand_data_2024_ver0!O961</f>
        <v>0</v>
      </c>
      <c r="Q961" s="3">
        <f>parking_demand_data_2024_ver0!P961</f>
        <v>8</v>
      </c>
      <c r="R961" s="3">
        <f>parking_demand_data_2024_ver0!Q961</f>
        <v>0</v>
      </c>
      <c r="S961" s="3">
        <f>parking_demand_data_2024_ver0!R961</f>
        <v>0</v>
      </c>
      <c r="T961" s="3">
        <f>parking_demand_data_2024_ver0!S961</f>
        <v>0</v>
      </c>
    </row>
    <row r="962" spans="1:20" x14ac:dyDescent="0.25">
      <c r="A962">
        <v>18081</v>
      </c>
      <c r="B962" t="s">
        <v>69</v>
      </c>
      <c r="C962">
        <v>0</v>
      </c>
      <c r="D962" s="3">
        <f>parking_demand_data_2024_ver0!D962*calibration!$I$31</f>
        <v>551.93667280733303</v>
      </c>
      <c r="E962" s="3">
        <f>parking_demand_data_2024_ver0!E962*calibration!$I$31</f>
        <v>16.731874962772199</v>
      </c>
      <c r="F962" s="3">
        <f t="shared" si="14"/>
        <v>568.66854777010519</v>
      </c>
      <c r="G962" s="3">
        <f>parking_demand_data_2024_ver0!F962</f>
        <v>4</v>
      </c>
      <c r="H962" s="3">
        <f>parking_demand_data_2024_ver0!G962</f>
        <v>3</v>
      </c>
      <c r="I962" s="3">
        <f>parking_demand_data_2024_ver0!H962</f>
        <v>1</v>
      </c>
      <c r="J962" s="3">
        <f>parking_demand_data_2024_ver0!I962</f>
        <v>0</v>
      </c>
      <c r="K962" s="3">
        <f>parking_demand_data_2024_ver0!J962</f>
        <v>0</v>
      </c>
      <c r="L962" s="3">
        <f>parking_demand_data_2024_ver0!K962</f>
        <v>0</v>
      </c>
      <c r="M962" s="3">
        <f>parking_demand_data_2024_ver0!L962</f>
        <v>0</v>
      </c>
      <c r="N962" s="3">
        <f>parking_demand_data_2024_ver0!M962</f>
        <v>520</v>
      </c>
      <c r="O962" s="3">
        <f>parking_demand_data_2024_ver0!N962</f>
        <v>470</v>
      </c>
      <c r="P962" s="3">
        <f>parking_demand_data_2024_ver0!O962</f>
        <v>50</v>
      </c>
      <c r="Q962" s="3">
        <f>parking_demand_data_2024_ver0!P962</f>
        <v>0</v>
      </c>
      <c r="R962" s="3">
        <f>parking_demand_data_2024_ver0!Q962</f>
        <v>0</v>
      </c>
      <c r="S962" s="3">
        <f>parking_demand_data_2024_ver0!R962</f>
        <v>0</v>
      </c>
      <c r="T962" s="3">
        <f>parking_demand_data_2024_ver0!S962</f>
        <v>0</v>
      </c>
    </row>
    <row r="963" spans="1:20" x14ac:dyDescent="0.25">
      <c r="A963">
        <v>18081</v>
      </c>
      <c r="B963" t="s">
        <v>69</v>
      </c>
      <c r="C963">
        <v>1</v>
      </c>
      <c r="D963" s="3">
        <f>parking_demand_data_2024_ver0!D963*calibration!$I$31</f>
        <v>555.75648992102094</v>
      </c>
      <c r="E963" s="3">
        <f>parking_demand_data_2024_ver0!E963*calibration!$I$31</f>
        <v>20.013689666081302</v>
      </c>
      <c r="F963" s="3">
        <f t="shared" ref="F963:F1026" si="15">SUM(D963:E963)</f>
        <v>575.77017958710223</v>
      </c>
      <c r="G963" s="3">
        <f>parking_demand_data_2024_ver0!F963</f>
        <v>4</v>
      </c>
      <c r="H963" s="3">
        <f>parking_demand_data_2024_ver0!G963</f>
        <v>3</v>
      </c>
      <c r="I963" s="3">
        <f>parking_demand_data_2024_ver0!H963</f>
        <v>1</v>
      </c>
      <c r="J963" s="3">
        <f>parking_demand_data_2024_ver0!I963</f>
        <v>0</v>
      </c>
      <c r="K963" s="3">
        <f>parking_demand_data_2024_ver0!J963</f>
        <v>0</v>
      </c>
      <c r="L963" s="3">
        <f>parking_demand_data_2024_ver0!K963</f>
        <v>0</v>
      </c>
      <c r="M963" s="3">
        <f>parking_demand_data_2024_ver0!L963</f>
        <v>0</v>
      </c>
      <c r="N963" s="3">
        <f>parking_demand_data_2024_ver0!M963</f>
        <v>520</v>
      </c>
      <c r="O963" s="3">
        <f>parking_demand_data_2024_ver0!N963</f>
        <v>470</v>
      </c>
      <c r="P963" s="3">
        <f>parking_demand_data_2024_ver0!O963</f>
        <v>50</v>
      </c>
      <c r="Q963" s="3">
        <f>parking_demand_data_2024_ver0!P963</f>
        <v>0</v>
      </c>
      <c r="R963" s="3">
        <f>parking_demand_data_2024_ver0!Q963</f>
        <v>0</v>
      </c>
      <c r="S963" s="3">
        <f>parking_demand_data_2024_ver0!R963</f>
        <v>0</v>
      </c>
      <c r="T963" s="3">
        <f>parking_demand_data_2024_ver0!S963</f>
        <v>0</v>
      </c>
    </row>
    <row r="964" spans="1:20" x14ac:dyDescent="0.25">
      <c r="A964">
        <v>18081</v>
      </c>
      <c r="B964" t="s">
        <v>69</v>
      </c>
      <c r="C964">
        <v>2</v>
      </c>
      <c r="D964" s="3">
        <f>parking_demand_data_2024_ver0!D964*calibration!$I$31</f>
        <v>554.14248268988501</v>
      </c>
      <c r="E964" s="3">
        <f>parking_demand_data_2024_ver0!E964*calibration!$I$31</f>
        <v>19.045285327399899</v>
      </c>
      <c r="F964" s="3">
        <f t="shared" si="15"/>
        <v>573.18776801728495</v>
      </c>
      <c r="G964" s="3">
        <f>parking_demand_data_2024_ver0!F964</f>
        <v>4</v>
      </c>
      <c r="H964" s="3">
        <f>parking_demand_data_2024_ver0!G964</f>
        <v>3</v>
      </c>
      <c r="I964" s="3">
        <f>parking_demand_data_2024_ver0!H964</f>
        <v>1</v>
      </c>
      <c r="J964" s="3">
        <f>parking_demand_data_2024_ver0!I964</f>
        <v>0</v>
      </c>
      <c r="K964" s="3">
        <f>parking_demand_data_2024_ver0!J964</f>
        <v>0</v>
      </c>
      <c r="L964" s="3">
        <f>parking_demand_data_2024_ver0!K964</f>
        <v>0</v>
      </c>
      <c r="M964" s="3">
        <f>parking_demand_data_2024_ver0!L964</f>
        <v>0</v>
      </c>
      <c r="N964" s="3">
        <f>parking_demand_data_2024_ver0!M964</f>
        <v>520</v>
      </c>
      <c r="O964" s="3">
        <f>parking_demand_data_2024_ver0!N964</f>
        <v>470</v>
      </c>
      <c r="P964" s="3">
        <f>parking_demand_data_2024_ver0!O964</f>
        <v>50</v>
      </c>
      <c r="Q964" s="3">
        <f>parking_demand_data_2024_ver0!P964</f>
        <v>0</v>
      </c>
      <c r="R964" s="3">
        <f>parking_demand_data_2024_ver0!Q964</f>
        <v>0</v>
      </c>
      <c r="S964" s="3">
        <f>parking_demand_data_2024_ver0!R964</f>
        <v>0</v>
      </c>
      <c r="T964" s="3">
        <f>parking_demand_data_2024_ver0!S964</f>
        <v>0</v>
      </c>
    </row>
    <row r="965" spans="1:20" x14ac:dyDescent="0.25">
      <c r="A965">
        <v>18081</v>
      </c>
      <c r="B965" t="s">
        <v>69</v>
      </c>
      <c r="C965">
        <v>3</v>
      </c>
      <c r="D965" s="3">
        <f>parking_demand_data_2024_ver0!D965*calibration!$I$31</f>
        <v>543.05963303608701</v>
      </c>
      <c r="E965" s="3">
        <f>parking_demand_data_2024_ver0!E965*calibration!$I$31</f>
        <v>19.583287737778399</v>
      </c>
      <c r="F965" s="3">
        <f t="shared" si="15"/>
        <v>562.6429207738654</v>
      </c>
      <c r="G965" s="3">
        <f>parking_demand_data_2024_ver0!F965</f>
        <v>4</v>
      </c>
      <c r="H965" s="3">
        <f>parking_demand_data_2024_ver0!G965</f>
        <v>3</v>
      </c>
      <c r="I965" s="3">
        <f>parking_demand_data_2024_ver0!H965</f>
        <v>1</v>
      </c>
      <c r="J965" s="3">
        <f>parking_demand_data_2024_ver0!I965</f>
        <v>0</v>
      </c>
      <c r="K965" s="3">
        <f>parking_demand_data_2024_ver0!J965</f>
        <v>0</v>
      </c>
      <c r="L965" s="3">
        <f>parking_demand_data_2024_ver0!K965</f>
        <v>0</v>
      </c>
      <c r="M965" s="3">
        <f>parking_demand_data_2024_ver0!L965</f>
        <v>0</v>
      </c>
      <c r="N965" s="3">
        <f>parking_demand_data_2024_ver0!M965</f>
        <v>520</v>
      </c>
      <c r="O965" s="3">
        <f>parking_demand_data_2024_ver0!N965</f>
        <v>470</v>
      </c>
      <c r="P965" s="3">
        <f>parking_demand_data_2024_ver0!O965</f>
        <v>50</v>
      </c>
      <c r="Q965" s="3">
        <f>parking_demand_data_2024_ver0!P965</f>
        <v>0</v>
      </c>
      <c r="R965" s="3">
        <f>parking_demand_data_2024_ver0!Q965</f>
        <v>0</v>
      </c>
      <c r="S965" s="3">
        <f>parking_demand_data_2024_ver0!R965</f>
        <v>0</v>
      </c>
      <c r="T965" s="3">
        <f>parking_demand_data_2024_ver0!S965</f>
        <v>0</v>
      </c>
    </row>
    <row r="966" spans="1:20" x14ac:dyDescent="0.25">
      <c r="A966">
        <v>18081</v>
      </c>
      <c r="B966" t="s">
        <v>69</v>
      </c>
      <c r="C966">
        <v>4</v>
      </c>
      <c r="D966" s="3">
        <f>parking_demand_data_2024_ver0!D966*calibration!$I$31</f>
        <v>525.95115638605</v>
      </c>
      <c r="E966" s="3">
        <f>parking_demand_data_2024_ver0!E966*calibration!$I$31</f>
        <v>21.143494727876199</v>
      </c>
      <c r="F966" s="3">
        <f t="shared" si="15"/>
        <v>547.09465111392615</v>
      </c>
      <c r="G966" s="3">
        <f>parking_demand_data_2024_ver0!F966</f>
        <v>4</v>
      </c>
      <c r="H966" s="3">
        <f>parking_demand_data_2024_ver0!G966</f>
        <v>3</v>
      </c>
      <c r="I966" s="3">
        <f>parking_demand_data_2024_ver0!H966</f>
        <v>1</v>
      </c>
      <c r="J966" s="3">
        <f>parking_demand_data_2024_ver0!I966</f>
        <v>0</v>
      </c>
      <c r="K966" s="3">
        <f>parking_demand_data_2024_ver0!J966</f>
        <v>0</v>
      </c>
      <c r="L966" s="3">
        <f>parking_demand_data_2024_ver0!K966</f>
        <v>0</v>
      </c>
      <c r="M966" s="3">
        <f>parking_demand_data_2024_ver0!L966</f>
        <v>0</v>
      </c>
      <c r="N966" s="3">
        <f>parking_demand_data_2024_ver0!M966</f>
        <v>520</v>
      </c>
      <c r="O966" s="3">
        <f>parking_demand_data_2024_ver0!N966</f>
        <v>470</v>
      </c>
      <c r="P966" s="3">
        <f>parking_demand_data_2024_ver0!O966</f>
        <v>50</v>
      </c>
      <c r="Q966" s="3">
        <f>parking_demand_data_2024_ver0!P966</f>
        <v>0</v>
      </c>
      <c r="R966" s="3">
        <f>parking_demand_data_2024_ver0!Q966</f>
        <v>0</v>
      </c>
      <c r="S966" s="3">
        <f>parking_demand_data_2024_ver0!R966</f>
        <v>0</v>
      </c>
      <c r="T966" s="3">
        <f>parking_demand_data_2024_ver0!S966</f>
        <v>0</v>
      </c>
    </row>
    <row r="967" spans="1:20" x14ac:dyDescent="0.25">
      <c r="A967">
        <v>18081</v>
      </c>
      <c r="B967" t="s">
        <v>69</v>
      </c>
      <c r="C967">
        <v>5</v>
      </c>
      <c r="D967" s="3">
        <f>parking_demand_data_2024_ver0!D967*calibration!$I$31</f>
        <v>501.14924526760001</v>
      </c>
      <c r="E967" s="3">
        <f>parking_demand_data_2024_ver0!E967*calibration!$I$31</f>
        <v>23.672106056655299</v>
      </c>
      <c r="F967" s="3">
        <f t="shared" si="15"/>
        <v>524.82135132425526</v>
      </c>
      <c r="G967" s="3">
        <f>parking_demand_data_2024_ver0!F967</f>
        <v>4</v>
      </c>
      <c r="H967" s="3">
        <f>parking_demand_data_2024_ver0!G967</f>
        <v>3</v>
      </c>
      <c r="I967" s="3">
        <f>parking_demand_data_2024_ver0!H967</f>
        <v>1</v>
      </c>
      <c r="J967" s="3">
        <f>parking_demand_data_2024_ver0!I967</f>
        <v>0</v>
      </c>
      <c r="K967" s="3">
        <f>parking_demand_data_2024_ver0!J967</f>
        <v>0</v>
      </c>
      <c r="L967" s="3">
        <f>parking_demand_data_2024_ver0!K967</f>
        <v>0</v>
      </c>
      <c r="M967" s="3">
        <f>parking_demand_data_2024_ver0!L967</f>
        <v>0</v>
      </c>
      <c r="N967" s="3">
        <f>parking_demand_data_2024_ver0!M967</f>
        <v>520</v>
      </c>
      <c r="O967" s="3">
        <f>parking_demand_data_2024_ver0!N967</f>
        <v>470</v>
      </c>
      <c r="P967" s="3">
        <f>parking_demand_data_2024_ver0!O967</f>
        <v>50</v>
      </c>
      <c r="Q967" s="3">
        <f>parking_demand_data_2024_ver0!P967</f>
        <v>0</v>
      </c>
      <c r="R967" s="3">
        <f>parking_demand_data_2024_ver0!Q967</f>
        <v>0</v>
      </c>
      <c r="S967" s="3">
        <f>parking_demand_data_2024_ver0!R967</f>
        <v>0</v>
      </c>
      <c r="T967" s="3">
        <f>parking_demand_data_2024_ver0!S967</f>
        <v>0</v>
      </c>
    </row>
    <row r="968" spans="1:20" x14ac:dyDescent="0.25">
      <c r="A968">
        <v>18081</v>
      </c>
      <c r="B968" t="s">
        <v>69</v>
      </c>
      <c r="C968">
        <v>6</v>
      </c>
      <c r="D968" s="3">
        <f>parking_demand_data_2024_ver0!D968*calibration!$I$31</f>
        <v>466.17908859299598</v>
      </c>
      <c r="E968" s="3">
        <f>parking_demand_data_2024_ver0!E968*calibration!$I$31</f>
        <v>27.222921965153599</v>
      </c>
      <c r="F968" s="3">
        <f t="shared" si="15"/>
        <v>493.40201055814958</v>
      </c>
      <c r="G968" s="3">
        <f>parking_demand_data_2024_ver0!F968</f>
        <v>4</v>
      </c>
      <c r="H968" s="3">
        <f>parking_demand_data_2024_ver0!G968</f>
        <v>3</v>
      </c>
      <c r="I968" s="3">
        <f>parking_demand_data_2024_ver0!H968</f>
        <v>1</v>
      </c>
      <c r="J968" s="3">
        <f>parking_demand_data_2024_ver0!I968</f>
        <v>0</v>
      </c>
      <c r="K968" s="3">
        <f>parking_demand_data_2024_ver0!J968</f>
        <v>0</v>
      </c>
      <c r="L968" s="3">
        <f>parking_demand_data_2024_ver0!K968</f>
        <v>0</v>
      </c>
      <c r="M968" s="3">
        <f>parking_demand_data_2024_ver0!L968</f>
        <v>0</v>
      </c>
      <c r="N968" s="3">
        <f>parking_demand_data_2024_ver0!M968</f>
        <v>520</v>
      </c>
      <c r="O968" s="3">
        <f>parking_demand_data_2024_ver0!N968</f>
        <v>470</v>
      </c>
      <c r="P968" s="3">
        <f>parking_demand_data_2024_ver0!O968</f>
        <v>50</v>
      </c>
      <c r="Q968" s="3">
        <f>parking_demand_data_2024_ver0!P968</f>
        <v>0</v>
      </c>
      <c r="R968" s="3">
        <f>parking_demand_data_2024_ver0!Q968</f>
        <v>0</v>
      </c>
      <c r="S968" s="3">
        <f>parking_demand_data_2024_ver0!R968</f>
        <v>0</v>
      </c>
      <c r="T968" s="3">
        <f>parking_demand_data_2024_ver0!S968</f>
        <v>0</v>
      </c>
    </row>
    <row r="969" spans="1:20" x14ac:dyDescent="0.25">
      <c r="A969">
        <v>18081</v>
      </c>
      <c r="B969" t="s">
        <v>69</v>
      </c>
      <c r="C969">
        <v>7</v>
      </c>
      <c r="D969" s="3">
        <f>parking_demand_data_2024_ver0!D969*calibration!$I$31</f>
        <v>404.25501115842701</v>
      </c>
      <c r="E969" s="3">
        <f>parking_demand_data_2024_ver0!E969*calibration!$I$31</f>
        <v>19.583287737778399</v>
      </c>
      <c r="F969" s="3">
        <f t="shared" si="15"/>
        <v>423.8382988962054</v>
      </c>
      <c r="G969" s="3">
        <f>parking_demand_data_2024_ver0!F969</f>
        <v>4</v>
      </c>
      <c r="H969" s="3">
        <f>parking_demand_data_2024_ver0!G969</f>
        <v>3</v>
      </c>
      <c r="I969" s="3">
        <f>parking_demand_data_2024_ver0!H969</f>
        <v>1</v>
      </c>
      <c r="J969" s="3">
        <f>parking_demand_data_2024_ver0!I969</f>
        <v>0</v>
      </c>
      <c r="K969" s="3">
        <f>parking_demand_data_2024_ver0!J969</f>
        <v>0</v>
      </c>
      <c r="L969" s="3">
        <f>parking_demand_data_2024_ver0!K969</f>
        <v>0</v>
      </c>
      <c r="M969" s="3">
        <f>parking_demand_data_2024_ver0!L969</f>
        <v>0</v>
      </c>
      <c r="N969" s="3">
        <f>parking_demand_data_2024_ver0!M969</f>
        <v>520</v>
      </c>
      <c r="O969" s="3">
        <f>parking_demand_data_2024_ver0!N969</f>
        <v>470</v>
      </c>
      <c r="P969" s="3">
        <f>parking_demand_data_2024_ver0!O969</f>
        <v>50</v>
      </c>
      <c r="Q969" s="3">
        <f>parking_demand_data_2024_ver0!P969</f>
        <v>0</v>
      </c>
      <c r="R969" s="3">
        <f>parking_demand_data_2024_ver0!Q969</f>
        <v>0</v>
      </c>
      <c r="S969" s="3">
        <f>parking_demand_data_2024_ver0!R969</f>
        <v>0</v>
      </c>
      <c r="T969" s="3">
        <f>parking_demand_data_2024_ver0!S969</f>
        <v>0</v>
      </c>
    </row>
    <row r="970" spans="1:20" x14ac:dyDescent="0.25">
      <c r="A970">
        <v>18081</v>
      </c>
      <c r="B970" t="s">
        <v>69</v>
      </c>
      <c r="C970">
        <v>8</v>
      </c>
      <c r="D970" s="3">
        <f>parking_demand_data_2024_ver0!D970*calibration!$I$31</f>
        <v>347.81855830971898</v>
      </c>
      <c r="E970" s="3">
        <f>parking_demand_data_2024_ver0!E970*calibration!$I$31</f>
        <v>14.902666767485201</v>
      </c>
      <c r="F970" s="3">
        <f t="shared" si="15"/>
        <v>362.72122507720417</v>
      </c>
      <c r="G970" s="3">
        <f>parking_demand_data_2024_ver0!F970</f>
        <v>4</v>
      </c>
      <c r="H970" s="3">
        <f>parking_demand_data_2024_ver0!G970</f>
        <v>3</v>
      </c>
      <c r="I970" s="3">
        <f>parking_demand_data_2024_ver0!H970</f>
        <v>1</v>
      </c>
      <c r="J970" s="3">
        <f>parking_demand_data_2024_ver0!I970</f>
        <v>0</v>
      </c>
      <c r="K970" s="3">
        <f>parking_demand_data_2024_ver0!J970</f>
        <v>0</v>
      </c>
      <c r="L970" s="3">
        <f>parking_demand_data_2024_ver0!K970</f>
        <v>0</v>
      </c>
      <c r="M970" s="3">
        <f>parking_demand_data_2024_ver0!L970</f>
        <v>0</v>
      </c>
      <c r="N970" s="3">
        <f>parking_demand_data_2024_ver0!M970</f>
        <v>520</v>
      </c>
      <c r="O970" s="3">
        <f>parking_demand_data_2024_ver0!N970</f>
        <v>470</v>
      </c>
      <c r="P970" s="3">
        <f>parking_demand_data_2024_ver0!O970</f>
        <v>50</v>
      </c>
      <c r="Q970" s="3">
        <f>parking_demand_data_2024_ver0!P970</f>
        <v>0</v>
      </c>
      <c r="R970" s="3">
        <f>parking_demand_data_2024_ver0!Q970</f>
        <v>0</v>
      </c>
      <c r="S970" s="3">
        <f>parking_demand_data_2024_ver0!R970</f>
        <v>0</v>
      </c>
      <c r="T970" s="3">
        <f>parking_demand_data_2024_ver0!S970</f>
        <v>0</v>
      </c>
    </row>
    <row r="971" spans="1:20" x14ac:dyDescent="0.25">
      <c r="A971">
        <v>18081</v>
      </c>
      <c r="B971" t="s">
        <v>69</v>
      </c>
      <c r="C971">
        <v>9</v>
      </c>
      <c r="D971" s="3">
        <f>parking_demand_data_2024_ver0!D971*calibration!$I$31</f>
        <v>305.69296957708002</v>
      </c>
      <c r="E971" s="3">
        <f>parking_demand_data_2024_ver0!E971*calibration!$I$31</f>
        <v>9.2536414585107103</v>
      </c>
      <c r="F971" s="3">
        <f t="shared" si="15"/>
        <v>314.94661103559071</v>
      </c>
      <c r="G971" s="3">
        <f>parking_demand_data_2024_ver0!F971</f>
        <v>4</v>
      </c>
      <c r="H971" s="3">
        <f>parking_demand_data_2024_ver0!G971</f>
        <v>3</v>
      </c>
      <c r="I971" s="3">
        <f>parking_demand_data_2024_ver0!H971</f>
        <v>1</v>
      </c>
      <c r="J971" s="3">
        <f>parking_demand_data_2024_ver0!I971</f>
        <v>0</v>
      </c>
      <c r="K971" s="3">
        <f>parking_demand_data_2024_ver0!J971</f>
        <v>0</v>
      </c>
      <c r="L971" s="3">
        <f>parking_demand_data_2024_ver0!K971</f>
        <v>0</v>
      </c>
      <c r="M971" s="3">
        <f>parking_demand_data_2024_ver0!L971</f>
        <v>0</v>
      </c>
      <c r="N971" s="3">
        <f>parking_demand_data_2024_ver0!M971</f>
        <v>520</v>
      </c>
      <c r="O971" s="3">
        <f>parking_demand_data_2024_ver0!N971</f>
        <v>470</v>
      </c>
      <c r="P971" s="3">
        <f>parking_demand_data_2024_ver0!O971</f>
        <v>50</v>
      </c>
      <c r="Q971" s="3">
        <f>parking_demand_data_2024_ver0!P971</f>
        <v>0</v>
      </c>
      <c r="R971" s="3">
        <f>parking_demand_data_2024_ver0!Q971</f>
        <v>0</v>
      </c>
      <c r="S971" s="3">
        <f>parking_demand_data_2024_ver0!R971</f>
        <v>0</v>
      </c>
      <c r="T971" s="3">
        <f>parking_demand_data_2024_ver0!S971</f>
        <v>0</v>
      </c>
    </row>
    <row r="972" spans="1:20" x14ac:dyDescent="0.25">
      <c r="A972">
        <v>18081</v>
      </c>
      <c r="B972" t="s">
        <v>69</v>
      </c>
      <c r="C972">
        <v>10</v>
      </c>
      <c r="D972" s="3">
        <f>parking_demand_data_2024_ver0!D972*calibration!$I$31</f>
        <v>286.80908497279398</v>
      </c>
      <c r="E972" s="3">
        <f>parking_demand_data_2024_ver0!E972*calibration!$I$31</f>
        <v>7.1554320580344397</v>
      </c>
      <c r="F972" s="3">
        <f t="shared" si="15"/>
        <v>293.9645170308284</v>
      </c>
      <c r="G972" s="3">
        <f>parking_demand_data_2024_ver0!F972</f>
        <v>4</v>
      </c>
      <c r="H972" s="3">
        <f>parking_demand_data_2024_ver0!G972</f>
        <v>3</v>
      </c>
      <c r="I972" s="3">
        <f>parking_demand_data_2024_ver0!H972</f>
        <v>1</v>
      </c>
      <c r="J972" s="3">
        <f>parking_demand_data_2024_ver0!I972</f>
        <v>0</v>
      </c>
      <c r="K972" s="3">
        <f>parking_demand_data_2024_ver0!J972</f>
        <v>0</v>
      </c>
      <c r="L972" s="3">
        <f>parking_demand_data_2024_ver0!K972</f>
        <v>0</v>
      </c>
      <c r="M972" s="3">
        <f>parking_demand_data_2024_ver0!L972</f>
        <v>0</v>
      </c>
      <c r="N972" s="3">
        <f>parking_demand_data_2024_ver0!M972</f>
        <v>520</v>
      </c>
      <c r="O972" s="3">
        <f>parking_demand_data_2024_ver0!N972</f>
        <v>470</v>
      </c>
      <c r="P972" s="3">
        <f>parking_demand_data_2024_ver0!O972</f>
        <v>50</v>
      </c>
      <c r="Q972" s="3">
        <f>parking_demand_data_2024_ver0!P972</f>
        <v>0</v>
      </c>
      <c r="R972" s="3">
        <f>parking_demand_data_2024_ver0!Q972</f>
        <v>0</v>
      </c>
      <c r="S972" s="3">
        <f>parking_demand_data_2024_ver0!R972</f>
        <v>0</v>
      </c>
      <c r="T972" s="3">
        <f>parking_demand_data_2024_ver0!S972</f>
        <v>0</v>
      </c>
    </row>
    <row r="973" spans="1:20" x14ac:dyDescent="0.25">
      <c r="A973">
        <v>18081</v>
      </c>
      <c r="B973" t="s">
        <v>69</v>
      </c>
      <c r="C973">
        <v>11</v>
      </c>
      <c r="D973" s="3">
        <f>parking_demand_data_2024_ver0!D973*calibration!$I$31</f>
        <v>274.32742905201201</v>
      </c>
      <c r="E973" s="3">
        <f>parking_demand_data_2024_ver0!E973*calibration!$I$31</f>
        <v>6.4560289245423501</v>
      </c>
      <c r="F973" s="3">
        <f t="shared" si="15"/>
        <v>280.78345797655436</v>
      </c>
      <c r="G973" s="3">
        <f>parking_demand_data_2024_ver0!F973</f>
        <v>4</v>
      </c>
      <c r="H973" s="3">
        <f>parking_demand_data_2024_ver0!G973</f>
        <v>3</v>
      </c>
      <c r="I973" s="3">
        <f>parking_demand_data_2024_ver0!H973</f>
        <v>1</v>
      </c>
      <c r="J973" s="3">
        <f>parking_demand_data_2024_ver0!I973</f>
        <v>0</v>
      </c>
      <c r="K973" s="3">
        <f>parking_demand_data_2024_ver0!J973</f>
        <v>0</v>
      </c>
      <c r="L973" s="3">
        <f>parking_demand_data_2024_ver0!K973</f>
        <v>0</v>
      </c>
      <c r="M973" s="3">
        <f>parking_demand_data_2024_ver0!L973</f>
        <v>0</v>
      </c>
      <c r="N973" s="3">
        <f>parking_demand_data_2024_ver0!M973</f>
        <v>520</v>
      </c>
      <c r="O973" s="3">
        <f>parking_demand_data_2024_ver0!N973</f>
        <v>470</v>
      </c>
      <c r="P973" s="3">
        <f>parking_demand_data_2024_ver0!O973</f>
        <v>50</v>
      </c>
      <c r="Q973" s="3">
        <f>parking_demand_data_2024_ver0!P973</f>
        <v>0</v>
      </c>
      <c r="R973" s="3">
        <f>parking_demand_data_2024_ver0!Q973</f>
        <v>0</v>
      </c>
      <c r="S973" s="3">
        <f>parking_demand_data_2024_ver0!R973</f>
        <v>0</v>
      </c>
      <c r="T973" s="3">
        <f>parking_demand_data_2024_ver0!S973</f>
        <v>0</v>
      </c>
    </row>
    <row r="974" spans="1:20" x14ac:dyDescent="0.25">
      <c r="A974">
        <v>18081</v>
      </c>
      <c r="B974" t="s">
        <v>69</v>
      </c>
      <c r="C974">
        <v>12</v>
      </c>
      <c r="D974" s="3">
        <f>parking_demand_data_2024_ver0!D974*calibration!$I$31</f>
        <v>276.10283700626098</v>
      </c>
      <c r="E974" s="3">
        <f>parking_demand_data_2024_ver0!E974*calibration!$I$31</f>
        <v>4.2502190419903796</v>
      </c>
      <c r="F974" s="3">
        <f t="shared" si="15"/>
        <v>280.35305604825135</v>
      </c>
      <c r="G974" s="3">
        <f>parking_demand_data_2024_ver0!F974</f>
        <v>4</v>
      </c>
      <c r="H974" s="3">
        <f>parking_demand_data_2024_ver0!G974</f>
        <v>3</v>
      </c>
      <c r="I974" s="3">
        <f>parking_demand_data_2024_ver0!H974</f>
        <v>1</v>
      </c>
      <c r="J974" s="3">
        <f>parking_demand_data_2024_ver0!I974</f>
        <v>0</v>
      </c>
      <c r="K974" s="3">
        <f>parking_demand_data_2024_ver0!J974</f>
        <v>0</v>
      </c>
      <c r="L974" s="3">
        <f>parking_demand_data_2024_ver0!K974</f>
        <v>0</v>
      </c>
      <c r="M974" s="3">
        <f>parking_demand_data_2024_ver0!L974</f>
        <v>0</v>
      </c>
      <c r="N974" s="3">
        <f>parking_demand_data_2024_ver0!M974</f>
        <v>520</v>
      </c>
      <c r="O974" s="3">
        <f>parking_demand_data_2024_ver0!N974</f>
        <v>470</v>
      </c>
      <c r="P974" s="3">
        <f>parking_demand_data_2024_ver0!O974</f>
        <v>50</v>
      </c>
      <c r="Q974" s="3">
        <f>parking_demand_data_2024_ver0!P974</f>
        <v>0</v>
      </c>
      <c r="R974" s="3">
        <f>parking_demand_data_2024_ver0!Q974</f>
        <v>0</v>
      </c>
      <c r="S974" s="3">
        <f>parking_demand_data_2024_ver0!R974</f>
        <v>0</v>
      </c>
      <c r="T974" s="3">
        <f>parking_demand_data_2024_ver0!S974</f>
        <v>0</v>
      </c>
    </row>
    <row r="975" spans="1:20" x14ac:dyDescent="0.25">
      <c r="A975">
        <v>18081</v>
      </c>
      <c r="B975" t="s">
        <v>69</v>
      </c>
      <c r="C975">
        <v>13</v>
      </c>
      <c r="D975" s="3">
        <f>parking_demand_data_2024_ver0!D975*calibration!$I$31</f>
        <v>283.68867099259802</v>
      </c>
      <c r="E975" s="3">
        <f>parking_demand_data_2024_ver0!E975*calibration!$I$31</f>
        <v>2.5824115698169399</v>
      </c>
      <c r="F975" s="3">
        <f t="shared" si="15"/>
        <v>286.27108256241496</v>
      </c>
      <c r="G975" s="3">
        <f>parking_demand_data_2024_ver0!F975</f>
        <v>4</v>
      </c>
      <c r="H975" s="3">
        <f>parking_demand_data_2024_ver0!G975</f>
        <v>3</v>
      </c>
      <c r="I975" s="3">
        <f>parking_demand_data_2024_ver0!H975</f>
        <v>1</v>
      </c>
      <c r="J975" s="3">
        <f>parking_demand_data_2024_ver0!I975</f>
        <v>0</v>
      </c>
      <c r="K975" s="3">
        <f>parking_demand_data_2024_ver0!J975</f>
        <v>0</v>
      </c>
      <c r="L975" s="3">
        <f>parking_demand_data_2024_ver0!K975</f>
        <v>0</v>
      </c>
      <c r="M975" s="3">
        <f>parking_demand_data_2024_ver0!L975</f>
        <v>0</v>
      </c>
      <c r="N975" s="3">
        <f>parking_demand_data_2024_ver0!M975</f>
        <v>520</v>
      </c>
      <c r="O975" s="3">
        <f>parking_demand_data_2024_ver0!N975</f>
        <v>470</v>
      </c>
      <c r="P975" s="3">
        <f>parking_demand_data_2024_ver0!O975</f>
        <v>50</v>
      </c>
      <c r="Q975" s="3">
        <f>parking_demand_data_2024_ver0!P975</f>
        <v>0</v>
      </c>
      <c r="R975" s="3">
        <f>parking_demand_data_2024_ver0!Q975</f>
        <v>0</v>
      </c>
      <c r="S975" s="3">
        <f>parking_demand_data_2024_ver0!R975</f>
        <v>0</v>
      </c>
      <c r="T975" s="3">
        <f>parking_demand_data_2024_ver0!S975</f>
        <v>0</v>
      </c>
    </row>
    <row r="976" spans="1:20" x14ac:dyDescent="0.25">
      <c r="A976">
        <v>18081</v>
      </c>
      <c r="B976" t="s">
        <v>69</v>
      </c>
      <c r="C976">
        <v>14</v>
      </c>
      <c r="D976" s="3">
        <f>parking_demand_data_2024_ver0!D976*calibration!$I$31</f>
        <v>297.51533293932602</v>
      </c>
      <c r="E976" s="3">
        <f>parking_demand_data_2024_ver0!E976*calibration!$I$31</f>
        <v>2.9590132570819101</v>
      </c>
      <c r="F976" s="3">
        <f t="shared" si="15"/>
        <v>300.47434619640791</v>
      </c>
      <c r="G976" s="3">
        <f>parking_demand_data_2024_ver0!F976</f>
        <v>4</v>
      </c>
      <c r="H976" s="3">
        <f>parking_demand_data_2024_ver0!G976</f>
        <v>3</v>
      </c>
      <c r="I976" s="3">
        <f>parking_demand_data_2024_ver0!H976</f>
        <v>1</v>
      </c>
      <c r="J976" s="3">
        <f>parking_demand_data_2024_ver0!I976</f>
        <v>0</v>
      </c>
      <c r="K976" s="3">
        <f>parking_demand_data_2024_ver0!J976</f>
        <v>0</v>
      </c>
      <c r="L976" s="3">
        <f>parking_demand_data_2024_ver0!K976</f>
        <v>0</v>
      </c>
      <c r="M976" s="3">
        <f>parking_demand_data_2024_ver0!L976</f>
        <v>0</v>
      </c>
      <c r="N976" s="3">
        <f>parking_demand_data_2024_ver0!M976</f>
        <v>520</v>
      </c>
      <c r="O976" s="3">
        <f>parking_demand_data_2024_ver0!N976</f>
        <v>470</v>
      </c>
      <c r="P976" s="3">
        <f>parking_demand_data_2024_ver0!O976</f>
        <v>50</v>
      </c>
      <c r="Q976" s="3">
        <f>parking_demand_data_2024_ver0!P976</f>
        <v>0</v>
      </c>
      <c r="R976" s="3">
        <f>parking_demand_data_2024_ver0!Q976</f>
        <v>0</v>
      </c>
      <c r="S976" s="3">
        <f>parking_demand_data_2024_ver0!R976</f>
        <v>0</v>
      </c>
      <c r="T976" s="3">
        <f>parking_demand_data_2024_ver0!S976</f>
        <v>0</v>
      </c>
    </row>
    <row r="977" spans="1:20" x14ac:dyDescent="0.25">
      <c r="A977">
        <v>18081</v>
      </c>
      <c r="B977" t="s">
        <v>69</v>
      </c>
      <c r="C977">
        <v>15</v>
      </c>
      <c r="D977" s="3">
        <f>parking_demand_data_2024_ver0!D977*calibration!$I$31</f>
        <v>311.28819464501697</v>
      </c>
      <c r="E977" s="3">
        <f>parking_demand_data_2024_ver0!E977*calibration!$I$31</f>
        <v>2.6900120518926398</v>
      </c>
      <c r="F977" s="3">
        <f t="shared" si="15"/>
        <v>313.97820669690964</v>
      </c>
      <c r="G977" s="3">
        <f>parking_demand_data_2024_ver0!F977</f>
        <v>4</v>
      </c>
      <c r="H977" s="3">
        <f>parking_demand_data_2024_ver0!G977</f>
        <v>3</v>
      </c>
      <c r="I977" s="3">
        <f>parking_demand_data_2024_ver0!H977</f>
        <v>1</v>
      </c>
      <c r="J977" s="3">
        <f>parking_demand_data_2024_ver0!I977</f>
        <v>0</v>
      </c>
      <c r="K977" s="3">
        <f>parking_demand_data_2024_ver0!J977</f>
        <v>0</v>
      </c>
      <c r="L977" s="3">
        <f>parking_demand_data_2024_ver0!K977</f>
        <v>0</v>
      </c>
      <c r="M977" s="3">
        <f>parking_demand_data_2024_ver0!L977</f>
        <v>0</v>
      </c>
      <c r="N977" s="3">
        <f>parking_demand_data_2024_ver0!M977</f>
        <v>520</v>
      </c>
      <c r="O977" s="3">
        <f>parking_demand_data_2024_ver0!N977</f>
        <v>470</v>
      </c>
      <c r="P977" s="3">
        <f>parking_demand_data_2024_ver0!O977</f>
        <v>50</v>
      </c>
      <c r="Q977" s="3">
        <f>parking_demand_data_2024_ver0!P977</f>
        <v>0</v>
      </c>
      <c r="R977" s="3">
        <f>parking_demand_data_2024_ver0!Q977</f>
        <v>0</v>
      </c>
      <c r="S977" s="3">
        <f>parking_demand_data_2024_ver0!R977</f>
        <v>0</v>
      </c>
      <c r="T977" s="3">
        <f>parking_demand_data_2024_ver0!S977</f>
        <v>0</v>
      </c>
    </row>
    <row r="978" spans="1:20" x14ac:dyDescent="0.25">
      <c r="A978">
        <v>18081</v>
      </c>
      <c r="B978" t="s">
        <v>69</v>
      </c>
      <c r="C978">
        <v>16</v>
      </c>
      <c r="D978" s="3">
        <f>parking_demand_data_2024_ver0!D978*calibration!$I$31</f>
        <v>337.381311548376</v>
      </c>
      <c r="E978" s="3">
        <f>parking_demand_data_2024_ver0!E978*calibration!$I$31</f>
        <v>2.4748110877412302</v>
      </c>
      <c r="F978" s="3">
        <f t="shared" si="15"/>
        <v>339.85612263611722</v>
      </c>
      <c r="G978" s="3">
        <f>parking_demand_data_2024_ver0!F978</f>
        <v>4</v>
      </c>
      <c r="H978" s="3">
        <f>parking_demand_data_2024_ver0!G978</f>
        <v>3</v>
      </c>
      <c r="I978" s="3">
        <f>parking_demand_data_2024_ver0!H978</f>
        <v>1</v>
      </c>
      <c r="J978" s="3">
        <f>parking_demand_data_2024_ver0!I978</f>
        <v>0</v>
      </c>
      <c r="K978" s="3">
        <f>parking_demand_data_2024_ver0!J978</f>
        <v>0</v>
      </c>
      <c r="L978" s="3">
        <f>parking_demand_data_2024_ver0!K978</f>
        <v>0</v>
      </c>
      <c r="M978" s="3">
        <f>parking_demand_data_2024_ver0!L978</f>
        <v>0</v>
      </c>
      <c r="N978" s="3">
        <f>parking_demand_data_2024_ver0!M978</f>
        <v>520</v>
      </c>
      <c r="O978" s="3">
        <f>parking_demand_data_2024_ver0!N978</f>
        <v>470</v>
      </c>
      <c r="P978" s="3">
        <f>parking_demand_data_2024_ver0!O978</f>
        <v>50</v>
      </c>
      <c r="Q978" s="3">
        <f>parking_demand_data_2024_ver0!P978</f>
        <v>0</v>
      </c>
      <c r="R978" s="3">
        <f>parking_demand_data_2024_ver0!Q978</f>
        <v>0</v>
      </c>
      <c r="S978" s="3">
        <f>parking_demand_data_2024_ver0!R978</f>
        <v>0</v>
      </c>
      <c r="T978" s="3">
        <f>parking_demand_data_2024_ver0!S978</f>
        <v>0</v>
      </c>
    </row>
    <row r="979" spans="1:20" x14ac:dyDescent="0.25">
      <c r="A979">
        <v>18081</v>
      </c>
      <c r="B979" t="s">
        <v>69</v>
      </c>
      <c r="C979">
        <v>17</v>
      </c>
      <c r="D979" s="3">
        <f>parking_demand_data_2024_ver0!D979*calibration!$I$31</f>
        <v>373.64267400788799</v>
      </c>
      <c r="E979" s="3">
        <f>parking_demand_data_2024_ver0!E979*calibration!$I$31</f>
        <v>2.6362118108547898</v>
      </c>
      <c r="F979" s="3">
        <f t="shared" si="15"/>
        <v>376.27888581874276</v>
      </c>
      <c r="G979" s="3">
        <f>parking_demand_data_2024_ver0!F979</f>
        <v>4</v>
      </c>
      <c r="H979" s="3">
        <f>parking_demand_data_2024_ver0!G979</f>
        <v>3</v>
      </c>
      <c r="I979" s="3">
        <f>parking_demand_data_2024_ver0!H979</f>
        <v>1</v>
      </c>
      <c r="J979" s="3">
        <f>parking_demand_data_2024_ver0!I979</f>
        <v>0</v>
      </c>
      <c r="K979" s="3">
        <f>parking_demand_data_2024_ver0!J979</f>
        <v>0</v>
      </c>
      <c r="L979" s="3">
        <f>parking_demand_data_2024_ver0!K979</f>
        <v>0</v>
      </c>
      <c r="M979" s="3">
        <f>parking_demand_data_2024_ver0!L979</f>
        <v>0</v>
      </c>
      <c r="N979" s="3">
        <f>parking_demand_data_2024_ver0!M979</f>
        <v>520</v>
      </c>
      <c r="O979" s="3">
        <f>parking_demand_data_2024_ver0!N979</f>
        <v>470</v>
      </c>
      <c r="P979" s="3">
        <f>parking_demand_data_2024_ver0!O979</f>
        <v>50</v>
      </c>
      <c r="Q979" s="3">
        <f>parking_demand_data_2024_ver0!P979</f>
        <v>0</v>
      </c>
      <c r="R979" s="3">
        <f>parking_demand_data_2024_ver0!Q979</f>
        <v>0</v>
      </c>
      <c r="S979" s="3">
        <f>parking_demand_data_2024_ver0!R979</f>
        <v>0</v>
      </c>
      <c r="T979" s="3">
        <f>parking_demand_data_2024_ver0!S979</f>
        <v>0</v>
      </c>
    </row>
    <row r="980" spans="1:20" x14ac:dyDescent="0.25">
      <c r="A980">
        <v>18081</v>
      </c>
      <c r="B980" t="s">
        <v>69</v>
      </c>
      <c r="C980">
        <v>18</v>
      </c>
      <c r="D980" s="3">
        <f>parking_demand_data_2024_ver0!D980*calibration!$I$31</f>
        <v>420.50268395185799</v>
      </c>
      <c r="E980" s="3">
        <f>parking_demand_data_2024_ver0!E980*calibration!$I$31</f>
        <v>2.8514127750061999</v>
      </c>
      <c r="F980" s="3">
        <f t="shared" si="15"/>
        <v>423.35409672686421</v>
      </c>
      <c r="G980" s="3">
        <f>parking_demand_data_2024_ver0!F980</f>
        <v>4</v>
      </c>
      <c r="H980" s="3">
        <f>parking_demand_data_2024_ver0!G980</f>
        <v>3</v>
      </c>
      <c r="I980" s="3">
        <f>parking_demand_data_2024_ver0!H980</f>
        <v>1</v>
      </c>
      <c r="J980" s="3">
        <f>parking_demand_data_2024_ver0!I980</f>
        <v>0</v>
      </c>
      <c r="K980" s="3">
        <f>parking_demand_data_2024_ver0!J980</f>
        <v>0</v>
      </c>
      <c r="L980" s="3">
        <f>parking_demand_data_2024_ver0!K980</f>
        <v>0</v>
      </c>
      <c r="M980" s="3">
        <f>parking_demand_data_2024_ver0!L980</f>
        <v>0</v>
      </c>
      <c r="N980" s="3">
        <f>parking_demand_data_2024_ver0!M980</f>
        <v>520</v>
      </c>
      <c r="O980" s="3">
        <f>parking_demand_data_2024_ver0!N980</f>
        <v>470</v>
      </c>
      <c r="P980" s="3">
        <f>parking_demand_data_2024_ver0!O980</f>
        <v>50</v>
      </c>
      <c r="Q980" s="3">
        <f>parking_demand_data_2024_ver0!P980</f>
        <v>0</v>
      </c>
      <c r="R980" s="3">
        <f>parking_demand_data_2024_ver0!Q980</f>
        <v>0</v>
      </c>
      <c r="S980" s="3">
        <f>parking_demand_data_2024_ver0!R980</f>
        <v>0</v>
      </c>
      <c r="T980" s="3">
        <f>parking_demand_data_2024_ver0!S980</f>
        <v>0</v>
      </c>
    </row>
    <row r="981" spans="1:20" x14ac:dyDescent="0.25">
      <c r="A981">
        <v>18081</v>
      </c>
      <c r="B981" t="s">
        <v>69</v>
      </c>
      <c r="C981">
        <v>19</v>
      </c>
      <c r="D981" s="3">
        <f>parking_demand_data_2024_ver0!D981*calibration!$I$31</f>
        <v>462.19787075619399</v>
      </c>
      <c r="E981" s="3">
        <f>parking_demand_data_2024_ver0!E981*calibration!$I$31</f>
        <v>3.06661373915761</v>
      </c>
      <c r="F981" s="3">
        <f t="shared" si="15"/>
        <v>465.26448449535161</v>
      </c>
      <c r="G981" s="3">
        <f>parking_demand_data_2024_ver0!F981</f>
        <v>4</v>
      </c>
      <c r="H981" s="3">
        <f>parking_demand_data_2024_ver0!G981</f>
        <v>3</v>
      </c>
      <c r="I981" s="3">
        <f>parking_demand_data_2024_ver0!H981</f>
        <v>1</v>
      </c>
      <c r="J981" s="3">
        <f>parking_demand_data_2024_ver0!I981</f>
        <v>0</v>
      </c>
      <c r="K981" s="3">
        <f>parking_demand_data_2024_ver0!J981</f>
        <v>0</v>
      </c>
      <c r="L981" s="3">
        <f>parking_demand_data_2024_ver0!K981</f>
        <v>0</v>
      </c>
      <c r="M981" s="3">
        <f>parking_demand_data_2024_ver0!L981</f>
        <v>0</v>
      </c>
      <c r="N981" s="3">
        <f>parking_demand_data_2024_ver0!M981</f>
        <v>520</v>
      </c>
      <c r="O981" s="3">
        <f>parking_demand_data_2024_ver0!N981</f>
        <v>470</v>
      </c>
      <c r="P981" s="3">
        <f>parking_demand_data_2024_ver0!O981</f>
        <v>50</v>
      </c>
      <c r="Q981" s="3">
        <f>parking_demand_data_2024_ver0!P981</f>
        <v>0</v>
      </c>
      <c r="R981" s="3">
        <f>parking_demand_data_2024_ver0!Q981</f>
        <v>0</v>
      </c>
      <c r="S981" s="3">
        <f>parking_demand_data_2024_ver0!R981</f>
        <v>0</v>
      </c>
      <c r="T981" s="3">
        <f>parking_demand_data_2024_ver0!S981</f>
        <v>0</v>
      </c>
    </row>
    <row r="982" spans="1:20" x14ac:dyDescent="0.25">
      <c r="A982">
        <v>18081</v>
      </c>
      <c r="B982" t="s">
        <v>69</v>
      </c>
      <c r="C982">
        <v>20</v>
      </c>
      <c r="D982" s="3">
        <f>parking_demand_data_2024_ver0!D982*calibration!$I$31</f>
        <v>491.46520188078603</v>
      </c>
      <c r="E982" s="3">
        <f>parking_demand_data_2024_ver0!E982*calibration!$I$31</f>
        <v>4.0350180778389699</v>
      </c>
      <c r="F982" s="3">
        <f t="shared" si="15"/>
        <v>495.500219958625</v>
      </c>
      <c r="G982" s="3">
        <f>parking_demand_data_2024_ver0!F982</f>
        <v>4</v>
      </c>
      <c r="H982" s="3">
        <f>parking_demand_data_2024_ver0!G982</f>
        <v>3</v>
      </c>
      <c r="I982" s="3">
        <f>parking_demand_data_2024_ver0!H982</f>
        <v>1</v>
      </c>
      <c r="J982" s="3">
        <f>parking_demand_data_2024_ver0!I982</f>
        <v>0</v>
      </c>
      <c r="K982" s="3">
        <f>parking_demand_data_2024_ver0!J982</f>
        <v>0</v>
      </c>
      <c r="L982" s="3">
        <f>parking_demand_data_2024_ver0!K982</f>
        <v>0</v>
      </c>
      <c r="M982" s="3">
        <f>parking_demand_data_2024_ver0!L982</f>
        <v>0</v>
      </c>
      <c r="N982" s="3">
        <f>parking_demand_data_2024_ver0!M982</f>
        <v>520</v>
      </c>
      <c r="O982" s="3">
        <f>parking_demand_data_2024_ver0!N982</f>
        <v>470</v>
      </c>
      <c r="P982" s="3">
        <f>parking_demand_data_2024_ver0!O982</f>
        <v>50</v>
      </c>
      <c r="Q982" s="3">
        <f>parking_demand_data_2024_ver0!P982</f>
        <v>0</v>
      </c>
      <c r="R982" s="3">
        <f>parking_demand_data_2024_ver0!Q982</f>
        <v>0</v>
      </c>
      <c r="S982" s="3">
        <f>parking_demand_data_2024_ver0!R982</f>
        <v>0</v>
      </c>
      <c r="T982" s="3">
        <f>parking_demand_data_2024_ver0!S982</f>
        <v>0</v>
      </c>
    </row>
    <row r="983" spans="1:20" x14ac:dyDescent="0.25">
      <c r="A983">
        <v>18081</v>
      </c>
      <c r="B983" t="s">
        <v>69</v>
      </c>
      <c r="C983">
        <v>21</v>
      </c>
      <c r="D983" s="3">
        <f>parking_demand_data_2024_ver0!D983*calibration!$I$31</f>
        <v>511.747892752057</v>
      </c>
      <c r="E983" s="3">
        <f>parking_demand_data_2024_ver0!E983*calibration!$I$31</f>
        <v>5.3800241037852903</v>
      </c>
      <c r="F983" s="3">
        <f t="shared" si="15"/>
        <v>517.12791685584227</v>
      </c>
      <c r="G983" s="3">
        <f>parking_demand_data_2024_ver0!F983</f>
        <v>4</v>
      </c>
      <c r="H983" s="3">
        <f>parking_demand_data_2024_ver0!G983</f>
        <v>3</v>
      </c>
      <c r="I983" s="3">
        <f>parking_demand_data_2024_ver0!H983</f>
        <v>1</v>
      </c>
      <c r="J983" s="3">
        <f>parking_demand_data_2024_ver0!I983</f>
        <v>0</v>
      </c>
      <c r="K983" s="3">
        <f>parking_demand_data_2024_ver0!J983</f>
        <v>0</v>
      </c>
      <c r="L983" s="3">
        <f>parking_demand_data_2024_ver0!K983</f>
        <v>0</v>
      </c>
      <c r="M983" s="3">
        <f>parking_demand_data_2024_ver0!L983</f>
        <v>0</v>
      </c>
      <c r="N983" s="3">
        <f>parking_demand_data_2024_ver0!M983</f>
        <v>520</v>
      </c>
      <c r="O983" s="3">
        <f>parking_demand_data_2024_ver0!N983</f>
        <v>470</v>
      </c>
      <c r="P983" s="3">
        <f>parking_demand_data_2024_ver0!O983</f>
        <v>50</v>
      </c>
      <c r="Q983" s="3">
        <f>parking_demand_data_2024_ver0!P983</f>
        <v>0</v>
      </c>
      <c r="R983" s="3">
        <f>parking_demand_data_2024_ver0!Q983</f>
        <v>0</v>
      </c>
      <c r="S983" s="3">
        <f>parking_demand_data_2024_ver0!R983</f>
        <v>0</v>
      </c>
      <c r="T983" s="3">
        <f>parking_demand_data_2024_ver0!S983</f>
        <v>0</v>
      </c>
    </row>
    <row r="984" spans="1:20" x14ac:dyDescent="0.25">
      <c r="A984">
        <v>18081</v>
      </c>
      <c r="B984" t="s">
        <v>69</v>
      </c>
      <c r="C984">
        <v>22</v>
      </c>
      <c r="D984" s="3">
        <f>parking_demand_data_2024_ver0!D984*calibration!$I$31</f>
        <v>530.03997470492698</v>
      </c>
      <c r="E984" s="3">
        <f>parking_demand_data_2024_ver0!E984*calibration!$I$31</f>
        <v>7.5858339863372697</v>
      </c>
      <c r="F984" s="3">
        <f t="shared" si="15"/>
        <v>537.6258086912643</v>
      </c>
      <c r="G984" s="3">
        <f>parking_demand_data_2024_ver0!F984</f>
        <v>4</v>
      </c>
      <c r="H984" s="3">
        <f>parking_demand_data_2024_ver0!G984</f>
        <v>3</v>
      </c>
      <c r="I984" s="3">
        <f>parking_demand_data_2024_ver0!H984</f>
        <v>1</v>
      </c>
      <c r="J984" s="3">
        <f>parking_demand_data_2024_ver0!I984</f>
        <v>0</v>
      </c>
      <c r="K984" s="3">
        <f>parking_demand_data_2024_ver0!J984</f>
        <v>0</v>
      </c>
      <c r="L984" s="3">
        <f>parking_demand_data_2024_ver0!K984</f>
        <v>0</v>
      </c>
      <c r="M984" s="3">
        <f>parking_demand_data_2024_ver0!L984</f>
        <v>0</v>
      </c>
      <c r="N984" s="3">
        <f>parking_demand_data_2024_ver0!M984</f>
        <v>520</v>
      </c>
      <c r="O984" s="3">
        <f>parking_demand_data_2024_ver0!N984</f>
        <v>470</v>
      </c>
      <c r="P984" s="3">
        <f>parking_demand_data_2024_ver0!O984</f>
        <v>50</v>
      </c>
      <c r="Q984" s="3">
        <f>parking_demand_data_2024_ver0!P984</f>
        <v>0</v>
      </c>
      <c r="R984" s="3">
        <f>parking_demand_data_2024_ver0!Q984</f>
        <v>0</v>
      </c>
      <c r="S984" s="3">
        <f>parking_demand_data_2024_ver0!R984</f>
        <v>0</v>
      </c>
      <c r="T984" s="3">
        <f>parking_demand_data_2024_ver0!S984</f>
        <v>0</v>
      </c>
    </row>
    <row r="985" spans="1:20" x14ac:dyDescent="0.25">
      <c r="A985">
        <v>18081</v>
      </c>
      <c r="B985" t="s">
        <v>69</v>
      </c>
      <c r="C985">
        <v>23</v>
      </c>
      <c r="D985" s="3">
        <f>parking_demand_data_2024_ver0!D985*calibration!$I$31</f>
        <v>540.90762339457297</v>
      </c>
      <c r="E985" s="3">
        <f>parking_demand_data_2024_ver0!E985*calibration!$I$31</f>
        <v>11.889853269365499</v>
      </c>
      <c r="F985" s="3">
        <f t="shared" si="15"/>
        <v>552.79747666393848</v>
      </c>
      <c r="G985" s="3">
        <f>parking_demand_data_2024_ver0!F985</f>
        <v>4</v>
      </c>
      <c r="H985" s="3">
        <f>parking_demand_data_2024_ver0!G985</f>
        <v>3</v>
      </c>
      <c r="I985" s="3">
        <f>parking_demand_data_2024_ver0!H985</f>
        <v>1</v>
      </c>
      <c r="J985" s="3">
        <f>parking_demand_data_2024_ver0!I985</f>
        <v>0</v>
      </c>
      <c r="K985" s="3">
        <f>parking_demand_data_2024_ver0!J985</f>
        <v>0</v>
      </c>
      <c r="L985" s="3">
        <f>parking_demand_data_2024_ver0!K985</f>
        <v>0</v>
      </c>
      <c r="M985" s="3">
        <f>parking_demand_data_2024_ver0!L985</f>
        <v>0</v>
      </c>
      <c r="N985" s="3">
        <f>parking_demand_data_2024_ver0!M985</f>
        <v>520</v>
      </c>
      <c r="O985" s="3">
        <f>parking_demand_data_2024_ver0!N985</f>
        <v>470</v>
      </c>
      <c r="P985" s="3">
        <f>parking_demand_data_2024_ver0!O985</f>
        <v>50</v>
      </c>
      <c r="Q985" s="3">
        <f>parking_demand_data_2024_ver0!P985</f>
        <v>0</v>
      </c>
      <c r="R985" s="3">
        <f>parking_demand_data_2024_ver0!Q985</f>
        <v>0</v>
      </c>
      <c r="S985" s="3">
        <f>parking_demand_data_2024_ver0!R985</f>
        <v>0</v>
      </c>
      <c r="T985" s="3">
        <f>parking_demand_data_2024_ver0!S985</f>
        <v>0</v>
      </c>
    </row>
    <row r="986" spans="1:20" x14ac:dyDescent="0.25">
      <c r="A986">
        <v>18083</v>
      </c>
      <c r="B986" t="s">
        <v>70</v>
      </c>
      <c r="C986">
        <v>0</v>
      </c>
      <c r="D986" s="3">
        <f>parking_demand_data_2024_ver0!D986*calibration!$I$31</f>
        <v>10.2881255794466</v>
      </c>
      <c r="E986" s="3">
        <f>parking_demand_data_2024_ver0!E986*calibration!$I$31</f>
        <v>2.0701716104984098</v>
      </c>
      <c r="F986" s="3">
        <f t="shared" si="15"/>
        <v>12.358297189945009</v>
      </c>
      <c r="G986" s="3">
        <f>parking_demand_data_2024_ver0!F986</f>
        <v>2</v>
      </c>
      <c r="H986" s="3">
        <f>parking_demand_data_2024_ver0!G986</f>
        <v>0</v>
      </c>
      <c r="I986" s="3">
        <f>parking_demand_data_2024_ver0!H986</f>
        <v>0</v>
      </c>
      <c r="J986" s="3">
        <f>parking_demand_data_2024_ver0!I986</f>
        <v>2</v>
      </c>
      <c r="K986" s="3">
        <f>parking_demand_data_2024_ver0!J986</f>
        <v>0</v>
      </c>
      <c r="L986" s="3">
        <f>parking_demand_data_2024_ver0!K986</f>
        <v>0</v>
      </c>
      <c r="M986" s="3">
        <f>parking_demand_data_2024_ver0!L986</f>
        <v>0</v>
      </c>
      <c r="N986" s="3">
        <f>parking_demand_data_2024_ver0!M986</f>
        <v>35</v>
      </c>
      <c r="O986" s="3">
        <f>parking_demand_data_2024_ver0!N986</f>
        <v>0</v>
      </c>
      <c r="P986" s="3">
        <f>parking_demand_data_2024_ver0!O986</f>
        <v>0</v>
      </c>
      <c r="Q986" s="3">
        <f>parking_demand_data_2024_ver0!P986</f>
        <v>35</v>
      </c>
      <c r="R986" s="3">
        <f>parking_demand_data_2024_ver0!Q986</f>
        <v>0</v>
      </c>
      <c r="S986" s="3">
        <f>parking_demand_data_2024_ver0!R986</f>
        <v>0</v>
      </c>
      <c r="T986" s="3">
        <f>parking_demand_data_2024_ver0!S986</f>
        <v>0</v>
      </c>
    </row>
    <row r="987" spans="1:20" x14ac:dyDescent="0.25">
      <c r="A987">
        <v>18083</v>
      </c>
      <c r="B987" t="s">
        <v>70</v>
      </c>
      <c r="C987">
        <v>1</v>
      </c>
      <c r="D987" s="3">
        <f>parking_demand_data_2024_ver0!D987*calibration!$I$31</f>
        <v>10.2881255794466</v>
      </c>
      <c r="E987" s="3">
        <f>parking_demand_data_2024_ver0!E987*calibration!$I$31</f>
        <v>2.0074391374529998</v>
      </c>
      <c r="F987" s="3">
        <f t="shared" si="15"/>
        <v>12.2955647168996</v>
      </c>
      <c r="G987" s="3">
        <f>parking_demand_data_2024_ver0!F987</f>
        <v>2</v>
      </c>
      <c r="H987" s="3">
        <f>parking_demand_data_2024_ver0!G987</f>
        <v>0</v>
      </c>
      <c r="I987" s="3">
        <f>parking_demand_data_2024_ver0!H987</f>
        <v>0</v>
      </c>
      <c r="J987" s="3">
        <f>parking_demand_data_2024_ver0!I987</f>
        <v>2</v>
      </c>
      <c r="K987" s="3">
        <f>parking_demand_data_2024_ver0!J987</f>
        <v>0</v>
      </c>
      <c r="L987" s="3">
        <f>parking_demand_data_2024_ver0!K987</f>
        <v>0</v>
      </c>
      <c r="M987" s="3">
        <f>parking_demand_data_2024_ver0!L987</f>
        <v>0</v>
      </c>
      <c r="N987" s="3">
        <f>parking_demand_data_2024_ver0!M987</f>
        <v>35</v>
      </c>
      <c r="O987" s="3">
        <f>parking_demand_data_2024_ver0!N987</f>
        <v>0</v>
      </c>
      <c r="P987" s="3">
        <f>parking_demand_data_2024_ver0!O987</f>
        <v>0</v>
      </c>
      <c r="Q987" s="3">
        <f>parking_demand_data_2024_ver0!P987</f>
        <v>35</v>
      </c>
      <c r="R987" s="3">
        <f>parking_demand_data_2024_ver0!Q987</f>
        <v>0</v>
      </c>
      <c r="S987" s="3">
        <f>parking_demand_data_2024_ver0!R987</f>
        <v>0</v>
      </c>
      <c r="T987" s="3">
        <f>parking_demand_data_2024_ver0!S987</f>
        <v>0</v>
      </c>
    </row>
    <row r="988" spans="1:20" x14ac:dyDescent="0.25">
      <c r="A988">
        <v>18083</v>
      </c>
      <c r="B988" t="s">
        <v>70</v>
      </c>
      <c r="C988">
        <v>2</v>
      </c>
      <c r="D988" s="3">
        <f>parking_demand_data_2024_ver0!D988*calibration!$I$31</f>
        <v>10.539055471628201</v>
      </c>
      <c r="E988" s="3">
        <f>parking_demand_data_2024_ver0!E988*calibration!$I$31</f>
        <v>2.0074391374529998</v>
      </c>
      <c r="F988" s="3">
        <f t="shared" si="15"/>
        <v>12.546494609081201</v>
      </c>
      <c r="G988" s="3">
        <f>parking_demand_data_2024_ver0!F988</f>
        <v>2</v>
      </c>
      <c r="H988" s="3">
        <f>parking_demand_data_2024_ver0!G988</f>
        <v>0</v>
      </c>
      <c r="I988" s="3">
        <f>parking_demand_data_2024_ver0!H988</f>
        <v>0</v>
      </c>
      <c r="J988" s="3">
        <f>parking_demand_data_2024_ver0!I988</f>
        <v>2</v>
      </c>
      <c r="K988" s="3">
        <f>parking_demand_data_2024_ver0!J988</f>
        <v>0</v>
      </c>
      <c r="L988" s="3">
        <f>parking_demand_data_2024_ver0!K988</f>
        <v>0</v>
      </c>
      <c r="M988" s="3">
        <f>parking_demand_data_2024_ver0!L988</f>
        <v>0</v>
      </c>
      <c r="N988" s="3">
        <f>parking_demand_data_2024_ver0!M988</f>
        <v>35</v>
      </c>
      <c r="O988" s="3">
        <f>parking_demand_data_2024_ver0!N988</f>
        <v>0</v>
      </c>
      <c r="P988" s="3">
        <f>parking_demand_data_2024_ver0!O988</f>
        <v>0</v>
      </c>
      <c r="Q988" s="3">
        <f>parking_demand_data_2024_ver0!P988</f>
        <v>35</v>
      </c>
      <c r="R988" s="3">
        <f>parking_demand_data_2024_ver0!Q988</f>
        <v>0</v>
      </c>
      <c r="S988" s="3">
        <f>parking_demand_data_2024_ver0!R988</f>
        <v>0</v>
      </c>
      <c r="T988" s="3">
        <f>parking_demand_data_2024_ver0!S988</f>
        <v>0</v>
      </c>
    </row>
    <row r="989" spans="1:20" x14ac:dyDescent="0.25">
      <c r="A989">
        <v>18083</v>
      </c>
      <c r="B989" t="s">
        <v>70</v>
      </c>
      <c r="C989">
        <v>3</v>
      </c>
      <c r="D989" s="3">
        <f>parking_demand_data_2024_ver0!D989*calibration!$I$31</f>
        <v>11.4173100942639</v>
      </c>
      <c r="E989" s="3">
        <f>parking_demand_data_2024_ver0!E989*calibration!$I$31</f>
        <v>2.0074391374529998</v>
      </c>
      <c r="F989" s="3">
        <f t="shared" si="15"/>
        <v>13.4247492317169</v>
      </c>
      <c r="G989" s="3">
        <f>parking_demand_data_2024_ver0!F989</f>
        <v>2</v>
      </c>
      <c r="H989" s="3">
        <f>parking_demand_data_2024_ver0!G989</f>
        <v>0</v>
      </c>
      <c r="I989" s="3">
        <f>parking_demand_data_2024_ver0!H989</f>
        <v>0</v>
      </c>
      <c r="J989" s="3">
        <f>parking_demand_data_2024_ver0!I989</f>
        <v>2</v>
      </c>
      <c r="K989" s="3">
        <f>parking_demand_data_2024_ver0!J989</f>
        <v>0</v>
      </c>
      <c r="L989" s="3">
        <f>parking_demand_data_2024_ver0!K989</f>
        <v>0</v>
      </c>
      <c r="M989" s="3">
        <f>parking_demand_data_2024_ver0!L989</f>
        <v>0</v>
      </c>
      <c r="N989" s="3">
        <f>parking_demand_data_2024_ver0!M989</f>
        <v>35</v>
      </c>
      <c r="O989" s="3">
        <f>parking_demand_data_2024_ver0!N989</f>
        <v>0</v>
      </c>
      <c r="P989" s="3">
        <f>parking_demand_data_2024_ver0!O989</f>
        <v>0</v>
      </c>
      <c r="Q989" s="3">
        <f>parking_demand_data_2024_ver0!P989</f>
        <v>35</v>
      </c>
      <c r="R989" s="3">
        <f>parking_demand_data_2024_ver0!Q989</f>
        <v>0</v>
      </c>
      <c r="S989" s="3">
        <f>parking_demand_data_2024_ver0!R989</f>
        <v>0</v>
      </c>
      <c r="T989" s="3">
        <f>parking_demand_data_2024_ver0!S989</f>
        <v>0</v>
      </c>
    </row>
    <row r="990" spans="1:20" x14ac:dyDescent="0.25">
      <c r="A990">
        <v>18083</v>
      </c>
      <c r="B990" t="s">
        <v>70</v>
      </c>
      <c r="C990">
        <v>4</v>
      </c>
      <c r="D990" s="3">
        <f>parking_demand_data_2024_ver0!D990*calibration!$I$31</f>
        <v>16.5613728839873</v>
      </c>
      <c r="E990" s="3">
        <f>parking_demand_data_2024_ver0!E990*calibration!$I$31</f>
        <v>2.1329040835438202</v>
      </c>
      <c r="F990" s="3">
        <f t="shared" si="15"/>
        <v>18.69427696753112</v>
      </c>
      <c r="G990" s="3">
        <f>parking_demand_data_2024_ver0!F990</f>
        <v>2</v>
      </c>
      <c r="H990" s="3">
        <f>parking_demand_data_2024_ver0!G990</f>
        <v>0</v>
      </c>
      <c r="I990" s="3">
        <f>parking_demand_data_2024_ver0!H990</f>
        <v>0</v>
      </c>
      <c r="J990" s="3">
        <f>parking_demand_data_2024_ver0!I990</f>
        <v>2</v>
      </c>
      <c r="K990" s="3">
        <f>parking_demand_data_2024_ver0!J990</f>
        <v>0</v>
      </c>
      <c r="L990" s="3">
        <f>parking_demand_data_2024_ver0!K990</f>
        <v>0</v>
      </c>
      <c r="M990" s="3">
        <f>parking_demand_data_2024_ver0!L990</f>
        <v>0</v>
      </c>
      <c r="N990" s="3">
        <f>parking_demand_data_2024_ver0!M990</f>
        <v>35</v>
      </c>
      <c r="O990" s="3">
        <f>parking_demand_data_2024_ver0!N990</f>
        <v>0</v>
      </c>
      <c r="P990" s="3">
        <f>parking_demand_data_2024_ver0!O990</f>
        <v>0</v>
      </c>
      <c r="Q990" s="3">
        <f>parking_demand_data_2024_ver0!P990</f>
        <v>35</v>
      </c>
      <c r="R990" s="3">
        <f>parking_demand_data_2024_ver0!Q990</f>
        <v>0</v>
      </c>
      <c r="S990" s="3">
        <f>parking_demand_data_2024_ver0!R990</f>
        <v>0</v>
      </c>
      <c r="T990" s="3">
        <f>parking_demand_data_2024_ver0!S990</f>
        <v>0</v>
      </c>
    </row>
    <row r="991" spans="1:20" x14ac:dyDescent="0.25">
      <c r="A991">
        <v>18083</v>
      </c>
      <c r="B991" t="s">
        <v>70</v>
      </c>
      <c r="C991">
        <v>5</v>
      </c>
      <c r="D991" s="3">
        <f>parking_demand_data_2024_ver0!D991*calibration!$I$31</f>
        <v>15.9967806265786</v>
      </c>
      <c r="E991" s="3">
        <f>parking_demand_data_2024_ver0!E991*calibration!$I$31</f>
        <v>1.8192417183167799</v>
      </c>
      <c r="F991" s="3">
        <f t="shared" si="15"/>
        <v>17.81602234489538</v>
      </c>
      <c r="G991" s="3">
        <f>parking_demand_data_2024_ver0!F991</f>
        <v>2</v>
      </c>
      <c r="H991" s="3">
        <f>parking_demand_data_2024_ver0!G991</f>
        <v>0</v>
      </c>
      <c r="I991" s="3">
        <f>parking_demand_data_2024_ver0!H991</f>
        <v>0</v>
      </c>
      <c r="J991" s="3">
        <f>parking_demand_data_2024_ver0!I991</f>
        <v>2</v>
      </c>
      <c r="K991" s="3">
        <f>parking_demand_data_2024_ver0!J991</f>
        <v>0</v>
      </c>
      <c r="L991" s="3">
        <f>parking_demand_data_2024_ver0!K991</f>
        <v>0</v>
      </c>
      <c r="M991" s="3">
        <f>parking_demand_data_2024_ver0!L991</f>
        <v>0</v>
      </c>
      <c r="N991" s="3">
        <f>parking_demand_data_2024_ver0!M991</f>
        <v>35</v>
      </c>
      <c r="O991" s="3">
        <f>parking_demand_data_2024_ver0!N991</f>
        <v>0</v>
      </c>
      <c r="P991" s="3">
        <f>parking_demand_data_2024_ver0!O991</f>
        <v>0</v>
      </c>
      <c r="Q991" s="3">
        <f>parking_demand_data_2024_ver0!P991</f>
        <v>35</v>
      </c>
      <c r="R991" s="3">
        <f>parking_demand_data_2024_ver0!Q991</f>
        <v>0</v>
      </c>
      <c r="S991" s="3">
        <f>parking_demand_data_2024_ver0!R991</f>
        <v>0</v>
      </c>
      <c r="T991" s="3">
        <f>parking_demand_data_2024_ver0!S991</f>
        <v>0</v>
      </c>
    </row>
    <row r="992" spans="1:20" x14ac:dyDescent="0.25">
      <c r="A992">
        <v>18083</v>
      </c>
      <c r="B992" t="s">
        <v>70</v>
      </c>
      <c r="C992">
        <v>6</v>
      </c>
      <c r="D992" s="3">
        <f>parking_demand_data_2024_ver0!D992*calibration!$I$31</f>
        <v>14.052073962171001</v>
      </c>
      <c r="E992" s="3">
        <f>parking_demand_data_2024_ver0!E992*calibration!$I$31</f>
        <v>2.3211015026800399</v>
      </c>
      <c r="F992" s="3">
        <f t="shared" si="15"/>
        <v>16.373175464851041</v>
      </c>
      <c r="G992" s="3">
        <f>parking_demand_data_2024_ver0!F992</f>
        <v>2</v>
      </c>
      <c r="H992" s="3">
        <f>parking_demand_data_2024_ver0!G992</f>
        <v>0</v>
      </c>
      <c r="I992" s="3">
        <f>parking_demand_data_2024_ver0!H992</f>
        <v>0</v>
      </c>
      <c r="J992" s="3">
        <f>parking_demand_data_2024_ver0!I992</f>
        <v>2</v>
      </c>
      <c r="K992" s="3">
        <f>parking_demand_data_2024_ver0!J992</f>
        <v>0</v>
      </c>
      <c r="L992" s="3">
        <f>parking_demand_data_2024_ver0!K992</f>
        <v>0</v>
      </c>
      <c r="M992" s="3">
        <f>parking_demand_data_2024_ver0!L992</f>
        <v>0</v>
      </c>
      <c r="N992" s="3">
        <f>parking_demand_data_2024_ver0!M992</f>
        <v>35</v>
      </c>
      <c r="O992" s="3">
        <f>parking_demand_data_2024_ver0!N992</f>
        <v>0</v>
      </c>
      <c r="P992" s="3">
        <f>parking_demand_data_2024_ver0!O992</f>
        <v>0</v>
      </c>
      <c r="Q992" s="3">
        <f>parking_demand_data_2024_ver0!P992</f>
        <v>35</v>
      </c>
      <c r="R992" s="3">
        <f>parking_demand_data_2024_ver0!Q992</f>
        <v>0</v>
      </c>
      <c r="S992" s="3">
        <f>parking_demand_data_2024_ver0!R992</f>
        <v>0</v>
      </c>
      <c r="T992" s="3">
        <f>parking_demand_data_2024_ver0!S992</f>
        <v>0</v>
      </c>
    </row>
    <row r="993" spans="1:20" x14ac:dyDescent="0.25">
      <c r="A993">
        <v>18083</v>
      </c>
      <c r="B993" t="s">
        <v>70</v>
      </c>
      <c r="C993">
        <v>7</v>
      </c>
      <c r="D993" s="3">
        <f>parking_demand_data_2024_ver0!D993*calibration!$I$31</f>
        <v>11.668239986445601</v>
      </c>
      <c r="E993" s="3">
        <f>parking_demand_data_2024_ver0!E993*calibration!$I$31</f>
        <v>3.0738911792249102</v>
      </c>
      <c r="F993" s="3">
        <f t="shared" si="15"/>
        <v>14.742131165670511</v>
      </c>
      <c r="G993" s="3">
        <f>parking_demand_data_2024_ver0!F993</f>
        <v>2</v>
      </c>
      <c r="H993" s="3">
        <f>parking_demand_data_2024_ver0!G993</f>
        <v>0</v>
      </c>
      <c r="I993" s="3">
        <f>parking_demand_data_2024_ver0!H993</f>
        <v>0</v>
      </c>
      <c r="J993" s="3">
        <f>parking_demand_data_2024_ver0!I993</f>
        <v>2</v>
      </c>
      <c r="K993" s="3">
        <f>parking_demand_data_2024_ver0!J993</f>
        <v>0</v>
      </c>
      <c r="L993" s="3">
        <f>parking_demand_data_2024_ver0!K993</f>
        <v>0</v>
      </c>
      <c r="M993" s="3">
        <f>parking_demand_data_2024_ver0!L993</f>
        <v>0</v>
      </c>
      <c r="N993" s="3">
        <f>parking_demand_data_2024_ver0!M993</f>
        <v>35</v>
      </c>
      <c r="O993" s="3">
        <f>parking_demand_data_2024_ver0!N993</f>
        <v>0</v>
      </c>
      <c r="P993" s="3">
        <f>parking_demand_data_2024_ver0!O993</f>
        <v>0</v>
      </c>
      <c r="Q993" s="3">
        <f>parking_demand_data_2024_ver0!P993</f>
        <v>35</v>
      </c>
      <c r="R993" s="3">
        <f>parking_demand_data_2024_ver0!Q993</f>
        <v>0</v>
      </c>
      <c r="S993" s="3">
        <f>parking_demand_data_2024_ver0!R993</f>
        <v>0</v>
      </c>
      <c r="T993" s="3">
        <f>parking_demand_data_2024_ver0!S993</f>
        <v>0</v>
      </c>
    </row>
    <row r="994" spans="1:20" x14ac:dyDescent="0.25">
      <c r="A994">
        <v>18083</v>
      </c>
      <c r="B994" t="s">
        <v>70</v>
      </c>
      <c r="C994">
        <v>8</v>
      </c>
      <c r="D994" s="3">
        <f>parking_demand_data_2024_ver0!D994*calibration!$I$31</f>
        <v>8.5943488072206904</v>
      </c>
      <c r="E994" s="3">
        <f>parking_demand_data_2024_ver0!E994*calibration!$I$31</f>
        <v>2.2583690296346299</v>
      </c>
      <c r="F994" s="3">
        <f t="shared" si="15"/>
        <v>10.852717836855319</v>
      </c>
      <c r="G994" s="3">
        <f>parking_demand_data_2024_ver0!F994</f>
        <v>2</v>
      </c>
      <c r="H994" s="3">
        <f>parking_demand_data_2024_ver0!G994</f>
        <v>0</v>
      </c>
      <c r="I994" s="3">
        <f>parking_demand_data_2024_ver0!H994</f>
        <v>0</v>
      </c>
      <c r="J994" s="3">
        <f>parking_demand_data_2024_ver0!I994</f>
        <v>2</v>
      </c>
      <c r="K994" s="3">
        <f>parking_demand_data_2024_ver0!J994</f>
        <v>0</v>
      </c>
      <c r="L994" s="3">
        <f>parking_demand_data_2024_ver0!K994</f>
        <v>0</v>
      </c>
      <c r="M994" s="3">
        <f>parking_demand_data_2024_ver0!L994</f>
        <v>0</v>
      </c>
      <c r="N994" s="3">
        <f>parking_demand_data_2024_ver0!M994</f>
        <v>35</v>
      </c>
      <c r="O994" s="3">
        <f>parking_demand_data_2024_ver0!N994</f>
        <v>0</v>
      </c>
      <c r="P994" s="3">
        <f>parking_demand_data_2024_ver0!O994</f>
        <v>0</v>
      </c>
      <c r="Q994" s="3">
        <f>parking_demand_data_2024_ver0!P994</f>
        <v>35</v>
      </c>
      <c r="R994" s="3">
        <f>parking_demand_data_2024_ver0!Q994</f>
        <v>0</v>
      </c>
      <c r="S994" s="3">
        <f>parking_demand_data_2024_ver0!R994</f>
        <v>0</v>
      </c>
      <c r="T994" s="3">
        <f>parking_demand_data_2024_ver0!S994</f>
        <v>0</v>
      </c>
    </row>
    <row r="995" spans="1:20" x14ac:dyDescent="0.25">
      <c r="A995">
        <v>18083</v>
      </c>
      <c r="B995" t="s">
        <v>70</v>
      </c>
      <c r="C995">
        <v>9</v>
      </c>
      <c r="D995" s="3">
        <f>parking_demand_data_2024_ver0!D995*calibration!$I$31</f>
        <v>5.5204576279957696</v>
      </c>
      <c r="E995" s="3">
        <f>parking_demand_data_2024_ver0!E995*calibration!$I$31</f>
        <v>3.45028601749735</v>
      </c>
      <c r="F995" s="3">
        <f t="shared" si="15"/>
        <v>8.9707436454931191</v>
      </c>
      <c r="G995" s="3">
        <f>parking_demand_data_2024_ver0!F995</f>
        <v>2</v>
      </c>
      <c r="H995" s="3">
        <f>parking_demand_data_2024_ver0!G995</f>
        <v>0</v>
      </c>
      <c r="I995" s="3">
        <f>parking_demand_data_2024_ver0!H995</f>
        <v>0</v>
      </c>
      <c r="J995" s="3">
        <f>parking_demand_data_2024_ver0!I995</f>
        <v>2</v>
      </c>
      <c r="K995" s="3">
        <f>parking_demand_data_2024_ver0!J995</f>
        <v>0</v>
      </c>
      <c r="L995" s="3">
        <f>parking_demand_data_2024_ver0!K995</f>
        <v>0</v>
      </c>
      <c r="M995" s="3">
        <f>parking_demand_data_2024_ver0!L995</f>
        <v>0</v>
      </c>
      <c r="N995" s="3">
        <f>parking_demand_data_2024_ver0!M995</f>
        <v>35</v>
      </c>
      <c r="O995" s="3">
        <f>parking_demand_data_2024_ver0!N995</f>
        <v>0</v>
      </c>
      <c r="P995" s="3">
        <f>parking_demand_data_2024_ver0!O995</f>
        <v>0</v>
      </c>
      <c r="Q995" s="3">
        <f>parking_demand_data_2024_ver0!P995</f>
        <v>35</v>
      </c>
      <c r="R995" s="3">
        <f>parking_demand_data_2024_ver0!Q995</f>
        <v>0</v>
      </c>
      <c r="S995" s="3">
        <f>parking_demand_data_2024_ver0!R995</f>
        <v>0</v>
      </c>
      <c r="T995" s="3">
        <f>parking_demand_data_2024_ver0!S995</f>
        <v>0</v>
      </c>
    </row>
    <row r="996" spans="1:20" x14ac:dyDescent="0.25">
      <c r="A996">
        <v>18083</v>
      </c>
      <c r="B996" t="s">
        <v>70</v>
      </c>
      <c r="C996">
        <v>10</v>
      </c>
      <c r="D996" s="3">
        <f>parking_demand_data_2024_ver0!D996*calibration!$I$31</f>
        <v>5.5204576279957696</v>
      </c>
      <c r="E996" s="3">
        <f>parking_demand_data_2024_ver0!E996*calibration!$I$31</f>
        <v>3.8266808557697898</v>
      </c>
      <c r="F996" s="3">
        <f t="shared" si="15"/>
        <v>9.3471384837655584</v>
      </c>
      <c r="G996" s="3">
        <f>parking_demand_data_2024_ver0!F996</f>
        <v>2</v>
      </c>
      <c r="H996" s="3">
        <f>parking_demand_data_2024_ver0!G996</f>
        <v>0</v>
      </c>
      <c r="I996" s="3">
        <f>parking_demand_data_2024_ver0!H996</f>
        <v>0</v>
      </c>
      <c r="J996" s="3">
        <f>parking_demand_data_2024_ver0!I996</f>
        <v>2</v>
      </c>
      <c r="K996" s="3">
        <f>parking_demand_data_2024_ver0!J996</f>
        <v>0</v>
      </c>
      <c r="L996" s="3">
        <f>parking_demand_data_2024_ver0!K996</f>
        <v>0</v>
      </c>
      <c r="M996" s="3">
        <f>parking_demand_data_2024_ver0!L996</f>
        <v>0</v>
      </c>
      <c r="N996" s="3">
        <f>parking_demand_data_2024_ver0!M996</f>
        <v>35</v>
      </c>
      <c r="O996" s="3">
        <f>parking_demand_data_2024_ver0!N996</f>
        <v>0</v>
      </c>
      <c r="P996" s="3">
        <f>parking_demand_data_2024_ver0!O996</f>
        <v>0</v>
      </c>
      <c r="Q996" s="3">
        <f>parking_demand_data_2024_ver0!P996</f>
        <v>35</v>
      </c>
      <c r="R996" s="3">
        <f>parking_demand_data_2024_ver0!Q996</f>
        <v>0</v>
      </c>
      <c r="S996" s="3">
        <f>parking_demand_data_2024_ver0!R996</f>
        <v>0</v>
      </c>
      <c r="T996" s="3">
        <f>parking_demand_data_2024_ver0!S996</f>
        <v>0</v>
      </c>
    </row>
    <row r="997" spans="1:20" x14ac:dyDescent="0.25">
      <c r="A997">
        <v>18083</v>
      </c>
      <c r="B997" t="s">
        <v>70</v>
      </c>
      <c r="C997">
        <v>11</v>
      </c>
      <c r="D997" s="3">
        <f>parking_demand_data_2024_ver0!D997*calibration!$I$31</f>
        <v>7.7160941845849997</v>
      </c>
      <c r="E997" s="3">
        <f>parking_demand_data_2024_ver0!E997*calibration!$I$31</f>
        <v>3.01115870617951</v>
      </c>
      <c r="F997" s="3">
        <f t="shared" si="15"/>
        <v>10.727252890764509</v>
      </c>
      <c r="G997" s="3">
        <f>parking_demand_data_2024_ver0!F997</f>
        <v>2</v>
      </c>
      <c r="H997" s="3">
        <f>parking_demand_data_2024_ver0!G997</f>
        <v>0</v>
      </c>
      <c r="I997" s="3">
        <f>parking_demand_data_2024_ver0!H997</f>
        <v>0</v>
      </c>
      <c r="J997" s="3">
        <f>parking_demand_data_2024_ver0!I997</f>
        <v>2</v>
      </c>
      <c r="K997" s="3">
        <f>parking_demand_data_2024_ver0!J997</f>
        <v>0</v>
      </c>
      <c r="L997" s="3">
        <f>parking_demand_data_2024_ver0!K997</f>
        <v>0</v>
      </c>
      <c r="M997" s="3">
        <f>parking_demand_data_2024_ver0!L997</f>
        <v>0</v>
      </c>
      <c r="N997" s="3">
        <f>parking_demand_data_2024_ver0!M997</f>
        <v>35</v>
      </c>
      <c r="O997" s="3">
        <f>parking_demand_data_2024_ver0!N997</f>
        <v>0</v>
      </c>
      <c r="P997" s="3">
        <f>parking_demand_data_2024_ver0!O997</f>
        <v>0</v>
      </c>
      <c r="Q997" s="3">
        <f>parking_demand_data_2024_ver0!P997</f>
        <v>35</v>
      </c>
      <c r="R997" s="3">
        <f>parking_demand_data_2024_ver0!Q997</f>
        <v>0</v>
      </c>
      <c r="S997" s="3">
        <f>parking_demand_data_2024_ver0!R997</f>
        <v>0</v>
      </c>
      <c r="T997" s="3">
        <f>parking_demand_data_2024_ver0!S997</f>
        <v>0</v>
      </c>
    </row>
    <row r="998" spans="1:20" x14ac:dyDescent="0.25">
      <c r="A998">
        <v>18083</v>
      </c>
      <c r="B998" t="s">
        <v>70</v>
      </c>
      <c r="C998">
        <v>12</v>
      </c>
      <c r="D998" s="3">
        <f>parking_demand_data_2024_ver0!D998*calibration!$I$31</f>
        <v>7.0260369810855199</v>
      </c>
      <c r="E998" s="3">
        <f>parking_demand_data_2024_ver0!E998*calibration!$I$31</f>
        <v>2.1329040835438202</v>
      </c>
      <c r="F998" s="3">
        <f t="shared" si="15"/>
        <v>9.1589410646293405</v>
      </c>
      <c r="G998" s="3">
        <f>parking_demand_data_2024_ver0!F998</f>
        <v>2</v>
      </c>
      <c r="H998" s="3">
        <f>parking_demand_data_2024_ver0!G998</f>
        <v>0</v>
      </c>
      <c r="I998" s="3">
        <f>parking_demand_data_2024_ver0!H998</f>
        <v>0</v>
      </c>
      <c r="J998" s="3">
        <f>parking_demand_data_2024_ver0!I998</f>
        <v>2</v>
      </c>
      <c r="K998" s="3">
        <f>parking_demand_data_2024_ver0!J998</f>
        <v>0</v>
      </c>
      <c r="L998" s="3">
        <f>parking_demand_data_2024_ver0!K998</f>
        <v>0</v>
      </c>
      <c r="M998" s="3">
        <f>parking_demand_data_2024_ver0!L998</f>
        <v>0</v>
      </c>
      <c r="N998" s="3">
        <f>parking_demand_data_2024_ver0!M998</f>
        <v>35</v>
      </c>
      <c r="O998" s="3">
        <f>parking_demand_data_2024_ver0!N998</f>
        <v>0</v>
      </c>
      <c r="P998" s="3">
        <f>parking_demand_data_2024_ver0!O998</f>
        <v>0</v>
      </c>
      <c r="Q998" s="3">
        <f>parking_demand_data_2024_ver0!P998</f>
        <v>35</v>
      </c>
      <c r="R998" s="3">
        <f>parking_demand_data_2024_ver0!Q998</f>
        <v>0</v>
      </c>
      <c r="S998" s="3">
        <f>parking_demand_data_2024_ver0!R998</f>
        <v>0</v>
      </c>
      <c r="T998" s="3">
        <f>parking_demand_data_2024_ver0!S998</f>
        <v>0</v>
      </c>
    </row>
    <row r="999" spans="1:20" x14ac:dyDescent="0.25">
      <c r="A999">
        <v>18083</v>
      </c>
      <c r="B999" t="s">
        <v>70</v>
      </c>
      <c r="C999">
        <v>13</v>
      </c>
      <c r="D999" s="3">
        <f>parking_demand_data_2024_ver0!D999*calibration!$I$31</f>
        <v>6.1477823584498301</v>
      </c>
      <c r="E999" s="3">
        <f>parking_demand_data_2024_ver0!E999*calibration!$I$31</f>
        <v>1.75650924527138</v>
      </c>
      <c r="F999" s="3">
        <f t="shared" si="15"/>
        <v>7.9042916037212105</v>
      </c>
      <c r="G999" s="3">
        <f>parking_demand_data_2024_ver0!F999</f>
        <v>2</v>
      </c>
      <c r="H999" s="3">
        <f>parking_demand_data_2024_ver0!G999</f>
        <v>0</v>
      </c>
      <c r="I999" s="3">
        <f>parking_demand_data_2024_ver0!H999</f>
        <v>0</v>
      </c>
      <c r="J999" s="3">
        <f>parking_demand_data_2024_ver0!I999</f>
        <v>2</v>
      </c>
      <c r="K999" s="3">
        <f>parking_demand_data_2024_ver0!J999</f>
        <v>0</v>
      </c>
      <c r="L999" s="3">
        <f>parking_demand_data_2024_ver0!K999</f>
        <v>0</v>
      </c>
      <c r="M999" s="3">
        <f>parking_demand_data_2024_ver0!L999</f>
        <v>0</v>
      </c>
      <c r="N999" s="3">
        <f>parking_demand_data_2024_ver0!M999</f>
        <v>35</v>
      </c>
      <c r="O999" s="3">
        <f>parking_demand_data_2024_ver0!N999</f>
        <v>0</v>
      </c>
      <c r="P999" s="3">
        <f>parking_demand_data_2024_ver0!O999</f>
        <v>0</v>
      </c>
      <c r="Q999" s="3">
        <f>parking_demand_data_2024_ver0!P999</f>
        <v>35</v>
      </c>
      <c r="R999" s="3">
        <f>parking_demand_data_2024_ver0!Q999</f>
        <v>0</v>
      </c>
      <c r="S999" s="3">
        <f>parking_demand_data_2024_ver0!R999</f>
        <v>0</v>
      </c>
      <c r="T999" s="3">
        <f>parking_demand_data_2024_ver0!S999</f>
        <v>0</v>
      </c>
    </row>
    <row r="1000" spans="1:20" x14ac:dyDescent="0.25">
      <c r="A1000">
        <v>18083</v>
      </c>
      <c r="B1000" t="s">
        <v>70</v>
      </c>
      <c r="C1000">
        <v>14</v>
      </c>
      <c r="D1000" s="3">
        <f>parking_demand_data_2024_ver0!D1000*calibration!$I$31</f>
        <v>3.5130184905427599</v>
      </c>
      <c r="E1000" s="3">
        <f>parking_demand_data_2024_ver0!E1000*calibration!$I$31</f>
        <v>1.25464946090813</v>
      </c>
      <c r="F1000" s="3">
        <f t="shared" si="15"/>
        <v>4.76766795145089</v>
      </c>
      <c r="G1000" s="3">
        <f>parking_demand_data_2024_ver0!F1000</f>
        <v>2</v>
      </c>
      <c r="H1000" s="3">
        <f>parking_demand_data_2024_ver0!G1000</f>
        <v>0</v>
      </c>
      <c r="I1000" s="3">
        <f>parking_demand_data_2024_ver0!H1000</f>
        <v>0</v>
      </c>
      <c r="J1000" s="3">
        <f>parking_demand_data_2024_ver0!I1000</f>
        <v>2</v>
      </c>
      <c r="K1000" s="3">
        <f>parking_demand_data_2024_ver0!J1000</f>
        <v>0</v>
      </c>
      <c r="L1000" s="3">
        <f>parking_demand_data_2024_ver0!K1000</f>
        <v>0</v>
      </c>
      <c r="M1000" s="3">
        <f>parking_demand_data_2024_ver0!L1000</f>
        <v>0</v>
      </c>
      <c r="N1000" s="3">
        <f>parking_demand_data_2024_ver0!M1000</f>
        <v>35</v>
      </c>
      <c r="O1000" s="3">
        <f>parking_demand_data_2024_ver0!N1000</f>
        <v>0</v>
      </c>
      <c r="P1000" s="3">
        <f>parking_demand_data_2024_ver0!O1000</f>
        <v>0</v>
      </c>
      <c r="Q1000" s="3">
        <f>parking_demand_data_2024_ver0!P1000</f>
        <v>35</v>
      </c>
      <c r="R1000" s="3">
        <f>parking_demand_data_2024_ver0!Q1000</f>
        <v>0</v>
      </c>
      <c r="S1000" s="3">
        <f>parking_demand_data_2024_ver0!R1000</f>
        <v>0</v>
      </c>
      <c r="T1000" s="3">
        <f>parking_demand_data_2024_ver0!S1000</f>
        <v>0</v>
      </c>
    </row>
    <row r="1001" spans="1:20" x14ac:dyDescent="0.25">
      <c r="A1001">
        <v>18083</v>
      </c>
      <c r="B1001" t="s">
        <v>70</v>
      </c>
      <c r="C1001">
        <v>15</v>
      </c>
      <c r="D1001" s="3">
        <f>parking_demand_data_2024_ver0!D1001*calibration!$I$31</f>
        <v>2.8856937600886901</v>
      </c>
      <c r="E1001" s="3">
        <f>parking_demand_data_2024_ver0!E1001*calibration!$I$31</f>
        <v>1.0664520417719101</v>
      </c>
      <c r="F1001" s="3">
        <f t="shared" si="15"/>
        <v>3.9521458018605999</v>
      </c>
      <c r="G1001" s="3">
        <f>parking_demand_data_2024_ver0!F1001</f>
        <v>2</v>
      </c>
      <c r="H1001" s="3">
        <f>parking_demand_data_2024_ver0!G1001</f>
        <v>0</v>
      </c>
      <c r="I1001" s="3">
        <f>parking_demand_data_2024_ver0!H1001</f>
        <v>0</v>
      </c>
      <c r="J1001" s="3">
        <f>parking_demand_data_2024_ver0!I1001</f>
        <v>2</v>
      </c>
      <c r="K1001" s="3">
        <f>parking_demand_data_2024_ver0!J1001</f>
        <v>0</v>
      </c>
      <c r="L1001" s="3">
        <f>parking_demand_data_2024_ver0!K1001</f>
        <v>0</v>
      </c>
      <c r="M1001" s="3">
        <f>parking_demand_data_2024_ver0!L1001</f>
        <v>0</v>
      </c>
      <c r="N1001" s="3">
        <f>parking_demand_data_2024_ver0!M1001</f>
        <v>35</v>
      </c>
      <c r="O1001" s="3">
        <f>parking_demand_data_2024_ver0!N1001</f>
        <v>0</v>
      </c>
      <c r="P1001" s="3">
        <f>parking_demand_data_2024_ver0!O1001</f>
        <v>0</v>
      </c>
      <c r="Q1001" s="3">
        <f>parking_demand_data_2024_ver0!P1001</f>
        <v>35</v>
      </c>
      <c r="R1001" s="3">
        <f>parking_demand_data_2024_ver0!Q1001</f>
        <v>0</v>
      </c>
      <c r="S1001" s="3">
        <f>parking_demand_data_2024_ver0!R1001</f>
        <v>0</v>
      </c>
      <c r="T1001" s="3">
        <f>parking_demand_data_2024_ver0!S1001</f>
        <v>0</v>
      </c>
    </row>
    <row r="1002" spans="1:20" x14ac:dyDescent="0.25">
      <c r="A1002">
        <v>18083</v>
      </c>
      <c r="B1002" t="s">
        <v>70</v>
      </c>
      <c r="C1002">
        <v>16</v>
      </c>
      <c r="D1002" s="3">
        <f>parking_demand_data_2024_ver0!D1002*calibration!$I$31</f>
        <v>2.8229612870432899</v>
      </c>
      <c r="E1002" s="3">
        <f>parking_demand_data_2024_ver0!E1002*calibration!$I$31</f>
        <v>1.5055793530897501</v>
      </c>
      <c r="F1002" s="3">
        <f t="shared" si="15"/>
        <v>4.3285406401330402</v>
      </c>
      <c r="G1002" s="3">
        <f>parking_demand_data_2024_ver0!F1002</f>
        <v>2</v>
      </c>
      <c r="H1002" s="3">
        <f>parking_demand_data_2024_ver0!G1002</f>
        <v>0</v>
      </c>
      <c r="I1002" s="3">
        <f>parking_demand_data_2024_ver0!H1002</f>
        <v>0</v>
      </c>
      <c r="J1002" s="3">
        <f>parking_demand_data_2024_ver0!I1002</f>
        <v>2</v>
      </c>
      <c r="K1002" s="3">
        <f>parking_demand_data_2024_ver0!J1002</f>
        <v>0</v>
      </c>
      <c r="L1002" s="3">
        <f>parking_demand_data_2024_ver0!K1002</f>
        <v>0</v>
      </c>
      <c r="M1002" s="3">
        <f>parking_demand_data_2024_ver0!L1002</f>
        <v>0</v>
      </c>
      <c r="N1002" s="3">
        <f>parking_demand_data_2024_ver0!M1002</f>
        <v>35</v>
      </c>
      <c r="O1002" s="3">
        <f>parking_demand_data_2024_ver0!N1002</f>
        <v>0</v>
      </c>
      <c r="P1002" s="3">
        <f>parking_demand_data_2024_ver0!O1002</f>
        <v>0</v>
      </c>
      <c r="Q1002" s="3">
        <f>parking_demand_data_2024_ver0!P1002</f>
        <v>35</v>
      </c>
      <c r="R1002" s="3">
        <f>parking_demand_data_2024_ver0!Q1002</f>
        <v>0</v>
      </c>
      <c r="S1002" s="3">
        <f>parking_demand_data_2024_ver0!R1002</f>
        <v>0</v>
      </c>
      <c r="T1002" s="3">
        <f>parking_demand_data_2024_ver0!S1002</f>
        <v>0</v>
      </c>
    </row>
    <row r="1003" spans="1:20" x14ac:dyDescent="0.25">
      <c r="A1003">
        <v>18083</v>
      </c>
      <c r="B1003" t="s">
        <v>70</v>
      </c>
      <c r="C1003">
        <v>17</v>
      </c>
      <c r="D1003" s="3">
        <f>parking_demand_data_2024_ver0!D1003*calibration!$I$31</f>
        <v>2.8229612870432899</v>
      </c>
      <c r="E1003" s="3">
        <f>parking_demand_data_2024_ver0!E1003*calibration!$I$31</f>
        <v>1.63104429918056</v>
      </c>
      <c r="F1003" s="3">
        <f t="shared" si="15"/>
        <v>4.4540055862238503</v>
      </c>
      <c r="G1003" s="3">
        <f>parking_demand_data_2024_ver0!F1003</f>
        <v>2</v>
      </c>
      <c r="H1003" s="3">
        <f>parking_demand_data_2024_ver0!G1003</f>
        <v>0</v>
      </c>
      <c r="I1003" s="3">
        <f>parking_demand_data_2024_ver0!H1003</f>
        <v>0</v>
      </c>
      <c r="J1003" s="3">
        <f>parking_demand_data_2024_ver0!I1003</f>
        <v>2</v>
      </c>
      <c r="K1003" s="3">
        <f>parking_demand_data_2024_ver0!J1003</f>
        <v>0</v>
      </c>
      <c r="L1003" s="3">
        <f>parking_demand_data_2024_ver0!K1003</f>
        <v>0</v>
      </c>
      <c r="M1003" s="3">
        <f>parking_demand_data_2024_ver0!L1003</f>
        <v>0</v>
      </c>
      <c r="N1003" s="3">
        <f>parking_demand_data_2024_ver0!M1003</f>
        <v>35</v>
      </c>
      <c r="O1003" s="3">
        <f>parking_demand_data_2024_ver0!N1003</f>
        <v>0</v>
      </c>
      <c r="P1003" s="3">
        <f>parking_demand_data_2024_ver0!O1003</f>
        <v>0</v>
      </c>
      <c r="Q1003" s="3">
        <f>parking_demand_data_2024_ver0!P1003</f>
        <v>35</v>
      </c>
      <c r="R1003" s="3">
        <f>parking_demand_data_2024_ver0!Q1003</f>
        <v>0</v>
      </c>
      <c r="S1003" s="3">
        <f>parking_demand_data_2024_ver0!R1003</f>
        <v>0</v>
      </c>
      <c r="T1003" s="3">
        <f>parking_demand_data_2024_ver0!S1003</f>
        <v>0</v>
      </c>
    </row>
    <row r="1004" spans="1:20" x14ac:dyDescent="0.25">
      <c r="A1004">
        <v>18083</v>
      </c>
      <c r="B1004" t="s">
        <v>70</v>
      </c>
      <c r="C1004">
        <v>18</v>
      </c>
      <c r="D1004" s="3">
        <f>parking_demand_data_2024_ver0!D1004*calibration!$I$31</f>
        <v>3.1366236522703201</v>
      </c>
      <c r="E1004" s="3">
        <f>parking_demand_data_2024_ver0!E1004*calibration!$I$31</f>
        <v>1.8192417183167799</v>
      </c>
      <c r="F1004" s="3">
        <f t="shared" si="15"/>
        <v>4.9558653705870999</v>
      </c>
      <c r="G1004" s="3">
        <f>parking_demand_data_2024_ver0!F1004</f>
        <v>2</v>
      </c>
      <c r="H1004" s="3">
        <f>parking_demand_data_2024_ver0!G1004</f>
        <v>0</v>
      </c>
      <c r="I1004" s="3">
        <f>parking_demand_data_2024_ver0!H1004</f>
        <v>0</v>
      </c>
      <c r="J1004" s="3">
        <f>parking_demand_data_2024_ver0!I1004</f>
        <v>2</v>
      </c>
      <c r="K1004" s="3">
        <f>parking_demand_data_2024_ver0!J1004</f>
        <v>0</v>
      </c>
      <c r="L1004" s="3">
        <f>parking_demand_data_2024_ver0!K1004</f>
        <v>0</v>
      </c>
      <c r="M1004" s="3">
        <f>parking_demand_data_2024_ver0!L1004</f>
        <v>0</v>
      </c>
      <c r="N1004" s="3">
        <f>parking_demand_data_2024_ver0!M1004</f>
        <v>35</v>
      </c>
      <c r="O1004" s="3">
        <f>parking_demand_data_2024_ver0!N1004</f>
        <v>0</v>
      </c>
      <c r="P1004" s="3">
        <f>parking_demand_data_2024_ver0!O1004</f>
        <v>0</v>
      </c>
      <c r="Q1004" s="3">
        <f>parking_demand_data_2024_ver0!P1004</f>
        <v>35</v>
      </c>
      <c r="R1004" s="3">
        <f>parking_demand_data_2024_ver0!Q1004</f>
        <v>0</v>
      </c>
      <c r="S1004" s="3">
        <f>parking_demand_data_2024_ver0!R1004</f>
        <v>0</v>
      </c>
      <c r="T1004" s="3">
        <f>parking_demand_data_2024_ver0!S1004</f>
        <v>0</v>
      </c>
    </row>
    <row r="1005" spans="1:20" x14ac:dyDescent="0.25">
      <c r="A1005">
        <v>18083</v>
      </c>
      <c r="B1005" t="s">
        <v>70</v>
      </c>
      <c r="C1005">
        <v>19</v>
      </c>
      <c r="D1005" s="3">
        <f>parking_demand_data_2024_ver0!D1005*calibration!$I$31</f>
        <v>4.4540055862238601</v>
      </c>
      <c r="E1005" s="3">
        <f>parking_demand_data_2024_ver0!E1005*calibration!$I$31</f>
        <v>1.5055793530897501</v>
      </c>
      <c r="F1005" s="3">
        <f t="shared" si="15"/>
        <v>5.9595849393136104</v>
      </c>
      <c r="G1005" s="3">
        <f>parking_demand_data_2024_ver0!F1005</f>
        <v>2</v>
      </c>
      <c r="H1005" s="3">
        <f>parking_demand_data_2024_ver0!G1005</f>
        <v>0</v>
      </c>
      <c r="I1005" s="3">
        <f>parking_demand_data_2024_ver0!H1005</f>
        <v>0</v>
      </c>
      <c r="J1005" s="3">
        <f>parking_demand_data_2024_ver0!I1005</f>
        <v>2</v>
      </c>
      <c r="K1005" s="3">
        <f>parking_demand_data_2024_ver0!J1005</f>
        <v>0</v>
      </c>
      <c r="L1005" s="3">
        <f>parking_demand_data_2024_ver0!K1005</f>
        <v>0</v>
      </c>
      <c r="M1005" s="3">
        <f>parking_demand_data_2024_ver0!L1005</f>
        <v>0</v>
      </c>
      <c r="N1005" s="3">
        <f>parking_demand_data_2024_ver0!M1005</f>
        <v>35</v>
      </c>
      <c r="O1005" s="3">
        <f>parking_demand_data_2024_ver0!N1005</f>
        <v>0</v>
      </c>
      <c r="P1005" s="3">
        <f>parking_demand_data_2024_ver0!O1005</f>
        <v>0</v>
      </c>
      <c r="Q1005" s="3">
        <f>parking_demand_data_2024_ver0!P1005</f>
        <v>35</v>
      </c>
      <c r="R1005" s="3">
        <f>parking_demand_data_2024_ver0!Q1005</f>
        <v>0</v>
      </c>
      <c r="S1005" s="3">
        <f>parking_demand_data_2024_ver0!R1005</f>
        <v>0</v>
      </c>
      <c r="T1005" s="3">
        <f>parking_demand_data_2024_ver0!S1005</f>
        <v>0</v>
      </c>
    </row>
    <row r="1006" spans="1:20" x14ac:dyDescent="0.25">
      <c r="A1006">
        <v>18083</v>
      </c>
      <c r="B1006" t="s">
        <v>70</v>
      </c>
      <c r="C1006">
        <v>20</v>
      </c>
      <c r="D1006" s="3">
        <f>parking_demand_data_2024_ver0!D1006*calibration!$I$31</f>
        <v>5.9595849393136104</v>
      </c>
      <c r="E1006" s="3">
        <f>parking_demand_data_2024_ver0!E1006*calibration!$I$31</f>
        <v>1.8192417183167799</v>
      </c>
      <c r="F1006" s="3">
        <f t="shared" si="15"/>
        <v>7.7788266576303906</v>
      </c>
      <c r="G1006" s="3">
        <f>parking_demand_data_2024_ver0!F1006</f>
        <v>2</v>
      </c>
      <c r="H1006" s="3">
        <f>parking_demand_data_2024_ver0!G1006</f>
        <v>0</v>
      </c>
      <c r="I1006" s="3">
        <f>parking_demand_data_2024_ver0!H1006</f>
        <v>0</v>
      </c>
      <c r="J1006" s="3">
        <f>parking_demand_data_2024_ver0!I1006</f>
        <v>2</v>
      </c>
      <c r="K1006" s="3">
        <f>parking_demand_data_2024_ver0!J1006</f>
        <v>0</v>
      </c>
      <c r="L1006" s="3">
        <f>parking_demand_data_2024_ver0!K1006</f>
        <v>0</v>
      </c>
      <c r="M1006" s="3">
        <f>parking_demand_data_2024_ver0!L1006</f>
        <v>0</v>
      </c>
      <c r="N1006" s="3">
        <f>parking_demand_data_2024_ver0!M1006</f>
        <v>35</v>
      </c>
      <c r="O1006" s="3">
        <f>parking_demand_data_2024_ver0!N1006</f>
        <v>0</v>
      </c>
      <c r="P1006" s="3">
        <f>parking_demand_data_2024_ver0!O1006</f>
        <v>0</v>
      </c>
      <c r="Q1006" s="3">
        <f>parking_demand_data_2024_ver0!P1006</f>
        <v>35</v>
      </c>
      <c r="R1006" s="3">
        <f>parking_demand_data_2024_ver0!Q1006</f>
        <v>0</v>
      </c>
      <c r="S1006" s="3">
        <f>parking_demand_data_2024_ver0!R1006</f>
        <v>0</v>
      </c>
      <c r="T1006" s="3">
        <f>parking_demand_data_2024_ver0!S1006</f>
        <v>0</v>
      </c>
    </row>
    <row r="1007" spans="1:20" x14ac:dyDescent="0.25">
      <c r="A1007">
        <v>18083</v>
      </c>
      <c r="B1007" t="s">
        <v>70</v>
      </c>
      <c r="C1007">
        <v>21</v>
      </c>
      <c r="D1007" s="3">
        <f>parking_demand_data_2024_ver0!D1007*calibration!$I$31</f>
        <v>6.5241771967222704</v>
      </c>
      <c r="E1007" s="3">
        <f>parking_demand_data_2024_ver0!E1007*calibration!$I$31</f>
        <v>1.75650924527138</v>
      </c>
      <c r="F1007" s="3">
        <f t="shared" si="15"/>
        <v>8.2806864419936499</v>
      </c>
      <c r="G1007" s="3">
        <f>parking_demand_data_2024_ver0!F1007</f>
        <v>2</v>
      </c>
      <c r="H1007" s="3">
        <f>parking_demand_data_2024_ver0!G1007</f>
        <v>0</v>
      </c>
      <c r="I1007" s="3">
        <f>parking_demand_data_2024_ver0!H1007</f>
        <v>0</v>
      </c>
      <c r="J1007" s="3">
        <f>parking_demand_data_2024_ver0!I1007</f>
        <v>2</v>
      </c>
      <c r="K1007" s="3">
        <f>parking_demand_data_2024_ver0!J1007</f>
        <v>0</v>
      </c>
      <c r="L1007" s="3">
        <f>parking_demand_data_2024_ver0!K1007</f>
        <v>0</v>
      </c>
      <c r="M1007" s="3">
        <f>parking_demand_data_2024_ver0!L1007</f>
        <v>0</v>
      </c>
      <c r="N1007" s="3">
        <f>parking_demand_data_2024_ver0!M1007</f>
        <v>35</v>
      </c>
      <c r="O1007" s="3">
        <f>parking_demand_data_2024_ver0!N1007</f>
        <v>0</v>
      </c>
      <c r="P1007" s="3">
        <f>parking_demand_data_2024_ver0!O1007</f>
        <v>0</v>
      </c>
      <c r="Q1007" s="3">
        <f>parking_demand_data_2024_ver0!P1007</f>
        <v>35</v>
      </c>
      <c r="R1007" s="3">
        <f>parking_demand_data_2024_ver0!Q1007</f>
        <v>0</v>
      </c>
      <c r="S1007" s="3">
        <f>parking_demand_data_2024_ver0!R1007</f>
        <v>0</v>
      </c>
      <c r="T1007" s="3">
        <f>parking_demand_data_2024_ver0!S1007</f>
        <v>0</v>
      </c>
    </row>
    <row r="1008" spans="1:20" x14ac:dyDescent="0.25">
      <c r="A1008">
        <v>18083</v>
      </c>
      <c r="B1008" t="s">
        <v>70</v>
      </c>
      <c r="C1008">
        <v>22</v>
      </c>
      <c r="D1008" s="3">
        <f>parking_demand_data_2024_ver0!D1008*calibration!$I$31</f>
        <v>8.0297565498120296</v>
      </c>
      <c r="E1008" s="3">
        <f>parking_demand_data_2024_ver0!E1008*calibration!$I$31</f>
        <v>1.9447066644076001</v>
      </c>
      <c r="F1008" s="3">
        <f t="shared" si="15"/>
        <v>9.9744632142196288</v>
      </c>
      <c r="G1008" s="3">
        <f>parking_demand_data_2024_ver0!F1008</f>
        <v>2</v>
      </c>
      <c r="H1008" s="3">
        <f>parking_demand_data_2024_ver0!G1008</f>
        <v>0</v>
      </c>
      <c r="I1008" s="3">
        <f>parking_demand_data_2024_ver0!H1008</f>
        <v>0</v>
      </c>
      <c r="J1008" s="3">
        <f>parking_demand_data_2024_ver0!I1008</f>
        <v>2</v>
      </c>
      <c r="K1008" s="3">
        <f>parking_demand_data_2024_ver0!J1008</f>
        <v>0</v>
      </c>
      <c r="L1008" s="3">
        <f>parking_demand_data_2024_ver0!K1008</f>
        <v>0</v>
      </c>
      <c r="M1008" s="3">
        <f>parking_demand_data_2024_ver0!L1008</f>
        <v>0</v>
      </c>
      <c r="N1008" s="3">
        <f>parking_demand_data_2024_ver0!M1008</f>
        <v>35</v>
      </c>
      <c r="O1008" s="3">
        <f>parking_demand_data_2024_ver0!N1008</f>
        <v>0</v>
      </c>
      <c r="P1008" s="3">
        <f>parking_demand_data_2024_ver0!O1008</f>
        <v>0</v>
      </c>
      <c r="Q1008" s="3">
        <f>parking_demand_data_2024_ver0!P1008</f>
        <v>35</v>
      </c>
      <c r="R1008" s="3">
        <f>parking_demand_data_2024_ver0!Q1008</f>
        <v>0</v>
      </c>
      <c r="S1008" s="3">
        <f>parking_demand_data_2024_ver0!R1008</f>
        <v>0</v>
      </c>
      <c r="T1008" s="3">
        <f>parking_demand_data_2024_ver0!S1008</f>
        <v>0</v>
      </c>
    </row>
    <row r="1009" spans="1:20" x14ac:dyDescent="0.25">
      <c r="A1009">
        <v>18083</v>
      </c>
      <c r="B1009" t="s">
        <v>70</v>
      </c>
      <c r="C1009">
        <v>23</v>
      </c>
      <c r="D1009" s="3">
        <f>parking_demand_data_2024_ver0!D1009*calibration!$I$31</f>
        <v>9.4098709568109697</v>
      </c>
      <c r="E1009" s="3">
        <f>parking_demand_data_2024_ver0!E1009*calibration!$I$31</f>
        <v>2.1329040835438202</v>
      </c>
      <c r="F1009" s="3">
        <f t="shared" si="15"/>
        <v>11.54277504035479</v>
      </c>
      <c r="G1009" s="3">
        <f>parking_demand_data_2024_ver0!F1009</f>
        <v>2</v>
      </c>
      <c r="H1009" s="3">
        <f>parking_demand_data_2024_ver0!G1009</f>
        <v>0</v>
      </c>
      <c r="I1009" s="3">
        <f>parking_demand_data_2024_ver0!H1009</f>
        <v>0</v>
      </c>
      <c r="J1009" s="3">
        <f>parking_demand_data_2024_ver0!I1009</f>
        <v>2</v>
      </c>
      <c r="K1009" s="3">
        <f>parking_demand_data_2024_ver0!J1009</f>
        <v>0</v>
      </c>
      <c r="L1009" s="3">
        <f>parking_demand_data_2024_ver0!K1009</f>
        <v>0</v>
      </c>
      <c r="M1009" s="3">
        <f>parking_demand_data_2024_ver0!L1009</f>
        <v>0</v>
      </c>
      <c r="N1009" s="3">
        <f>parking_demand_data_2024_ver0!M1009</f>
        <v>35</v>
      </c>
      <c r="O1009" s="3">
        <f>parking_demand_data_2024_ver0!N1009</f>
        <v>0</v>
      </c>
      <c r="P1009" s="3">
        <f>parking_demand_data_2024_ver0!O1009</f>
        <v>0</v>
      </c>
      <c r="Q1009" s="3">
        <f>parking_demand_data_2024_ver0!P1009</f>
        <v>35</v>
      </c>
      <c r="R1009" s="3">
        <f>parking_demand_data_2024_ver0!Q1009</f>
        <v>0</v>
      </c>
      <c r="S1009" s="3">
        <f>parking_demand_data_2024_ver0!R1009</f>
        <v>0</v>
      </c>
      <c r="T1009" s="3">
        <f>parking_demand_data_2024_ver0!S1009</f>
        <v>0</v>
      </c>
    </row>
    <row r="1010" spans="1:20" x14ac:dyDescent="0.25">
      <c r="A1010">
        <v>18085</v>
      </c>
      <c r="B1010" t="s">
        <v>71</v>
      </c>
      <c r="C1010">
        <v>0</v>
      </c>
      <c r="D1010" s="3">
        <f>parking_demand_data_2024_ver0!D1010*calibration!$I$31</f>
        <v>0</v>
      </c>
      <c r="E1010" s="3">
        <f>parking_demand_data_2024_ver0!E1010*calibration!$I$31</f>
        <v>3.9754019137690499</v>
      </c>
      <c r="F1010" s="3">
        <f t="shared" si="15"/>
        <v>3.9754019137690499</v>
      </c>
      <c r="G1010" s="3">
        <f>parking_demand_data_2024_ver0!F1010</f>
        <v>0</v>
      </c>
      <c r="H1010" s="3">
        <f>parking_demand_data_2024_ver0!G1010</f>
        <v>0</v>
      </c>
      <c r="I1010" s="3">
        <f>parking_demand_data_2024_ver0!H1010</f>
        <v>0</v>
      </c>
      <c r="J1010" s="3">
        <f>parking_demand_data_2024_ver0!I1010</f>
        <v>0</v>
      </c>
      <c r="K1010" s="3">
        <f>parking_demand_data_2024_ver0!J1010</f>
        <v>0</v>
      </c>
      <c r="L1010" s="3">
        <f>parking_demand_data_2024_ver0!K1010</f>
        <v>0</v>
      </c>
      <c r="M1010" s="3">
        <f>parking_demand_data_2024_ver0!L1010</f>
        <v>0</v>
      </c>
      <c r="N1010" s="3">
        <f>parking_demand_data_2024_ver0!M1010</f>
        <v>0</v>
      </c>
      <c r="O1010" s="3">
        <f>parking_demand_data_2024_ver0!N1010</f>
        <v>0</v>
      </c>
      <c r="P1010" s="3">
        <f>parking_demand_data_2024_ver0!O1010</f>
        <v>0</v>
      </c>
      <c r="Q1010" s="3">
        <f>parking_demand_data_2024_ver0!P1010</f>
        <v>0</v>
      </c>
      <c r="R1010" s="3">
        <f>parking_demand_data_2024_ver0!Q1010</f>
        <v>0</v>
      </c>
      <c r="S1010" s="3">
        <f>parking_demand_data_2024_ver0!R1010</f>
        <v>0</v>
      </c>
      <c r="T1010" s="3">
        <f>parking_demand_data_2024_ver0!S1010</f>
        <v>0</v>
      </c>
    </row>
    <row r="1011" spans="1:20" x14ac:dyDescent="0.25">
      <c r="A1011">
        <v>18085</v>
      </c>
      <c r="B1011" t="s">
        <v>71</v>
      </c>
      <c r="C1011">
        <v>1</v>
      </c>
      <c r="D1011" s="3">
        <f>parking_demand_data_2024_ver0!D1011*calibration!$I$31</f>
        <v>0</v>
      </c>
      <c r="E1011" s="3">
        <f>parking_demand_data_2024_ver0!E1011*calibration!$I$31</f>
        <v>4.33216875218422</v>
      </c>
      <c r="F1011" s="3">
        <f t="shared" si="15"/>
        <v>4.33216875218422</v>
      </c>
      <c r="G1011" s="3">
        <f>parking_demand_data_2024_ver0!F1011</f>
        <v>0</v>
      </c>
      <c r="H1011" s="3">
        <f>parking_demand_data_2024_ver0!G1011</f>
        <v>0</v>
      </c>
      <c r="I1011" s="3">
        <f>parking_demand_data_2024_ver0!H1011</f>
        <v>0</v>
      </c>
      <c r="J1011" s="3">
        <f>parking_demand_data_2024_ver0!I1011</f>
        <v>0</v>
      </c>
      <c r="K1011" s="3">
        <f>parking_demand_data_2024_ver0!J1011</f>
        <v>0</v>
      </c>
      <c r="L1011" s="3">
        <f>parking_demand_data_2024_ver0!K1011</f>
        <v>0</v>
      </c>
      <c r="M1011" s="3">
        <f>parking_demand_data_2024_ver0!L1011</f>
        <v>0</v>
      </c>
      <c r="N1011" s="3">
        <f>parking_demand_data_2024_ver0!M1011</f>
        <v>0</v>
      </c>
      <c r="O1011" s="3">
        <f>parking_demand_data_2024_ver0!N1011</f>
        <v>0</v>
      </c>
      <c r="P1011" s="3">
        <f>parking_demand_data_2024_ver0!O1011</f>
        <v>0</v>
      </c>
      <c r="Q1011" s="3">
        <f>parking_demand_data_2024_ver0!P1011</f>
        <v>0</v>
      </c>
      <c r="R1011" s="3">
        <f>parking_demand_data_2024_ver0!Q1011</f>
        <v>0</v>
      </c>
      <c r="S1011" s="3">
        <f>parking_demand_data_2024_ver0!R1011</f>
        <v>0</v>
      </c>
      <c r="T1011" s="3">
        <f>parking_demand_data_2024_ver0!S1011</f>
        <v>0</v>
      </c>
    </row>
    <row r="1012" spans="1:20" x14ac:dyDescent="0.25">
      <c r="A1012">
        <v>18085</v>
      </c>
      <c r="B1012" t="s">
        <v>71</v>
      </c>
      <c r="C1012">
        <v>2</v>
      </c>
      <c r="D1012" s="3">
        <f>parking_demand_data_2024_ver0!D1012*calibration!$I$31</f>
        <v>0</v>
      </c>
      <c r="E1012" s="3">
        <f>parking_demand_data_2024_ver0!E1012*calibration!$I$31</f>
        <v>4.5360355169928903</v>
      </c>
      <c r="F1012" s="3">
        <f t="shared" si="15"/>
        <v>4.5360355169928903</v>
      </c>
      <c r="G1012" s="3">
        <f>parking_demand_data_2024_ver0!F1012</f>
        <v>0</v>
      </c>
      <c r="H1012" s="3">
        <f>parking_demand_data_2024_ver0!G1012</f>
        <v>0</v>
      </c>
      <c r="I1012" s="3">
        <f>parking_demand_data_2024_ver0!H1012</f>
        <v>0</v>
      </c>
      <c r="J1012" s="3">
        <f>parking_demand_data_2024_ver0!I1012</f>
        <v>0</v>
      </c>
      <c r="K1012" s="3">
        <f>parking_demand_data_2024_ver0!J1012</f>
        <v>0</v>
      </c>
      <c r="L1012" s="3">
        <f>parking_demand_data_2024_ver0!K1012</f>
        <v>0</v>
      </c>
      <c r="M1012" s="3">
        <f>parking_demand_data_2024_ver0!L1012</f>
        <v>0</v>
      </c>
      <c r="N1012" s="3">
        <f>parking_demand_data_2024_ver0!M1012</f>
        <v>0</v>
      </c>
      <c r="O1012" s="3">
        <f>parking_demand_data_2024_ver0!N1012</f>
        <v>0</v>
      </c>
      <c r="P1012" s="3">
        <f>parking_demand_data_2024_ver0!O1012</f>
        <v>0</v>
      </c>
      <c r="Q1012" s="3">
        <f>parking_demand_data_2024_ver0!P1012</f>
        <v>0</v>
      </c>
      <c r="R1012" s="3">
        <f>parking_demand_data_2024_ver0!Q1012</f>
        <v>0</v>
      </c>
      <c r="S1012" s="3">
        <f>parking_demand_data_2024_ver0!R1012</f>
        <v>0</v>
      </c>
      <c r="T1012" s="3">
        <f>parking_demand_data_2024_ver0!S1012</f>
        <v>0</v>
      </c>
    </row>
    <row r="1013" spans="1:20" x14ac:dyDescent="0.25">
      <c r="A1013">
        <v>18085</v>
      </c>
      <c r="B1013" t="s">
        <v>71</v>
      </c>
      <c r="C1013">
        <v>3</v>
      </c>
      <c r="D1013" s="3">
        <f>parking_demand_data_2024_ver0!D1013*calibration!$I$31</f>
        <v>0</v>
      </c>
      <c r="E1013" s="3">
        <f>parking_demand_data_2024_ver0!E1013*calibration!$I$31</f>
        <v>4.5360355169928903</v>
      </c>
      <c r="F1013" s="3">
        <f t="shared" si="15"/>
        <v>4.5360355169928903</v>
      </c>
      <c r="G1013" s="3">
        <f>parking_demand_data_2024_ver0!F1013</f>
        <v>0</v>
      </c>
      <c r="H1013" s="3">
        <f>parking_demand_data_2024_ver0!G1013</f>
        <v>0</v>
      </c>
      <c r="I1013" s="3">
        <f>parking_demand_data_2024_ver0!H1013</f>
        <v>0</v>
      </c>
      <c r="J1013" s="3">
        <f>parking_demand_data_2024_ver0!I1013</f>
        <v>0</v>
      </c>
      <c r="K1013" s="3">
        <f>parking_demand_data_2024_ver0!J1013</f>
        <v>0</v>
      </c>
      <c r="L1013" s="3">
        <f>parking_demand_data_2024_ver0!K1013</f>
        <v>0</v>
      </c>
      <c r="M1013" s="3">
        <f>parking_demand_data_2024_ver0!L1013</f>
        <v>0</v>
      </c>
      <c r="N1013" s="3">
        <f>parking_demand_data_2024_ver0!M1013</f>
        <v>0</v>
      </c>
      <c r="O1013" s="3">
        <f>parking_demand_data_2024_ver0!N1013</f>
        <v>0</v>
      </c>
      <c r="P1013" s="3">
        <f>parking_demand_data_2024_ver0!O1013</f>
        <v>0</v>
      </c>
      <c r="Q1013" s="3">
        <f>parking_demand_data_2024_ver0!P1013</f>
        <v>0</v>
      </c>
      <c r="R1013" s="3">
        <f>parking_demand_data_2024_ver0!Q1013</f>
        <v>0</v>
      </c>
      <c r="S1013" s="3">
        <f>parking_demand_data_2024_ver0!R1013</f>
        <v>0</v>
      </c>
      <c r="T1013" s="3">
        <f>parking_demand_data_2024_ver0!S1013</f>
        <v>0</v>
      </c>
    </row>
    <row r="1014" spans="1:20" x14ac:dyDescent="0.25">
      <c r="A1014">
        <v>18085</v>
      </c>
      <c r="B1014" t="s">
        <v>71</v>
      </c>
      <c r="C1014">
        <v>4</v>
      </c>
      <c r="D1014" s="3">
        <f>parking_demand_data_2024_ver0!D1014*calibration!$I$31</f>
        <v>0</v>
      </c>
      <c r="E1014" s="3">
        <f>parking_demand_data_2024_ver0!E1014*calibration!$I$31</f>
        <v>4.5360355169928903</v>
      </c>
      <c r="F1014" s="3">
        <f t="shared" si="15"/>
        <v>4.5360355169928903</v>
      </c>
      <c r="G1014" s="3">
        <f>parking_demand_data_2024_ver0!F1014</f>
        <v>0</v>
      </c>
      <c r="H1014" s="3">
        <f>parking_demand_data_2024_ver0!G1014</f>
        <v>0</v>
      </c>
      <c r="I1014" s="3">
        <f>parking_demand_data_2024_ver0!H1014</f>
        <v>0</v>
      </c>
      <c r="J1014" s="3">
        <f>parking_demand_data_2024_ver0!I1014</f>
        <v>0</v>
      </c>
      <c r="K1014" s="3">
        <f>parking_demand_data_2024_ver0!J1014</f>
        <v>0</v>
      </c>
      <c r="L1014" s="3">
        <f>parking_demand_data_2024_ver0!K1014</f>
        <v>0</v>
      </c>
      <c r="M1014" s="3">
        <f>parking_demand_data_2024_ver0!L1014</f>
        <v>0</v>
      </c>
      <c r="N1014" s="3">
        <f>parking_demand_data_2024_ver0!M1014</f>
        <v>0</v>
      </c>
      <c r="O1014" s="3">
        <f>parking_demand_data_2024_ver0!N1014</f>
        <v>0</v>
      </c>
      <c r="P1014" s="3">
        <f>parking_demand_data_2024_ver0!O1014</f>
        <v>0</v>
      </c>
      <c r="Q1014" s="3">
        <f>parking_demand_data_2024_ver0!P1014</f>
        <v>0</v>
      </c>
      <c r="R1014" s="3">
        <f>parking_demand_data_2024_ver0!Q1014</f>
        <v>0</v>
      </c>
      <c r="S1014" s="3">
        <f>parking_demand_data_2024_ver0!R1014</f>
        <v>0</v>
      </c>
      <c r="T1014" s="3">
        <f>parking_demand_data_2024_ver0!S1014</f>
        <v>0</v>
      </c>
    </row>
    <row r="1015" spans="1:20" x14ac:dyDescent="0.25">
      <c r="A1015">
        <v>18085</v>
      </c>
      <c r="B1015" t="s">
        <v>71</v>
      </c>
      <c r="C1015">
        <v>5</v>
      </c>
      <c r="D1015" s="3">
        <f>parking_demand_data_2024_ver0!D1015*calibration!$I$31</f>
        <v>0</v>
      </c>
      <c r="E1015" s="3">
        <f>parking_demand_data_2024_ver0!E1015*calibration!$I$31</f>
        <v>3.1089681633322002</v>
      </c>
      <c r="F1015" s="3">
        <f t="shared" si="15"/>
        <v>3.1089681633322002</v>
      </c>
      <c r="G1015" s="3">
        <f>parking_demand_data_2024_ver0!F1015</f>
        <v>0</v>
      </c>
      <c r="H1015" s="3">
        <f>parking_demand_data_2024_ver0!G1015</f>
        <v>0</v>
      </c>
      <c r="I1015" s="3">
        <f>parking_demand_data_2024_ver0!H1015</f>
        <v>0</v>
      </c>
      <c r="J1015" s="3">
        <f>parking_demand_data_2024_ver0!I1015</f>
        <v>0</v>
      </c>
      <c r="K1015" s="3">
        <f>parking_demand_data_2024_ver0!J1015</f>
        <v>0</v>
      </c>
      <c r="L1015" s="3">
        <f>parking_demand_data_2024_ver0!K1015</f>
        <v>0</v>
      </c>
      <c r="M1015" s="3">
        <f>parking_demand_data_2024_ver0!L1015</f>
        <v>0</v>
      </c>
      <c r="N1015" s="3">
        <f>parking_demand_data_2024_ver0!M1015</f>
        <v>0</v>
      </c>
      <c r="O1015" s="3">
        <f>parking_demand_data_2024_ver0!N1015</f>
        <v>0</v>
      </c>
      <c r="P1015" s="3">
        <f>parking_demand_data_2024_ver0!O1015</f>
        <v>0</v>
      </c>
      <c r="Q1015" s="3">
        <f>parking_demand_data_2024_ver0!P1015</f>
        <v>0</v>
      </c>
      <c r="R1015" s="3">
        <f>parking_demand_data_2024_ver0!Q1015</f>
        <v>0</v>
      </c>
      <c r="S1015" s="3">
        <f>parking_demand_data_2024_ver0!R1015</f>
        <v>0</v>
      </c>
      <c r="T1015" s="3">
        <f>parking_demand_data_2024_ver0!S1015</f>
        <v>0</v>
      </c>
    </row>
    <row r="1016" spans="1:20" x14ac:dyDescent="0.25">
      <c r="A1016">
        <v>18085</v>
      </c>
      <c r="B1016" t="s">
        <v>71</v>
      </c>
      <c r="C1016">
        <v>6</v>
      </c>
      <c r="D1016" s="3">
        <f>parking_demand_data_2024_ver0!D1016*calibration!$I$31</f>
        <v>0</v>
      </c>
      <c r="E1016" s="3">
        <f>parking_demand_data_2024_ver0!E1016*calibration!$I$31</f>
        <v>6.5237364738774097</v>
      </c>
      <c r="F1016" s="3">
        <f t="shared" si="15"/>
        <v>6.5237364738774097</v>
      </c>
      <c r="G1016" s="3">
        <f>parking_demand_data_2024_ver0!F1016</f>
        <v>0</v>
      </c>
      <c r="H1016" s="3">
        <f>parking_demand_data_2024_ver0!G1016</f>
        <v>0</v>
      </c>
      <c r="I1016" s="3">
        <f>parking_demand_data_2024_ver0!H1016</f>
        <v>0</v>
      </c>
      <c r="J1016" s="3">
        <f>parking_demand_data_2024_ver0!I1016</f>
        <v>0</v>
      </c>
      <c r="K1016" s="3">
        <f>parking_demand_data_2024_ver0!J1016</f>
        <v>0</v>
      </c>
      <c r="L1016" s="3">
        <f>parking_demand_data_2024_ver0!K1016</f>
        <v>0</v>
      </c>
      <c r="M1016" s="3">
        <f>parking_demand_data_2024_ver0!L1016</f>
        <v>0</v>
      </c>
      <c r="N1016" s="3">
        <f>parking_demand_data_2024_ver0!M1016</f>
        <v>0</v>
      </c>
      <c r="O1016" s="3">
        <f>parking_demand_data_2024_ver0!N1016</f>
        <v>0</v>
      </c>
      <c r="P1016" s="3">
        <f>parking_demand_data_2024_ver0!O1016</f>
        <v>0</v>
      </c>
      <c r="Q1016" s="3">
        <f>parking_demand_data_2024_ver0!P1016</f>
        <v>0</v>
      </c>
      <c r="R1016" s="3">
        <f>parking_demand_data_2024_ver0!Q1016</f>
        <v>0</v>
      </c>
      <c r="S1016" s="3">
        <f>parking_demand_data_2024_ver0!R1016</f>
        <v>0</v>
      </c>
      <c r="T1016" s="3">
        <f>parking_demand_data_2024_ver0!S1016</f>
        <v>0</v>
      </c>
    </row>
    <row r="1017" spans="1:20" x14ac:dyDescent="0.25">
      <c r="A1017">
        <v>18085</v>
      </c>
      <c r="B1017" t="s">
        <v>71</v>
      </c>
      <c r="C1017">
        <v>7</v>
      </c>
      <c r="D1017" s="3">
        <f>parking_demand_data_2024_ver0!D1017*calibration!$I$31</f>
        <v>0</v>
      </c>
      <c r="E1017" s="3">
        <f>parking_demand_data_2024_ver0!E1017*calibration!$I$31</f>
        <v>11.467505520487601</v>
      </c>
      <c r="F1017" s="3">
        <f t="shared" si="15"/>
        <v>11.467505520487601</v>
      </c>
      <c r="G1017" s="3">
        <f>parking_demand_data_2024_ver0!F1017</f>
        <v>0</v>
      </c>
      <c r="H1017" s="3">
        <f>parking_demand_data_2024_ver0!G1017</f>
        <v>0</v>
      </c>
      <c r="I1017" s="3">
        <f>parking_demand_data_2024_ver0!H1017</f>
        <v>0</v>
      </c>
      <c r="J1017" s="3">
        <f>parking_demand_data_2024_ver0!I1017</f>
        <v>0</v>
      </c>
      <c r="K1017" s="3">
        <f>parking_demand_data_2024_ver0!J1017</f>
        <v>0</v>
      </c>
      <c r="L1017" s="3">
        <f>parking_demand_data_2024_ver0!K1017</f>
        <v>0</v>
      </c>
      <c r="M1017" s="3">
        <f>parking_demand_data_2024_ver0!L1017</f>
        <v>0</v>
      </c>
      <c r="N1017" s="3">
        <f>parking_demand_data_2024_ver0!M1017</f>
        <v>0</v>
      </c>
      <c r="O1017" s="3">
        <f>parking_demand_data_2024_ver0!N1017</f>
        <v>0</v>
      </c>
      <c r="P1017" s="3">
        <f>parking_demand_data_2024_ver0!O1017</f>
        <v>0</v>
      </c>
      <c r="Q1017" s="3">
        <f>parking_demand_data_2024_ver0!P1017</f>
        <v>0</v>
      </c>
      <c r="R1017" s="3">
        <f>parking_demand_data_2024_ver0!Q1017</f>
        <v>0</v>
      </c>
      <c r="S1017" s="3">
        <f>parking_demand_data_2024_ver0!R1017</f>
        <v>0</v>
      </c>
      <c r="T1017" s="3">
        <f>parking_demand_data_2024_ver0!S1017</f>
        <v>0</v>
      </c>
    </row>
    <row r="1018" spans="1:20" x14ac:dyDescent="0.25">
      <c r="A1018">
        <v>18085</v>
      </c>
      <c r="B1018" t="s">
        <v>71</v>
      </c>
      <c r="C1018">
        <v>8</v>
      </c>
      <c r="D1018" s="3">
        <f>parking_demand_data_2024_ver0!D1018*calibration!$I$31</f>
        <v>0</v>
      </c>
      <c r="E1018" s="3">
        <f>parking_demand_data_2024_ver0!E1018*calibration!$I$31</f>
        <v>15.799674272671799</v>
      </c>
      <c r="F1018" s="3">
        <f t="shared" si="15"/>
        <v>15.799674272671799</v>
      </c>
      <c r="G1018" s="3">
        <f>parking_demand_data_2024_ver0!F1018</f>
        <v>0</v>
      </c>
      <c r="H1018" s="3">
        <f>parking_demand_data_2024_ver0!G1018</f>
        <v>0</v>
      </c>
      <c r="I1018" s="3">
        <f>parking_demand_data_2024_ver0!H1018</f>
        <v>0</v>
      </c>
      <c r="J1018" s="3">
        <f>parking_demand_data_2024_ver0!I1018</f>
        <v>0</v>
      </c>
      <c r="K1018" s="3">
        <f>parking_demand_data_2024_ver0!J1018</f>
        <v>0</v>
      </c>
      <c r="L1018" s="3">
        <f>parking_demand_data_2024_ver0!K1018</f>
        <v>0</v>
      </c>
      <c r="M1018" s="3">
        <f>parking_demand_data_2024_ver0!L1018</f>
        <v>0</v>
      </c>
      <c r="N1018" s="3">
        <f>parking_demand_data_2024_ver0!M1018</f>
        <v>0</v>
      </c>
      <c r="O1018" s="3">
        <f>parking_demand_data_2024_ver0!N1018</f>
        <v>0</v>
      </c>
      <c r="P1018" s="3">
        <f>parking_demand_data_2024_ver0!O1018</f>
        <v>0</v>
      </c>
      <c r="Q1018" s="3">
        <f>parking_demand_data_2024_ver0!P1018</f>
        <v>0</v>
      </c>
      <c r="R1018" s="3">
        <f>parking_demand_data_2024_ver0!Q1018</f>
        <v>0</v>
      </c>
      <c r="S1018" s="3">
        <f>parking_demand_data_2024_ver0!R1018</f>
        <v>0</v>
      </c>
      <c r="T1018" s="3">
        <f>parking_demand_data_2024_ver0!S1018</f>
        <v>0</v>
      </c>
    </row>
    <row r="1019" spans="1:20" x14ac:dyDescent="0.25">
      <c r="A1019">
        <v>18085</v>
      </c>
      <c r="B1019" t="s">
        <v>71</v>
      </c>
      <c r="C1019">
        <v>9</v>
      </c>
      <c r="D1019" s="3">
        <f>parking_demand_data_2024_ver0!D1019*calibration!$I$31</f>
        <v>0</v>
      </c>
      <c r="E1019" s="3">
        <f>parking_demand_data_2024_ver0!E1019*calibration!$I$31</f>
        <v>18.297042141578</v>
      </c>
      <c r="F1019" s="3">
        <f t="shared" si="15"/>
        <v>18.297042141578</v>
      </c>
      <c r="G1019" s="3">
        <f>parking_demand_data_2024_ver0!F1019</f>
        <v>0</v>
      </c>
      <c r="H1019" s="3">
        <f>parking_demand_data_2024_ver0!G1019</f>
        <v>0</v>
      </c>
      <c r="I1019" s="3">
        <f>parking_demand_data_2024_ver0!H1019</f>
        <v>0</v>
      </c>
      <c r="J1019" s="3">
        <f>parking_demand_data_2024_ver0!I1019</f>
        <v>0</v>
      </c>
      <c r="K1019" s="3">
        <f>parking_demand_data_2024_ver0!J1019</f>
        <v>0</v>
      </c>
      <c r="L1019" s="3">
        <f>parking_demand_data_2024_ver0!K1019</f>
        <v>0</v>
      </c>
      <c r="M1019" s="3">
        <f>parking_demand_data_2024_ver0!L1019</f>
        <v>0</v>
      </c>
      <c r="N1019" s="3">
        <f>parking_demand_data_2024_ver0!M1019</f>
        <v>0</v>
      </c>
      <c r="O1019" s="3">
        <f>parking_demand_data_2024_ver0!N1019</f>
        <v>0</v>
      </c>
      <c r="P1019" s="3">
        <f>parking_demand_data_2024_ver0!O1019</f>
        <v>0</v>
      </c>
      <c r="Q1019" s="3">
        <f>parking_demand_data_2024_ver0!P1019</f>
        <v>0</v>
      </c>
      <c r="R1019" s="3">
        <f>parking_demand_data_2024_ver0!Q1019</f>
        <v>0</v>
      </c>
      <c r="S1019" s="3">
        <f>parking_demand_data_2024_ver0!R1019</f>
        <v>0</v>
      </c>
      <c r="T1019" s="3">
        <f>parking_demand_data_2024_ver0!S1019</f>
        <v>0</v>
      </c>
    </row>
    <row r="1020" spans="1:20" x14ac:dyDescent="0.25">
      <c r="A1020">
        <v>18085</v>
      </c>
      <c r="B1020" t="s">
        <v>71</v>
      </c>
      <c r="C1020">
        <v>10</v>
      </c>
      <c r="D1020" s="3">
        <f>parking_demand_data_2024_ver0!D1020*calibration!$I$31</f>
        <v>0</v>
      </c>
      <c r="E1020" s="3">
        <f>parking_demand_data_2024_ver0!E1020*calibration!$I$31</f>
        <v>17.1248082439282</v>
      </c>
      <c r="F1020" s="3">
        <f t="shared" si="15"/>
        <v>17.1248082439282</v>
      </c>
      <c r="G1020" s="3">
        <f>parking_demand_data_2024_ver0!F1020</f>
        <v>0</v>
      </c>
      <c r="H1020" s="3">
        <f>parking_demand_data_2024_ver0!G1020</f>
        <v>0</v>
      </c>
      <c r="I1020" s="3">
        <f>parking_demand_data_2024_ver0!H1020</f>
        <v>0</v>
      </c>
      <c r="J1020" s="3">
        <f>parking_demand_data_2024_ver0!I1020</f>
        <v>0</v>
      </c>
      <c r="K1020" s="3">
        <f>parking_demand_data_2024_ver0!J1020</f>
        <v>0</v>
      </c>
      <c r="L1020" s="3">
        <f>parking_demand_data_2024_ver0!K1020</f>
        <v>0</v>
      </c>
      <c r="M1020" s="3">
        <f>parking_demand_data_2024_ver0!L1020</f>
        <v>0</v>
      </c>
      <c r="N1020" s="3">
        <f>parking_demand_data_2024_ver0!M1020</f>
        <v>0</v>
      </c>
      <c r="O1020" s="3">
        <f>parking_demand_data_2024_ver0!N1020</f>
        <v>0</v>
      </c>
      <c r="P1020" s="3">
        <f>parking_demand_data_2024_ver0!O1020</f>
        <v>0</v>
      </c>
      <c r="Q1020" s="3">
        <f>parking_demand_data_2024_ver0!P1020</f>
        <v>0</v>
      </c>
      <c r="R1020" s="3">
        <f>parking_demand_data_2024_ver0!Q1020</f>
        <v>0</v>
      </c>
      <c r="S1020" s="3">
        <f>parking_demand_data_2024_ver0!R1020</f>
        <v>0</v>
      </c>
      <c r="T1020" s="3">
        <f>parking_demand_data_2024_ver0!S1020</f>
        <v>0</v>
      </c>
    </row>
    <row r="1021" spans="1:20" x14ac:dyDescent="0.25">
      <c r="A1021">
        <v>18085</v>
      </c>
      <c r="B1021" t="s">
        <v>71</v>
      </c>
      <c r="C1021">
        <v>11</v>
      </c>
      <c r="D1021" s="3">
        <f>parking_demand_data_2024_ver0!D1021*calibration!$I$31</f>
        <v>0</v>
      </c>
      <c r="E1021" s="3">
        <f>parking_demand_data_2024_ver0!E1021*calibration!$I$31</f>
        <v>13.7610066245851</v>
      </c>
      <c r="F1021" s="3">
        <f t="shared" si="15"/>
        <v>13.7610066245851</v>
      </c>
      <c r="G1021" s="3">
        <f>parking_demand_data_2024_ver0!F1021</f>
        <v>0</v>
      </c>
      <c r="H1021" s="3">
        <f>parking_demand_data_2024_ver0!G1021</f>
        <v>0</v>
      </c>
      <c r="I1021" s="3">
        <f>parking_demand_data_2024_ver0!H1021</f>
        <v>0</v>
      </c>
      <c r="J1021" s="3">
        <f>parking_demand_data_2024_ver0!I1021</f>
        <v>0</v>
      </c>
      <c r="K1021" s="3">
        <f>parking_demand_data_2024_ver0!J1021</f>
        <v>0</v>
      </c>
      <c r="L1021" s="3">
        <f>parking_demand_data_2024_ver0!K1021</f>
        <v>0</v>
      </c>
      <c r="M1021" s="3">
        <f>parking_demand_data_2024_ver0!L1021</f>
        <v>0</v>
      </c>
      <c r="N1021" s="3">
        <f>parking_demand_data_2024_ver0!M1021</f>
        <v>0</v>
      </c>
      <c r="O1021" s="3">
        <f>parking_demand_data_2024_ver0!N1021</f>
        <v>0</v>
      </c>
      <c r="P1021" s="3">
        <f>parking_demand_data_2024_ver0!O1021</f>
        <v>0</v>
      </c>
      <c r="Q1021" s="3">
        <f>parking_demand_data_2024_ver0!P1021</f>
        <v>0</v>
      </c>
      <c r="R1021" s="3">
        <f>parking_demand_data_2024_ver0!Q1021</f>
        <v>0</v>
      </c>
      <c r="S1021" s="3">
        <f>parking_demand_data_2024_ver0!R1021</f>
        <v>0</v>
      </c>
      <c r="T1021" s="3">
        <f>parking_demand_data_2024_ver0!S1021</f>
        <v>0</v>
      </c>
    </row>
    <row r="1022" spans="1:20" x14ac:dyDescent="0.25">
      <c r="A1022">
        <v>18085</v>
      </c>
      <c r="B1022" t="s">
        <v>71</v>
      </c>
      <c r="C1022">
        <v>12</v>
      </c>
      <c r="D1022" s="3">
        <f>parking_demand_data_2024_ver0!D1022*calibration!$I$31</f>
        <v>0</v>
      </c>
      <c r="E1022" s="3">
        <f>parking_demand_data_2024_ver0!E1022*calibration!$I$31</f>
        <v>11.6204055940941</v>
      </c>
      <c r="F1022" s="3">
        <f t="shared" si="15"/>
        <v>11.6204055940941</v>
      </c>
      <c r="G1022" s="3">
        <f>parking_demand_data_2024_ver0!F1022</f>
        <v>0</v>
      </c>
      <c r="H1022" s="3">
        <f>parking_demand_data_2024_ver0!G1022</f>
        <v>0</v>
      </c>
      <c r="I1022" s="3">
        <f>parking_demand_data_2024_ver0!H1022</f>
        <v>0</v>
      </c>
      <c r="J1022" s="3">
        <f>parking_demand_data_2024_ver0!I1022</f>
        <v>0</v>
      </c>
      <c r="K1022" s="3">
        <f>parking_demand_data_2024_ver0!J1022</f>
        <v>0</v>
      </c>
      <c r="L1022" s="3">
        <f>parking_demand_data_2024_ver0!K1022</f>
        <v>0</v>
      </c>
      <c r="M1022" s="3">
        <f>parking_demand_data_2024_ver0!L1022</f>
        <v>0</v>
      </c>
      <c r="N1022" s="3">
        <f>parking_demand_data_2024_ver0!M1022</f>
        <v>0</v>
      </c>
      <c r="O1022" s="3">
        <f>parking_demand_data_2024_ver0!N1022</f>
        <v>0</v>
      </c>
      <c r="P1022" s="3">
        <f>parking_demand_data_2024_ver0!O1022</f>
        <v>0</v>
      </c>
      <c r="Q1022" s="3">
        <f>parking_demand_data_2024_ver0!P1022</f>
        <v>0</v>
      </c>
      <c r="R1022" s="3">
        <f>parking_demand_data_2024_ver0!Q1022</f>
        <v>0</v>
      </c>
      <c r="S1022" s="3">
        <f>parking_demand_data_2024_ver0!R1022</f>
        <v>0</v>
      </c>
      <c r="T1022" s="3">
        <f>parking_demand_data_2024_ver0!S1022</f>
        <v>0</v>
      </c>
    </row>
    <row r="1023" spans="1:20" x14ac:dyDescent="0.25">
      <c r="A1023">
        <v>18085</v>
      </c>
      <c r="B1023" t="s">
        <v>71</v>
      </c>
      <c r="C1023">
        <v>13</v>
      </c>
      <c r="D1023" s="3">
        <f>parking_demand_data_2024_ver0!D1023*calibration!$I$31</f>
        <v>0</v>
      </c>
      <c r="E1023" s="3">
        <f>parking_demand_data_2024_ver0!E1023*calibration!$I$31</f>
        <v>12.0281391237114</v>
      </c>
      <c r="F1023" s="3">
        <f t="shared" si="15"/>
        <v>12.0281391237114</v>
      </c>
      <c r="G1023" s="3">
        <f>parking_demand_data_2024_ver0!F1023</f>
        <v>0</v>
      </c>
      <c r="H1023" s="3">
        <f>parking_demand_data_2024_ver0!G1023</f>
        <v>0</v>
      </c>
      <c r="I1023" s="3">
        <f>parking_demand_data_2024_ver0!H1023</f>
        <v>0</v>
      </c>
      <c r="J1023" s="3">
        <f>parking_demand_data_2024_ver0!I1023</f>
        <v>0</v>
      </c>
      <c r="K1023" s="3">
        <f>parking_demand_data_2024_ver0!J1023</f>
        <v>0</v>
      </c>
      <c r="L1023" s="3">
        <f>parking_demand_data_2024_ver0!K1023</f>
        <v>0</v>
      </c>
      <c r="M1023" s="3">
        <f>parking_demand_data_2024_ver0!L1023</f>
        <v>0</v>
      </c>
      <c r="N1023" s="3">
        <f>parking_demand_data_2024_ver0!M1023</f>
        <v>0</v>
      </c>
      <c r="O1023" s="3">
        <f>parking_demand_data_2024_ver0!N1023</f>
        <v>0</v>
      </c>
      <c r="P1023" s="3">
        <f>parking_demand_data_2024_ver0!O1023</f>
        <v>0</v>
      </c>
      <c r="Q1023" s="3">
        <f>parking_demand_data_2024_ver0!P1023</f>
        <v>0</v>
      </c>
      <c r="R1023" s="3">
        <f>parking_demand_data_2024_ver0!Q1023</f>
        <v>0</v>
      </c>
      <c r="S1023" s="3">
        <f>parking_demand_data_2024_ver0!R1023</f>
        <v>0</v>
      </c>
      <c r="T1023" s="3">
        <f>parking_demand_data_2024_ver0!S1023</f>
        <v>0</v>
      </c>
    </row>
    <row r="1024" spans="1:20" x14ac:dyDescent="0.25">
      <c r="A1024">
        <v>18085</v>
      </c>
      <c r="B1024" t="s">
        <v>71</v>
      </c>
      <c r="C1024">
        <v>14</v>
      </c>
      <c r="D1024" s="3">
        <f>parking_demand_data_2024_ver0!D1024*calibration!$I$31</f>
        <v>0</v>
      </c>
      <c r="E1024" s="3">
        <f>parking_demand_data_2024_ver0!E1024*calibration!$I$31</f>
        <v>7.6450036803251002</v>
      </c>
      <c r="F1024" s="3">
        <f t="shared" si="15"/>
        <v>7.6450036803251002</v>
      </c>
      <c r="G1024" s="3">
        <f>parking_demand_data_2024_ver0!F1024</f>
        <v>0</v>
      </c>
      <c r="H1024" s="3">
        <f>parking_demand_data_2024_ver0!G1024</f>
        <v>0</v>
      </c>
      <c r="I1024" s="3">
        <f>parking_demand_data_2024_ver0!H1024</f>
        <v>0</v>
      </c>
      <c r="J1024" s="3">
        <f>parking_demand_data_2024_ver0!I1024</f>
        <v>0</v>
      </c>
      <c r="K1024" s="3">
        <f>parking_demand_data_2024_ver0!J1024</f>
        <v>0</v>
      </c>
      <c r="L1024" s="3">
        <f>parking_demand_data_2024_ver0!K1024</f>
        <v>0</v>
      </c>
      <c r="M1024" s="3">
        <f>parking_demand_data_2024_ver0!L1024</f>
        <v>0</v>
      </c>
      <c r="N1024" s="3">
        <f>parking_demand_data_2024_ver0!M1024</f>
        <v>0</v>
      </c>
      <c r="O1024" s="3">
        <f>parking_demand_data_2024_ver0!N1024</f>
        <v>0</v>
      </c>
      <c r="P1024" s="3">
        <f>parking_demand_data_2024_ver0!O1024</f>
        <v>0</v>
      </c>
      <c r="Q1024" s="3">
        <f>parking_demand_data_2024_ver0!P1024</f>
        <v>0</v>
      </c>
      <c r="R1024" s="3">
        <f>parking_demand_data_2024_ver0!Q1024</f>
        <v>0</v>
      </c>
      <c r="S1024" s="3">
        <f>parking_demand_data_2024_ver0!R1024</f>
        <v>0</v>
      </c>
      <c r="T1024" s="3">
        <f>parking_demand_data_2024_ver0!S1024</f>
        <v>0</v>
      </c>
    </row>
    <row r="1025" spans="1:20" x14ac:dyDescent="0.25">
      <c r="A1025">
        <v>18085</v>
      </c>
      <c r="B1025" t="s">
        <v>71</v>
      </c>
      <c r="C1025">
        <v>15</v>
      </c>
      <c r="D1025" s="3">
        <f>parking_demand_data_2024_ver0!D1025*calibration!$I$31</f>
        <v>0</v>
      </c>
      <c r="E1025" s="3">
        <f>parking_demand_data_2024_ver0!E1025*calibration!$I$31</f>
        <v>4.6889355905993897</v>
      </c>
      <c r="F1025" s="3">
        <f t="shared" si="15"/>
        <v>4.6889355905993897</v>
      </c>
      <c r="G1025" s="3">
        <f>parking_demand_data_2024_ver0!F1025</f>
        <v>0</v>
      </c>
      <c r="H1025" s="3">
        <f>parking_demand_data_2024_ver0!G1025</f>
        <v>0</v>
      </c>
      <c r="I1025" s="3">
        <f>parking_demand_data_2024_ver0!H1025</f>
        <v>0</v>
      </c>
      <c r="J1025" s="3">
        <f>parking_demand_data_2024_ver0!I1025</f>
        <v>0</v>
      </c>
      <c r="K1025" s="3">
        <f>parking_demand_data_2024_ver0!J1025</f>
        <v>0</v>
      </c>
      <c r="L1025" s="3">
        <f>parking_demand_data_2024_ver0!K1025</f>
        <v>0</v>
      </c>
      <c r="M1025" s="3">
        <f>parking_demand_data_2024_ver0!L1025</f>
        <v>0</v>
      </c>
      <c r="N1025" s="3">
        <f>parking_demand_data_2024_ver0!M1025</f>
        <v>0</v>
      </c>
      <c r="O1025" s="3">
        <f>parking_demand_data_2024_ver0!N1025</f>
        <v>0</v>
      </c>
      <c r="P1025" s="3">
        <f>parking_demand_data_2024_ver0!O1025</f>
        <v>0</v>
      </c>
      <c r="Q1025" s="3">
        <f>parking_demand_data_2024_ver0!P1025</f>
        <v>0</v>
      </c>
      <c r="R1025" s="3">
        <f>parking_demand_data_2024_ver0!Q1025</f>
        <v>0</v>
      </c>
      <c r="S1025" s="3">
        <f>parking_demand_data_2024_ver0!R1025</f>
        <v>0</v>
      </c>
      <c r="T1025" s="3">
        <f>parking_demand_data_2024_ver0!S1025</f>
        <v>0</v>
      </c>
    </row>
    <row r="1026" spans="1:20" x14ac:dyDescent="0.25">
      <c r="A1026">
        <v>18085</v>
      </c>
      <c r="B1026" t="s">
        <v>71</v>
      </c>
      <c r="C1026">
        <v>16</v>
      </c>
      <c r="D1026" s="3">
        <f>parking_demand_data_2024_ver0!D1026*calibration!$I$31</f>
        <v>0</v>
      </c>
      <c r="E1026" s="3">
        <f>parking_demand_data_2024_ver0!E1026*calibration!$I$31</f>
        <v>3.8734685313647099</v>
      </c>
      <c r="F1026" s="3">
        <f t="shared" si="15"/>
        <v>3.8734685313647099</v>
      </c>
      <c r="G1026" s="3">
        <f>parking_demand_data_2024_ver0!F1026</f>
        <v>0</v>
      </c>
      <c r="H1026" s="3">
        <f>parking_demand_data_2024_ver0!G1026</f>
        <v>0</v>
      </c>
      <c r="I1026" s="3">
        <f>parking_demand_data_2024_ver0!H1026</f>
        <v>0</v>
      </c>
      <c r="J1026" s="3">
        <f>parking_demand_data_2024_ver0!I1026</f>
        <v>0</v>
      </c>
      <c r="K1026" s="3">
        <f>parking_demand_data_2024_ver0!J1026</f>
        <v>0</v>
      </c>
      <c r="L1026" s="3">
        <f>parking_demand_data_2024_ver0!K1026</f>
        <v>0</v>
      </c>
      <c r="M1026" s="3">
        <f>parking_demand_data_2024_ver0!L1026</f>
        <v>0</v>
      </c>
      <c r="N1026" s="3">
        <f>parking_demand_data_2024_ver0!M1026</f>
        <v>0</v>
      </c>
      <c r="O1026" s="3">
        <f>parking_demand_data_2024_ver0!N1026</f>
        <v>0</v>
      </c>
      <c r="P1026" s="3">
        <f>parking_demand_data_2024_ver0!O1026</f>
        <v>0</v>
      </c>
      <c r="Q1026" s="3">
        <f>parking_demand_data_2024_ver0!P1026</f>
        <v>0</v>
      </c>
      <c r="R1026" s="3">
        <f>parking_demand_data_2024_ver0!Q1026</f>
        <v>0</v>
      </c>
      <c r="S1026" s="3">
        <f>parking_demand_data_2024_ver0!R1026</f>
        <v>0</v>
      </c>
      <c r="T1026" s="3">
        <f>parking_demand_data_2024_ver0!S1026</f>
        <v>0</v>
      </c>
    </row>
    <row r="1027" spans="1:20" x14ac:dyDescent="0.25">
      <c r="A1027">
        <v>18085</v>
      </c>
      <c r="B1027" t="s">
        <v>71</v>
      </c>
      <c r="C1027">
        <v>17</v>
      </c>
      <c r="D1027" s="3">
        <f>parking_demand_data_2024_ver0!D1027*calibration!$I$31</f>
        <v>0</v>
      </c>
      <c r="E1027" s="3">
        <f>parking_demand_data_2024_ver0!E1027*calibration!$I$31</f>
        <v>2.8031680161192001</v>
      </c>
      <c r="F1027" s="3">
        <f t="shared" ref="F1027:F1090" si="16">SUM(D1027:E1027)</f>
        <v>2.8031680161192001</v>
      </c>
      <c r="G1027" s="3">
        <f>parking_demand_data_2024_ver0!F1027</f>
        <v>0</v>
      </c>
      <c r="H1027" s="3">
        <f>parking_demand_data_2024_ver0!G1027</f>
        <v>0</v>
      </c>
      <c r="I1027" s="3">
        <f>parking_demand_data_2024_ver0!H1027</f>
        <v>0</v>
      </c>
      <c r="J1027" s="3">
        <f>parking_demand_data_2024_ver0!I1027</f>
        <v>0</v>
      </c>
      <c r="K1027" s="3">
        <f>parking_demand_data_2024_ver0!J1027</f>
        <v>0</v>
      </c>
      <c r="L1027" s="3">
        <f>parking_demand_data_2024_ver0!K1027</f>
        <v>0</v>
      </c>
      <c r="M1027" s="3">
        <f>parking_demand_data_2024_ver0!L1027</f>
        <v>0</v>
      </c>
      <c r="N1027" s="3">
        <f>parking_demand_data_2024_ver0!M1027</f>
        <v>0</v>
      </c>
      <c r="O1027" s="3">
        <f>parking_demand_data_2024_ver0!N1027</f>
        <v>0</v>
      </c>
      <c r="P1027" s="3">
        <f>parking_demand_data_2024_ver0!O1027</f>
        <v>0</v>
      </c>
      <c r="Q1027" s="3">
        <f>parking_demand_data_2024_ver0!P1027</f>
        <v>0</v>
      </c>
      <c r="R1027" s="3">
        <f>parking_demand_data_2024_ver0!Q1027</f>
        <v>0</v>
      </c>
      <c r="S1027" s="3">
        <f>parking_demand_data_2024_ver0!R1027</f>
        <v>0</v>
      </c>
      <c r="T1027" s="3">
        <f>parking_demand_data_2024_ver0!S1027</f>
        <v>0</v>
      </c>
    </row>
    <row r="1028" spans="1:20" x14ac:dyDescent="0.25">
      <c r="A1028">
        <v>18085</v>
      </c>
      <c r="B1028" t="s">
        <v>71</v>
      </c>
      <c r="C1028">
        <v>18</v>
      </c>
      <c r="D1028" s="3">
        <f>parking_demand_data_2024_ver0!D1028*calibration!$I$31</f>
        <v>0</v>
      </c>
      <c r="E1028" s="3">
        <f>parking_demand_data_2024_ver0!E1028*calibration!$I$31</f>
        <v>3.9754019137690499</v>
      </c>
      <c r="F1028" s="3">
        <f t="shared" si="16"/>
        <v>3.9754019137690499</v>
      </c>
      <c r="G1028" s="3">
        <f>parking_demand_data_2024_ver0!F1028</f>
        <v>0</v>
      </c>
      <c r="H1028" s="3">
        <f>parking_demand_data_2024_ver0!G1028</f>
        <v>0</v>
      </c>
      <c r="I1028" s="3">
        <f>parking_demand_data_2024_ver0!H1028</f>
        <v>0</v>
      </c>
      <c r="J1028" s="3">
        <f>parking_demand_data_2024_ver0!I1028</f>
        <v>0</v>
      </c>
      <c r="K1028" s="3">
        <f>parking_demand_data_2024_ver0!J1028</f>
        <v>0</v>
      </c>
      <c r="L1028" s="3">
        <f>parking_demand_data_2024_ver0!K1028</f>
        <v>0</v>
      </c>
      <c r="M1028" s="3">
        <f>parking_demand_data_2024_ver0!L1028</f>
        <v>0</v>
      </c>
      <c r="N1028" s="3">
        <f>parking_demand_data_2024_ver0!M1028</f>
        <v>0</v>
      </c>
      <c r="O1028" s="3">
        <f>parking_demand_data_2024_ver0!N1028</f>
        <v>0</v>
      </c>
      <c r="P1028" s="3">
        <f>parking_demand_data_2024_ver0!O1028</f>
        <v>0</v>
      </c>
      <c r="Q1028" s="3">
        <f>parking_demand_data_2024_ver0!P1028</f>
        <v>0</v>
      </c>
      <c r="R1028" s="3">
        <f>parking_demand_data_2024_ver0!Q1028</f>
        <v>0</v>
      </c>
      <c r="S1028" s="3">
        <f>parking_demand_data_2024_ver0!R1028</f>
        <v>0</v>
      </c>
      <c r="T1028" s="3">
        <f>parking_demand_data_2024_ver0!S1028</f>
        <v>0</v>
      </c>
    </row>
    <row r="1029" spans="1:20" x14ac:dyDescent="0.25">
      <c r="A1029">
        <v>18085</v>
      </c>
      <c r="B1029" t="s">
        <v>71</v>
      </c>
      <c r="C1029">
        <v>19</v>
      </c>
      <c r="D1029" s="3">
        <f>parking_demand_data_2024_ver0!D1029*calibration!$I$31</f>
        <v>0</v>
      </c>
      <c r="E1029" s="3">
        <f>parking_demand_data_2024_ver0!E1029*calibration!$I$31</f>
        <v>3.8734685313647099</v>
      </c>
      <c r="F1029" s="3">
        <f t="shared" si="16"/>
        <v>3.8734685313647099</v>
      </c>
      <c r="G1029" s="3">
        <f>parking_demand_data_2024_ver0!F1029</f>
        <v>0</v>
      </c>
      <c r="H1029" s="3">
        <f>parking_demand_data_2024_ver0!G1029</f>
        <v>0</v>
      </c>
      <c r="I1029" s="3">
        <f>parking_demand_data_2024_ver0!H1029</f>
        <v>0</v>
      </c>
      <c r="J1029" s="3">
        <f>parking_demand_data_2024_ver0!I1029</f>
        <v>0</v>
      </c>
      <c r="K1029" s="3">
        <f>parking_demand_data_2024_ver0!J1029</f>
        <v>0</v>
      </c>
      <c r="L1029" s="3">
        <f>parking_demand_data_2024_ver0!K1029</f>
        <v>0</v>
      </c>
      <c r="M1029" s="3">
        <f>parking_demand_data_2024_ver0!L1029</f>
        <v>0</v>
      </c>
      <c r="N1029" s="3">
        <f>parking_demand_data_2024_ver0!M1029</f>
        <v>0</v>
      </c>
      <c r="O1029" s="3">
        <f>parking_demand_data_2024_ver0!N1029</f>
        <v>0</v>
      </c>
      <c r="P1029" s="3">
        <f>parking_demand_data_2024_ver0!O1029</f>
        <v>0</v>
      </c>
      <c r="Q1029" s="3">
        <f>parking_demand_data_2024_ver0!P1029</f>
        <v>0</v>
      </c>
      <c r="R1029" s="3">
        <f>parking_demand_data_2024_ver0!Q1029</f>
        <v>0</v>
      </c>
      <c r="S1029" s="3">
        <f>parking_demand_data_2024_ver0!R1029</f>
        <v>0</v>
      </c>
      <c r="T1029" s="3">
        <f>parking_demand_data_2024_ver0!S1029</f>
        <v>0</v>
      </c>
    </row>
    <row r="1030" spans="1:20" x14ac:dyDescent="0.25">
      <c r="A1030">
        <v>18085</v>
      </c>
      <c r="B1030" t="s">
        <v>71</v>
      </c>
      <c r="C1030">
        <v>20</v>
      </c>
      <c r="D1030" s="3">
        <f>parking_demand_data_2024_ver0!D1030*calibration!$I$31</f>
        <v>0</v>
      </c>
      <c r="E1030" s="3">
        <f>parking_demand_data_2024_ver0!E1030*calibration!$I$31</f>
        <v>3.7205684577582101</v>
      </c>
      <c r="F1030" s="3">
        <f t="shared" si="16"/>
        <v>3.7205684577582101</v>
      </c>
      <c r="G1030" s="3">
        <f>parking_demand_data_2024_ver0!F1030</f>
        <v>0</v>
      </c>
      <c r="H1030" s="3">
        <f>parking_demand_data_2024_ver0!G1030</f>
        <v>0</v>
      </c>
      <c r="I1030" s="3">
        <f>parking_demand_data_2024_ver0!H1030</f>
        <v>0</v>
      </c>
      <c r="J1030" s="3">
        <f>parking_demand_data_2024_ver0!I1030</f>
        <v>0</v>
      </c>
      <c r="K1030" s="3">
        <f>parking_demand_data_2024_ver0!J1030</f>
        <v>0</v>
      </c>
      <c r="L1030" s="3">
        <f>parking_demand_data_2024_ver0!K1030</f>
        <v>0</v>
      </c>
      <c r="M1030" s="3">
        <f>parking_demand_data_2024_ver0!L1030</f>
        <v>0</v>
      </c>
      <c r="N1030" s="3">
        <f>parking_demand_data_2024_ver0!M1030</f>
        <v>0</v>
      </c>
      <c r="O1030" s="3">
        <f>parking_demand_data_2024_ver0!N1030</f>
        <v>0</v>
      </c>
      <c r="P1030" s="3">
        <f>parking_demand_data_2024_ver0!O1030</f>
        <v>0</v>
      </c>
      <c r="Q1030" s="3">
        <f>parking_demand_data_2024_ver0!P1030</f>
        <v>0</v>
      </c>
      <c r="R1030" s="3">
        <f>parking_demand_data_2024_ver0!Q1030</f>
        <v>0</v>
      </c>
      <c r="S1030" s="3">
        <f>parking_demand_data_2024_ver0!R1030</f>
        <v>0</v>
      </c>
      <c r="T1030" s="3">
        <f>parking_demand_data_2024_ver0!S1030</f>
        <v>0</v>
      </c>
    </row>
    <row r="1031" spans="1:20" x14ac:dyDescent="0.25">
      <c r="A1031">
        <v>18085</v>
      </c>
      <c r="B1031" t="s">
        <v>71</v>
      </c>
      <c r="C1031">
        <v>21</v>
      </c>
      <c r="D1031" s="3">
        <f>parking_demand_data_2024_ver0!D1031*calibration!$I$31</f>
        <v>0</v>
      </c>
      <c r="E1031" s="3">
        <f>parking_demand_data_2024_ver0!E1031*calibration!$I$31</f>
        <v>3.8225018401625501</v>
      </c>
      <c r="F1031" s="3">
        <f t="shared" si="16"/>
        <v>3.8225018401625501</v>
      </c>
      <c r="G1031" s="3">
        <f>parking_demand_data_2024_ver0!F1031</f>
        <v>0</v>
      </c>
      <c r="H1031" s="3">
        <f>parking_demand_data_2024_ver0!G1031</f>
        <v>0</v>
      </c>
      <c r="I1031" s="3">
        <f>parking_demand_data_2024_ver0!H1031</f>
        <v>0</v>
      </c>
      <c r="J1031" s="3">
        <f>parking_demand_data_2024_ver0!I1031</f>
        <v>0</v>
      </c>
      <c r="K1031" s="3">
        <f>parking_demand_data_2024_ver0!J1031</f>
        <v>0</v>
      </c>
      <c r="L1031" s="3">
        <f>parking_demand_data_2024_ver0!K1031</f>
        <v>0</v>
      </c>
      <c r="M1031" s="3">
        <f>parking_demand_data_2024_ver0!L1031</f>
        <v>0</v>
      </c>
      <c r="N1031" s="3">
        <f>parking_demand_data_2024_ver0!M1031</f>
        <v>0</v>
      </c>
      <c r="O1031" s="3">
        <f>parking_demand_data_2024_ver0!N1031</f>
        <v>0</v>
      </c>
      <c r="P1031" s="3">
        <f>parking_demand_data_2024_ver0!O1031</f>
        <v>0</v>
      </c>
      <c r="Q1031" s="3">
        <f>parking_demand_data_2024_ver0!P1031</f>
        <v>0</v>
      </c>
      <c r="R1031" s="3">
        <f>parking_demand_data_2024_ver0!Q1031</f>
        <v>0</v>
      </c>
      <c r="S1031" s="3">
        <f>parking_demand_data_2024_ver0!R1031</f>
        <v>0</v>
      </c>
      <c r="T1031" s="3">
        <f>parking_demand_data_2024_ver0!S1031</f>
        <v>0</v>
      </c>
    </row>
    <row r="1032" spans="1:20" x14ac:dyDescent="0.25">
      <c r="A1032">
        <v>18085</v>
      </c>
      <c r="B1032" t="s">
        <v>71</v>
      </c>
      <c r="C1032">
        <v>22</v>
      </c>
      <c r="D1032" s="3">
        <f>parking_demand_data_2024_ver0!D1032*calibration!$I$31</f>
        <v>0</v>
      </c>
      <c r="E1032" s="3">
        <f>parking_demand_data_2024_ver0!E1032*calibration!$I$31</f>
        <v>3.9244352225668799</v>
      </c>
      <c r="F1032" s="3">
        <f t="shared" si="16"/>
        <v>3.9244352225668799</v>
      </c>
      <c r="G1032" s="3">
        <f>parking_demand_data_2024_ver0!F1032</f>
        <v>0</v>
      </c>
      <c r="H1032" s="3">
        <f>parking_demand_data_2024_ver0!G1032</f>
        <v>0</v>
      </c>
      <c r="I1032" s="3">
        <f>parking_demand_data_2024_ver0!H1032</f>
        <v>0</v>
      </c>
      <c r="J1032" s="3">
        <f>parking_demand_data_2024_ver0!I1032</f>
        <v>0</v>
      </c>
      <c r="K1032" s="3">
        <f>parking_demand_data_2024_ver0!J1032</f>
        <v>0</v>
      </c>
      <c r="L1032" s="3">
        <f>parking_demand_data_2024_ver0!K1032</f>
        <v>0</v>
      </c>
      <c r="M1032" s="3">
        <f>parking_demand_data_2024_ver0!L1032</f>
        <v>0</v>
      </c>
      <c r="N1032" s="3">
        <f>parking_demand_data_2024_ver0!M1032</f>
        <v>0</v>
      </c>
      <c r="O1032" s="3">
        <f>parking_demand_data_2024_ver0!N1032</f>
        <v>0</v>
      </c>
      <c r="P1032" s="3">
        <f>parking_demand_data_2024_ver0!O1032</f>
        <v>0</v>
      </c>
      <c r="Q1032" s="3">
        <f>parking_demand_data_2024_ver0!P1032</f>
        <v>0</v>
      </c>
      <c r="R1032" s="3">
        <f>parking_demand_data_2024_ver0!Q1032</f>
        <v>0</v>
      </c>
      <c r="S1032" s="3">
        <f>parking_demand_data_2024_ver0!R1032</f>
        <v>0</v>
      </c>
      <c r="T1032" s="3">
        <f>parking_demand_data_2024_ver0!S1032</f>
        <v>0</v>
      </c>
    </row>
    <row r="1033" spans="1:20" x14ac:dyDescent="0.25">
      <c r="A1033">
        <v>18085</v>
      </c>
      <c r="B1033" t="s">
        <v>71</v>
      </c>
      <c r="C1033">
        <v>23</v>
      </c>
      <c r="D1033" s="3">
        <f>parking_demand_data_2024_ver0!D1033*calibration!$I$31</f>
        <v>0</v>
      </c>
      <c r="E1033" s="3">
        <f>parking_demand_data_2024_ver0!E1033*calibration!$I$31</f>
        <v>3.8734685313647099</v>
      </c>
      <c r="F1033" s="3">
        <f t="shared" si="16"/>
        <v>3.8734685313647099</v>
      </c>
      <c r="G1033" s="3">
        <f>parking_demand_data_2024_ver0!F1033</f>
        <v>0</v>
      </c>
      <c r="H1033" s="3">
        <f>parking_demand_data_2024_ver0!G1033</f>
        <v>0</v>
      </c>
      <c r="I1033" s="3">
        <f>parking_demand_data_2024_ver0!H1033</f>
        <v>0</v>
      </c>
      <c r="J1033" s="3">
        <f>parking_demand_data_2024_ver0!I1033</f>
        <v>0</v>
      </c>
      <c r="K1033" s="3">
        <f>parking_demand_data_2024_ver0!J1033</f>
        <v>0</v>
      </c>
      <c r="L1033" s="3">
        <f>parking_demand_data_2024_ver0!K1033</f>
        <v>0</v>
      </c>
      <c r="M1033" s="3">
        <f>parking_demand_data_2024_ver0!L1033</f>
        <v>0</v>
      </c>
      <c r="N1033" s="3">
        <f>parking_demand_data_2024_ver0!M1033</f>
        <v>0</v>
      </c>
      <c r="O1033" s="3">
        <f>parking_demand_data_2024_ver0!N1033</f>
        <v>0</v>
      </c>
      <c r="P1033" s="3">
        <f>parking_demand_data_2024_ver0!O1033</f>
        <v>0</v>
      </c>
      <c r="Q1033" s="3">
        <f>parking_demand_data_2024_ver0!P1033</f>
        <v>0</v>
      </c>
      <c r="R1033" s="3">
        <f>parking_demand_data_2024_ver0!Q1033</f>
        <v>0</v>
      </c>
      <c r="S1033" s="3">
        <f>parking_demand_data_2024_ver0!R1033</f>
        <v>0</v>
      </c>
      <c r="T1033" s="3">
        <f>parking_demand_data_2024_ver0!S1033</f>
        <v>0</v>
      </c>
    </row>
    <row r="1034" spans="1:20" x14ac:dyDescent="0.25">
      <c r="A1034">
        <v>18087</v>
      </c>
      <c r="B1034" t="s">
        <v>72</v>
      </c>
      <c r="C1034">
        <v>0</v>
      </c>
      <c r="D1034" s="3">
        <f>parking_demand_data_2024_ver0!D1034*calibration!$I$31</f>
        <v>121.240633309161</v>
      </c>
      <c r="E1034" s="3">
        <f>parking_demand_data_2024_ver0!E1034*calibration!$I$31</f>
        <v>2.3239062122310798</v>
      </c>
      <c r="F1034" s="3">
        <f t="shared" si="16"/>
        <v>123.56453952139208</v>
      </c>
      <c r="G1034" s="3">
        <f>parking_demand_data_2024_ver0!F1034</f>
        <v>3</v>
      </c>
      <c r="H1034" s="3">
        <f>parking_demand_data_2024_ver0!G1034</f>
        <v>0</v>
      </c>
      <c r="I1034" s="3">
        <f>parking_demand_data_2024_ver0!H1034</f>
        <v>0</v>
      </c>
      <c r="J1034" s="3">
        <f>parking_demand_data_2024_ver0!I1034</f>
        <v>1</v>
      </c>
      <c r="K1034" s="3">
        <f>parking_demand_data_2024_ver0!J1034</f>
        <v>0</v>
      </c>
      <c r="L1034" s="3">
        <f>parking_demand_data_2024_ver0!K1034</f>
        <v>1</v>
      </c>
      <c r="M1034" s="3">
        <f>parking_demand_data_2024_ver0!L1034</f>
        <v>1</v>
      </c>
      <c r="N1034" s="3">
        <f>parking_demand_data_2024_ver0!M1034</f>
        <v>110</v>
      </c>
      <c r="O1034" s="3">
        <f>parking_demand_data_2024_ver0!N1034</f>
        <v>0</v>
      </c>
      <c r="P1034" s="3">
        <f>parking_demand_data_2024_ver0!O1034</f>
        <v>0</v>
      </c>
      <c r="Q1034" s="3">
        <f>parking_demand_data_2024_ver0!P1034</f>
        <v>15</v>
      </c>
      <c r="R1034" s="3">
        <f>parking_demand_data_2024_ver0!Q1034</f>
        <v>0</v>
      </c>
      <c r="S1034" s="3">
        <f>parking_demand_data_2024_ver0!R1034</f>
        <v>50</v>
      </c>
      <c r="T1034" s="3">
        <f>parking_demand_data_2024_ver0!S1034</f>
        <v>45</v>
      </c>
    </row>
    <row r="1035" spans="1:20" x14ac:dyDescent="0.25">
      <c r="A1035">
        <v>18087</v>
      </c>
      <c r="B1035" t="s">
        <v>72</v>
      </c>
      <c r="C1035">
        <v>1</v>
      </c>
      <c r="D1035" s="3">
        <f>parking_demand_data_2024_ver0!D1035*calibration!$I$31</f>
        <v>125.093425187333</v>
      </c>
      <c r="E1035" s="3">
        <f>parking_demand_data_2024_ver0!E1035*calibration!$I$31</f>
        <v>2.5991056321005499</v>
      </c>
      <c r="F1035" s="3">
        <f t="shared" si="16"/>
        <v>127.69253081943354</v>
      </c>
      <c r="G1035" s="3">
        <f>parking_demand_data_2024_ver0!F1035</f>
        <v>3</v>
      </c>
      <c r="H1035" s="3">
        <f>parking_demand_data_2024_ver0!G1035</f>
        <v>0</v>
      </c>
      <c r="I1035" s="3">
        <f>parking_demand_data_2024_ver0!H1035</f>
        <v>0</v>
      </c>
      <c r="J1035" s="3">
        <f>parking_demand_data_2024_ver0!I1035</f>
        <v>1</v>
      </c>
      <c r="K1035" s="3">
        <f>parking_demand_data_2024_ver0!J1035</f>
        <v>0</v>
      </c>
      <c r="L1035" s="3">
        <f>parking_demand_data_2024_ver0!K1035</f>
        <v>1</v>
      </c>
      <c r="M1035" s="3">
        <f>parking_demand_data_2024_ver0!L1035</f>
        <v>1</v>
      </c>
      <c r="N1035" s="3">
        <f>parking_demand_data_2024_ver0!M1035</f>
        <v>110</v>
      </c>
      <c r="O1035" s="3">
        <f>parking_demand_data_2024_ver0!N1035</f>
        <v>0</v>
      </c>
      <c r="P1035" s="3">
        <f>parking_demand_data_2024_ver0!O1035</f>
        <v>0</v>
      </c>
      <c r="Q1035" s="3">
        <f>parking_demand_data_2024_ver0!P1035</f>
        <v>15</v>
      </c>
      <c r="R1035" s="3">
        <f>parking_demand_data_2024_ver0!Q1035</f>
        <v>0</v>
      </c>
      <c r="S1035" s="3">
        <f>parking_demand_data_2024_ver0!R1035</f>
        <v>50</v>
      </c>
      <c r="T1035" s="3">
        <f>parking_demand_data_2024_ver0!S1035</f>
        <v>45</v>
      </c>
    </row>
    <row r="1036" spans="1:20" x14ac:dyDescent="0.25">
      <c r="A1036">
        <v>18087</v>
      </c>
      <c r="B1036" t="s">
        <v>72</v>
      </c>
      <c r="C1036">
        <v>2</v>
      </c>
      <c r="D1036" s="3">
        <f>parking_demand_data_2024_ver0!D1036*calibration!$I$31</f>
        <v>126.5</v>
      </c>
      <c r="E1036" s="3">
        <f>parking_demand_data_2024_ver0!E1036*calibration!$I$31</f>
        <v>2.9048827652888498</v>
      </c>
      <c r="F1036" s="3">
        <f t="shared" si="16"/>
        <v>129.40488276528885</v>
      </c>
      <c r="G1036" s="3">
        <f>parking_demand_data_2024_ver0!F1036</f>
        <v>3</v>
      </c>
      <c r="H1036" s="3">
        <f>parking_demand_data_2024_ver0!G1036</f>
        <v>0</v>
      </c>
      <c r="I1036" s="3">
        <f>parking_demand_data_2024_ver0!H1036</f>
        <v>0</v>
      </c>
      <c r="J1036" s="3">
        <f>parking_demand_data_2024_ver0!I1036</f>
        <v>1</v>
      </c>
      <c r="K1036" s="3">
        <f>parking_demand_data_2024_ver0!J1036</f>
        <v>0</v>
      </c>
      <c r="L1036" s="3">
        <f>parking_demand_data_2024_ver0!K1036</f>
        <v>1</v>
      </c>
      <c r="M1036" s="3">
        <f>parking_demand_data_2024_ver0!L1036</f>
        <v>1</v>
      </c>
      <c r="N1036" s="3">
        <f>parking_demand_data_2024_ver0!M1036</f>
        <v>110</v>
      </c>
      <c r="O1036" s="3">
        <f>parking_demand_data_2024_ver0!N1036</f>
        <v>0</v>
      </c>
      <c r="P1036" s="3">
        <f>parking_demand_data_2024_ver0!O1036</f>
        <v>0</v>
      </c>
      <c r="Q1036" s="3">
        <f>parking_demand_data_2024_ver0!P1036</f>
        <v>15</v>
      </c>
      <c r="R1036" s="3">
        <f>parking_demand_data_2024_ver0!Q1036</f>
        <v>0</v>
      </c>
      <c r="S1036" s="3">
        <f>parking_demand_data_2024_ver0!R1036</f>
        <v>50</v>
      </c>
      <c r="T1036" s="3">
        <f>parking_demand_data_2024_ver0!S1036</f>
        <v>45</v>
      </c>
    </row>
    <row r="1037" spans="1:20" x14ac:dyDescent="0.25">
      <c r="A1037">
        <v>18087</v>
      </c>
      <c r="B1037" t="s">
        <v>72</v>
      </c>
      <c r="C1037">
        <v>3</v>
      </c>
      <c r="D1037" s="3">
        <f>parking_demand_data_2024_ver0!D1037*calibration!$I$31</f>
        <v>124.971114334058</v>
      </c>
      <c r="E1037" s="3">
        <f>parking_demand_data_2024_ver0!E1037*calibration!$I$31</f>
        <v>3.057771331883</v>
      </c>
      <c r="F1037" s="3">
        <f t="shared" si="16"/>
        <v>128.028885665941</v>
      </c>
      <c r="G1037" s="3">
        <f>parking_demand_data_2024_ver0!F1037</f>
        <v>3</v>
      </c>
      <c r="H1037" s="3">
        <f>parking_demand_data_2024_ver0!G1037</f>
        <v>0</v>
      </c>
      <c r="I1037" s="3">
        <f>parking_demand_data_2024_ver0!H1037</f>
        <v>0</v>
      </c>
      <c r="J1037" s="3">
        <f>parking_demand_data_2024_ver0!I1037</f>
        <v>1</v>
      </c>
      <c r="K1037" s="3">
        <f>parking_demand_data_2024_ver0!J1037</f>
        <v>0</v>
      </c>
      <c r="L1037" s="3">
        <f>parking_demand_data_2024_ver0!K1037</f>
        <v>1</v>
      </c>
      <c r="M1037" s="3">
        <f>parking_demand_data_2024_ver0!L1037</f>
        <v>1</v>
      </c>
      <c r="N1037" s="3">
        <f>parking_demand_data_2024_ver0!M1037</f>
        <v>110</v>
      </c>
      <c r="O1037" s="3">
        <f>parking_demand_data_2024_ver0!N1037</f>
        <v>0</v>
      </c>
      <c r="P1037" s="3">
        <f>parking_demand_data_2024_ver0!O1037</f>
        <v>0</v>
      </c>
      <c r="Q1037" s="3">
        <f>parking_demand_data_2024_ver0!P1037</f>
        <v>15</v>
      </c>
      <c r="R1037" s="3">
        <f>parking_demand_data_2024_ver0!Q1037</f>
        <v>0</v>
      </c>
      <c r="S1037" s="3">
        <f>parking_demand_data_2024_ver0!R1037</f>
        <v>50</v>
      </c>
      <c r="T1037" s="3">
        <f>parking_demand_data_2024_ver0!S1037</f>
        <v>45</v>
      </c>
    </row>
    <row r="1038" spans="1:20" x14ac:dyDescent="0.25">
      <c r="A1038">
        <v>18087</v>
      </c>
      <c r="B1038" t="s">
        <v>72</v>
      </c>
      <c r="C1038">
        <v>4</v>
      </c>
      <c r="D1038" s="3">
        <f>parking_demand_data_2024_ver0!D1038*calibration!$I$31</f>
        <v>120.170413343002</v>
      </c>
      <c r="E1038" s="3">
        <f>parking_demand_data_2024_ver0!E1038*calibration!$I$31</f>
        <v>3.2718153251148099</v>
      </c>
      <c r="F1038" s="3">
        <f t="shared" si="16"/>
        <v>123.44222866811681</v>
      </c>
      <c r="G1038" s="3">
        <f>parking_demand_data_2024_ver0!F1038</f>
        <v>3</v>
      </c>
      <c r="H1038" s="3">
        <f>parking_demand_data_2024_ver0!G1038</f>
        <v>0</v>
      </c>
      <c r="I1038" s="3">
        <f>parking_demand_data_2024_ver0!H1038</f>
        <v>0</v>
      </c>
      <c r="J1038" s="3">
        <f>parking_demand_data_2024_ver0!I1038</f>
        <v>1</v>
      </c>
      <c r="K1038" s="3">
        <f>parking_demand_data_2024_ver0!J1038</f>
        <v>0</v>
      </c>
      <c r="L1038" s="3">
        <f>parking_demand_data_2024_ver0!K1038</f>
        <v>1</v>
      </c>
      <c r="M1038" s="3">
        <f>parking_demand_data_2024_ver0!L1038</f>
        <v>1</v>
      </c>
      <c r="N1038" s="3">
        <f>parking_demand_data_2024_ver0!M1038</f>
        <v>110</v>
      </c>
      <c r="O1038" s="3">
        <f>parking_demand_data_2024_ver0!N1038</f>
        <v>0</v>
      </c>
      <c r="P1038" s="3">
        <f>parking_demand_data_2024_ver0!O1038</f>
        <v>0</v>
      </c>
      <c r="Q1038" s="3">
        <f>parking_demand_data_2024_ver0!P1038</f>
        <v>15</v>
      </c>
      <c r="R1038" s="3">
        <f>parking_demand_data_2024_ver0!Q1038</f>
        <v>0</v>
      </c>
      <c r="S1038" s="3">
        <f>parking_demand_data_2024_ver0!R1038</f>
        <v>50</v>
      </c>
      <c r="T1038" s="3">
        <f>parking_demand_data_2024_ver0!S1038</f>
        <v>45</v>
      </c>
    </row>
    <row r="1039" spans="1:20" x14ac:dyDescent="0.25">
      <c r="A1039">
        <v>18087</v>
      </c>
      <c r="B1039" t="s">
        <v>72</v>
      </c>
      <c r="C1039">
        <v>5</v>
      </c>
      <c r="D1039" s="3">
        <f>parking_demand_data_2024_ver0!D1039*calibration!$I$31</f>
        <v>115.27797921198901</v>
      </c>
      <c r="E1039" s="3">
        <f>parking_demand_data_2024_ver0!E1039*calibration!$I$31</f>
        <v>3.2106598984771502</v>
      </c>
      <c r="F1039" s="3">
        <f t="shared" si="16"/>
        <v>118.48863911046615</v>
      </c>
      <c r="G1039" s="3">
        <f>parking_demand_data_2024_ver0!F1039</f>
        <v>3</v>
      </c>
      <c r="H1039" s="3">
        <f>parking_demand_data_2024_ver0!G1039</f>
        <v>0</v>
      </c>
      <c r="I1039" s="3">
        <f>parking_demand_data_2024_ver0!H1039</f>
        <v>0</v>
      </c>
      <c r="J1039" s="3">
        <f>parking_demand_data_2024_ver0!I1039</f>
        <v>1</v>
      </c>
      <c r="K1039" s="3">
        <f>parking_demand_data_2024_ver0!J1039</f>
        <v>0</v>
      </c>
      <c r="L1039" s="3">
        <f>parking_demand_data_2024_ver0!K1039</f>
        <v>1</v>
      </c>
      <c r="M1039" s="3">
        <f>parking_demand_data_2024_ver0!L1039</f>
        <v>1</v>
      </c>
      <c r="N1039" s="3">
        <f>parking_demand_data_2024_ver0!M1039</f>
        <v>110</v>
      </c>
      <c r="O1039" s="3">
        <f>parking_demand_data_2024_ver0!N1039</f>
        <v>0</v>
      </c>
      <c r="P1039" s="3">
        <f>parking_demand_data_2024_ver0!O1039</f>
        <v>0</v>
      </c>
      <c r="Q1039" s="3">
        <f>parking_demand_data_2024_ver0!P1039</f>
        <v>15</v>
      </c>
      <c r="R1039" s="3">
        <f>parking_demand_data_2024_ver0!Q1039</f>
        <v>0</v>
      </c>
      <c r="S1039" s="3">
        <f>parking_demand_data_2024_ver0!R1039</f>
        <v>50</v>
      </c>
      <c r="T1039" s="3">
        <f>parking_demand_data_2024_ver0!S1039</f>
        <v>45</v>
      </c>
    </row>
    <row r="1040" spans="1:20" x14ac:dyDescent="0.25">
      <c r="A1040">
        <v>18087</v>
      </c>
      <c r="B1040" t="s">
        <v>72</v>
      </c>
      <c r="C1040">
        <v>6</v>
      </c>
      <c r="D1040" s="3">
        <f>parking_demand_data_2024_ver0!D1040*calibration!$I$31</f>
        <v>105.46253323664401</v>
      </c>
      <c r="E1040" s="3">
        <f>parking_demand_data_2024_ver0!E1040*calibration!$I$31</f>
        <v>2.38506163886874</v>
      </c>
      <c r="F1040" s="3">
        <f t="shared" si="16"/>
        <v>107.84759487551274</v>
      </c>
      <c r="G1040" s="3">
        <f>parking_demand_data_2024_ver0!F1040</f>
        <v>3</v>
      </c>
      <c r="H1040" s="3">
        <f>parking_demand_data_2024_ver0!G1040</f>
        <v>0</v>
      </c>
      <c r="I1040" s="3">
        <f>parking_demand_data_2024_ver0!H1040</f>
        <v>0</v>
      </c>
      <c r="J1040" s="3">
        <f>parking_demand_data_2024_ver0!I1040</f>
        <v>1</v>
      </c>
      <c r="K1040" s="3">
        <f>parking_demand_data_2024_ver0!J1040</f>
        <v>0</v>
      </c>
      <c r="L1040" s="3">
        <f>parking_demand_data_2024_ver0!K1040</f>
        <v>1</v>
      </c>
      <c r="M1040" s="3">
        <f>parking_demand_data_2024_ver0!L1040</f>
        <v>1</v>
      </c>
      <c r="N1040" s="3">
        <f>parking_demand_data_2024_ver0!M1040</f>
        <v>110</v>
      </c>
      <c r="O1040" s="3">
        <f>parking_demand_data_2024_ver0!N1040</f>
        <v>0</v>
      </c>
      <c r="P1040" s="3">
        <f>parking_demand_data_2024_ver0!O1040</f>
        <v>0</v>
      </c>
      <c r="Q1040" s="3">
        <f>parking_demand_data_2024_ver0!P1040</f>
        <v>15</v>
      </c>
      <c r="R1040" s="3">
        <f>parking_demand_data_2024_ver0!Q1040</f>
        <v>0</v>
      </c>
      <c r="S1040" s="3">
        <f>parking_demand_data_2024_ver0!R1040</f>
        <v>50</v>
      </c>
      <c r="T1040" s="3">
        <f>parking_demand_data_2024_ver0!S1040</f>
        <v>45</v>
      </c>
    </row>
    <row r="1041" spans="1:20" x14ac:dyDescent="0.25">
      <c r="A1041">
        <v>18087</v>
      </c>
      <c r="B1041" t="s">
        <v>72</v>
      </c>
      <c r="C1041">
        <v>7</v>
      </c>
      <c r="D1041" s="3">
        <f>parking_demand_data_2024_ver0!D1041*calibration!$I$31</f>
        <v>90.785230843606399</v>
      </c>
      <c r="E1041" s="3">
        <f>parking_demand_data_2024_ver0!E1041*calibration!$I$31</f>
        <v>2.9048827652888498</v>
      </c>
      <c r="F1041" s="3">
        <f t="shared" si="16"/>
        <v>93.690113608895246</v>
      </c>
      <c r="G1041" s="3">
        <f>parking_demand_data_2024_ver0!F1041</f>
        <v>3</v>
      </c>
      <c r="H1041" s="3">
        <f>parking_demand_data_2024_ver0!G1041</f>
        <v>0</v>
      </c>
      <c r="I1041" s="3">
        <f>parking_demand_data_2024_ver0!H1041</f>
        <v>0</v>
      </c>
      <c r="J1041" s="3">
        <f>parking_demand_data_2024_ver0!I1041</f>
        <v>1</v>
      </c>
      <c r="K1041" s="3">
        <f>parking_demand_data_2024_ver0!J1041</f>
        <v>0</v>
      </c>
      <c r="L1041" s="3">
        <f>parking_demand_data_2024_ver0!K1041</f>
        <v>1</v>
      </c>
      <c r="M1041" s="3">
        <f>parking_demand_data_2024_ver0!L1041</f>
        <v>1</v>
      </c>
      <c r="N1041" s="3">
        <f>parking_demand_data_2024_ver0!M1041</f>
        <v>110</v>
      </c>
      <c r="O1041" s="3">
        <f>parking_demand_data_2024_ver0!N1041</f>
        <v>0</v>
      </c>
      <c r="P1041" s="3">
        <f>parking_demand_data_2024_ver0!O1041</f>
        <v>0</v>
      </c>
      <c r="Q1041" s="3">
        <f>parking_demand_data_2024_ver0!P1041</f>
        <v>15</v>
      </c>
      <c r="R1041" s="3">
        <f>parking_demand_data_2024_ver0!Q1041</f>
        <v>0</v>
      </c>
      <c r="S1041" s="3">
        <f>parking_demand_data_2024_ver0!R1041</f>
        <v>50</v>
      </c>
      <c r="T1041" s="3">
        <f>parking_demand_data_2024_ver0!S1041</f>
        <v>45</v>
      </c>
    </row>
    <row r="1042" spans="1:20" x14ac:dyDescent="0.25">
      <c r="A1042">
        <v>18087</v>
      </c>
      <c r="B1042" t="s">
        <v>72</v>
      </c>
      <c r="C1042">
        <v>8</v>
      </c>
      <c r="D1042" s="3">
        <f>parking_demand_data_2024_ver0!D1042*calibration!$I$31</f>
        <v>72.683224558858996</v>
      </c>
      <c r="E1042" s="3">
        <f>parking_demand_data_2024_ver0!E1042*calibration!$I$31</f>
        <v>3.3635484650712999</v>
      </c>
      <c r="F1042" s="3">
        <f t="shared" si="16"/>
        <v>76.046773023930299</v>
      </c>
      <c r="G1042" s="3">
        <f>parking_demand_data_2024_ver0!F1042</f>
        <v>3</v>
      </c>
      <c r="H1042" s="3">
        <f>parking_demand_data_2024_ver0!G1042</f>
        <v>0</v>
      </c>
      <c r="I1042" s="3">
        <f>parking_demand_data_2024_ver0!H1042</f>
        <v>0</v>
      </c>
      <c r="J1042" s="3">
        <f>parking_demand_data_2024_ver0!I1042</f>
        <v>1</v>
      </c>
      <c r="K1042" s="3">
        <f>parking_demand_data_2024_ver0!J1042</f>
        <v>0</v>
      </c>
      <c r="L1042" s="3">
        <f>parking_demand_data_2024_ver0!K1042</f>
        <v>1</v>
      </c>
      <c r="M1042" s="3">
        <f>parking_demand_data_2024_ver0!L1042</f>
        <v>1</v>
      </c>
      <c r="N1042" s="3">
        <f>parking_demand_data_2024_ver0!M1042</f>
        <v>110</v>
      </c>
      <c r="O1042" s="3">
        <f>parking_demand_data_2024_ver0!N1042</f>
        <v>0</v>
      </c>
      <c r="P1042" s="3">
        <f>parking_demand_data_2024_ver0!O1042</f>
        <v>0</v>
      </c>
      <c r="Q1042" s="3">
        <f>parking_demand_data_2024_ver0!P1042</f>
        <v>15</v>
      </c>
      <c r="R1042" s="3">
        <f>parking_demand_data_2024_ver0!Q1042</f>
        <v>0</v>
      </c>
      <c r="S1042" s="3">
        <f>parking_demand_data_2024_ver0!R1042</f>
        <v>50</v>
      </c>
      <c r="T1042" s="3">
        <f>parking_demand_data_2024_ver0!S1042</f>
        <v>45</v>
      </c>
    </row>
    <row r="1043" spans="1:20" x14ac:dyDescent="0.25">
      <c r="A1043">
        <v>18087</v>
      </c>
      <c r="B1043" t="s">
        <v>72</v>
      </c>
      <c r="C1043">
        <v>9</v>
      </c>
      <c r="D1043" s="3">
        <f>parking_demand_data_2024_ver0!D1043*calibration!$I$31</f>
        <v>58.648054145515999</v>
      </c>
      <c r="E1043" s="3">
        <f>parking_demand_data_2024_ver0!E1043*calibration!$I$31</f>
        <v>3.5164370316654501</v>
      </c>
      <c r="F1043" s="3">
        <f t="shared" si="16"/>
        <v>62.164491177181446</v>
      </c>
      <c r="G1043" s="3">
        <f>parking_demand_data_2024_ver0!F1043</f>
        <v>3</v>
      </c>
      <c r="H1043" s="3">
        <f>parking_demand_data_2024_ver0!G1043</f>
        <v>0</v>
      </c>
      <c r="I1043" s="3">
        <f>parking_demand_data_2024_ver0!H1043</f>
        <v>0</v>
      </c>
      <c r="J1043" s="3">
        <f>parking_demand_data_2024_ver0!I1043</f>
        <v>1</v>
      </c>
      <c r="K1043" s="3">
        <f>parking_demand_data_2024_ver0!J1043</f>
        <v>0</v>
      </c>
      <c r="L1043" s="3">
        <f>parking_demand_data_2024_ver0!K1043</f>
        <v>1</v>
      </c>
      <c r="M1043" s="3">
        <f>parking_demand_data_2024_ver0!L1043</f>
        <v>1</v>
      </c>
      <c r="N1043" s="3">
        <f>parking_demand_data_2024_ver0!M1043</f>
        <v>110</v>
      </c>
      <c r="O1043" s="3">
        <f>parking_demand_data_2024_ver0!N1043</f>
        <v>0</v>
      </c>
      <c r="P1043" s="3">
        <f>parking_demand_data_2024_ver0!O1043</f>
        <v>0</v>
      </c>
      <c r="Q1043" s="3">
        <f>parking_demand_data_2024_ver0!P1043</f>
        <v>15</v>
      </c>
      <c r="R1043" s="3">
        <f>parking_demand_data_2024_ver0!Q1043</f>
        <v>0</v>
      </c>
      <c r="S1043" s="3">
        <f>parking_demand_data_2024_ver0!R1043</f>
        <v>50</v>
      </c>
      <c r="T1043" s="3">
        <f>parking_demand_data_2024_ver0!S1043</f>
        <v>45</v>
      </c>
    </row>
    <row r="1044" spans="1:20" x14ac:dyDescent="0.25">
      <c r="A1044">
        <v>18087</v>
      </c>
      <c r="B1044" t="s">
        <v>72</v>
      </c>
      <c r="C1044">
        <v>10</v>
      </c>
      <c r="D1044" s="3">
        <f>parking_demand_data_2024_ver0!D1044*calibration!$I$31</f>
        <v>52.257312061880597</v>
      </c>
      <c r="E1044" s="3">
        <f>parking_demand_data_2024_ver0!E1044*calibration!$I$31</f>
        <v>3.33297075175247</v>
      </c>
      <c r="F1044" s="3">
        <f t="shared" si="16"/>
        <v>55.590282813633067</v>
      </c>
      <c r="G1044" s="3">
        <f>parking_demand_data_2024_ver0!F1044</f>
        <v>3</v>
      </c>
      <c r="H1044" s="3">
        <f>parking_demand_data_2024_ver0!G1044</f>
        <v>0</v>
      </c>
      <c r="I1044" s="3">
        <f>parking_demand_data_2024_ver0!H1044</f>
        <v>0</v>
      </c>
      <c r="J1044" s="3">
        <f>parking_demand_data_2024_ver0!I1044</f>
        <v>1</v>
      </c>
      <c r="K1044" s="3">
        <f>parking_demand_data_2024_ver0!J1044</f>
        <v>0</v>
      </c>
      <c r="L1044" s="3">
        <f>parking_demand_data_2024_ver0!K1044</f>
        <v>1</v>
      </c>
      <c r="M1044" s="3">
        <f>parking_demand_data_2024_ver0!L1044</f>
        <v>1</v>
      </c>
      <c r="N1044" s="3">
        <f>parking_demand_data_2024_ver0!M1044</f>
        <v>110</v>
      </c>
      <c r="O1044" s="3">
        <f>parking_demand_data_2024_ver0!N1044</f>
        <v>0</v>
      </c>
      <c r="P1044" s="3">
        <f>parking_demand_data_2024_ver0!O1044</f>
        <v>0</v>
      </c>
      <c r="Q1044" s="3">
        <f>parking_demand_data_2024_ver0!P1044</f>
        <v>15</v>
      </c>
      <c r="R1044" s="3">
        <f>parking_demand_data_2024_ver0!Q1044</f>
        <v>0</v>
      </c>
      <c r="S1044" s="3">
        <f>parking_demand_data_2024_ver0!R1044</f>
        <v>50</v>
      </c>
      <c r="T1044" s="3">
        <f>parking_demand_data_2024_ver0!S1044</f>
        <v>45</v>
      </c>
    </row>
    <row r="1045" spans="1:20" x14ac:dyDescent="0.25">
      <c r="A1045">
        <v>18087</v>
      </c>
      <c r="B1045" t="s">
        <v>72</v>
      </c>
      <c r="C1045">
        <v>11</v>
      </c>
      <c r="D1045" s="3">
        <f>parking_demand_data_2024_ver0!D1045*calibration!$I$31</f>
        <v>52.257312061880597</v>
      </c>
      <c r="E1045" s="3">
        <f>parking_demand_data_2024_ver0!E1045*calibration!$I$31</f>
        <v>3.057771331883</v>
      </c>
      <c r="F1045" s="3">
        <f t="shared" si="16"/>
        <v>55.315083393763601</v>
      </c>
      <c r="G1045" s="3">
        <f>parking_demand_data_2024_ver0!F1045</f>
        <v>3</v>
      </c>
      <c r="H1045" s="3">
        <f>parking_demand_data_2024_ver0!G1045</f>
        <v>0</v>
      </c>
      <c r="I1045" s="3">
        <f>parking_demand_data_2024_ver0!H1045</f>
        <v>0</v>
      </c>
      <c r="J1045" s="3">
        <f>parking_demand_data_2024_ver0!I1045</f>
        <v>1</v>
      </c>
      <c r="K1045" s="3">
        <f>parking_demand_data_2024_ver0!J1045</f>
        <v>0</v>
      </c>
      <c r="L1045" s="3">
        <f>parking_demand_data_2024_ver0!K1045</f>
        <v>1</v>
      </c>
      <c r="M1045" s="3">
        <f>parking_demand_data_2024_ver0!L1045</f>
        <v>1</v>
      </c>
      <c r="N1045" s="3">
        <f>parking_demand_data_2024_ver0!M1045</f>
        <v>110</v>
      </c>
      <c r="O1045" s="3">
        <f>parking_demand_data_2024_ver0!N1045</f>
        <v>0</v>
      </c>
      <c r="P1045" s="3">
        <f>parking_demand_data_2024_ver0!O1045</f>
        <v>0</v>
      </c>
      <c r="Q1045" s="3">
        <f>parking_demand_data_2024_ver0!P1045</f>
        <v>15</v>
      </c>
      <c r="R1045" s="3">
        <f>parking_demand_data_2024_ver0!Q1045</f>
        <v>0</v>
      </c>
      <c r="S1045" s="3">
        <f>parking_demand_data_2024_ver0!R1045</f>
        <v>50</v>
      </c>
      <c r="T1045" s="3">
        <f>parking_demand_data_2024_ver0!S1045</f>
        <v>45</v>
      </c>
    </row>
    <row r="1046" spans="1:20" x14ac:dyDescent="0.25">
      <c r="A1046">
        <v>18087</v>
      </c>
      <c r="B1046" t="s">
        <v>72</v>
      </c>
      <c r="C1046">
        <v>12</v>
      </c>
      <c r="D1046" s="3">
        <f>parking_demand_data_2024_ver0!D1046*calibration!$I$31</f>
        <v>54.581218274111599</v>
      </c>
      <c r="E1046" s="3">
        <f>parking_demand_data_2024_ver0!E1046*calibration!$I$31</f>
        <v>2.2627507855934201</v>
      </c>
      <c r="F1046" s="3">
        <f t="shared" si="16"/>
        <v>56.843969059705017</v>
      </c>
      <c r="G1046" s="3">
        <f>parking_demand_data_2024_ver0!F1046</f>
        <v>3</v>
      </c>
      <c r="H1046" s="3">
        <f>parking_demand_data_2024_ver0!G1046</f>
        <v>0</v>
      </c>
      <c r="I1046" s="3">
        <f>parking_demand_data_2024_ver0!H1046</f>
        <v>0</v>
      </c>
      <c r="J1046" s="3">
        <f>parking_demand_data_2024_ver0!I1046</f>
        <v>1</v>
      </c>
      <c r="K1046" s="3">
        <f>parking_demand_data_2024_ver0!J1046</f>
        <v>0</v>
      </c>
      <c r="L1046" s="3">
        <f>parking_demand_data_2024_ver0!K1046</f>
        <v>1</v>
      </c>
      <c r="M1046" s="3">
        <f>parking_demand_data_2024_ver0!L1046</f>
        <v>1</v>
      </c>
      <c r="N1046" s="3">
        <f>parking_demand_data_2024_ver0!M1046</f>
        <v>110</v>
      </c>
      <c r="O1046" s="3">
        <f>parking_demand_data_2024_ver0!N1046</f>
        <v>0</v>
      </c>
      <c r="P1046" s="3">
        <f>parking_demand_data_2024_ver0!O1046</f>
        <v>0</v>
      </c>
      <c r="Q1046" s="3">
        <f>parking_demand_data_2024_ver0!P1046</f>
        <v>15</v>
      </c>
      <c r="R1046" s="3">
        <f>parking_demand_data_2024_ver0!Q1046</f>
        <v>0</v>
      </c>
      <c r="S1046" s="3">
        <f>parking_demand_data_2024_ver0!R1046</f>
        <v>50</v>
      </c>
      <c r="T1046" s="3">
        <f>parking_demand_data_2024_ver0!S1046</f>
        <v>45</v>
      </c>
    </row>
    <row r="1047" spans="1:20" x14ac:dyDescent="0.25">
      <c r="A1047">
        <v>18087</v>
      </c>
      <c r="B1047" t="s">
        <v>72</v>
      </c>
      <c r="C1047">
        <v>13</v>
      </c>
      <c r="D1047" s="3">
        <f>parking_demand_data_2024_ver0!D1047*calibration!$I$31</f>
        <v>56.385303359922602</v>
      </c>
      <c r="E1047" s="3">
        <f>parking_demand_data_2024_ver0!E1047*calibration!$I$31</f>
        <v>2.10986221899927</v>
      </c>
      <c r="F1047" s="3">
        <f t="shared" si="16"/>
        <v>58.495165578921871</v>
      </c>
      <c r="G1047" s="3">
        <f>parking_demand_data_2024_ver0!F1047</f>
        <v>3</v>
      </c>
      <c r="H1047" s="3">
        <f>parking_demand_data_2024_ver0!G1047</f>
        <v>0</v>
      </c>
      <c r="I1047" s="3">
        <f>parking_demand_data_2024_ver0!H1047</f>
        <v>0</v>
      </c>
      <c r="J1047" s="3">
        <f>parking_demand_data_2024_ver0!I1047</f>
        <v>1</v>
      </c>
      <c r="K1047" s="3">
        <f>parking_demand_data_2024_ver0!J1047</f>
        <v>0</v>
      </c>
      <c r="L1047" s="3">
        <f>parking_demand_data_2024_ver0!K1047</f>
        <v>1</v>
      </c>
      <c r="M1047" s="3">
        <f>parking_demand_data_2024_ver0!L1047</f>
        <v>1</v>
      </c>
      <c r="N1047" s="3">
        <f>parking_demand_data_2024_ver0!M1047</f>
        <v>110</v>
      </c>
      <c r="O1047" s="3">
        <f>parking_demand_data_2024_ver0!N1047</f>
        <v>0</v>
      </c>
      <c r="P1047" s="3">
        <f>parking_demand_data_2024_ver0!O1047</f>
        <v>0</v>
      </c>
      <c r="Q1047" s="3">
        <f>parking_demand_data_2024_ver0!P1047</f>
        <v>15</v>
      </c>
      <c r="R1047" s="3">
        <f>parking_demand_data_2024_ver0!Q1047</f>
        <v>0</v>
      </c>
      <c r="S1047" s="3">
        <f>parking_demand_data_2024_ver0!R1047</f>
        <v>50</v>
      </c>
      <c r="T1047" s="3">
        <f>parking_demand_data_2024_ver0!S1047</f>
        <v>45</v>
      </c>
    </row>
    <row r="1048" spans="1:20" x14ac:dyDescent="0.25">
      <c r="A1048">
        <v>18087</v>
      </c>
      <c r="B1048" t="s">
        <v>72</v>
      </c>
      <c r="C1048">
        <v>14</v>
      </c>
      <c r="D1048" s="3">
        <f>parking_demand_data_2024_ver0!D1048*calibration!$I$31</f>
        <v>58.464587865603001</v>
      </c>
      <c r="E1048" s="3">
        <f>parking_demand_data_2024_ver0!E1048*calibration!$I$31</f>
        <v>1.7429296591733101</v>
      </c>
      <c r="F1048" s="3">
        <f t="shared" si="16"/>
        <v>60.207517524776314</v>
      </c>
      <c r="G1048" s="3">
        <f>parking_demand_data_2024_ver0!F1048</f>
        <v>3</v>
      </c>
      <c r="H1048" s="3">
        <f>parking_demand_data_2024_ver0!G1048</f>
        <v>0</v>
      </c>
      <c r="I1048" s="3">
        <f>parking_demand_data_2024_ver0!H1048</f>
        <v>0</v>
      </c>
      <c r="J1048" s="3">
        <f>parking_demand_data_2024_ver0!I1048</f>
        <v>1</v>
      </c>
      <c r="K1048" s="3">
        <f>parking_demand_data_2024_ver0!J1048</f>
        <v>0</v>
      </c>
      <c r="L1048" s="3">
        <f>parking_demand_data_2024_ver0!K1048</f>
        <v>1</v>
      </c>
      <c r="M1048" s="3">
        <f>parking_demand_data_2024_ver0!L1048</f>
        <v>1</v>
      </c>
      <c r="N1048" s="3">
        <f>parking_demand_data_2024_ver0!M1048</f>
        <v>110</v>
      </c>
      <c r="O1048" s="3">
        <f>parking_demand_data_2024_ver0!N1048</f>
        <v>0</v>
      </c>
      <c r="P1048" s="3">
        <f>parking_demand_data_2024_ver0!O1048</f>
        <v>0</v>
      </c>
      <c r="Q1048" s="3">
        <f>parking_demand_data_2024_ver0!P1048</f>
        <v>15</v>
      </c>
      <c r="R1048" s="3">
        <f>parking_demand_data_2024_ver0!Q1048</f>
        <v>0</v>
      </c>
      <c r="S1048" s="3">
        <f>parking_demand_data_2024_ver0!R1048</f>
        <v>50</v>
      </c>
      <c r="T1048" s="3">
        <f>parking_demand_data_2024_ver0!S1048</f>
        <v>45</v>
      </c>
    </row>
    <row r="1049" spans="1:20" x14ac:dyDescent="0.25">
      <c r="A1049">
        <v>18087</v>
      </c>
      <c r="B1049" t="s">
        <v>72</v>
      </c>
      <c r="C1049">
        <v>15</v>
      </c>
      <c r="D1049" s="3">
        <f>parking_demand_data_2024_ver0!D1049*calibration!$I$31</f>
        <v>60.910804931109404</v>
      </c>
      <c r="E1049" s="3">
        <f>parking_demand_data_2024_ver0!E1049*calibration!$I$31</f>
        <v>1.2536862460720299</v>
      </c>
      <c r="F1049" s="3">
        <f t="shared" si="16"/>
        <v>62.164491177181432</v>
      </c>
      <c r="G1049" s="3">
        <f>parking_demand_data_2024_ver0!F1049</f>
        <v>3</v>
      </c>
      <c r="H1049" s="3">
        <f>parking_demand_data_2024_ver0!G1049</f>
        <v>0</v>
      </c>
      <c r="I1049" s="3">
        <f>parking_demand_data_2024_ver0!H1049</f>
        <v>0</v>
      </c>
      <c r="J1049" s="3">
        <f>parking_demand_data_2024_ver0!I1049</f>
        <v>1</v>
      </c>
      <c r="K1049" s="3">
        <f>parking_demand_data_2024_ver0!J1049</f>
        <v>0</v>
      </c>
      <c r="L1049" s="3">
        <f>parking_demand_data_2024_ver0!K1049</f>
        <v>1</v>
      </c>
      <c r="M1049" s="3">
        <f>parking_demand_data_2024_ver0!L1049</f>
        <v>1</v>
      </c>
      <c r="N1049" s="3">
        <f>parking_demand_data_2024_ver0!M1049</f>
        <v>110</v>
      </c>
      <c r="O1049" s="3">
        <f>parking_demand_data_2024_ver0!N1049</f>
        <v>0</v>
      </c>
      <c r="P1049" s="3">
        <f>parking_demand_data_2024_ver0!O1049</f>
        <v>0</v>
      </c>
      <c r="Q1049" s="3">
        <f>parking_demand_data_2024_ver0!P1049</f>
        <v>15</v>
      </c>
      <c r="R1049" s="3">
        <f>parking_demand_data_2024_ver0!Q1049</f>
        <v>0</v>
      </c>
      <c r="S1049" s="3">
        <f>parking_demand_data_2024_ver0!R1049</f>
        <v>50</v>
      </c>
      <c r="T1049" s="3">
        <f>parking_demand_data_2024_ver0!S1049</f>
        <v>45</v>
      </c>
    </row>
    <row r="1050" spans="1:20" x14ac:dyDescent="0.25">
      <c r="A1050">
        <v>18087</v>
      </c>
      <c r="B1050" t="s">
        <v>72</v>
      </c>
      <c r="C1050">
        <v>16</v>
      </c>
      <c r="D1050" s="3">
        <f>parking_demand_data_2024_ver0!D1050*calibration!$I$31</f>
        <v>66.323060188542399</v>
      </c>
      <c r="E1050" s="3">
        <f>parking_demand_data_2024_ver0!E1050*calibration!$I$31</f>
        <v>0.73386511965192103</v>
      </c>
      <c r="F1050" s="3">
        <f t="shared" si="16"/>
        <v>67.056925308194323</v>
      </c>
      <c r="G1050" s="3">
        <f>parking_demand_data_2024_ver0!F1050</f>
        <v>3</v>
      </c>
      <c r="H1050" s="3">
        <f>parking_demand_data_2024_ver0!G1050</f>
        <v>0</v>
      </c>
      <c r="I1050" s="3">
        <f>parking_demand_data_2024_ver0!H1050</f>
        <v>0</v>
      </c>
      <c r="J1050" s="3">
        <f>parking_demand_data_2024_ver0!I1050</f>
        <v>1</v>
      </c>
      <c r="K1050" s="3">
        <f>parking_demand_data_2024_ver0!J1050</f>
        <v>0</v>
      </c>
      <c r="L1050" s="3">
        <f>parking_demand_data_2024_ver0!K1050</f>
        <v>1</v>
      </c>
      <c r="M1050" s="3">
        <f>parking_demand_data_2024_ver0!L1050</f>
        <v>1</v>
      </c>
      <c r="N1050" s="3">
        <f>parking_demand_data_2024_ver0!M1050</f>
        <v>110</v>
      </c>
      <c r="O1050" s="3">
        <f>parking_demand_data_2024_ver0!N1050</f>
        <v>0</v>
      </c>
      <c r="P1050" s="3">
        <f>parking_demand_data_2024_ver0!O1050</f>
        <v>0</v>
      </c>
      <c r="Q1050" s="3">
        <f>parking_demand_data_2024_ver0!P1050</f>
        <v>15</v>
      </c>
      <c r="R1050" s="3">
        <f>parking_demand_data_2024_ver0!Q1050</f>
        <v>0</v>
      </c>
      <c r="S1050" s="3">
        <f>parking_demand_data_2024_ver0!R1050</f>
        <v>50</v>
      </c>
      <c r="T1050" s="3">
        <f>parking_demand_data_2024_ver0!S1050</f>
        <v>45</v>
      </c>
    </row>
    <row r="1051" spans="1:20" x14ac:dyDescent="0.25">
      <c r="A1051">
        <v>18087</v>
      </c>
      <c r="B1051" t="s">
        <v>72</v>
      </c>
      <c r="C1051">
        <v>17</v>
      </c>
      <c r="D1051" s="3">
        <f>parking_demand_data_2024_ver0!D1051*calibration!$I$31</f>
        <v>69.992385786802004</v>
      </c>
      <c r="E1051" s="3">
        <f>parking_demand_data_2024_ver0!E1051*calibration!$I$31</f>
        <v>0.55039883973894099</v>
      </c>
      <c r="F1051" s="3">
        <f t="shared" si="16"/>
        <v>70.54278462654095</v>
      </c>
      <c r="G1051" s="3">
        <f>parking_demand_data_2024_ver0!F1051</f>
        <v>3</v>
      </c>
      <c r="H1051" s="3">
        <f>parking_demand_data_2024_ver0!G1051</f>
        <v>0</v>
      </c>
      <c r="I1051" s="3">
        <f>parking_demand_data_2024_ver0!H1051</f>
        <v>0</v>
      </c>
      <c r="J1051" s="3">
        <f>parking_demand_data_2024_ver0!I1051</f>
        <v>1</v>
      </c>
      <c r="K1051" s="3">
        <f>parking_demand_data_2024_ver0!J1051</f>
        <v>0</v>
      </c>
      <c r="L1051" s="3">
        <f>parking_demand_data_2024_ver0!K1051</f>
        <v>1</v>
      </c>
      <c r="M1051" s="3">
        <f>parking_demand_data_2024_ver0!L1051</f>
        <v>1</v>
      </c>
      <c r="N1051" s="3">
        <f>parking_demand_data_2024_ver0!M1051</f>
        <v>110</v>
      </c>
      <c r="O1051" s="3">
        <f>parking_demand_data_2024_ver0!N1051</f>
        <v>0</v>
      </c>
      <c r="P1051" s="3">
        <f>parking_demand_data_2024_ver0!O1051</f>
        <v>0</v>
      </c>
      <c r="Q1051" s="3">
        <f>parking_demand_data_2024_ver0!P1051</f>
        <v>15</v>
      </c>
      <c r="R1051" s="3">
        <f>parking_demand_data_2024_ver0!Q1051</f>
        <v>0</v>
      </c>
      <c r="S1051" s="3">
        <f>parking_demand_data_2024_ver0!R1051</f>
        <v>50</v>
      </c>
      <c r="T1051" s="3">
        <f>parking_demand_data_2024_ver0!S1051</f>
        <v>45</v>
      </c>
    </row>
    <row r="1052" spans="1:20" x14ac:dyDescent="0.25">
      <c r="A1052">
        <v>18087</v>
      </c>
      <c r="B1052" t="s">
        <v>72</v>
      </c>
      <c r="C1052">
        <v>18</v>
      </c>
      <c r="D1052" s="3">
        <f>parking_demand_data_2024_ver0!D1052*calibration!$I$31</f>
        <v>77.789702683103698</v>
      </c>
      <c r="E1052" s="3">
        <f>parking_demand_data_2024_ver0!E1052*calibration!$I$31</f>
        <v>0.39751027314478998</v>
      </c>
      <c r="F1052" s="3">
        <f t="shared" si="16"/>
        <v>78.187212956248487</v>
      </c>
      <c r="G1052" s="3">
        <f>parking_demand_data_2024_ver0!F1052</f>
        <v>3</v>
      </c>
      <c r="H1052" s="3">
        <f>parking_demand_data_2024_ver0!G1052</f>
        <v>0</v>
      </c>
      <c r="I1052" s="3">
        <f>parking_demand_data_2024_ver0!H1052</f>
        <v>0</v>
      </c>
      <c r="J1052" s="3">
        <f>parking_demand_data_2024_ver0!I1052</f>
        <v>1</v>
      </c>
      <c r="K1052" s="3">
        <f>parking_demand_data_2024_ver0!J1052</f>
        <v>0</v>
      </c>
      <c r="L1052" s="3">
        <f>parking_demand_data_2024_ver0!K1052</f>
        <v>1</v>
      </c>
      <c r="M1052" s="3">
        <f>parking_demand_data_2024_ver0!L1052</f>
        <v>1</v>
      </c>
      <c r="N1052" s="3">
        <f>parking_demand_data_2024_ver0!M1052</f>
        <v>110</v>
      </c>
      <c r="O1052" s="3">
        <f>parking_demand_data_2024_ver0!N1052</f>
        <v>0</v>
      </c>
      <c r="P1052" s="3">
        <f>parking_demand_data_2024_ver0!O1052</f>
        <v>0</v>
      </c>
      <c r="Q1052" s="3">
        <f>parking_demand_data_2024_ver0!P1052</f>
        <v>15</v>
      </c>
      <c r="R1052" s="3">
        <f>parking_demand_data_2024_ver0!Q1052</f>
        <v>0</v>
      </c>
      <c r="S1052" s="3">
        <f>parking_demand_data_2024_ver0!R1052</f>
        <v>50</v>
      </c>
      <c r="T1052" s="3">
        <f>parking_demand_data_2024_ver0!S1052</f>
        <v>45</v>
      </c>
    </row>
    <row r="1053" spans="1:20" x14ac:dyDescent="0.25">
      <c r="A1053">
        <v>18087</v>
      </c>
      <c r="B1053" t="s">
        <v>72</v>
      </c>
      <c r="C1053">
        <v>19</v>
      </c>
      <c r="D1053" s="3">
        <f>parking_demand_data_2024_ver0!D1053*calibration!$I$31</f>
        <v>87.819192651679899</v>
      </c>
      <c r="E1053" s="3">
        <f>parking_demand_data_2024_ver0!E1053*calibration!$I$31</f>
        <v>0.33635484650712999</v>
      </c>
      <c r="F1053" s="3">
        <f t="shared" si="16"/>
        <v>88.155547498187033</v>
      </c>
      <c r="G1053" s="3">
        <f>parking_demand_data_2024_ver0!F1053</f>
        <v>3</v>
      </c>
      <c r="H1053" s="3">
        <f>parking_demand_data_2024_ver0!G1053</f>
        <v>0</v>
      </c>
      <c r="I1053" s="3">
        <f>parking_demand_data_2024_ver0!H1053</f>
        <v>0</v>
      </c>
      <c r="J1053" s="3">
        <f>parking_demand_data_2024_ver0!I1053</f>
        <v>1</v>
      </c>
      <c r="K1053" s="3">
        <f>parking_demand_data_2024_ver0!J1053</f>
        <v>0</v>
      </c>
      <c r="L1053" s="3">
        <f>parking_demand_data_2024_ver0!K1053</f>
        <v>1</v>
      </c>
      <c r="M1053" s="3">
        <f>parking_demand_data_2024_ver0!L1053</f>
        <v>1</v>
      </c>
      <c r="N1053" s="3">
        <f>parking_demand_data_2024_ver0!M1053</f>
        <v>110</v>
      </c>
      <c r="O1053" s="3">
        <f>parking_demand_data_2024_ver0!N1053</f>
        <v>0</v>
      </c>
      <c r="P1053" s="3">
        <f>parking_demand_data_2024_ver0!O1053</f>
        <v>0</v>
      </c>
      <c r="Q1053" s="3">
        <f>parking_demand_data_2024_ver0!P1053</f>
        <v>15</v>
      </c>
      <c r="R1053" s="3">
        <f>parking_demand_data_2024_ver0!Q1053</f>
        <v>0</v>
      </c>
      <c r="S1053" s="3">
        <f>parking_demand_data_2024_ver0!R1053</f>
        <v>50</v>
      </c>
      <c r="T1053" s="3">
        <f>parking_demand_data_2024_ver0!S1053</f>
        <v>45</v>
      </c>
    </row>
    <row r="1054" spans="1:20" x14ac:dyDescent="0.25">
      <c r="A1054">
        <v>18087</v>
      </c>
      <c r="B1054" t="s">
        <v>72</v>
      </c>
      <c r="C1054">
        <v>20</v>
      </c>
      <c r="D1054" s="3">
        <f>parking_demand_data_2024_ver0!D1054*calibration!$I$31</f>
        <v>98.399081459995102</v>
      </c>
      <c r="E1054" s="3">
        <f>parking_demand_data_2024_ver0!E1054*calibration!$I$31</f>
        <v>0.24462170655064</v>
      </c>
      <c r="F1054" s="3">
        <f t="shared" si="16"/>
        <v>98.643703166545748</v>
      </c>
      <c r="G1054" s="3">
        <f>parking_demand_data_2024_ver0!F1054</f>
        <v>3</v>
      </c>
      <c r="H1054" s="3">
        <f>parking_demand_data_2024_ver0!G1054</f>
        <v>0</v>
      </c>
      <c r="I1054" s="3">
        <f>parking_demand_data_2024_ver0!H1054</f>
        <v>0</v>
      </c>
      <c r="J1054" s="3">
        <f>parking_demand_data_2024_ver0!I1054</f>
        <v>1</v>
      </c>
      <c r="K1054" s="3">
        <f>parking_demand_data_2024_ver0!J1054</f>
        <v>0</v>
      </c>
      <c r="L1054" s="3">
        <f>parking_demand_data_2024_ver0!K1054</f>
        <v>1</v>
      </c>
      <c r="M1054" s="3">
        <f>parking_demand_data_2024_ver0!L1054</f>
        <v>1</v>
      </c>
      <c r="N1054" s="3">
        <f>parking_demand_data_2024_ver0!M1054</f>
        <v>110</v>
      </c>
      <c r="O1054" s="3">
        <f>parking_demand_data_2024_ver0!N1054</f>
        <v>0</v>
      </c>
      <c r="P1054" s="3">
        <f>parking_demand_data_2024_ver0!O1054</f>
        <v>0</v>
      </c>
      <c r="Q1054" s="3">
        <f>parking_demand_data_2024_ver0!P1054</f>
        <v>15</v>
      </c>
      <c r="R1054" s="3">
        <f>parking_demand_data_2024_ver0!Q1054</f>
        <v>0</v>
      </c>
      <c r="S1054" s="3">
        <f>parking_demand_data_2024_ver0!R1054</f>
        <v>50</v>
      </c>
      <c r="T1054" s="3">
        <f>parking_demand_data_2024_ver0!S1054</f>
        <v>45</v>
      </c>
    </row>
    <row r="1055" spans="1:20" x14ac:dyDescent="0.25">
      <c r="A1055">
        <v>18087</v>
      </c>
      <c r="B1055" t="s">
        <v>72</v>
      </c>
      <c r="C1055">
        <v>21</v>
      </c>
      <c r="D1055" s="3">
        <f>parking_demand_data_2024_ver0!D1055*calibration!$I$31</f>
        <v>105.737732656514</v>
      </c>
      <c r="E1055" s="3">
        <f>parking_demand_data_2024_ver0!E1055*calibration!$I$31</f>
        <v>0.45866569978245098</v>
      </c>
      <c r="F1055" s="3">
        <f t="shared" si="16"/>
        <v>106.19639835629646</v>
      </c>
      <c r="G1055" s="3">
        <f>parking_demand_data_2024_ver0!F1055</f>
        <v>3</v>
      </c>
      <c r="H1055" s="3">
        <f>parking_demand_data_2024_ver0!G1055</f>
        <v>0</v>
      </c>
      <c r="I1055" s="3">
        <f>parking_demand_data_2024_ver0!H1055</f>
        <v>0</v>
      </c>
      <c r="J1055" s="3">
        <f>parking_demand_data_2024_ver0!I1055</f>
        <v>1</v>
      </c>
      <c r="K1055" s="3">
        <f>parking_demand_data_2024_ver0!J1055</f>
        <v>0</v>
      </c>
      <c r="L1055" s="3">
        <f>parking_demand_data_2024_ver0!K1055</f>
        <v>1</v>
      </c>
      <c r="M1055" s="3">
        <f>parking_demand_data_2024_ver0!L1055</f>
        <v>1</v>
      </c>
      <c r="N1055" s="3">
        <f>parking_demand_data_2024_ver0!M1055</f>
        <v>110</v>
      </c>
      <c r="O1055" s="3">
        <f>parking_demand_data_2024_ver0!N1055</f>
        <v>0</v>
      </c>
      <c r="P1055" s="3">
        <f>parking_demand_data_2024_ver0!O1055</f>
        <v>0</v>
      </c>
      <c r="Q1055" s="3">
        <f>parking_demand_data_2024_ver0!P1055</f>
        <v>15</v>
      </c>
      <c r="R1055" s="3">
        <f>parking_demand_data_2024_ver0!Q1055</f>
        <v>0</v>
      </c>
      <c r="S1055" s="3">
        <f>parking_demand_data_2024_ver0!R1055</f>
        <v>50</v>
      </c>
      <c r="T1055" s="3">
        <f>parking_demand_data_2024_ver0!S1055</f>
        <v>45</v>
      </c>
    </row>
    <row r="1056" spans="1:20" x14ac:dyDescent="0.25">
      <c r="A1056">
        <v>18087</v>
      </c>
      <c r="B1056" t="s">
        <v>72</v>
      </c>
      <c r="C1056">
        <v>22</v>
      </c>
      <c r="D1056" s="3">
        <f>parking_demand_data_2024_ver0!D1056*calibration!$I$31</f>
        <v>111.08883248730901</v>
      </c>
      <c r="E1056" s="3">
        <f>parking_demand_data_2024_ver0!E1056*calibration!$I$31</f>
        <v>0.91733139956490195</v>
      </c>
      <c r="F1056" s="3">
        <f t="shared" si="16"/>
        <v>112.00616388687391</v>
      </c>
      <c r="G1056" s="3">
        <f>parking_demand_data_2024_ver0!F1056</f>
        <v>3</v>
      </c>
      <c r="H1056" s="3">
        <f>parking_demand_data_2024_ver0!G1056</f>
        <v>0</v>
      </c>
      <c r="I1056" s="3">
        <f>parking_demand_data_2024_ver0!H1056</f>
        <v>0</v>
      </c>
      <c r="J1056" s="3">
        <f>parking_demand_data_2024_ver0!I1056</f>
        <v>1</v>
      </c>
      <c r="K1056" s="3">
        <f>parking_demand_data_2024_ver0!J1056</f>
        <v>0</v>
      </c>
      <c r="L1056" s="3">
        <f>parking_demand_data_2024_ver0!K1056</f>
        <v>1</v>
      </c>
      <c r="M1056" s="3">
        <f>parking_demand_data_2024_ver0!L1056</f>
        <v>1</v>
      </c>
      <c r="N1056" s="3">
        <f>parking_demand_data_2024_ver0!M1056</f>
        <v>110</v>
      </c>
      <c r="O1056" s="3">
        <f>parking_demand_data_2024_ver0!N1056</f>
        <v>0</v>
      </c>
      <c r="P1056" s="3">
        <f>parking_demand_data_2024_ver0!O1056</f>
        <v>0</v>
      </c>
      <c r="Q1056" s="3">
        <f>parking_demand_data_2024_ver0!P1056</f>
        <v>15</v>
      </c>
      <c r="R1056" s="3">
        <f>parking_demand_data_2024_ver0!Q1056</f>
        <v>0</v>
      </c>
      <c r="S1056" s="3">
        <f>parking_demand_data_2024_ver0!R1056</f>
        <v>50</v>
      </c>
      <c r="T1056" s="3">
        <f>parking_demand_data_2024_ver0!S1056</f>
        <v>45</v>
      </c>
    </row>
    <row r="1057" spans="1:20" x14ac:dyDescent="0.25">
      <c r="A1057">
        <v>18087</v>
      </c>
      <c r="B1057" t="s">
        <v>72</v>
      </c>
      <c r="C1057">
        <v>23</v>
      </c>
      <c r="D1057" s="3">
        <f>parking_demand_data_2024_ver0!D1057*calibration!$I$31</f>
        <v>117.26553057771299</v>
      </c>
      <c r="E1057" s="3">
        <f>parking_demand_data_2024_ver0!E1057*calibration!$I$31</f>
        <v>1.4065748126661799</v>
      </c>
      <c r="F1057" s="3">
        <f t="shared" si="16"/>
        <v>118.67210539037917</v>
      </c>
      <c r="G1057" s="3">
        <f>parking_demand_data_2024_ver0!F1057</f>
        <v>3</v>
      </c>
      <c r="H1057" s="3">
        <f>parking_demand_data_2024_ver0!G1057</f>
        <v>0</v>
      </c>
      <c r="I1057" s="3">
        <f>parking_demand_data_2024_ver0!H1057</f>
        <v>0</v>
      </c>
      <c r="J1057" s="3">
        <f>parking_demand_data_2024_ver0!I1057</f>
        <v>1</v>
      </c>
      <c r="K1057" s="3">
        <f>parking_demand_data_2024_ver0!J1057</f>
        <v>0</v>
      </c>
      <c r="L1057" s="3">
        <f>parking_demand_data_2024_ver0!K1057</f>
        <v>1</v>
      </c>
      <c r="M1057" s="3">
        <f>parking_demand_data_2024_ver0!L1057</f>
        <v>1</v>
      </c>
      <c r="N1057" s="3">
        <f>parking_demand_data_2024_ver0!M1057</f>
        <v>110</v>
      </c>
      <c r="O1057" s="3">
        <f>parking_demand_data_2024_ver0!N1057</f>
        <v>0</v>
      </c>
      <c r="P1057" s="3">
        <f>parking_demand_data_2024_ver0!O1057</f>
        <v>0</v>
      </c>
      <c r="Q1057" s="3">
        <f>parking_demand_data_2024_ver0!P1057</f>
        <v>15</v>
      </c>
      <c r="R1057" s="3">
        <f>parking_demand_data_2024_ver0!Q1057</f>
        <v>0</v>
      </c>
      <c r="S1057" s="3">
        <f>parking_demand_data_2024_ver0!R1057</f>
        <v>50</v>
      </c>
      <c r="T1057" s="3">
        <f>parking_demand_data_2024_ver0!S1057</f>
        <v>45</v>
      </c>
    </row>
    <row r="1058" spans="1:20" x14ac:dyDescent="0.25">
      <c r="A1058">
        <v>18089</v>
      </c>
      <c r="B1058" t="s">
        <v>73</v>
      </c>
      <c r="C1058">
        <v>0</v>
      </c>
      <c r="D1058" s="3">
        <f>parking_demand_data_2024_ver0!D1058*calibration!$I$31</f>
        <v>1582.1670809470199</v>
      </c>
      <c r="E1058" s="3">
        <f>parking_demand_data_2024_ver0!E1058*calibration!$I$31</f>
        <v>38.623883389660797</v>
      </c>
      <c r="F1058" s="3">
        <f t="shared" si="16"/>
        <v>1620.7909643366806</v>
      </c>
      <c r="G1058" s="3">
        <f>parking_demand_data_2024_ver0!F1058</f>
        <v>16</v>
      </c>
      <c r="H1058" s="3">
        <f>parking_demand_data_2024_ver0!G1058</f>
        <v>6</v>
      </c>
      <c r="I1058" s="3">
        <f>parking_demand_data_2024_ver0!H1058</f>
        <v>2</v>
      </c>
      <c r="J1058" s="3">
        <f>parking_demand_data_2024_ver0!I1058</f>
        <v>7</v>
      </c>
      <c r="K1058" s="3">
        <f>parking_demand_data_2024_ver0!J1058</f>
        <v>0</v>
      </c>
      <c r="L1058" s="3">
        <f>parking_demand_data_2024_ver0!K1058</f>
        <v>0</v>
      </c>
      <c r="M1058" s="3">
        <f>parking_demand_data_2024_ver0!L1058</f>
        <v>1</v>
      </c>
      <c r="N1058" s="3">
        <f>parking_demand_data_2024_ver0!M1058</f>
        <v>1611</v>
      </c>
      <c r="O1058" s="3">
        <f>parking_demand_data_2024_ver0!N1058</f>
        <v>1320</v>
      </c>
      <c r="P1058" s="3">
        <f>parking_demand_data_2024_ver0!O1058</f>
        <v>170</v>
      </c>
      <c r="Q1058" s="3">
        <f>parking_demand_data_2024_ver0!P1058</f>
        <v>81</v>
      </c>
      <c r="R1058" s="3">
        <f>parking_demand_data_2024_ver0!Q1058</f>
        <v>0</v>
      </c>
      <c r="S1058" s="3">
        <f>parking_demand_data_2024_ver0!R1058</f>
        <v>0</v>
      </c>
      <c r="T1058" s="3">
        <f>parking_demand_data_2024_ver0!S1058</f>
        <v>40</v>
      </c>
    </row>
    <row r="1059" spans="1:20" x14ac:dyDescent="0.25">
      <c r="A1059">
        <v>18089</v>
      </c>
      <c r="B1059" t="s">
        <v>73</v>
      </c>
      <c r="C1059">
        <v>1</v>
      </c>
      <c r="D1059" s="3">
        <f>parking_demand_data_2024_ver0!D1059*calibration!$I$31</f>
        <v>1572.4729442069299</v>
      </c>
      <c r="E1059" s="3">
        <f>parking_demand_data_2024_ver0!E1059*calibration!$I$31</f>
        <v>40.761173379602504</v>
      </c>
      <c r="F1059" s="3">
        <f t="shared" si="16"/>
        <v>1613.2341175865324</v>
      </c>
      <c r="G1059" s="3">
        <f>parking_demand_data_2024_ver0!F1059</f>
        <v>16</v>
      </c>
      <c r="H1059" s="3">
        <f>parking_demand_data_2024_ver0!G1059</f>
        <v>6</v>
      </c>
      <c r="I1059" s="3">
        <f>parking_demand_data_2024_ver0!H1059</f>
        <v>2</v>
      </c>
      <c r="J1059" s="3">
        <f>parking_demand_data_2024_ver0!I1059</f>
        <v>7</v>
      </c>
      <c r="K1059" s="3">
        <f>parking_demand_data_2024_ver0!J1059</f>
        <v>0</v>
      </c>
      <c r="L1059" s="3">
        <f>parking_demand_data_2024_ver0!K1059</f>
        <v>0</v>
      </c>
      <c r="M1059" s="3">
        <f>parking_demand_data_2024_ver0!L1059</f>
        <v>1</v>
      </c>
      <c r="N1059" s="3">
        <f>parking_demand_data_2024_ver0!M1059</f>
        <v>1611</v>
      </c>
      <c r="O1059" s="3">
        <f>parking_demand_data_2024_ver0!N1059</f>
        <v>1320</v>
      </c>
      <c r="P1059" s="3">
        <f>parking_demand_data_2024_ver0!O1059</f>
        <v>170</v>
      </c>
      <c r="Q1059" s="3">
        <f>parking_demand_data_2024_ver0!P1059</f>
        <v>81</v>
      </c>
      <c r="R1059" s="3">
        <f>parking_demand_data_2024_ver0!Q1059</f>
        <v>0</v>
      </c>
      <c r="S1059" s="3">
        <f>parking_demand_data_2024_ver0!R1059</f>
        <v>0</v>
      </c>
      <c r="T1059" s="3">
        <f>parking_demand_data_2024_ver0!S1059</f>
        <v>40</v>
      </c>
    </row>
    <row r="1060" spans="1:20" x14ac:dyDescent="0.25">
      <c r="A1060">
        <v>18089</v>
      </c>
      <c r="B1060" t="s">
        <v>73</v>
      </c>
      <c r="C1060">
        <v>2</v>
      </c>
      <c r="D1060" s="3">
        <f>parking_demand_data_2024_ver0!D1060*calibration!$I$31</f>
        <v>1553.5044955461999</v>
      </c>
      <c r="E1060" s="3">
        <f>parking_demand_data_2024_ver0!E1060*calibration!$I$31</f>
        <v>41.906150159928401</v>
      </c>
      <c r="F1060" s="3">
        <f t="shared" si="16"/>
        <v>1595.4106457061282</v>
      </c>
      <c r="G1060" s="3">
        <f>parking_demand_data_2024_ver0!F1060</f>
        <v>16</v>
      </c>
      <c r="H1060" s="3">
        <f>parking_demand_data_2024_ver0!G1060</f>
        <v>6</v>
      </c>
      <c r="I1060" s="3">
        <f>parking_demand_data_2024_ver0!H1060</f>
        <v>2</v>
      </c>
      <c r="J1060" s="3">
        <f>parking_demand_data_2024_ver0!I1060</f>
        <v>7</v>
      </c>
      <c r="K1060" s="3">
        <f>parking_demand_data_2024_ver0!J1060</f>
        <v>0</v>
      </c>
      <c r="L1060" s="3">
        <f>parking_demand_data_2024_ver0!K1060</f>
        <v>0</v>
      </c>
      <c r="M1060" s="3">
        <f>parking_demand_data_2024_ver0!L1060</f>
        <v>1</v>
      </c>
      <c r="N1060" s="3">
        <f>parking_demand_data_2024_ver0!M1060</f>
        <v>1611</v>
      </c>
      <c r="O1060" s="3">
        <f>parking_demand_data_2024_ver0!N1060</f>
        <v>1320</v>
      </c>
      <c r="P1060" s="3">
        <f>parking_demand_data_2024_ver0!O1060</f>
        <v>170</v>
      </c>
      <c r="Q1060" s="3">
        <f>parking_demand_data_2024_ver0!P1060</f>
        <v>81</v>
      </c>
      <c r="R1060" s="3">
        <f>parking_demand_data_2024_ver0!Q1060</f>
        <v>0</v>
      </c>
      <c r="S1060" s="3">
        <f>parking_demand_data_2024_ver0!R1060</f>
        <v>0</v>
      </c>
      <c r="T1060" s="3">
        <f>parking_demand_data_2024_ver0!S1060</f>
        <v>40</v>
      </c>
    </row>
    <row r="1061" spans="1:20" x14ac:dyDescent="0.25">
      <c r="A1061">
        <v>18089</v>
      </c>
      <c r="B1061" t="s">
        <v>73</v>
      </c>
      <c r="C1061">
        <v>3</v>
      </c>
      <c r="D1061" s="3">
        <f>parking_demand_data_2024_ver0!D1061*calibration!$I$31</f>
        <v>1515.68209590276</v>
      </c>
      <c r="E1061" s="3">
        <f>parking_demand_data_2024_ver0!E1061*calibration!$I$31</f>
        <v>45.226582822873603</v>
      </c>
      <c r="F1061" s="3">
        <f t="shared" si="16"/>
        <v>1560.9086787256335</v>
      </c>
      <c r="G1061" s="3">
        <f>parking_demand_data_2024_ver0!F1061</f>
        <v>16</v>
      </c>
      <c r="H1061" s="3">
        <f>parking_demand_data_2024_ver0!G1061</f>
        <v>6</v>
      </c>
      <c r="I1061" s="3">
        <f>parking_demand_data_2024_ver0!H1061</f>
        <v>2</v>
      </c>
      <c r="J1061" s="3">
        <f>parking_demand_data_2024_ver0!I1061</f>
        <v>7</v>
      </c>
      <c r="K1061" s="3">
        <f>parking_demand_data_2024_ver0!J1061</f>
        <v>0</v>
      </c>
      <c r="L1061" s="3">
        <f>parking_demand_data_2024_ver0!K1061</f>
        <v>0</v>
      </c>
      <c r="M1061" s="3">
        <f>parking_demand_data_2024_ver0!L1061</f>
        <v>1</v>
      </c>
      <c r="N1061" s="3">
        <f>parking_demand_data_2024_ver0!M1061</f>
        <v>1611</v>
      </c>
      <c r="O1061" s="3">
        <f>parking_demand_data_2024_ver0!N1061</f>
        <v>1320</v>
      </c>
      <c r="P1061" s="3">
        <f>parking_demand_data_2024_ver0!O1061</f>
        <v>170</v>
      </c>
      <c r="Q1061" s="3">
        <f>parking_demand_data_2024_ver0!P1061</f>
        <v>81</v>
      </c>
      <c r="R1061" s="3">
        <f>parking_demand_data_2024_ver0!Q1061</f>
        <v>0</v>
      </c>
      <c r="S1061" s="3">
        <f>parking_demand_data_2024_ver0!R1061</f>
        <v>0</v>
      </c>
      <c r="T1061" s="3">
        <f>parking_demand_data_2024_ver0!S1061</f>
        <v>40</v>
      </c>
    </row>
    <row r="1062" spans="1:20" x14ac:dyDescent="0.25">
      <c r="A1062">
        <v>18089</v>
      </c>
      <c r="B1062" t="s">
        <v>73</v>
      </c>
      <c r="C1062">
        <v>4</v>
      </c>
      <c r="D1062" s="3">
        <f>parking_demand_data_2024_ver0!D1062*calibration!$I$31</f>
        <v>1434.1215832508799</v>
      </c>
      <c r="E1062" s="3">
        <f>parking_demand_data_2024_ver0!E1062*calibration!$I$31</f>
        <v>52.020111719474002</v>
      </c>
      <c r="F1062" s="3">
        <f t="shared" si="16"/>
        <v>1486.1416949703539</v>
      </c>
      <c r="G1062" s="3">
        <f>parking_demand_data_2024_ver0!F1062</f>
        <v>16</v>
      </c>
      <c r="H1062" s="3">
        <f>parking_demand_data_2024_ver0!G1062</f>
        <v>6</v>
      </c>
      <c r="I1062" s="3">
        <f>parking_demand_data_2024_ver0!H1062</f>
        <v>2</v>
      </c>
      <c r="J1062" s="3">
        <f>parking_demand_data_2024_ver0!I1062</f>
        <v>7</v>
      </c>
      <c r="K1062" s="3">
        <f>parking_demand_data_2024_ver0!J1062</f>
        <v>0</v>
      </c>
      <c r="L1062" s="3">
        <f>parking_demand_data_2024_ver0!K1062</f>
        <v>0</v>
      </c>
      <c r="M1062" s="3">
        <f>parking_demand_data_2024_ver0!L1062</f>
        <v>1</v>
      </c>
      <c r="N1062" s="3">
        <f>parking_demand_data_2024_ver0!M1062</f>
        <v>1611</v>
      </c>
      <c r="O1062" s="3">
        <f>parking_demand_data_2024_ver0!N1062</f>
        <v>1320</v>
      </c>
      <c r="P1062" s="3">
        <f>parking_demand_data_2024_ver0!O1062</f>
        <v>170</v>
      </c>
      <c r="Q1062" s="3">
        <f>parking_demand_data_2024_ver0!P1062</f>
        <v>81</v>
      </c>
      <c r="R1062" s="3">
        <f>parking_demand_data_2024_ver0!Q1062</f>
        <v>0</v>
      </c>
      <c r="S1062" s="3">
        <f>parking_demand_data_2024_ver0!R1062</f>
        <v>0</v>
      </c>
      <c r="T1062" s="3">
        <f>parking_demand_data_2024_ver0!S1062</f>
        <v>40</v>
      </c>
    </row>
    <row r="1063" spans="1:20" x14ac:dyDescent="0.25">
      <c r="A1063">
        <v>18089</v>
      </c>
      <c r="B1063" t="s">
        <v>73</v>
      </c>
      <c r="C1063">
        <v>5</v>
      </c>
      <c r="D1063" s="3">
        <f>parking_demand_data_2024_ver0!D1063*calibration!$I$31</f>
        <v>1309.2809483026799</v>
      </c>
      <c r="E1063" s="3">
        <f>parking_demand_data_2024_ver0!E1063*calibration!$I$31</f>
        <v>60.034949181755401</v>
      </c>
      <c r="F1063" s="3">
        <f t="shared" si="16"/>
        <v>1369.3158974844353</v>
      </c>
      <c r="G1063" s="3">
        <f>parking_demand_data_2024_ver0!F1063</f>
        <v>16</v>
      </c>
      <c r="H1063" s="3">
        <f>parking_demand_data_2024_ver0!G1063</f>
        <v>6</v>
      </c>
      <c r="I1063" s="3">
        <f>parking_demand_data_2024_ver0!H1063</f>
        <v>2</v>
      </c>
      <c r="J1063" s="3">
        <f>parking_demand_data_2024_ver0!I1063</f>
        <v>7</v>
      </c>
      <c r="K1063" s="3">
        <f>parking_demand_data_2024_ver0!J1063</f>
        <v>0</v>
      </c>
      <c r="L1063" s="3">
        <f>parking_demand_data_2024_ver0!K1063</f>
        <v>0</v>
      </c>
      <c r="M1063" s="3">
        <f>parking_demand_data_2024_ver0!L1063</f>
        <v>1</v>
      </c>
      <c r="N1063" s="3">
        <f>parking_demand_data_2024_ver0!M1063</f>
        <v>1611</v>
      </c>
      <c r="O1063" s="3">
        <f>parking_demand_data_2024_ver0!N1063</f>
        <v>1320</v>
      </c>
      <c r="P1063" s="3">
        <f>parking_demand_data_2024_ver0!O1063</f>
        <v>170</v>
      </c>
      <c r="Q1063" s="3">
        <f>parking_demand_data_2024_ver0!P1063</f>
        <v>81</v>
      </c>
      <c r="R1063" s="3">
        <f>parking_demand_data_2024_ver0!Q1063</f>
        <v>0</v>
      </c>
      <c r="S1063" s="3">
        <f>parking_demand_data_2024_ver0!R1063</f>
        <v>0</v>
      </c>
      <c r="T1063" s="3">
        <f>parking_demand_data_2024_ver0!S1063</f>
        <v>40</v>
      </c>
    </row>
    <row r="1064" spans="1:20" x14ac:dyDescent="0.25">
      <c r="A1064">
        <v>18089</v>
      </c>
      <c r="B1064" t="s">
        <v>73</v>
      </c>
      <c r="C1064">
        <v>6</v>
      </c>
      <c r="D1064" s="3">
        <f>parking_demand_data_2024_ver0!D1064*calibration!$I$31</f>
        <v>1124.2145347093301</v>
      </c>
      <c r="E1064" s="3">
        <f>parking_demand_data_2024_ver0!E1064*calibration!$I$31</f>
        <v>68.927602175619995</v>
      </c>
      <c r="F1064" s="3">
        <f t="shared" si="16"/>
        <v>1193.1421368849501</v>
      </c>
      <c r="G1064" s="3">
        <f>parking_demand_data_2024_ver0!F1064</f>
        <v>16</v>
      </c>
      <c r="H1064" s="3">
        <f>parking_demand_data_2024_ver0!G1064</f>
        <v>6</v>
      </c>
      <c r="I1064" s="3">
        <f>parking_demand_data_2024_ver0!H1064</f>
        <v>2</v>
      </c>
      <c r="J1064" s="3">
        <f>parking_demand_data_2024_ver0!I1064</f>
        <v>7</v>
      </c>
      <c r="K1064" s="3">
        <f>parking_demand_data_2024_ver0!J1064</f>
        <v>0</v>
      </c>
      <c r="L1064" s="3">
        <f>parking_demand_data_2024_ver0!K1064</f>
        <v>0</v>
      </c>
      <c r="M1064" s="3">
        <f>parking_demand_data_2024_ver0!L1064</f>
        <v>1</v>
      </c>
      <c r="N1064" s="3">
        <f>parking_demand_data_2024_ver0!M1064</f>
        <v>1611</v>
      </c>
      <c r="O1064" s="3">
        <f>parking_demand_data_2024_ver0!N1064</f>
        <v>1320</v>
      </c>
      <c r="P1064" s="3">
        <f>parking_demand_data_2024_ver0!O1064</f>
        <v>170</v>
      </c>
      <c r="Q1064" s="3">
        <f>parking_demand_data_2024_ver0!P1064</f>
        <v>81</v>
      </c>
      <c r="R1064" s="3">
        <f>parking_demand_data_2024_ver0!Q1064</f>
        <v>0</v>
      </c>
      <c r="S1064" s="3">
        <f>parking_demand_data_2024_ver0!R1064</f>
        <v>0</v>
      </c>
      <c r="T1064" s="3">
        <f>parking_demand_data_2024_ver0!S1064</f>
        <v>40</v>
      </c>
    </row>
    <row r="1065" spans="1:20" x14ac:dyDescent="0.25">
      <c r="A1065">
        <v>18089</v>
      </c>
      <c r="B1065" t="s">
        <v>73</v>
      </c>
      <c r="C1065">
        <v>7</v>
      </c>
      <c r="D1065" s="3">
        <f>parking_demand_data_2024_ver0!D1065*calibration!$I$31</f>
        <v>921.24831745023096</v>
      </c>
      <c r="E1065" s="3">
        <f>parking_demand_data_2024_ver0!E1065*calibration!$I$31</f>
        <v>84.155793353954707</v>
      </c>
      <c r="F1065" s="3">
        <f t="shared" si="16"/>
        <v>1005.4041108041856</v>
      </c>
      <c r="G1065" s="3">
        <f>parking_demand_data_2024_ver0!F1065</f>
        <v>16</v>
      </c>
      <c r="H1065" s="3">
        <f>parking_demand_data_2024_ver0!G1065</f>
        <v>6</v>
      </c>
      <c r="I1065" s="3">
        <f>parking_demand_data_2024_ver0!H1065</f>
        <v>2</v>
      </c>
      <c r="J1065" s="3">
        <f>parking_demand_data_2024_ver0!I1065</f>
        <v>7</v>
      </c>
      <c r="K1065" s="3">
        <f>parking_demand_data_2024_ver0!J1065</f>
        <v>0</v>
      </c>
      <c r="L1065" s="3">
        <f>parking_demand_data_2024_ver0!K1065</f>
        <v>0</v>
      </c>
      <c r="M1065" s="3">
        <f>parking_demand_data_2024_ver0!L1065</f>
        <v>1</v>
      </c>
      <c r="N1065" s="3">
        <f>parking_demand_data_2024_ver0!M1065</f>
        <v>1611</v>
      </c>
      <c r="O1065" s="3">
        <f>parking_demand_data_2024_ver0!N1065</f>
        <v>1320</v>
      </c>
      <c r="P1065" s="3">
        <f>parking_demand_data_2024_ver0!O1065</f>
        <v>170</v>
      </c>
      <c r="Q1065" s="3">
        <f>parking_demand_data_2024_ver0!P1065</f>
        <v>81</v>
      </c>
      <c r="R1065" s="3">
        <f>parking_demand_data_2024_ver0!Q1065</f>
        <v>0</v>
      </c>
      <c r="S1065" s="3">
        <f>parking_demand_data_2024_ver0!R1065</f>
        <v>0</v>
      </c>
      <c r="T1065" s="3">
        <f>parking_demand_data_2024_ver0!S1065</f>
        <v>40</v>
      </c>
    </row>
    <row r="1066" spans="1:20" x14ac:dyDescent="0.25">
      <c r="A1066">
        <v>18089</v>
      </c>
      <c r="B1066" t="s">
        <v>73</v>
      </c>
      <c r="C1066">
        <v>8</v>
      </c>
      <c r="D1066" s="3">
        <f>parking_demand_data_2024_ver0!D1066*calibration!$I$31</f>
        <v>755.87550447849105</v>
      </c>
      <c r="E1066" s="3">
        <f>parking_demand_data_2024_ver0!E1066*calibration!$I$31</f>
        <v>95.376565801148601</v>
      </c>
      <c r="F1066" s="3">
        <f t="shared" si="16"/>
        <v>851.25207027963961</v>
      </c>
      <c r="G1066" s="3">
        <f>parking_demand_data_2024_ver0!F1066</f>
        <v>16</v>
      </c>
      <c r="H1066" s="3">
        <f>parking_demand_data_2024_ver0!G1066</f>
        <v>6</v>
      </c>
      <c r="I1066" s="3">
        <f>parking_demand_data_2024_ver0!H1066</f>
        <v>2</v>
      </c>
      <c r="J1066" s="3">
        <f>parking_demand_data_2024_ver0!I1066</f>
        <v>7</v>
      </c>
      <c r="K1066" s="3">
        <f>parking_demand_data_2024_ver0!J1066</f>
        <v>0</v>
      </c>
      <c r="L1066" s="3">
        <f>parking_demand_data_2024_ver0!K1066</f>
        <v>0</v>
      </c>
      <c r="M1066" s="3">
        <f>parking_demand_data_2024_ver0!L1066</f>
        <v>1</v>
      </c>
      <c r="N1066" s="3">
        <f>parking_demand_data_2024_ver0!M1066</f>
        <v>1611</v>
      </c>
      <c r="O1066" s="3">
        <f>parking_demand_data_2024_ver0!N1066</f>
        <v>1320</v>
      </c>
      <c r="P1066" s="3">
        <f>parking_demand_data_2024_ver0!O1066</f>
        <v>170</v>
      </c>
      <c r="Q1066" s="3">
        <f>parking_demand_data_2024_ver0!P1066</f>
        <v>81</v>
      </c>
      <c r="R1066" s="3">
        <f>parking_demand_data_2024_ver0!Q1066</f>
        <v>0</v>
      </c>
      <c r="S1066" s="3">
        <f>parking_demand_data_2024_ver0!R1066</f>
        <v>0</v>
      </c>
      <c r="T1066" s="3">
        <f>parking_demand_data_2024_ver0!S1066</f>
        <v>40</v>
      </c>
    </row>
    <row r="1067" spans="1:20" x14ac:dyDescent="0.25">
      <c r="A1067">
        <v>18089</v>
      </c>
      <c r="B1067" t="s">
        <v>73</v>
      </c>
      <c r="C1067">
        <v>9</v>
      </c>
      <c r="D1067" s="3">
        <f>parking_demand_data_2024_ver0!D1067*calibration!$I$31</f>
        <v>677.82625395294099</v>
      </c>
      <c r="E1067" s="3">
        <f>parking_demand_data_2024_ver0!E1067*calibration!$I$31</f>
        <v>91.407312962685495</v>
      </c>
      <c r="F1067" s="3">
        <f t="shared" si="16"/>
        <v>769.23356691562651</v>
      </c>
      <c r="G1067" s="3">
        <f>parking_demand_data_2024_ver0!F1067</f>
        <v>16</v>
      </c>
      <c r="H1067" s="3">
        <f>parking_demand_data_2024_ver0!G1067</f>
        <v>6</v>
      </c>
      <c r="I1067" s="3">
        <f>parking_demand_data_2024_ver0!H1067</f>
        <v>2</v>
      </c>
      <c r="J1067" s="3">
        <f>parking_demand_data_2024_ver0!I1067</f>
        <v>7</v>
      </c>
      <c r="K1067" s="3">
        <f>parking_demand_data_2024_ver0!J1067</f>
        <v>0</v>
      </c>
      <c r="L1067" s="3">
        <f>parking_demand_data_2024_ver0!K1067</f>
        <v>0</v>
      </c>
      <c r="M1067" s="3">
        <f>parking_demand_data_2024_ver0!L1067</f>
        <v>1</v>
      </c>
      <c r="N1067" s="3">
        <f>parking_demand_data_2024_ver0!M1067</f>
        <v>1611</v>
      </c>
      <c r="O1067" s="3">
        <f>parking_demand_data_2024_ver0!N1067</f>
        <v>1320</v>
      </c>
      <c r="P1067" s="3">
        <f>parking_demand_data_2024_ver0!O1067</f>
        <v>170</v>
      </c>
      <c r="Q1067" s="3">
        <f>parking_demand_data_2024_ver0!P1067</f>
        <v>81</v>
      </c>
      <c r="R1067" s="3">
        <f>parking_demand_data_2024_ver0!Q1067</f>
        <v>0</v>
      </c>
      <c r="S1067" s="3">
        <f>parking_demand_data_2024_ver0!R1067</f>
        <v>0</v>
      </c>
      <c r="T1067" s="3">
        <f>parking_demand_data_2024_ver0!S1067</f>
        <v>40</v>
      </c>
    </row>
    <row r="1068" spans="1:20" x14ac:dyDescent="0.25">
      <c r="A1068">
        <v>18089</v>
      </c>
      <c r="B1068" t="s">
        <v>73</v>
      </c>
      <c r="C1068">
        <v>10</v>
      </c>
      <c r="D1068" s="3">
        <f>parking_demand_data_2024_ver0!D1068*calibration!$I$31</f>
        <v>627.90526633073102</v>
      </c>
      <c r="E1068" s="3">
        <f>parking_demand_data_2024_ver0!E1068*calibration!$I$31</f>
        <v>76.446283033093493</v>
      </c>
      <c r="F1068" s="3">
        <f t="shared" si="16"/>
        <v>704.35154936382446</v>
      </c>
      <c r="G1068" s="3">
        <f>parking_demand_data_2024_ver0!F1068</f>
        <v>16</v>
      </c>
      <c r="H1068" s="3">
        <f>parking_demand_data_2024_ver0!G1068</f>
        <v>6</v>
      </c>
      <c r="I1068" s="3">
        <f>parking_demand_data_2024_ver0!H1068</f>
        <v>2</v>
      </c>
      <c r="J1068" s="3">
        <f>parking_demand_data_2024_ver0!I1068</f>
        <v>7</v>
      </c>
      <c r="K1068" s="3">
        <f>parking_demand_data_2024_ver0!J1068</f>
        <v>0</v>
      </c>
      <c r="L1068" s="3">
        <f>parking_demand_data_2024_ver0!K1068</f>
        <v>0</v>
      </c>
      <c r="M1068" s="3">
        <f>parking_demand_data_2024_ver0!L1068</f>
        <v>1</v>
      </c>
      <c r="N1068" s="3">
        <f>parking_demand_data_2024_ver0!M1068</f>
        <v>1611</v>
      </c>
      <c r="O1068" s="3">
        <f>parking_demand_data_2024_ver0!N1068</f>
        <v>1320</v>
      </c>
      <c r="P1068" s="3">
        <f>parking_demand_data_2024_ver0!O1068</f>
        <v>170</v>
      </c>
      <c r="Q1068" s="3">
        <f>parking_demand_data_2024_ver0!P1068</f>
        <v>81</v>
      </c>
      <c r="R1068" s="3">
        <f>parking_demand_data_2024_ver0!Q1068</f>
        <v>0</v>
      </c>
      <c r="S1068" s="3">
        <f>parking_demand_data_2024_ver0!R1068</f>
        <v>0</v>
      </c>
      <c r="T1068" s="3">
        <f>parking_demand_data_2024_ver0!S1068</f>
        <v>40</v>
      </c>
    </row>
    <row r="1069" spans="1:20" x14ac:dyDescent="0.25">
      <c r="A1069">
        <v>18089</v>
      </c>
      <c r="B1069" t="s">
        <v>73</v>
      </c>
      <c r="C1069">
        <v>11</v>
      </c>
      <c r="D1069" s="3">
        <f>parking_demand_data_2024_ver0!D1069*calibration!$I$31</f>
        <v>598.17403593493498</v>
      </c>
      <c r="E1069" s="3">
        <f>parking_demand_data_2024_ver0!E1069*calibration!$I$31</f>
        <v>68.240616107424501</v>
      </c>
      <c r="F1069" s="3">
        <f t="shared" si="16"/>
        <v>666.41465204235942</v>
      </c>
      <c r="G1069" s="3">
        <f>parking_demand_data_2024_ver0!F1069</f>
        <v>16</v>
      </c>
      <c r="H1069" s="3">
        <f>parking_demand_data_2024_ver0!G1069</f>
        <v>6</v>
      </c>
      <c r="I1069" s="3">
        <f>parking_demand_data_2024_ver0!H1069</f>
        <v>2</v>
      </c>
      <c r="J1069" s="3">
        <f>parking_demand_data_2024_ver0!I1069</f>
        <v>7</v>
      </c>
      <c r="K1069" s="3">
        <f>parking_demand_data_2024_ver0!J1069</f>
        <v>0</v>
      </c>
      <c r="L1069" s="3">
        <f>parking_demand_data_2024_ver0!K1069</f>
        <v>0</v>
      </c>
      <c r="M1069" s="3">
        <f>parking_demand_data_2024_ver0!L1069</f>
        <v>1</v>
      </c>
      <c r="N1069" s="3">
        <f>parking_demand_data_2024_ver0!M1069</f>
        <v>1611</v>
      </c>
      <c r="O1069" s="3">
        <f>parking_demand_data_2024_ver0!N1069</f>
        <v>1320</v>
      </c>
      <c r="P1069" s="3">
        <f>parking_demand_data_2024_ver0!O1069</f>
        <v>170</v>
      </c>
      <c r="Q1069" s="3">
        <f>parking_demand_data_2024_ver0!P1069</f>
        <v>81</v>
      </c>
      <c r="R1069" s="3">
        <f>parking_demand_data_2024_ver0!Q1069</f>
        <v>0</v>
      </c>
      <c r="S1069" s="3">
        <f>parking_demand_data_2024_ver0!R1069</f>
        <v>0</v>
      </c>
      <c r="T1069" s="3">
        <f>parking_demand_data_2024_ver0!S1069</f>
        <v>40</v>
      </c>
    </row>
    <row r="1070" spans="1:20" x14ac:dyDescent="0.25">
      <c r="A1070">
        <v>18089</v>
      </c>
      <c r="B1070" t="s">
        <v>73</v>
      </c>
      <c r="C1070">
        <v>12</v>
      </c>
      <c r="D1070" s="3">
        <f>parking_demand_data_2024_ver0!D1070*calibration!$I$31</f>
        <v>618.13479780528303</v>
      </c>
      <c r="E1070" s="3">
        <f>parking_demand_data_2024_ver0!E1070*calibration!$I$31</f>
        <v>64.538524517704005</v>
      </c>
      <c r="F1070" s="3">
        <f t="shared" si="16"/>
        <v>682.67332232298702</v>
      </c>
      <c r="G1070" s="3">
        <f>parking_demand_data_2024_ver0!F1070</f>
        <v>16</v>
      </c>
      <c r="H1070" s="3">
        <f>parking_demand_data_2024_ver0!G1070</f>
        <v>6</v>
      </c>
      <c r="I1070" s="3">
        <f>parking_demand_data_2024_ver0!H1070</f>
        <v>2</v>
      </c>
      <c r="J1070" s="3">
        <f>parking_demand_data_2024_ver0!I1070</f>
        <v>7</v>
      </c>
      <c r="K1070" s="3">
        <f>parking_demand_data_2024_ver0!J1070</f>
        <v>0</v>
      </c>
      <c r="L1070" s="3">
        <f>parking_demand_data_2024_ver0!K1070</f>
        <v>0</v>
      </c>
      <c r="M1070" s="3">
        <f>parking_demand_data_2024_ver0!L1070</f>
        <v>1</v>
      </c>
      <c r="N1070" s="3">
        <f>parking_demand_data_2024_ver0!M1070</f>
        <v>1611</v>
      </c>
      <c r="O1070" s="3">
        <f>parking_demand_data_2024_ver0!N1070</f>
        <v>1320</v>
      </c>
      <c r="P1070" s="3">
        <f>parking_demand_data_2024_ver0!O1070</f>
        <v>170</v>
      </c>
      <c r="Q1070" s="3">
        <f>parking_demand_data_2024_ver0!P1070</f>
        <v>81</v>
      </c>
      <c r="R1070" s="3">
        <f>parking_demand_data_2024_ver0!Q1070</f>
        <v>0</v>
      </c>
      <c r="S1070" s="3">
        <f>parking_demand_data_2024_ver0!R1070</f>
        <v>0</v>
      </c>
      <c r="T1070" s="3">
        <f>parking_demand_data_2024_ver0!S1070</f>
        <v>40</v>
      </c>
    </row>
    <row r="1071" spans="1:20" x14ac:dyDescent="0.25">
      <c r="A1071">
        <v>18089</v>
      </c>
      <c r="B1071" t="s">
        <v>73</v>
      </c>
      <c r="C1071">
        <v>13</v>
      </c>
      <c r="D1071" s="3">
        <f>parking_demand_data_2024_ver0!D1071*calibration!$I$31</f>
        <v>657.44566726313997</v>
      </c>
      <c r="E1071" s="3">
        <f>parking_demand_data_2024_ver0!E1071*calibration!$I$31</f>
        <v>52.707097787669603</v>
      </c>
      <c r="F1071" s="3">
        <f t="shared" si="16"/>
        <v>710.15276505080953</v>
      </c>
      <c r="G1071" s="3">
        <f>parking_demand_data_2024_ver0!F1071</f>
        <v>16</v>
      </c>
      <c r="H1071" s="3">
        <f>parking_demand_data_2024_ver0!G1071</f>
        <v>6</v>
      </c>
      <c r="I1071" s="3">
        <f>parking_demand_data_2024_ver0!H1071</f>
        <v>2</v>
      </c>
      <c r="J1071" s="3">
        <f>parking_demand_data_2024_ver0!I1071</f>
        <v>7</v>
      </c>
      <c r="K1071" s="3">
        <f>parking_demand_data_2024_ver0!J1071</f>
        <v>0</v>
      </c>
      <c r="L1071" s="3">
        <f>parking_demand_data_2024_ver0!K1071</f>
        <v>0</v>
      </c>
      <c r="M1071" s="3">
        <f>parking_demand_data_2024_ver0!L1071</f>
        <v>1</v>
      </c>
      <c r="N1071" s="3">
        <f>parking_demand_data_2024_ver0!M1071</f>
        <v>1611</v>
      </c>
      <c r="O1071" s="3">
        <f>parking_demand_data_2024_ver0!N1071</f>
        <v>1320</v>
      </c>
      <c r="P1071" s="3">
        <f>parking_demand_data_2024_ver0!O1071</f>
        <v>170</v>
      </c>
      <c r="Q1071" s="3">
        <f>parking_demand_data_2024_ver0!P1071</f>
        <v>81</v>
      </c>
      <c r="R1071" s="3">
        <f>parking_demand_data_2024_ver0!Q1071</f>
        <v>0</v>
      </c>
      <c r="S1071" s="3">
        <f>parking_demand_data_2024_ver0!R1071</f>
        <v>0</v>
      </c>
      <c r="T1071" s="3">
        <f>parking_demand_data_2024_ver0!S1071</f>
        <v>40</v>
      </c>
    </row>
    <row r="1072" spans="1:20" x14ac:dyDescent="0.25">
      <c r="A1072">
        <v>18089</v>
      </c>
      <c r="B1072" t="s">
        <v>73</v>
      </c>
      <c r="C1072">
        <v>14</v>
      </c>
      <c r="D1072" s="3">
        <f>parking_demand_data_2024_ver0!D1072*calibration!$I$31</f>
        <v>718.35843197647796</v>
      </c>
      <c r="E1072" s="3">
        <f>parking_demand_data_2024_ver0!E1072*calibration!$I$31</f>
        <v>38.623883389660797</v>
      </c>
      <c r="F1072" s="3">
        <f t="shared" si="16"/>
        <v>756.98231536613878</v>
      </c>
      <c r="G1072" s="3">
        <f>parking_demand_data_2024_ver0!F1072</f>
        <v>16</v>
      </c>
      <c r="H1072" s="3">
        <f>parking_demand_data_2024_ver0!G1072</f>
        <v>6</v>
      </c>
      <c r="I1072" s="3">
        <f>parking_demand_data_2024_ver0!H1072</f>
        <v>2</v>
      </c>
      <c r="J1072" s="3">
        <f>parking_demand_data_2024_ver0!I1072</f>
        <v>7</v>
      </c>
      <c r="K1072" s="3">
        <f>parking_demand_data_2024_ver0!J1072</f>
        <v>0</v>
      </c>
      <c r="L1072" s="3">
        <f>parking_demand_data_2024_ver0!K1072</f>
        <v>0</v>
      </c>
      <c r="M1072" s="3">
        <f>parking_demand_data_2024_ver0!L1072</f>
        <v>1</v>
      </c>
      <c r="N1072" s="3">
        <f>parking_demand_data_2024_ver0!M1072</f>
        <v>1611</v>
      </c>
      <c r="O1072" s="3">
        <f>parking_demand_data_2024_ver0!N1072</f>
        <v>1320</v>
      </c>
      <c r="P1072" s="3">
        <f>parking_demand_data_2024_ver0!O1072</f>
        <v>170</v>
      </c>
      <c r="Q1072" s="3">
        <f>parking_demand_data_2024_ver0!P1072</f>
        <v>81</v>
      </c>
      <c r="R1072" s="3">
        <f>parking_demand_data_2024_ver0!Q1072</f>
        <v>0</v>
      </c>
      <c r="S1072" s="3">
        <f>parking_demand_data_2024_ver0!R1072</f>
        <v>0</v>
      </c>
      <c r="T1072" s="3">
        <f>parking_demand_data_2024_ver0!S1072</f>
        <v>40</v>
      </c>
    </row>
    <row r="1073" spans="1:20" x14ac:dyDescent="0.25">
      <c r="A1073">
        <v>18089</v>
      </c>
      <c r="B1073" t="s">
        <v>73</v>
      </c>
      <c r="C1073">
        <v>15</v>
      </c>
      <c r="D1073" s="3">
        <f>parking_demand_data_2024_ver0!D1073*calibration!$I$31</f>
        <v>810.98705350484499</v>
      </c>
      <c r="E1073" s="3">
        <f>parking_demand_data_2024_ver0!E1073*calibration!$I$31</f>
        <v>34.463801087809998</v>
      </c>
      <c r="F1073" s="3">
        <f t="shared" si="16"/>
        <v>845.45085459265499</v>
      </c>
      <c r="G1073" s="3">
        <f>parking_demand_data_2024_ver0!F1073</f>
        <v>16</v>
      </c>
      <c r="H1073" s="3">
        <f>parking_demand_data_2024_ver0!G1073</f>
        <v>6</v>
      </c>
      <c r="I1073" s="3">
        <f>parking_demand_data_2024_ver0!H1073</f>
        <v>2</v>
      </c>
      <c r="J1073" s="3">
        <f>parking_demand_data_2024_ver0!I1073</f>
        <v>7</v>
      </c>
      <c r="K1073" s="3">
        <f>parking_demand_data_2024_ver0!J1073</f>
        <v>0</v>
      </c>
      <c r="L1073" s="3">
        <f>parking_demand_data_2024_ver0!K1073</f>
        <v>0</v>
      </c>
      <c r="M1073" s="3">
        <f>parking_demand_data_2024_ver0!L1073</f>
        <v>1</v>
      </c>
      <c r="N1073" s="3">
        <f>parking_demand_data_2024_ver0!M1073</f>
        <v>1611</v>
      </c>
      <c r="O1073" s="3">
        <f>parking_demand_data_2024_ver0!N1073</f>
        <v>1320</v>
      </c>
      <c r="P1073" s="3">
        <f>parking_demand_data_2024_ver0!O1073</f>
        <v>170</v>
      </c>
      <c r="Q1073" s="3">
        <f>parking_demand_data_2024_ver0!P1073</f>
        <v>81</v>
      </c>
      <c r="R1073" s="3">
        <f>parking_demand_data_2024_ver0!Q1073</f>
        <v>0</v>
      </c>
      <c r="S1073" s="3">
        <f>parking_demand_data_2024_ver0!R1073</f>
        <v>0</v>
      </c>
      <c r="T1073" s="3">
        <f>parking_demand_data_2024_ver0!S1073</f>
        <v>40</v>
      </c>
    </row>
    <row r="1074" spans="1:20" x14ac:dyDescent="0.25">
      <c r="A1074">
        <v>18089</v>
      </c>
      <c r="B1074" t="s">
        <v>73</v>
      </c>
      <c r="C1074">
        <v>16</v>
      </c>
      <c r="D1074" s="3">
        <f>parking_demand_data_2024_ver0!D1074*calibration!$I$31</f>
        <v>934.22472096059096</v>
      </c>
      <c r="E1074" s="3">
        <f>parking_demand_data_2024_ver0!E1074*calibration!$I$31</f>
        <v>27.326779157111801</v>
      </c>
      <c r="F1074" s="3">
        <f t="shared" si="16"/>
        <v>961.55150011770274</v>
      </c>
      <c r="G1074" s="3">
        <f>parking_demand_data_2024_ver0!F1074</f>
        <v>16</v>
      </c>
      <c r="H1074" s="3">
        <f>parking_demand_data_2024_ver0!G1074</f>
        <v>6</v>
      </c>
      <c r="I1074" s="3">
        <f>parking_demand_data_2024_ver0!H1074</f>
        <v>2</v>
      </c>
      <c r="J1074" s="3">
        <f>parking_demand_data_2024_ver0!I1074</f>
        <v>7</v>
      </c>
      <c r="K1074" s="3">
        <f>parking_demand_data_2024_ver0!J1074</f>
        <v>0</v>
      </c>
      <c r="L1074" s="3">
        <f>parking_demand_data_2024_ver0!K1074</f>
        <v>0</v>
      </c>
      <c r="M1074" s="3">
        <f>parking_demand_data_2024_ver0!L1074</f>
        <v>1</v>
      </c>
      <c r="N1074" s="3">
        <f>parking_demand_data_2024_ver0!M1074</f>
        <v>1611</v>
      </c>
      <c r="O1074" s="3">
        <f>parking_demand_data_2024_ver0!N1074</f>
        <v>1320</v>
      </c>
      <c r="P1074" s="3">
        <f>parking_demand_data_2024_ver0!O1074</f>
        <v>170</v>
      </c>
      <c r="Q1074" s="3">
        <f>parking_demand_data_2024_ver0!P1074</f>
        <v>81</v>
      </c>
      <c r="R1074" s="3">
        <f>parking_demand_data_2024_ver0!Q1074</f>
        <v>0</v>
      </c>
      <c r="S1074" s="3">
        <f>parking_demand_data_2024_ver0!R1074</f>
        <v>0</v>
      </c>
      <c r="T1074" s="3">
        <f>parking_demand_data_2024_ver0!S1074</f>
        <v>40</v>
      </c>
    </row>
    <row r="1075" spans="1:20" x14ac:dyDescent="0.25">
      <c r="A1075">
        <v>18089</v>
      </c>
      <c r="B1075" t="s">
        <v>73</v>
      </c>
      <c r="C1075">
        <v>17</v>
      </c>
      <c r="D1075" s="3">
        <f>parking_demand_data_2024_ver0!D1075*calibration!$I$31</f>
        <v>1073.45389744822</v>
      </c>
      <c r="E1075" s="3">
        <f>parking_demand_data_2024_ver0!E1075*calibration!$I$31</f>
        <v>25.952807020720702</v>
      </c>
      <c r="F1075" s="3">
        <f t="shared" si="16"/>
        <v>1099.4067044689407</v>
      </c>
      <c r="G1075" s="3">
        <f>parking_demand_data_2024_ver0!F1075</f>
        <v>16</v>
      </c>
      <c r="H1075" s="3">
        <f>parking_demand_data_2024_ver0!G1075</f>
        <v>6</v>
      </c>
      <c r="I1075" s="3">
        <f>parking_demand_data_2024_ver0!H1075</f>
        <v>2</v>
      </c>
      <c r="J1075" s="3">
        <f>parking_demand_data_2024_ver0!I1075</f>
        <v>7</v>
      </c>
      <c r="K1075" s="3">
        <f>parking_demand_data_2024_ver0!J1075</f>
        <v>0</v>
      </c>
      <c r="L1075" s="3">
        <f>parking_demand_data_2024_ver0!K1075</f>
        <v>0</v>
      </c>
      <c r="M1075" s="3">
        <f>parking_demand_data_2024_ver0!L1075</f>
        <v>1</v>
      </c>
      <c r="N1075" s="3">
        <f>parking_demand_data_2024_ver0!M1075</f>
        <v>1611</v>
      </c>
      <c r="O1075" s="3">
        <f>parking_demand_data_2024_ver0!N1075</f>
        <v>1320</v>
      </c>
      <c r="P1075" s="3">
        <f>parking_demand_data_2024_ver0!O1075</f>
        <v>170</v>
      </c>
      <c r="Q1075" s="3">
        <f>parking_demand_data_2024_ver0!P1075</f>
        <v>81</v>
      </c>
      <c r="R1075" s="3">
        <f>parking_demand_data_2024_ver0!Q1075</f>
        <v>0</v>
      </c>
      <c r="S1075" s="3">
        <f>parking_demand_data_2024_ver0!R1075</f>
        <v>0</v>
      </c>
      <c r="T1075" s="3">
        <f>parking_demand_data_2024_ver0!S1075</f>
        <v>40</v>
      </c>
    </row>
    <row r="1076" spans="1:20" x14ac:dyDescent="0.25">
      <c r="A1076">
        <v>18089</v>
      </c>
      <c r="B1076" t="s">
        <v>73</v>
      </c>
      <c r="C1076">
        <v>18</v>
      </c>
      <c r="D1076" s="3">
        <f>parking_demand_data_2024_ver0!D1076*calibration!$I$31</f>
        <v>1219.8964276519</v>
      </c>
      <c r="E1076" s="3">
        <f>parking_demand_data_2024_ver0!E1076*calibration!$I$31</f>
        <v>26.448963625528599</v>
      </c>
      <c r="F1076" s="3">
        <f t="shared" si="16"/>
        <v>1246.3453912774287</v>
      </c>
      <c r="G1076" s="3">
        <f>parking_demand_data_2024_ver0!F1076</f>
        <v>16</v>
      </c>
      <c r="H1076" s="3">
        <f>parking_demand_data_2024_ver0!G1076</f>
        <v>6</v>
      </c>
      <c r="I1076" s="3">
        <f>parking_demand_data_2024_ver0!H1076</f>
        <v>2</v>
      </c>
      <c r="J1076" s="3">
        <f>parking_demand_data_2024_ver0!I1076</f>
        <v>7</v>
      </c>
      <c r="K1076" s="3">
        <f>parking_demand_data_2024_ver0!J1076</f>
        <v>0</v>
      </c>
      <c r="L1076" s="3">
        <f>parking_demand_data_2024_ver0!K1076</f>
        <v>0</v>
      </c>
      <c r="M1076" s="3">
        <f>parking_demand_data_2024_ver0!L1076</f>
        <v>1</v>
      </c>
      <c r="N1076" s="3">
        <f>parking_demand_data_2024_ver0!M1076</f>
        <v>1611</v>
      </c>
      <c r="O1076" s="3">
        <f>parking_demand_data_2024_ver0!N1076</f>
        <v>1320</v>
      </c>
      <c r="P1076" s="3">
        <f>parking_demand_data_2024_ver0!O1076</f>
        <v>170</v>
      </c>
      <c r="Q1076" s="3">
        <f>parking_demand_data_2024_ver0!P1076</f>
        <v>81</v>
      </c>
      <c r="R1076" s="3">
        <f>parking_demand_data_2024_ver0!Q1076</f>
        <v>0</v>
      </c>
      <c r="S1076" s="3">
        <f>parking_demand_data_2024_ver0!R1076</f>
        <v>0</v>
      </c>
      <c r="T1076" s="3">
        <f>parking_demand_data_2024_ver0!S1076</f>
        <v>40</v>
      </c>
    </row>
    <row r="1077" spans="1:20" x14ac:dyDescent="0.25">
      <c r="A1077">
        <v>18089</v>
      </c>
      <c r="B1077" t="s">
        <v>73</v>
      </c>
      <c r="C1077">
        <v>19</v>
      </c>
      <c r="D1077" s="3">
        <f>parking_demand_data_2024_ver0!D1077*calibration!$I$31</f>
        <v>1346.1110347365</v>
      </c>
      <c r="E1077" s="3">
        <f>parking_demand_data_2024_ver0!E1077*calibration!$I$31</f>
        <v>28.090097010662401</v>
      </c>
      <c r="F1077" s="3">
        <f t="shared" si="16"/>
        <v>1374.2011317471624</v>
      </c>
      <c r="G1077" s="3">
        <f>parking_demand_data_2024_ver0!F1077</f>
        <v>16</v>
      </c>
      <c r="H1077" s="3">
        <f>parking_demand_data_2024_ver0!G1077</f>
        <v>6</v>
      </c>
      <c r="I1077" s="3">
        <f>parking_demand_data_2024_ver0!H1077</f>
        <v>2</v>
      </c>
      <c r="J1077" s="3">
        <f>parking_demand_data_2024_ver0!I1077</f>
        <v>7</v>
      </c>
      <c r="K1077" s="3">
        <f>parking_demand_data_2024_ver0!J1077</f>
        <v>0</v>
      </c>
      <c r="L1077" s="3">
        <f>parking_demand_data_2024_ver0!K1077</f>
        <v>0</v>
      </c>
      <c r="M1077" s="3">
        <f>parking_demand_data_2024_ver0!L1077</f>
        <v>1</v>
      </c>
      <c r="N1077" s="3">
        <f>parking_demand_data_2024_ver0!M1077</f>
        <v>1611</v>
      </c>
      <c r="O1077" s="3">
        <f>parking_demand_data_2024_ver0!N1077</f>
        <v>1320</v>
      </c>
      <c r="P1077" s="3">
        <f>parking_demand_data_2024_ver0!O1077</f>
        <v>170</v>
      </c>
      <c r="Q1077" s="3">
        <f>parking_demand_data_2024_ver0!P1077</f>
        <v>81</v>
      </c>
      <c r="R1077" s="3">
        <f>parking_demand_data_2024_ver0!Q1077</f>
        <v>0</v>
      </c>
      <c r="S1077" s="3">
        <f>parking_demand_data_2024_ver0!R1077</f>
        <v>0</v>
      </c>
      <c r="T1077" s="3">
        <f>parking_demand_data_2024_ver0!S1077</f>
        <v>40</v>
      </c>
    </row>
    <row r="1078" spans="1:20" x14ac:dyDescent="0.25">
      <c r="A1078">
        <v>18089</v>
      </c>
      <c r="B1078" t="s">
        <v>73</v>
      </c>
      <c r="C1078">
        <v>20</v>
      </c>
      <c r="D1078" s="3">
        <f>parking_demand_data_2024_ver0!D1078*calibration!$I$31</f>
        <v>1445.57135105414</v>
      </c>
      <c r="E1078" s="3">
        <f>parking_demand_data_2024_ver0!E1078*calibration!$I$31</f>
        <v>30.723543605412001</v>
      </c>
      <c r="F1078" s="3">
        <f t="shared" si="16"/>
        <v>1476.294894659552</v>
      </c>
      <c r="G1078" s="3">
        <f>parking_demand_data_2024_ver0!F1078</f>
        <v>16</v>
      </c>
      <c r="H1078" s="3">
        <f>parking_demand_data_2024_ver0!G1078</f>
        <v>6</v>
      </c>
      <c r="I1078" s="3">
        <f>parking_demand_data_2024_ver0!H1078</f>
        <v>2</v>
      </c>
      <c r="J1078" s="3">
        <f>parking_demand_data_2024_ver0!I1078</f>
        <v>7</v>
      </c>
      <c r="K1078" s="3">
        <f>parking_demand_data_2024_ver0!J1078</f>
        <v>0</v>
      </c>
      <c r="L1078" s="3">
        <f>parking_demand_data_2024_ver0!K1078</f>
        <v>0</v>
      </c>
      <c r="M1078" s="3">
        <f>parking_demand_data_2024_ver0!L1078</f>
        <v>1</v>
      </c>
      <c r="N1078" s="3">
        <f>parking_demand_data_2024_ver0!M1078</f>
        <v>1611</v>
      </c>
      <c r="O1078" s="3">
        <f>parking_demand_data_2024_ver0!N1078</f>
        <v>1320</v>
      </c>
      <c r="P1078" s="3">
        <f>parking_demand_data_2024_ver0!O1078</f>
        <v>170</v>
      </c>
      <c r="Q1078" s="3">
        <f>parking_demand_data_2024_ver0!P1078</f>
        <v>81</v>
      </c>
      <c r="R1078" s="3">
        <f>parking_demand_data_2024_ver0!Q1078</f>
        <v>0</v>
      </c>
      <c r="S1078" s="3">
        <f>parking_demand_data_2024_ver0!R1078</f>
        <v>0</v>
      </c>
      <c r="T1078" s="3">
        <f>parking_demand_data_2024_ver0!S1078</f>
        <v>40</v>
      </c>
    </row>
    <row r="1079" spans="1:20" x14ac:dyDescent="0.25">
      <c r="A1079">
        <v>18089</v>
      </c>
      <c r="B1079" t="s">
        <v>73</v>
      </c>
      <c r="C1079">
        <v>21</v>
      </c>
      <c r="D1079" s="3">
        <f>parking_demand_data_2024_ver0!D1079*calibration!$I$31</f>
        <v>1520.3765007021</v>
      </c>
      <c r="E1079" s="3">
        <f>parking_demand_data_2024_ver0!E1079*calibration!$I$31</f>
        <v>33.242492522128998</v>
      </c>
      <c r="F1079" s="3">
        <f t="shared" si="16"/>
        <v>1553.6189932242289</v>
      </c>
      <c r="G1079" s="3">
        <f>parking_demand_data_2024_ver0!F1079</f>
        <v>16</v>
      </c>
      <c r="H1079" s="3">
        <f>parking_demand_data_2024_ver0!G1079</f>
        <v>6</v>
      </c>
      <c r="I1079" s="3">
        <f>parking_demand_data_2024_ver0!H1079</f>
        <v>2</v>
      </c>
      <c r="J1079" s="3">
        <f>parking_demand_data_2024_ver0!I1079</f>
        <v>7</v>
      </c>
      <c r="K1079" s="3">
        <f>parking_demand_data_2024_ver0!J1079</f>
        <v>0</v>
      </c>
      <c r="L1079" s="3">
        <f>parking_demand_data_2024_ver0!K1079</f>
        <v>0</v>
      </c>
      <c r="M1079" s="3">
        <f>parking_demand_data_2024_ver0!L1079</f>
        <v>1</v>
      </c>
      <c r="N1079" s="3">
        <f>parking_demand_data_2024_ver0!M1079</f>
        <v>1611</v>
      </c>
      <c r="O1079" s="3">
        <f>parking_demand_data_2024_ver0!N1079</f>
        <v>1320</v>
      </c>
      <c r="P1079" s="3">
        <f>parking_demand_data_2024_ver0!O1079</f>
        <v>170</v>
      </c>
      <c r="Q1079" s="3">
        <f>parking_demand_data_2024_ver0!P1079</f>
        <v>81</v>
      </c>
      <c r="R1079" s="3">
        <f>parking_demand_data_2024_ver0!Q1079</f>
        <v>0</v>
      </c>
      <c r="S1079" s="3">
        <f>parking_demand_data_2024_ver0!R1079</f>
        <v>0</v>
      </c>
      <c r="T1079" s="3">
        <f>parking_demand_data_2024_ver0!S1079</f>
        <v>40</v>
      </c>
    </row>
    <row r="1080" spans="1:20" x14ac:dyDescent="0.25">
      <c r="A1080">
        <v>18089</v>
      </c>
      <c r="B1080" t="s">
        <v>73</v>
      </c>
      <c r="C1080">
        <v>22</v>
      </c>
      <c r="D1080" s="3">
        <f>parking_demand_data_2024_ver0!D1080*calibration!$I$31</f>
        <v>1564.5726044226799</v>
      </c>
      <c r="E1080" s="3">
        <f>parking_demand_data_2024_ver0!E1080*calibration!$I$31</f>
        <v>35.799607331523497</v>
      </c>
      <c r="F1080" s="3">
        <f t="shared" si="16"/>
        <v>1600.3722117542034</v>
      </c>
      <c r="G1080" s="3">
        <f>parking_demand_data_2024_ver0!F1080</f>
        <v>16</v>
      </c>
      <c r="H1080" s="3">
        <f>parking_demand_data_2024_ver0!G1080</f>
        <v>6</v>
      </c>
      <c r="I1080" s="3">
        <f>parking_demand_data_2024_ver0!H1080</f>
        <v>2</v>
      </c>
      <c r="J1080" s="3">
        <f>parking_demand_data_2024_ver0!I1080</f>
        <v>7</v>
      </c>
      <c r="K1080" s="3">
        <f>parking_demand_data_2024_ver0!J1080</f>
        <v>0</v>
      </c>
      <c r="L1080" s="3">
        <f>parking_demand_data_2024_ver0!K1080</f>
        <v>0</v>
      </c>
      <c r="M1080" s="3">
        <f>parking_demand_data_2024_ver0!L1080</f>
        <v>1</v>
      </c>
      <c r="N1080" s="3">
        <f>parking_demand_data_2024_ver0!M1080</f>
        <v>1611</v>
      </c>
      <c r="O1080" s="3">
        <f>parking_demand_data_2024_ver0!N1080</f>
        <v>1320</v>
      </c>
      <c r="P1080" s="3">
        <f>parking_demand_data_2024_ver0!O1080</f>
        <v>170</v>
      </c>
      <c r="Q1080" s="3">
        <f>parking_demand_data_2024_ver0!P1080</f>
        <v>81</v>
      </c>
      <c r="R1080" s="3">
        <f>parking_demand_data_2024_ver0!Q1080</f>
        <v>0</v>
      </c>
      <c r="S1080" s="3">
        <f>parking_demand_data_2024_ver0!R1080</f>
        <v>0</v>
      </c>
      <c r="T1080" s="3">
        <f>parking_demand_data_2024_ver0!S1080</f>
        <v>40</v>
      </c>
    </row>
    <row r="1081" spans="1:20" x14ac:dyDescent="0.25">
      <c r="A1081">
        <v>18089</v>
      </c>
      <c r="B1081" t="s">
        <v>73</v>
      </c>
      <c r="C1081">
        <v>23</v>
      </c>
      <c r="D1081" s="3">
        <f>parking_demand_data_2024_ver0!D1081*calibration!$I$31</f>
        <v>1579.4573025669199</v>
      </c>
      <c r="E1081" s="3">
        <f>parking_demand_data_2024_ver0!E1081*calibration!$I$31</f>
        <v>36.486593399719098</v>
      </c>
      <c r="F1081" s="3">
        <f t="shared" si="16"/>
        <v>1615.943895966639</v>
      </c>
      <c r="G1081" s="3">
        <f>parking_demand_data_2024_ver0!F1081</f>
        <v>16</v>
      </c>
      <c r="H1081" s="3">
        <f>parking_demand_data_2024_ver0!G1081</f>
        <v>6</v>
      </c>
      <c r="I1081" s="3">
        <f>parking_demand_data_2024_ver0!H1081</f>
        <v>2</v>
      </c>
      <c r="J1081" s="3">
        <f>parking_demand_data_2024_ver0!I1081</f>
        <v>7</v>
      </c>
      <c r="K1081" s="3">
        <f>parking_demand_data_2024_ver0!J1081</f>
        <v>0</v>
      </c>
      <c r="L1081" s="3">
        <f>parking_demand_data_2024_ver0!K1081</f>
        <v>0</v>
      </c>
      <c r="M1081" s="3">
        <f>parking_demand_data_2024_ver0!L1081</f>
        <v>1</v>
      </c>
      <c r="N1081" s="3">
        <f>parking_demand_data_2024_ver0!M1081</f>
        <v>1611</v>
      </c>
      <c r="O1081" s="3">
        <f>parking_demand_data_2024_ver0!N1081</f>
        <v>1320</v>
      </c>
      <c r="P1081" s="3">
        <f>parking_demand_data_2024_ver0!O1081</f>
        <v>170</v>
      </c>
      <c r="Q1081" s="3">
        <f>parking_demand_data_2024_ver0!P1081</f>
        <v>81</v>
      </c>
      <c r="R1081" s="3">
        <f>parking_demand_data_2024_ver0!Q1081</f>
        <v>0</v>
      </c>
      <c r="S1081" s="3">
        <f>parking_demand_data_2024_ver0!R1081</f>
        <v>0</v>
      </c>
      <c r="T1081" s="3">
        <f>parking_demand_data_2024_ver0!S1081</f>
        <v>40</v>
      </c>
    </row>
    <row r="1082" spans="1:20" x14ac:dyDescent="0.25">
      <c r="A1082">
        <v>18091</v>
      </c>
      <c r="B1082" t="s">
        <v>74</v>
      </c>
      <c r="C1082">
        <v>0</v>
      </c>
      <c r="D1082" s="3">
        <f>parking_demand_data_2024_ver0!D1082*calibration!$I$31</f>
        <v>318.02003024176997</v>
      </c>
      <c r="E1082" s="3">
        <f>parking_demand_data_2024_ver0!E1082*calibration!$I$31</f>
        <v>27.638430223722001</v>
      </c>
      <c r="F1082" s="3">
        <f t="shared" si="16"/>
        <v>345.658460465492</v>
      </c>
      <c r="G1082" s="3">
        <f>parking_demand_data_2024_ver0!F1082</f>
        <v>10</v>
      </c>
      <c r="H1082" s="3">
        <f>parking_demand_data_2024_ver0!G1082</f>
        <v>0</v>
      </c>
      <c r="I1082" s="3">
        <f>parking_demand_data_2024_ver0!H1082</f>
        <v>0</v>
      </c>
      <c r="J1082" s="3">
        <f>parking_demand_data_2024_ver0!I1082</f>
        <v>5</v>
      </c>
      <c r="K1082" s="3">
        <f>parking_demand_data_2024_ver0!J1082</f>
        <v>3</v>
      </c>
      <c r="L1082" s="3">
        <f>parking_demand_data_2024_ver0!K1082</f>
        <v>1</v>
      </c>
      <c r="M1082" s="3">
        <f>parking_demand_data_2024_ver0!L1082</f>
        <v>1</v>
      </c>
      <c r="N1082" s="3">
        <f>parking_demand_data_2024_ver0!M1082</f>
        <v>669</v>
      </c>
      <c r="O1082" s="3">
        <f>parking_demand_data_2024_ver0!N1082</f>
        <v>0</v>
      </c>
      <c r="P1082" s="3">
        <f>parking_demand_data_2024_ver0!O1082</f>
        <v>0</v>
      </c>
      <c r="Q1082" s="3">
        <f>parking_demand_data_2024_ver0!P1082</f>
        <v>106</v>
      </c>
      <c r="R1082" s="3">
        <f>parking_demand_data_2024_ver0!Q1082</f>
        <v>457</v>
      </c>
      <c r="S1082" s="3">
        <f>parking_demand_data_2024_ver0!R1082</f>
        <v>80</v>
      </c>
      <c r="T1082" s="3">
        <f>parking_demand_data_2024_ver0!S1082</f>
        <v>26</v>
      </c>
    </row>
    <row r="1083" spans="1:20" x14ac:dyDescent="0.25">
      <c r="A1083">
        <v>18091</v>
      </c>
      <c r="B1083" t="s">
        <v>74</v>
      </c>
      <c r="C1083">
        <v>1</v>
      </c>
      <c r="D1083" s="3">
        <f>parking_demand_data_2024_ver0!D1083*calibration!$I$31</f>
        <v>327.42279516324197</v>
      </c>
      <c r="E1083" s="3">
        <f>parking_demand_data_2024_ver0!E1083*calibration!$I$31</f>
        <v>29.169941176840599</v>
      </c>
      <c r="F1083" s="3">
        <f t="shared" si="16"/>
        <v>356.59273634008258</v>
      </c>
      <c r="G1083" s="3">
        <f>parking_demand_data_2024_ver0!F1083</f>
        <v>10</v>
      </c>
      <c r="H1083" s="3">
        <f>parking_demand_data_2024_ver0!G1083</f>
        <v>0</v>
      </c>
      <c r="I1083" s="3">
        <f>parking_demand_data_2024_ver0!H1083</f>
        <v>0</v>
      </c>
      <c r="J1083" s="3">
        <f>parking_demand_data_2024_ver0!I1083</f>
        <v>5</v>
      </c>
      <c r="K1083" s="3">
        <f>parking_demand_data_2024_ver0!J1083</f>
        <v>3</v>
      </c>
      <c r="L1083" s="3">
        <f>parking_demand_data_2024_ver0!K1083</f>
        <v>1</v>
      </c>
      <c r="M1083" s="3">
        <f>parking_demand_data_2024_ver0!L1083</f>
        <v>1</v>
      </c>
      <c r="N1083" s="3">
        <f>parking_demand_data_2024_ver0!M1083</f>
        <v>669</v>
      </c>
      <c r="O1083" s="3">
        <f>parking_demand_data_2024_ver0!N1083</f>
        <v>0</v>
      </c>
      <c r="P1083" s="3">
        <f>parking_demand_data_2024_ver0!O1083</f>
        <v>0</v>
      </c>
      <c r="Q1083" s="3">
        <f>parking_demand_data_2024_ver0!P1083</f>
        <v>106</v>
      </c>
      <c r="R1083" s="3">
        <f>parking_demand_data_2024_ver0!Q1083</f>
        <v>457</v>
      </c>
      <c r="S1083" s="3">
        <f>parking_demand_data_2024_ver0!R1083</f>
        <v>80</v>
      </c>
      <c r="T1083" s="3">
        <f>parking_demand_data_2024_ver0!S1083</f>
        <v>26</v>
      </c>
    </row>
    <row r="1084" spans="1:20" x14ac:dyDescent="0.25">
      <c r="A1084">
        <v>18091</v>
      </c>
      <c r="B1084" t="s">
        <v>74</v>
      </c>
      <c r="C1084">
        <v>2</v>
      </c>
      <c r="D1084" s="3">
        <f>parking_demand_data_2024_ver0!D1084*calibration!$I$31</f>
        <v>331.803628819837</v>
      </c>
      <c r="E1084" s="3">
        <f>parking_demand_data_2024_ver0!E1084*calibration!$I$31</f>
        <v>30.5946025285788</v>
      </c>
      <c r="F1084" s="3">
        <f t="shared" si="16"/>
        <v>362.39823134841578</v>
      </c>
      <c r="G1084" s="3">
        <f>parking_demand_data_2024_ver0!F1084</f>
        <v>10</v>
      </c>
      <c r="H1084" s="3">
        <f>parking_demand_data_2024_ver0!G1084</f>
        <v>0</v>
      </c>
      <c r="I1084" s="3">
        <f>parking_demand_data_2024_ver0!H1084</f>
        <v>0</v>
      </c>
      <c r="J1084" s="3">
        <f>parking_demand_data_2024_ver0!I1084</f>
        <v>5</v>
      </c>
      <c r="K1084" s="3">
        <f>parking_demand_data_2024_ver0!J1084</f>
        <v>3</v>
      </c>
      <c r="L1084" s="3">
        <f>parking_demand_data_2024_ver0!K1084</f>
        <v>1</v>
      </c>
      <c r="M1084" s="3">
        <f>parking_demand_data_2024_ver0!L1084</f>
        <v>1</v>
      </c>
      <c r="N1084" s="3">
        <f>parking_demand_data_2024_ver0!M1084</f>
        <v>669</v>
      </c>
      <c r="O1084" s="3">
        <f>parking_demand_data_2024_ver0!N1084</f>
        <v>0</v>
      </c>
      <c r="P1084" s="3">
        <f>parking_demand_data_2024_ver0!O1084</f>
        <v>0</v>
      </c>
      <c r="Q1084" s="3">
        <f>parking_demand_data_2024_ver0!P1084</f>
        <v>106</v>
      </c>
      <c r="R1084" s="3">
        <f>parking_demand_data_2024_ver0!Q1084</f>
        <v>457</v>
      </c>
      <c r="S1084" s="3">
        <f>parking_demand_data_2024_ver0!R1084</f>
        <v>80</v>
      </c>
      <c r="T1084" s="3">
        <f>parking_demand_data_2024_ver0!S1084</f>
        <v>26</v>
      </c>
    </row>
    <row r="1085" spans="1:20" x14ac:dyDescent="0.25">
      <c r="A1085">
        <v>18091</v>
      </c>
      <c r="B1085" t="s">
        <v>74</v>
      </c>
      <c r="C1085">
        <v>3</v>
      </c>
      <c r="D1085" s="3">
        <f>parking_demand_data_2024_ver0!D1085*calibration!$I$31</f>
        <v>330.69951627223998</v>
      </c>
      <c r="E1085" s="3">
        <f>parking_demand_data_2024_ver0!E1085*calibration!$I$31</f>
        <v>33.230226029294599</v>
      </c>
      <c r="F1085" s="3">
        <f t="shared" si="16"/>
        <v>363.92974230153459</v>
      </c>
      <c r="G1085" s="3">
        <f>parking_demand_data_2024_ver0!F1085</f>
        <v>10</v>
      </c>
      <c r="H1085" s="3">
        <f>parking_demand_data_2024_ver0!G1085</f>
        <v>0</v>
      </c>
      <c r="I1085" s="3">
        <f>parking_demand_data_2024_ver0!H1085</f>
        <v>0</v>
      </c>
      <c r="J1085" s="3">
        <f>parking_demand_data_2024_ver0!I1085</f>
        <v>5</v>
      </c>
      <c r="K1085" s="3">
        <f>parking_demand_data_2024_ver0!J1085</f>
        <v>3</v>
      </c>
      <c r="L1085" s="3">
        <f>parking_demand_data_2024_ver0!K1085</f>
        <v>1</v>
      </c>
      <c r="M1085" s="3">
        <f>parking_demand_data_2024_ver0!L1085</f>
        <v>1</v>
      </c>
      <c r="N1085" s="3">
        <f>parking_demand_data_2024_ver0!M1085</f>
        <v>669</v>
      </c>
      <c r="O1085" s="3">
        <f>parking_demand_data_2024_ver0!N1085</f>
        <v>0</v>
      </c>
      <c r="P1085" s="3">
        <f>parking_demand_data_2024_ver0!O1085</f>
        <v>0</v>
      </c>
      <c r="Q1085" s="3">
        <f>parking_demand_data_2024_ver0!P1085</f>
        <v>106</v>
      </c>
      <c r="R1085" s="3">
        <f>parking_demand_data_2024_ver0!Q1085</f>
        <v>457</v>
      </c>
      <c r="S1085" s="3">
        <f>parking_demand_data_2024_ver0!R1085</f>
        <v>80</v>
      </c>
      <c r="T1085" s="3">
        <f>parking_demand_data_2024_ver0!S1085</f>
        <v>26</v>
      </c>
    </row>
    <row r="1086" spans="1:20" x14ac:dyDescent="0.25">
      <c r="A1086">
        <v>18091</v>
      </c>
      <c r="B1086" t="s">
        <v>74</v>
      </c>
      <c r="C1086">
        <v>4</v>
      </c>
      <c r="D1086" s="3">
        <f>parking_demand_data_2024_ver0!D1086*calibration!$I$31</f>
        <v>324.07484098665702</v>
      </c>
      <c r="E1086" s="3">
        <f>parking_demand_data_2024_ver0!E1086*calibration!$I$31</f>
        <v>31.698715076176001</v>
      </c>
      <c r="F1086" s="3">
        <f t="shared" si="16"/>
        <v>355.77355606283299</v>
      </c>
      <c r="G1086" s="3">
        <f>parking_demand_data_2024_ver0!F1086</f>
        <v>10</v>
      </c>
      <c r="H1086" s="3">
        <f>parking_demand_data_2024_ver0!G1086</f>
        <v>0</v>
      </c>
      <c r="I1086" s="3">
        <f>parking_demand_data_2024_ver0!H1086</f>
        <v>0</v>
      </c>
      <c r="J1086" s="3">
        <f>parking_demand_data_2024_ver0!I1086</f>
        <v>5</v>
      </c>
      <c r="K1086" s="3">
        <f>parking_demand_data_2024_ver0!J1086</f>
        <v>3</v>
      </c>
      <c r="L1086" s="3">
        <f>parking_demand_data_2024_ver0!K1086</f>
        <v>1</v>
      </c>
      <c r="M1086" s="3">
        <f>parking_demand_data_2024_ver0!L1086</f>
        <v>1</v>
      </c>
      <c r="N1086" s="3">
        <f>parking_demand_data_2024_ver0!M1086</f>
        <v>669</v>
      </c>
      <c r="O1086" s="3">
        <f>parking_demand_data_2024_ver0!N1086</f>
        <v>0</v>
      </c>
      <c r="P1086" s="3">
        <f>parking_demand_data_2024_ver0!O1086</f>
        <v>0</v>
      </c>
      <c r="Q1086" s="3">
        <f>parking_demand_data_2024_ver0!P1086</f>
        <v>106</v>
      </c>
      <c r="R1086" s="3">
        <f>parking_demand_data_2024_ver0!Q1086</f>
        <v>457</v>
      </c>
      <c r="S1086" s="3">
        <f>parking_demand_data_2024_ver0!R1086</f>
        <v>80</v>
      </c>
      <c r="T1086" s="3">
        <f>parking_demand_data_2024_ver0!S1086</f>
        <v>26</v>
      </c>
    </row>
    <row r="1087" spans="1:20" x14ac:dyDescent="0.25">
      <c r="A1087">
        <v>18091</v>
      </c>
      <c r="B1087" t="s">
        <v>74</v>
      </c>
      <c r="C1087">
        <v>5</v>
      </c>
      <c r="D1087" s="3">
        <f>parking_demand_data_2024_ver0!D1087*calibration!$I$31</f>
        <v>305.76794261682102</v>
      </c>
      <c r="E1087" s="3">
        <f>parking_demand_data_2024_ver0!E1087*calibration!$I$31</f>
        <v>26.961716081646301</v>
      </c>
      <c r="F1087" s="3">
        <f t="shared" si="16"/>
        <v>332.72965869846735</v>
      </c>
      <c r="G1087" s="3">
        <f>parking_demand_data_2024_ver0!F1087</f>
        <v>10</v>
      </c>
      <c r="H1087" s="3">
        <f>parking_demand_data_2024_ver0!G1087</f>
        <v>0</v>
      </c>
      <c r="I1087" s="3">
        <f>parking_demand_data_2024_ver0!H1087</f>
        <v>0</v>
      </c>
      <c r="J1087" s="3">
        <f>parking_demand_data_2024_ver0!I1087</f>
        <v>5</v>
      </c>
      <c r="K1087" s="3">
        <f>parking_demand_data_2024_ver0!J1087</f>
        <v>3</v>
      </c>
      <c r="L1087" s="3">
        <f>parking_demand_data_2024_ver0!K1087</f>
        <v>1</v>
      </c>
      <c r="M1087" s="3">
        <f>parking_demand_data_2024_ver0!L1087</f>
        <v>1</v>
      </c>
      <c r="N1087" s="3">
        <f>parking_demand_data_2024_ver0!M1087</f>
        <v>669</v>
      </c>
      <c r="O1087" s="3">
        <f>parking_demand_data_2024_ver0!N1087</f>
        <v>0</v>
      </c>
      <c r="P1087" s="3">
        <f>parking_demand_data_2024_ver0!O1087</f>
        <v>0</v>
      </c>
      <c r="Q1087" s="3">
        <f>parking_demand_data_2024_ver0!P1087</f>
        <v>106</v>
      </c>
      <c r="R1087" s="3">
        <f>parking_demand_data_2024_ver0!Q1087</f>
        <v>457</v>
      </c>
      <c r="S1087" s="3">
        <f>parking_demand_data_2024_ver0!R1087</f>
        <v>80</v>
      </c>
      <c r="T1087" s="3">
        <f>parking_demand_data_2024_ver0!S1087</f>
        <v>26</v>
      </c>
    </row>
    <row r="1088" spans="1:20" x14ac:dyDescent="0.25">
      <c r="A1088">
        <v>18091</v>
      </c>
      <c r="B1088" t="s">
        <v>74</v>
      </c>
      <c r="C1088">
        <v>6</v>
      </c>
      <c r="D1088" s="3">
        <f>parking_demand_data_2024_ver0!D1088*calibration!$I$31</f>
        <v>264.84454528814001</v>
      </c>
      <c r="E1088" s="3">
        <f>parking_demand_data_2024_ver0!E1088*calibration!$I$31</f>
        <v>22.9726642967792</v>
      </c>
      <c r="F1088" s="3">
        <f t="shared" si="16"/>
        <v>287.81720958491923</v>
      </c>
      <c r="G1088" s="3">
        <f>parking_demand_data_2024_ver0!F1088</f>
        <v>10</v>
      </c>
      <c r="H1088" s="3">
        <f>parking_demand_data_2024_ver0!G1088</f>
        <v>0</v>
      </c>
      <c r="I1088" s="3">
        <f>parking_demand_data_2024_ver0!H1088</f>
        <v>0</v>
      </c>
      <c r="J1088" s="3">
        <f>parking_demand_data_2024_ver0!I1088</f>
        <v>5</v>
      </c>
      <c r="K1088" s="3">
        <f>parking_demand_data_2024_ver0!J1088</f>
        <v>3</v>
      </c>
      <c r="L1088" s="3">
        <f>parking_demand_data_2024_ver0!K1088</f>
        <v>1</v>
      </c>
      <c r="M1088" s="3">
        <f>parking_demand_data_2024_ver0!L1088</f>
        <v>1</v>
      </c>
      <c r="N1088" s="3">
        <f>parking_demand_data_2024_ver0!M1088</f>
        <v>669</v>
      </c>
      <c r="O1088" s="3">
        <f>parking_demand_data_2024_ver0!N1088</f>
        <v>0</v>
      </c>
      <c r="P1088" s="3">
        <f>parking_demand_data_2024_ver0!O1088</f>
        <v>0</v>
      </c>
      <c r="Q1088" s="3">
        <f>parking_demand_data_2024_ver0!P1088</f>
        <v>106</v>
      </c>
      <c r="R1088" s="3">
        <f>parking_demand_data_2024_ver0!Q1088</f>
        <v>457</v>
      </c>
      <c r="S1088" s="3">
        <f>parking_demand_data_2024_ver0!R1088</f>
        <v>80</v>
      </c>
      <c r="T1088" s="3">
        <f>parking_demand_data_2024_ver0!S1088</f>
        <v>26</v>
      </c>
    </row>
    <row r="1089" spans="1:20" x14ac:dyDescent="0.25">
      <c r="A1089">
        <v>18091</v>
      </c>
      <c r="B1089" t="s">
        <v>74</v>
      </c>
      <c r="C1089">
        <v>7</v>
      </c>
      <c r="D1089" s="3">
        <f>parking_demand_data_2024_ver0!D1089*calibration!$I$31</f>
        <v>210.92111312484701</v>
      </c>
      <c r="E1089" s="3">
        <f>parking_demand_data_2024_ver0!E1089*calibration!$I$31</f>
        <v>21.263070674693299</v>
      </c>
      <c r="F1089" s="3">
        <f t="shared" si="16"/>
        <v>232.18418379954031</v>
      </c>
      <c r="G1089" s="3">
        <f>parking_demand_data_2024_ver0!F1089</f>
        <v>10</v>
      </c>
      <c r="H1089" s="3">
        <f>parking_demand_data_2024_ver0!G1089</f>
        <v>0</v>
      </c>
      <c r="I1089" s="3">
        <f>parking_demand_data_2024_ver0!H1089</f>
        <v>0</v>
      </c>
      <c r="J1089" s="3">
        <f>parking_demand_data_2024_ver0!I1089</f>
        <v>5</v>
      </c>
      <c r="K1089" s="3">
        <f>parking_demand_data_2024_ver0!J1089</f>
        <v>3</v>
      </c>
      <c r="L1089" s="3">
        <f>parking_demand_data_2024_ver0!K1089</f>
        <v>1</v>
      </c>
      <c r="M1089" s="3">
        <f>parking_demand_data_2024_ver0!L1089</f>
        <v>1</v>
      </c>
      <c r="N1089" s="3">
        <f>parking_demand_data_2024_ver0!M1089</f>
        <v>669</v>
      </c>
      <c r="O1089" s="3">
        <f>parking_demand_data_2024_ver0!N1089</f>
        <v>0</v>
      </c>
      <c r="P1089" s="3">
        <f>parking_demand_data_2024_ver0!O1089</f>
        <v>0</v>
      </c>
      <c r="Q1089" s="3">
        <f>parking_demand_data_2024_ver0!P1089</f>
        <v>106</v>
      </c>
      <c r="R1089" s="3">
        <f>parking_demand_data_2024_ver0!Q1089</f>
        <v>457</v>
      </c>
      <c r="S1089" s="3">
        <f>parking_demand_data_2024_ver0!R1089</f>
        <v>80</v>
      </c>
      <c r="T1089" s="3">
        <f>parking_demand_data_2024_ver0!S1089</f>
        <v>26</v>
      </c>
    </row>
    <row r="1090" spans="1:20" x14ac:dyDescent="0.25">
      <c r="A1090">
        <v>18091</v>
      </c>
      <c r="B1090" t="s">
        <v>74</v>
      </c>
      <c r="C1090">
        <v>8</v>
      </c>
      <c r="D1090" s="3">
        <f>parking_demand_data_2024_ver0!D1090*calibration!$I$31</f>
        <v>165.723731740951</v>
      </c>
      <c r="E1090" s="3">
        <f>parking_demand_data_2024_ver0!E1090*calibration!$I$31</f>
        <v>18.342514903629901</v>
      </c>
      <c r="F1090" s="3">
        <f t="shared" si="16"/>
        <v>184.0662466445809</v>
      </c>
      <c r="G1090" s="3">
        <f>parking_demand_data_2024_ver0!F1090</f>
        <v>10</v>
      </c>
      <c r="H1090" s="3">
        <f>parking_demand_data_2024_ver0!G1090</f>
        <v>0</v>
      </c>
      <c r="I1090" s="3">
        <f>parking_demand_data_2024_ver0!H1090</f>
        <v>0</v>
      </c>
      <c r="J1090" s="3">
        <f>parking_demand_data_2024_ver0!I1090</f>
        <v>5</v>
      </c>
      <c r="K1090" s="3">
        <f>parking_demand_data_2024_ver0!J1090</f>
        <v>3</v>
      </c>
      <c r="L1090" s="3">
        <f>parking_demand_data_2024_ver0!K1090</f>
        <v>1</v>
      </c>
      <c r="M1090" s="3">
        <f>parking_demand_data_2024_ver0!L1090</f>
        <v>1</v>
      </c>
      <c r="N1090" s="3">
        <f>parking_demand_data_2024_ver0!M1090</f>
        <v>669</v>
      </c>
      <c r="O1090" s="3">
        <f>parking_demand_data_2024_ver0!N1090</f>
        <v>0</v>
      </c>
      <c r="P1090" s="3">
        <f>parking_demand_data_2024_ver0!O1090</f>
        <v>0</v>
      </c>
      <c r="Q1090" s="3">
        <f>parking_demand_data_2024_ver0!P1090</f>
        <v>106</v>
      </c>
      <c r="R1090" s="3">
        <f>parking_demand_data_2024_ver0!Q1090</f>
        <v>457</v>
      </c>
      <c r="S1090" s="3">
        <f>parking_demand_data_2024_ver0!R1090</f>
        <v>80</v>
      </c>
      <c r="T1090" s="3">
        <f>parking_demand_data_2024_ver0!S1090</f>
        <v>26</v>
      </c>
    </row>
    <row r="1091" spans="1:20" x14ac:dyDescent="0.25">
      <c r="A1091">
        <v>18091</v>
      </c>
      <c r="B1091" t="s">
        <v>74</v>
      </c>
      <c r="C1091">
        <v>9</v>
      </c>
      <c r="D1091" s="3">
        <f>parking_demand_data_2024_ver0!D1091*calibration!$I$31</f>
        <v>134.77296387443801</v>
      </c>
      <c r="E1091" s="3">
        <f>parking_demand_data_2024_ver0!E1091*calibration!$I$31</f>
        <v>18.841146376738301</v>
      </c>
      <c r="F1091" s="3">
        <f t="shared" ref="F1091:F1154" si="17">SUM(D1091:E1091)</f>
        <v>153.6141102511763</v>
      </c>
      <c r="G1091" s="3">
        <f>parking_demand_data_2024_ver0!F1091</f>
        <v>10</v>
      </c>
      <c r="H1091" s="3">
        <f>parking_demand_data_2024_ver0!G1091</f>
        <v>0</v>
      </c>
      <c r="I1091" s="3">
        <f>parking_demand_data_2024_ver0!H1091</f>
        <v>0</v>
      </c>
      <c r="J1091" s="3">
        <f>parking_demand_data_2024_ver0!I1091</f>
        <v>5</v>
      </c>
      <c r="K1091" s="3">
        <f>parking_demand_data_2024_ver0!J1091</f>
        <v>3</v>
      </c>
      <c r="L1091" s="3">
        <f>parking_demand_data_2024_ver0!K1091</f>
        <v>1</v>
      </c>
      <c r="M1091" s="3">
        <f>parking_demand_data_2024_ver0!L1091</f>
        <v>1</v>
      </c>
      <c r="N1091" s="3">
        <f>parking_demand_data_2024_ver0!M1091</f>
        <v>669</v>
      </c>
      <c r="O1091" s="3">
        <f>parking_demand_data_2024_ver0!N1091</f>
        <v>0</v>
      </c>
      <c r="P1091" s="3">
        <f>parking_demand_data_2024_ver0!O1091</f>
        <v>0</v>
      </c>
      <c r="Q1091" s="3">
        <f>parking_demand_data_2024_ver0!P1091</f>
        <v>106</v>
      </c>
      <c r="R1091" s="3">
        <f>parking_demand_data_2024_ver0!Q1091</f>
        <v>457</v>
      </c>
      <c r="S1091" s="3">
        <f>parking_demand_data_2024_ver0!R1091</f>
        <v>80</v>
      </c>
      <c r="T1091" s="3">
        <f>parking_demand_data_2024_ver0!S1091</f>
        <v>26</v>
      </c>
    </row>
    <row r="1092" spans="1:20" x14ac:dyDescent="0.25">
      <c r="A1092">
        <v>18091</v>
      </c>
      <c r="B1092" t="s">
        <v>74</v>
      </c>
      <c r="C1092">
        <v>10</v>
      </c>
      <c r="D1092" s="3">
        <f>parking_demand_data_2024_ver0!D1092*calibration!$I$31</f>
        <v>123.76745493225999</v>
      </c>
      <c r="E1092" s="3">
        <f>parking_demand_data_2024_ver0!E1092*calibration!$I$31</f>
        <v>17.808266896728</v>
      </c>
      <c r="F1092" s="3">
        <f t="shared" si="17"/>
        <v>141.57572182898798</v>
      </c>
      <c r="G1092" s="3">
        <f>parking_demand_data_2024_ver0!F1092</f>
        <v>10</v>
      </c>
      <c r="H1092" s="3">
        <f>parking_demand_data_2024_ver0!G1092</f>
        <v>0</v>
      </c>
      <c r="I1092" s="3">
        <f>parking_demand_data_2024_ver0!H1092</f>
        <v>0</v>
      </c>
      <c r="J1092" s="3">
        <f>parking_demand_data_2024_ver0!I1092</f>
        <v>5</v>
      </c>
      <c r="K1092" s="3">
        <f>parking_demand_data_2024_ver0!J1092</f>
        <v>3</v>
      </c>
      <c r="L1092" s="3">
        <f>parking_demand_data_2024_ver0!K1092</f>
        <v>1</v>
      </c>
      <c r="M1092" s="3">
        <f>parking_demand_data_2024_ver0!L1092</f>
        <v>1</v>
      </c>
      <c r="N1092" s="3">
        <f>parking_demand_data_2024_ver0!M1092</f>
        <v>669</v>
      </c>
      <c r="O1092" s="3">
        <f>parking_demand_data_2024_ver0!N1092</f>
        <v>0</v>
      </c>
      <c r="P1092" s="3">
        <f>parking_demand_data_2024_ver0!O1092</f>
        <v>0</v>
      </c>
      <c r="Q1092" s="3">
        <f>parking_demand_data_2024_ver0!P1092</f>
        <v>106</v>
      </c>
      <c r="R1092" s="3">
        <f>parking_demand_data_2024_ver0!Q1092</f>
        <v>457</v>
      </c>
      <c r="S1092" s="3">
        <f>parking_demand_data_2024_ver0!R1092</f>
        <v>80</v>
      </c>
      <c r="T1092" s="3">
        <f>parking_demand_data_2024_ver0!S1092</f>
        <v>26</v>
      </c>
    </row>
    <row r="1093" spans="1:20" x14ac:dyDescent="0.25">
      <c r="A1093">
        <v>18091</v>
      </c>
      <c r="B1093" t="s">
        <v>74</v>
      </c>
      <c r="C1093">
        <v>11</v>
      </c>
      <c r="D1093" s="3">
        <f>parking_demand_data_2024_ver0!D1093*calibration!$I$31</f>
        <v>122.342793580522</v>
      </c>
      <c r="E1093" s="3">
        <f>parking_demand_data_2024_ver0!E1093*calibration!$I$31</f>
        <v>17.380868491206598</v>
      </c>
      <c r="F1093" s="3">
        <f t="shared" si="17"/>
        <v>139.7236620717286</v>
      </c>
      <c r="G1093" s="3">
        <f>parking_demand_data_2024_ver0!F1093</f>
        <v>10</v>
      </c>
      <c r="H1093" s="3">
        <f>parking_demand_data_2024_ver0!G1093</f>
        <v>0</v>
      </c>
      <c r="I1093" s="3">
        <f>parking_demand_data_2024_ver0!H1093</f>
        <v>0</v>
      </c>
      <c r="J1093" s="3">
        <f>parking_demand_data_2024_ver0!I1093</f>
        <v>5</v>
      </c>
      <c r="K1093" s="3">
        <f>parking_demand_data_2024_ver0!J1093</f>
        <v>3</v>
      </c>
      <c r="L1093" s="3">
        <f>parking_demand_data_2024_ver0!K1093</f>
        <v>1</v>
      </c>
      <c r="M1093" s="3">
        <f>parking_demand_data_2024_ver0!L1093</f>
        <v>1</v>
      </c>
      <c r="N1093" s="3">
        <f>parking_demand_data_2024_ver0!M1093</f>
        <v>669</v>
      </c>
      <c r="O1093" s="3">
        <f>parking_demand_data_2024_ver0!N1093</f>
        <v>0</v>
      </c>
      <c r="P1093" s="3">
        <f>parking_demand_data_2024_ver0!O1093</f>
        <v>0</v>
      </c>
      <c r="Q1093" s="3">
        <f>parking_demand_data_2024_ver0!P1093</f>
        <v>106</v>
      </c>
      <c r="R1093" s="3">
        <f>parking_demand_data_2024_ver0!Q1093</f>
        <v>457</v>
      </c>
      <c r="S1093" s="3">
        <f>parking_demand_data_2024_ver0!R1093</f>
        <v>80</v>
      </c>
      <c r="T1093" s="3">
        <f>parking_demand_data_2024_ver0!S1093</f>
        <v>26</v>
      </c>
    </row>
    <row r="1094" spans="1:20" x14ac:dyDescent="0.25">
      <c r="A1094">
        <v>18091</v>
      </c>
      <c r="B1094" t="s">
        <v>74</v>
      </c>
      <c r="C1094">
        <v>12</v>
      </c>
      <c r="D1094" s="3">
        <f>parking_demand_data_2024_ver0!D1094*calibration!$I$31</f>
        <v>123.090740790184</v>
      </c>
      <c r="E1094" s="3">
        <f>parking_demand_data_2024_ver0!E1094*calibration!$I$31</f>
        <v>18.093199167075699</v>
      </c>
      <c r="F1094" s="3">
        <f t="shared" si="17"/>
        <v>141.1839399572597</v>
      </c>
      <c r="G1094" s="3">
        <f>parking_demand_data_2024_ver0!F1094</f>
        <v>10</v>
      </c>
      <c r="H1094" s="3">
        <f>parking_demand_data_2024_ver0!G1094</f>
        <v>0</v>
      </c>
      <c r="I1094" s="3">
        <f>parking_demand_data_2024_ver0!H1094</f>
        <v>0</v>
      </c>
      <c r="J1094" s="3">
        <f>parking_demand_data_2024_ver0!I1094</f>
        <v>5</v>
      </c>
      <c r="K1094" s="3">
        <f>parking_demand_data_2024_ver0!J1094</f>
        <v>3</v>
      </c>
      <c r="L1094" s="3">
        <f>parking_demand_data_2024_ver0!K1094</f>
        <v>1</v>
      </c>
      <c r="M1094" s="3">
        <f>parking_demand_data_2024_ver0!L1094</f>
        <v>1</v>
      </c>
      <c r="N1094" s="3">
        <f>parking_demand_data_2024_ver0!M1094</f>
        <v>669</v>
      </c>
      <c r="O1094" s="3">
        <f>parking_demand_data_2024_ver0!N1094</f>
        <v>0</v>
      </c>
      <c r="P1094" s="3">
        <f>parking_demand_data_2024_ver0!O1094</f>
        <v>0</v>
      </c>
      <c r="Q1094" s="3">
        <f>parking_demand_data_2024_ver0!P1094</f>
        <v>106</v>
      </c>
      <c r="R1094" s="3">
        <f>parking_demand_data_2024_ver0!Q1094</f>
        <v>457</v>
      </c>
      <c r="S1094" s="3">
        <f>parking_demand_data_2024_ver0!R1094</f>
        <v>80</v>
      </c>
      <c r="T1094" s="3">
        <f>parking_demand_data_2024_ver0!S1094</f>
        <v>26</v>
      </c>
    </row>
    <row r="1095" spans="1:20" x14ac:dyDescent="0.25">
      <c r="A1095">
        <v>18091</v>
      </c>
      <c r="B1095" t="s">
        <v>74</v>
      </c>
      <c r="C1095">
        <v>13</v>
      </c>
      <c r="D1095" s="3">
        <f>parking_demand_data_2024_ver0!D1095*calibration!$I$31</f>
        <v>124.87156747985701</v>
      </c>
      <c r="E1095" s="3">
        <f>parking_demand_data_2024_ver0!E1095*calibration!$I$31</f>
        <v>16.5260716801636</v>
      </c>
      <c r="F1095" s="3">
        <f t="shared" si="17"/>
        <v>141.39763916002062</v>
      </c>
      <c r="G1095" s="3">
        <f>parking_demand_data_2024_ver0!F1095</f>
        <v>10</v>
      </c>
      <c r="H1095" s="3">
        <f>parking_demand_data_2024_ver0!G1095</f>
        <v>0</v>
      </c>
      <c r="I1095" s="3">
        <f>parking_demand_data_2024_ver0!H1095</f>
        <v>0</v>
      </c>
      <c r="J1095" s="3">
        <f>parking_demand_data_2024_ver0!I1095</f>
        <v>5</v>
      </c>
      <c r="K1095" s="3">
        <f>parking_demand_data_2024_ver0!J1095</f>
        <v>3</v>
      </c>
      <c r="L1095" s="3">
        <f>parking_demand_data_2024_ver0!K1095</f>
        <v>1</v>
      </c>
      <c r="M1095" s="3">
        <f>parking_demand_data_2024_ver0!L1095</f>
        <v>1</v>
      </c>
      <c r="N1095" s="3">
        <f>parking_demand_data_2024_ver0!M1095</f>
        <v>669</v>
      </c>
      <c r="O1095" s="3">
        <f>parking_demand_data_2024_ver0!N1095</f>
        <v>0</v>
      </c>
      <c r="P1095" s="3">
        <f>parking_demand_data_2024_ver0!O1095</f>
        <v>0</v>
      </c>
      <c r="Q1095" s="3">
        <f>parking_demand_data_2024_ver0!P1095</f>
        <v>106</v>
      </c>
      <c r="R1095" s="3">
        <f>parking_demand_data_2024_ver0!Q1095</f>
        <v>457</v>
      </c>
      <c r="S1095" s="3">
        <f>parking_demand_data_2024_ver0!R1095</f>
        <v>80</v>
      </c>
      <c r="T1095" s="3">
        <f>parking_demand_data_2024_ver0!S1095</f>
        <v>26</v>
      </c>
    </row>
    <row r="1096" spans="1:20" x14ac:dyDescent="0.25">
      <c r="A1096">
        <v>18091</v>
      </c>
      <c r="B1096" t="s">
        <v>74</v>
      </c>
      <c r="C1096">
        <v>14</v>
      </c>
      <c r="D1096" s="3">
        <f>parking_demand_data_2024_ver0!D1096*calibration!$I$31</f>
        <v>126.04691309504101</v>
      </c>
      <c r="E1096" s="3">
        <f>parking_demand_data_2024_ver0!E1096*calibration!$I$31</f>
        <v>16.205522876022499</v>
      </c>
      <c r="F1096" s="3">
        <f t="shared" si="17"/>
        <v>142.25243597106351</v>
      </c>
      <c r="G1096" s="3">
        <f>parking_demand_data_2024_ver0!F1096</f>
        <v>10</v>
      </c>
      <c r="H1096" s="3">
        <f>parking_demand_data_2024_ver0!G1096</f>
        <v>0</v>
      </c>
      <c r="I1096" s="3">
        <f>parking_demand_data_2024_ver0!H1096</f>
        <v>0</v>
      </c>
      <c r="J1096" s="3">
        <f>parking_demand_data_2024_ver0!I1096</f>
        <v>5</v>
      </c>
      <c r="K1096" s="3">
        <f>parking_demand_data_2024_ver0!J1096</f>
        <v>3</v>
      </c>
      <c r="L1096" s="3">
        <f>parking_demand_data_2024_ver0!K1096</f>
        <v>1</v>
      </c>
      <c r="M1096" s="3">
        <f>parking_demand_data_2024_ver0!L1096</f>
        <v>1</v>
      </c>
      <c r="N1096" s="3">
        <f>parking_demand_data_2024_ver0!M1096</f>
        <v>669</v>
      </c>
      <c r="O1096" s="3">
        <f>parking_demand_data_2024_ver0!N1096</f>
        <v>0</v>
      </c>
      <c r="P1096" s="3">
        <f>parking_demand_data_2024_ver0!O1096</f>
        <v>0</v>
      </c>
      <c r="Q1096" s="3">
        <f>parking_demand_data_2024_ver0!P1096</f>
        <v>106</v>
      </c>
      <c r="R1096" s="3">
        <f>parking_demand_data_2024_ver0!Q1096</f>
        <v>457</v>
      </c>
      <c r="S1096" s="3">
        <f>parking_demand_data_2024_ver0!R1096</f>
        <v>80</v>
      </c>
      <c r="T1096" s="3">
        <f>parking_demand_data_2024_ver0!S1096</f>
        <v>26</v>
      </c>
    </row>
    <row r="1097" spans="1:20" x14ac:dyDescent="0.25">
      <c r="A1097">
        <v>18091</v>
      </c>
      <c r="B1097" t="s">
        <v>74</v>
      </c>
      <c r="C1097">
        <v>15</v>
      </c>
      <c r="D1097" s="3">
        <f>parking_demand_data_2024_ver0!D1097*calibration!$I$31</f>
        <v>131.175693961299</v>
      </c>
      <c r="E1097" s="3">
        <f>parking_demand_data_2024_ver0!E1097*calibration!$I$31</f>
        <v>14.389079652556299</v>
      </c>
      <c r="F1097" s="3">
        <f t="shared" si="17"/>
        <v>145.56477361385529</v>
      </c>
      <c r="G1097" s="3">
        <f>parking_demand_data_2024_ver0!F1097</f>
        <v>10</v>
      </c>
      <c r="H1097" s="3">
        <f>parking_demand_data_2024_ver0!G1097</f>
        <v>0</v>
      </c>
      <c r="I1097" s="3">
        <f>parking_demand_data_2024_ver0!H1097</f>
        <v>0</v>
      </c>
      <c r="J1097" s="3">
        <f>parking_demand_data_2024_ver0!I1097</f>
        <v>5</v>
      </c>
      <c r="K1097" s="3">
        <f>parking_demand_data_2024_ver0!J1097</f>
        <v>3</v>
      </c>
      <c r="L1097" s="3">
        <f>parking_demand_data_2024_ver0!K1097</f>
        <v>1</v>
      </c>
      <c r="M1097" s="3">
        <f>parking_demand_data_2024_ver0!L1097</f>
        <v>1</v>
      </c>
      <c r="N1097" s="3">
        <f>parking_demand_data_2024_ver0!M1097</f>
        <v>669</v>
      </c>
      <c r="O1097" s="3">
        <f>parking_demand_data_2024_ver0!N1097</f>
        <v>0</v>
      </c>
      <c r="P1097" s="3">
        <f>parking_demand_data_2024_ver0!O1097</f>
        <v>0</v>
      </c>
      <c r="Q1097" s="3">
        <f>parking_demand_data_2024_ver0!P1097</f>
        <v>106</v>
      </c>
      <c r="R1097" s="3">
        <f>parking_demand_data_2024_ver0!Q1097</f>
        <v>457</v>
      </c>
      <c r="S1097" s="3">
        <f>parking_demand_data_2024_ver0!R1097</f>
        <v>80</v>
      </c>
      <c r="T1097" s="3">
        <f>parking_demand_data_2024_ver0!S1097</f>
        <v>26</v>
      </c>
    </row>
    <row r="1098" spans="1:20" x14ac:dyDescent="0.25">
      <c r="A1098">
        <v>18091</v>
      </c>
      <c r="B1098" t="s">
        <v>74</v>
      </c>
      <c r="C1098">
        <v>16</v>
      </c>
      <c r="D1098" s="3">
        <f>parking_demand_data_2024_ver0!D1098*calibration!$I$31</f>
        <v>144.38942799867101</v>
      </c>
      <c r="E1098" s="3">
        <f>parking_demand_data_2024_ver0!E1098*calibration!$I$31</f>
        <v>13.641132442893699</v>
      </c>
      <c r="F1098" s="3">
        <f t="shared" si="17"/>
        <v>158.03056044156472</v>
      </c>
      <c r="G1098" s="3">
        <f>parking_demand_data_2024_ver0!F1098</f>
        <v>10</v>
      </c>
      <c r="H1098" s="3">
        <f>parking_demand_data_2024_ver0!G1098</f>
        <v>0</v>
      </c>
      <c r="I1098" s="3">
        <f>parking_demand_data_2024_ver0!H1098</f>
        <v>0</v>
      </c>
      <c r="J1098" s="3">
        <f>parking_demand_data_2024_ver0!I1098</f>
        <v>5</v>
      </c>
      <c r="K1098" s="3">
        <f>parking_demand_data_2024_ver0!J1098</f>
        <v>3</v>
      </c>
      <c r="L1098" s="3">
        <f>parking_demand_data_2024_ver0!K1098</f>
        <v>1</v>
      </c>
      <c r="M1098" s="3">
        <f>parking_demand_data_2024_ver0!L1098</f>
        <v>1</v>
      </c>
      <c r="N1098" s="3">
        <f>parking_demand_data_2024_ver0!M1098</f>
        <v>669</v>
      </c>
      <c r="O1098" s="3">
        <f>parking_demand_data_2024_ver0!N1098</f>
        <v>0</v>
      </c>
      <c r="P1098" s="3">
        <f>parking_demand_data_2024_ver0!O1098</f>
        <v>0</v>
      </c>
      <c r="Q1098" s="3">
        <f>parking_demand_data_2024_ver0!P1098</f>
        <v>106</v>
      </c>
      <c r="R1098" s="3">
        <f>parking_demand_data_2024_ver0!Q1098</f>
        <v>457</v>
      </c>
      <c r="S1098" s="3">
        <f>parking_demand_data_2024_ver0!R1098</f>
        <v>80</v>
      </c>
      <c r="T1098" s="3">
        <f>parking_demand_data_2024_ver0!S1098</f>
        <v>26</v>
      </c>
    </row>
    <row r="1099" spans="1:20" x14ac:dyDescent="0.25">
      <c r="A1099">
        <v>18091</v>
      </c>
      <c r="B1099" t="s">
        <v>74</v>
      </c>
      <c r="C1099">
        <v>17</v>
      </c>
      <c r="D1099" s="3">
        <f>parking_demand_data_2024_ver0!D1099*calibration!$I$31</f>
        <v>162.30454449677899</v>
      </c>
      <c r="E1099" s="3">
        <f>parking_demand_data_2024_ver0!E1099*calibration!$I$31</f>
        <v>13.6055159091002</v>
      </c>
      <c r="F1099" s="3">
        <f t="shared" si="17"/>
        <v>175.91006040587919</v>
      </c>
      <c r="G1099" s="3">
        <f>parking_demand_data_2024_ver0!F1099</f>
        <v>10</v>
      </c>
      <c r="H1099" s="3">
        <f>parking_demand_data_2024_ver0!G1099</f>
        <v>0</v>
      </c>
      <c r="I1099" s="3">
        <f>parking_demand_data_2024_ver0!H1099</f>
        <v>0</v>
      </c>
      <c r="J1099" s="3">
        <f>parking_demand_data_2024_ver0!I1099</f>
        <v>5</v>
      </c>
      <c r="K1099" s="3">
        <f>parking_demand_data_2024_ver0!J1099</f>
        <v>3</v>
      </c>
      <c r="L1099" s="3">
        <f>parking_demand_data_2024_ver0!K1099</f>
        <v>1</v>
      </c>
      <c r="M1099" s="3">
        <f>parking_demand_data_2024_ver0!L1099</f>
        <v>1</v>
      </c>
      <c r="N1099" s="3">
        <f>parking_demand_data_2024_ver0!M1099</f>
        <v>669</v>
      </c>
      <c r="O1099" s="3">
        <f>parking_demand_data_2024_ver0!N1099</f>
        <v>0</v>
      </c>
      <c r="P1099" s="3">
        <f>parking_demand_data_2024_ver0!O1099</f>
        <v>0</v>
      </c>
      <c r="Q1099" s="3">
        <f>parking_demand_data_2024_ver0!P1099</f>
        <v>106</v>
      </c>
      <c r="R1099" s="3">
        <f>parking_demand_data_2024_ver0!Q1099</f>
        <v>457</v>
      </c>
      <c r="S1099" s="3">
        <f>parking_demand_data_2024_ver0!R1099</f>
        <v>80</v>
      </c>
      <c r="T1099" s="3">
        <f>parking_demand_data_2024_ver0!S1099</f>
        <v>26</v>
      </c>
    </row>
    <row r="1100" spans="1:20" x14ac:dyDescent="0.25">
      <c r="A1100">
        <v>18091</v>
      </c>
      <c r="B1100" t="s">
        <v>74</v>
      </c>
      <c r="C1100">
        <v>18</v>
      </c>
      <c r="D1100" s="3">
        <f>parking_demand_data_2024_ver0!D1100*calibration!$I$31</f>
        <v>189.01694484187101</v>
      </c>
      <c r="E1100" s="3">
        <f>parking_demand_data_2024_ver0!E1100*calibration!$I$31</f>
        <v>15.172643396012299</v>
      </c>
      <c r="F1100" s="3">
        <f t="shared" si="17"/>
        <v>204.1895882378833</v>
      </c>
      <c r="G1100" s="3">
        <f>parking_demand_data_2024_ver0!F1100</f>
        <v>10</v>
      </c>
      <c r="H1100" s="3">
        <f>parking_demand_data_2024_ver0!G1100</f>
        <v>0</v>
      </c>
      <c r="I1100" s="3">
        <f>parking_demand_data_2024_ver0!H1100</f>
        <v>0</v>
      </c>
      <c r="J1100" s="3">
        <f>parking_demand_data_2024_ver0!I1100</f>
        <v>5</v>
      </c>
      <c r="K1100" s="3">
        <f>parking_demand_data_2024_ver0!J1100</f>
        <v>3</v>
      </c>
      <c r="L1100" s="3">
        <f>parking_demand_data_2024_ver0!K1100</f>
        <v>1</v>
      </c>
      <c r="M1100" s="3">
        <f>parking_demand_data_2024_ver0!L1100</f>
        <v>1</v>
      </c>
      <c r="N1100" s="3">
        <f>parking_demand_data_2024_ver0!M1100</f>
        <v>669</v>
      </c>
      <c r="O1100" s="3">
        <f>parking_demand_data_2024_ver0!N1100</f>
        <v>0</v>
      </c>
      <c r="P1100" s="3">
        <f>parking_demand_data_2024_ver0!O1100</f>
        <v>0</v>
      </c>
      <c r="Q1100" s="3">
        <f>parking_demand_data_2024_ver0!P1100</f>
        <v>106</v>
      </c>
      <c r="R1100" s="3">
        <f>parking_demand_data_2024_ver0!Q1100</f>
        <v>457</v>
      </c>
      <c r="S1100" s="3">
        <f>parking_demand_data_2024_ver0!R1100</f>
        <v>80</v>
      </c>
      <c r="T1100" s="3">
        <f>parking_demand_data_2024_ver0!S1100</f>
        <v>26</v>
      </c>
    </row>
    <row r="1101" spans="1:20" x14ac:dyDescent="0.25">
      <c r="A1101">
        <v>18091</v>
      </c>
      <c r="B1101" t="s">
        <v>74</v>
      </c>
      <c r="C1101">
        <v>19</v>
      </c>
      <c r="D1101" s="3">
        <f>parking_demand_data_2024_ver0!D1101*calibration!$I$31</f>
        <v>213.80605236211699</v>
      </c>
      <c r="E1101" s="3">
        <f>parking_demand_data_2024_ver0!E1101*calibration!$I$31</f>
        <v>15.6356583353272</v>
      </c>
      <c r="F1101" s="3">
        <f t="shared" si="17"/>
        <v>229.44171069744419</v>
      </c>
      <c r="G1101" s="3">
        <f>parking_demand_data_2024_ver0!F1101</f>
        <v>10</v>
      </c>
      <c r="H1101" s="3">
        <f>parking_demand_data_2024_ver0!G1101</f>
        <v>0</v>
      </c>
      <c r="I1101" s="3">
        <f>parking_demand_data_2024_ver0!H1101</f>
        <v>0</v>
      </c>
      <c r="J1101" s="3">
        <f>parking_demand_data_2024_ver0!I1101</f>
        <v>5</v>
      </c>
      <c r="K1101" s="3">
        <f>parking_demand_data_2024_ver0!J1101</f>
        <v>3</v>
      </c>
      <c r="L1101" s="3">
        <f>parking_demand_data_2024_ver0!K1101</f>
        <v>1</v>
      </c>
      <c r="M1101" s="3">
        <f>parking_demand_data_2024_ver0!L1101</f>
        <v>1</v>
      </c>
      <c r="N1101" s="3">
        <f>parking_demand_data_2024_ver0!M1101</f>
        <v>669</v>
      </c>
      <c r="O1101" s="3">
        <f>parking_demand_data_2024_ver0!N1101</f>
        <v>0</v>
      </c>
      <c r="P1101" s="3">
        <f>parking_demand_data_2024_ver0!O1101</f>
        <v>0</v>
      </c>
      <c r="Q1101" s="3">
        <f>parking_demand_data_2024_ver0!P1101</f>
        <v>106</v>
      </c>
      <c r="R1101" s="3">
        <f>parking_demand_data_2024_ver0!Q1101</f>
        <v>457</v>
      </c>
      <c r="S1101" s="3">
        <f>parking_demand_data_2024_ver0!R1101</f>
        <v>80</v>
      </c>
      <c r="T1101" s="3">
        <f>parking_demand_data_2024_ver0!S1101</f>
        <v>26</v>
      </c>
    </row>
    <row r="1102" spans="1:20" x14ac:dyDescent="0.25">
      <c r="A1102">
        <v>18091</v>
      </c>
      <c r="B1102" t="s">
        <v>74</v>
      </c>
      <c r="C1102">
        <v>20</v>
      </c>
      <c r="D1102" s="3">
        <f>parking_demand_data_2024_ver0!D1102*calibration!$I$31</f>
        <v>237.491047334765</v>
      </c>
      <c r="E1102" s="3">
        <f>parking_demand_data_2024_ver0!E1102*calibration!$I$31</f>
        <v>17.345251957413101</v>
      </c>
      <c r="F1102" s="3">
        <f t="shared" si="17"/>
        <v>254.8362992921781</v>
      </c>
      <c r="G1102" s="3">
        <f>parking_demand_data_2024_ver0!F1102</f>
        <v>10</v>
      </c>
      <c r="H1102" s="3">
        <f>parking_demand_data_2024_ver0!G1102</f>
        <v>0</v>
      </c>
      <c r="I1102" s="3">
        <f>parking_demand_data_2024_ver0!H1102</f>
        <v>0</v>
      </c>
      <c r="J1102" s="3">
        <f>parking_demand_data_2024_ver0!I1102</f>
        <v>5</v>
      </c>
      <c r="K1102" s="3">
        <f>parking_demand_data_2024_ver0!J1102</f>
        <v>3</v>
      </c>
      <c r="L1102" s="3">
        <f>parking_demand_data_2024_ver0!K1102</f>
        <v>1</v>
      </c>
      <c r="M1102" s="3">
        <f>parking_demand_data_2024_ver0!L1102</f>
        <v>1</v>
      </c>
      <c r="N1102" s="3">
        <f>parking_demand_data_2024_ver0!M1102</f>
        <v>669</v>
      </c>
      <c r="O1102" s="3">
        <f>parking_demand_data_2024_ver0!N1102</f>
        <v>0</v>
      </c>
      <c r="P1102" s="3">
        <f>parking_demand_data_2024_ver0!O1102</f>
        <v>0</v>
      </c>
      <c r="Q1102" s="3">
        <f>parking_demand_data_2024_ver0!P1102</f>
        <v>106</v>
      </c>
      <c r="R1102" s="3">
        <f>parking_demand_data_2024_ver0!Q1102</f>
        <v>457</v>
      </c>
      <c r="S1102" s="3">
        <f>parking_demand_data_2024_ver0!R1102</f>
        <v>80</v>
      </c>
      <c r="T1102" s="3">
        <f>parking_demand_data_2024_ver0!S1102</f>
        <v>26</v>
      </c>
    </row>
    <row r="1103" spans="1:20" x14ac:dyDescent="0.25">
      <c r="A1103">
        <v>18091</v>
      </c>
      <c r="B1103" t="s">
        <v>74</v>
      </c>
      <c r="C1103">
        <v>21</v>
      </c>
      <c r="D1103" s="3">
        <f>parking_demand_data_2024_ver0!D1103*calibration!$I$31</f>
        <v>260.71302736809901</v>
      </c>
      <c r="E1103" s="3">
        <f>parking_demand_data_2024_ver0!E1103*calibration!$I$31</f>
        <v>20.479506931237299</v>
      </c>
      <c r="F1103" s="3">
        <f t="shared" si="17"/>
        <v>281.19253429933633</v>
      </c>
      <c r="G1103" s="3">
        <f>parking_demand_data_2024_ver0!F1103</f>
        <v>10</v>
      </c>
      <c r="H1103" s="3">
        <f>parking_demand_data_2024_ver0!G1103</f>
        <v>0</v>
      </c>
      <c r="I1103" s="3">
        <f>parking_demand_data_2024_ver0!H1103</f>
        <v>0</v>
      </c>
      <c r="J1103" s="3">
        <f>parking_demand_data_2024_ver0!I1103</f>
        <v>5</v>
      </c>
      <c r="K1103" s="3">
        <f>parking_demand_data_2024_ver0!J1103</f>
        <v>3</v>
      </c>
      <c r="L1103" s="3">
        <f>parking_demand_data_2024_ver0!K1103</f>
        <v>1</v>
      </c>
      <c r="M1103" s="3">
        <f>parking_demand_data_2024_ver0!L1103</f>
        <v>1</v>
      </c>
      <c r="N1103" s="3">
        <f>parking_demand_data_2024_ver0!M1103</f>
        <v>669</v>
      </c>
      <c r="O1103" s="3">
        <f>parking_demand_data_2024_ver0!N1103</f>
        <v>0</v>
      </c>
      <c r="P1103" s="3">
        <f>parking_demand_data_2024_ver0!O1103</f>
        <v>0</v>
      </c>
      <c r="Q1103" s="3">
        <f>parking_demand_data_2024_ver0!P1103</f>
        <v>106</v>
      </c>
      <c r="R1103" s="3">
        <f>parking_demand_data_2024_ver0!Q1103</f>
        <v>457</v>
      </c>
      <c r="S1103" s="3">
        <f>parking_demand_data_2024_ver0!R1103</f>
        <v>80</v>
      </c>
      <c r="T1103" s="3">
        <f>parking_demand_data_2024_ver0!S1103</f>
        <v>26</v>
      </c>
    </row>
    <row r="1104" spans="1:20" x14ac:dyDescent="0.25">
      <c r="A1104">
        <v>18091</v>
      </c>
      <c r="B1104" t="s">
        <v>74</v>
      </c>
      <c r="C1104">
        <v>22</v>
      </c>
      <c r="D1104" s="3">
        <f>parking_demand_data_2024_ver0!D1104*calibration!$I$31</f>
        <v>282.332263380727</v>
      </c>
      <c r="E1104" s="3">
        <f>parking_demand_data_2024_ver0!E1104*calibration!$I$31</f>
        <v>23.328829634713799</v>
      </c>
      <c r="F1104" s="3">
        <f t="shared" si="17"/>
        <v>305.66109301544077</v>
      </c>
      <c r="G1104" s="3">
        <f>parking_demand_data_2024_ver0!F1104</f>
        <v>10</v>
      </c>
      <c r="H1104" s="3">
        <f>parking_demand_data_2024_ver0!G1104</f>
        <v>0</v>
      </c>
      <c r="I1104" s="3">
        <f>parking_demand_data_2024_ver0!H1104</f>
        <v>0</v>
      </c>
      <c r="J1104" s="3">
        <f>parking_demand_data_2024_ver0!I1104</f>
        <v>5</v>
      </c>
      <c r="K1104" s="3">
        <f>parking_demand_data_2024_ver0!J1104</f>
        <v>3</v>
      </c>
      <c r="L1104" s="3">
        <f>parking_demand_data_2024_ver0!K1104</f>
        <v>1</v>
      </c>
      <c r="M1104" s="3">
        <f>parking_demand_data_2024_ver0!L1104</f>
        <v>1</v>
      </c>
      <c r="N1104" s="3">
        <f>parking_demand_data_2024_ver0!M1104</f>
        <v>669</v>
      </c>
      <c r="O1104" s="3">
        <f>parking_demand_data_2024_ver0!N1104</f>
        <v>0</v>
      </c>
      <c r="P1104" s="3">
        <f>parking_demand_data_2024_ver0!O1104</f>
        <v>0</v>
      </c>
      <c r="Q1104" s="3">
        <f>parking_demand_data_2024_ver0!P1104</f>
        <v>106</v>
      </c>
      <c r="R1104" s="3">
        <f>parking_demand_data_2024_ver0!Q1104</f>
        <v>457</v>
      </c>
      <c r="S1104" s="3">
        <f>parking_demand_data_2024_ver0!R1104</f>
        <v>80</v>
      </c>
      <c r="T1104" s="3">
        <f>parking_demand_data_2024_ver0!S1104</f>
        <v>26</v>
      </c>
    </row>
    <row r="1105" spans="1:20" x14ac:dyDescent="0.25">
      <c r="A1105">
        <v>18091</v>
      </c>
      <c r="B1105" t="s">
        <v>74</v>
      </c>
      <c r="C1105">
        <v>23</v>
      </c>
      <c r="D1105" s="3">
        <f>parking_demand_data_2024_ver0!D1105*calibration!$I$31</f>
        <v>301.67204123057297</v>
      </c>
      <c r="E1105" s="3">
        <f>parking_demand_data_2024_ver0!E1105*calibration!$I$31</f>
        <v>26.178152338190301</v>
      </c>
      <c r="F1105" s="3">
        <f t="shared" si="17"/>
        <v>327.8501935687633</v>
      </c>
      <c r="G1105" s="3">
        <f>parking_demand_data_2024_ver0!F1105</f>
        <v>10</v>
      </c>
      <c r="H1105" s="3">
        <f>parking_demand_data_2024_ver0!G1105</f>
        <v>0</v>
      </c>
      <c r="I1105" s="3">
        <f>parking_demand_data_2024_ver0!H1105</f>
        <v>0</v>
      </c>
      <c r="J1105" s="3">
        <f>parking_demand_data_2024_ver0!I1105</f>
        <v>5</v>
      </c>
      <c r="K1105" s="3">
        <f>parking_demand_data_2024_ver0!J1105</f>
        <v>3</v>
      </c>
      <c r="L1105" s="3">
        <f>parking_demand_data_2024_ver0!K1105</f>
        <v>1</v>
      </c>
      <c r="M1105" s="3">
        <f>parking_demand_data_2024_ver0!L1105</f>
        <v>1</v>
      </c>
      <c r="N1105" s="3">
        <f>parking_demand_data_2024_ver0!M1105</f>
        <v>669</v>
      </c>
      <c r="O1105" s="3">
        <f>parking_demand_data_2024_ver0!N1105</f>
        <v>0</v>
      </c>
      <c r="P1105" s="3">
        <f>parking_demand_data_2024_ver0!O1105</f>
        <v>0</v>
      </c>
      <c r="Q1105" s="3">
        <f>parking_demand_data_2024_ver0!P1105</f>
        <v>106</v>
      </c>
      <c r="R1105" s="3">
        <f>parking_demand_data_2024_ver0!Q1105</f>
        <v>457</v>
      </c>
      <c r="S1105" s="3">
        <f>parking_demand_data_2024_ver0!R1105</f>
        <v>80</v>
      </c>
      <c r="T1105" s="3">
        <f>parking_demand_data_2024_ver0!S1105</f>
        <v>26</v>
      </c>
    </row>
    <row r="1106" spans="1:20" x14ac:dyDescent="0.25">
      <c r="A1106">
        <v>18093</v>
      </c>
      <c r="B1106" t="s">
        <v>75</v>
      </c>
      <c r="C1106">
        <v>0</v>
      </c>
      <c r="D1106" s="3">
        <f>parking_demand_data_2024_ver0!D1106*calibration!$I$31</f>
        <v>1.30425908223553</v>
      </c>
      <c r="E1106" s="3">
        <f>parking_demand_data_2024_ver0!E1106*calibration!$I$31</f>
        <v>0.54344128426480398</v>
      </c>
      <c r="F1106" s="3">
        <f t="shared" si="17"/>
        <v>1.847700366500334</v>
      </c>
      <c r="G1106" s="3">
        <f>parking_demand_data_2024_ver0!F1106</f>
        <v>2</v>
      </c>
      <c r="H1106" s="3">
        <f>parking_demand_data_2024_ver0!G1106</f>
        <v>0</v>
      </c>
      <c r="I1106" s="3">
        <f>parking_demand_data_2024_ver0!H1106</f>
        <v>0</v>
      </c>
      <c r="J1106" s="3">
        <f>parking_demand_data_2024_ver0!I1106</f>
        <v>2</v>
      </c>
      <c r="K1106" s="3">
        <f>parking_demand_data_2024_ver0!J1106</f>
        <v>0</v>
      </c>
      <c r="L1106" s="3">
        <f>parking_demand_data_2024_ver0!K1106</f>
        <v>0</v>
      </c>
      <c r="M1106" s="3">
        <f>parking_demand_data_2024_ver0!L1106</f>
        <v>0</v>
      </c>
      <c r="N1106" s="3">
        <f>parking_demand_data_2024_ver0!M1106</f>
        <v>23</v>
      </c>
      <c r="O1106" s="3">
        <f>parking_demand_data_2024_ver0!N1106</f>
        <v>0</v>
      </c>
      <c r="P1106" s="3">
        <f>parking_demand_data_2024_ver0!O1106</f>
        <v>0</v>
      </c>
      <c r="Q1106" s="3">
        <f>parking_demand_data_2024_ver0!P1106</f>
        <v>23</v>
      </c>
      <c r="R1106" s="3">
        <f>parking_demand_data_2024_ver0!Q1106</f>
        <v>0</v>
      </c>
      <c r="S1106" s="3">
        <f>parking_demand_data_2024_ver0!R1106</f>
        <v>0</v>
      </c>
      <c r="T1106" s="3">
        <f>parking_demand_data_2024_ver0!S1106</f>
        <v>0</v>
      </c>
    </row>
    <row r="1107" spans="1:20" x14ac:dyDescent="0.25">
      <c r="A1107">
        <v>18093</v>
      </c>
      <c r="B1107" t="s">
        <v>75</v>
      </c>
      <c r="C1107">
        <v>1</v>
      </c>
      <c r="D1107" s="3">
        <f>parking_demand_data_2024_ver0!D1107*calibration!$I$31</f>
        <v>1.34048850118651</v>
      </c>
      <c r="E1107" s="3">
        <f>parking_demand_data_2024_ver0!E1107*calibration!$I$31</f>
        <v>0.54344128426480398</v>
      </c>
      <c r="F1107" s="3">
        <f t="shared" si="17"/>
        <v>1.883929785451314</v>
      </c>
      <c r="G1107" s="3">
        <f>parking_demand_data_2024_ver0!F1107</f>
        <v>2</v>
      </c>
      <c r="H1107" s="3">
        <f>parking_demand_data_2024_ver0!G1107</f>
        <v>0</v>
      </c>
      <c r="I1107" s="3">
        <f>parking_demand_data_2024_ver0!H1107</f>
        <v>0</v>
      </c>
      <c r="J1107" s="3">
        <f>parking_demand_data_2024_ver0!I1107</f>
        <v>2</v>
      </c>
      <c r="K1107" s="3">
        <f>parking_demand_data_2024_ver0!J1107</f>
        <v>0</v>
      </c>
      <c r="L1107" s="3">
        <f>parking_demand_data_2024_ver0!K1107</f>
        <v>0</v>
      </c>
      <c r="M1107" s="3">
        <f>parking_demand_data_2024_ver0!L1107</f>
        <v>0</v>
      </c>
      <c r="N1107" s="3">
        <f>parking_demand_data_2024_ver0!M1107</f>
        <v>23</v>
      </c>
      <c r="O1107" s="3">
        <f>parking_demand_data_2024_ver0!N1107</f>
        <v>0</v>
      </c>
      <c r="P1107" s="3">
        <f>parking_demand_data_2024_ver0!O1107</f>
        <v>0</v>
      </c>
      <c r="Q1107" s="3">
        <f>parking_demand_data_2024_ver0!P1107</f>
        <v>23</v>
      </c>
      <c r="R1107" s="3">
        <f>parking_demand_data_2024_ver0!Q1107</f>
        <v>0</v>
      </c>
      <c r="S1107" s="3">
        <f>parking_demand_data_2024_ver0!R1107</f>
        <v>0</v>
      </c>
      <c r="T1107" s="3">
        <f>parking_demand_data_2024_ver0!S1107</f>
        <v>0</v>
      </c>
    </row>
    <row r="1108" spans="1:20" x14ac:dyDescent="0.25">
      <c r="A1108">
        <v>18093</v>
      </c>
      <c r="B1108" t="s">
        <v>75</v>
      </c>
      <c r="C1108">
        <v>2</v>
      </c>
      <c r="D1108" s="3">
        <f>parking_demand_data_2024_ver0!D1108*calibration!$I$31</f>
        <v>1.30425908223553</v>
      </c>
      <c r="E1108" s="3">
        <f>parking_demand_data_2024_ver0!E1108*calibration!$I$31</f>
        <v>0.54344128426480398</v>
      </c>
      <c r="F1108" s="3">
        <f t="shared" si="17"/>
        <v>1.847700366500334</v>
      </c>
      <c r="G1108" s="3">
        <f>parking_demand_data_2024_ver0!F1108</f>
        <v>2</v>
      </c>
      <c r="H1108" s="3">
        <f>parking_demand_data_2024_ver0!G1108</f>
        <v>0</v>
      </c>
      <c r="I1108" s="3">
        <f>parking_demand_data_2024_ver0!H1108</f>
        <v>0</v>
      </c>
      <c r="J1108" s="3">
        <f>parking_demand_data_2024_ver0!I1108</f>
        <v>2</v>
      </c>
      <c r="K1108" s="3">
        <f>parking_demand_data_2024_ver0!J1108</f>
        <v>0</v>
      </c>
      <c r="L1108" s="3">
        <f>parking_demand_data_2024_ver0!K1108</f>
        <v>0</v>
      </c>
      <c r="M1108" s="3">
        <f>parking_demand_data_2024_ver0!L1108</f>
        <v>0</v>
      </c>
      <c r="N1108" s="3">
        <f>parking_demand_data_2024_ver0!M1108</f>
        <v>23</v>
      </c>
      <c r="O1108" s="3">
        <f>parking_demand_data_2024_ver0!N1108</f>
        <v>0</v>
      </c>
      <c r="P1108" s="3">
        <f>parking_demand_data_2024_ver0!O1108</f>
        <v>0</v>
      </c>
      <c r="Q1108" s="3">
        <f>parking_demand_data_2024_ver0!P1108</f>
        <v>23</v>
      </c>
      <c r="R1108" s="3">
        <f>parking_demand_data_2024_ver0!Q1108</f>
        <v>0</v>
      </c>
      <c r="S1108" s="3">
        <f>parking_demand_data_2024_ver0!R1108</f>
        <v>0</v>
      </c>
      <c r="T1108" s="3">
        <f>parking_demand_data_2024_ver0!S1108</f>
        <v>0</v>
      </c>
    </row>
    <row r="1109" spans="1:20" x14ac:dyDescent="0.25">
      <c r="A1109">
        <v>18093</v>
      </c>
      <c r="B1109" t="s">
        <v>75</v>
      </c>
      <c r="C1109">
        <v>3</v>
      </c>
      <c r="D1109" s="3">
        <f>parking_demand_data_2024_ver0!D1109*calibration!$I$31</f>
        <v>1.34048850118651</v>
      </c>
      <c r="E1109" s="3">
        <f>parking_demand_data_2024_ver0!E1109*calibration!$I$31</f>
        <v>0.54344128426480398</v>
      </c>
      <c r="F1109" s="3">
        <f t="shared" si="17"/>
        <v>1.883929785451314</v>
      </c>
      <c r="G1109" s="3">
        <f>parking_demand_data_2024_ver0!F1109</f>
        <v>2</v>
      </c>
      <c r="H1109" s="3">
        <f>parking_demand_data_2024_ver0!G1109</f>
        <v>0</v>
      </c>
      <c r="I1109" s="3">
        <f>parking_demand_data_2024_ver0!H1109</f>
        <v>0</v>
      </c>
      <c r="J1109" s="3">
        <f>parking_demand_data_2024_ver0!I1109</f>
        <v>2</v>
      </c>
      <c r="K1109" s="3">
        <f>parking_demand_data_2024_ver0!J1109</f>
        <v>0</v>
      </c>
      <c r="L1109" s="3">
        <f>parking_demand_data_2024_ver0!K1109</f>
        <v>0</v>
      </c>
      <c r="M1109" s="3">
        <f>parking_demand_data_2024_ver0!L1109</f>
        <v>0</v>
      </c>
      <c r="N1109" s="3">
        <f>parking_demand_data_2024_ver0!M1109</f>
        <v>23</v>
      </c>
      <c r="O1109" s="3">
        <f>parking_demand_data_2024_ver0!N1109</f>
        <v>0</v>
      </c>
      <c r="P1109" s="3">
        <f>parking_demand_data_2024_ver0!O1109</f>
        <v>0</v>
      </c>
      <c r="Q1109" s="3">
        <f>parking_demand_data_2024_ver0!P1109</f>
        <v>23</v>
      </c>
      <c r="R1109" s="3">
        <f>parking_demand_data_2024_ver0!Q1109</f>
        <v>0</v>
      </c>
      <c r="S1109" s="3">
        <f>parking_demand_data_2024_ver0!R1109</f>
        <v>0</v>
      </c>
      <c r="T1109" s="3">
        <f>parking_demand_data_2024_ver0!S1109</f>
        <v>0</v>
      </c>
    </row>
    <row r="1110" spans="1:20" x14ac:dyDescent="0.25">
      <c r="A1110">
        <v>18093</v>
      </c>
      <c r="B1110" t="s">
        <v>75</v>
      </c>
      <c r="C1110">
        <v>4</v>
      </c>
      <c r="D1110" s="3">
        <f>parking_demand_data_2024_ver0!D1110*calibration!$I$31</f>
        <v>1.34048850118651</v>
      </c>
      <c r="E1110" s="3">
        <f>parking_demand_data_2024_ver0!E1110*calibration!$I$31</f>
        <v>0.54344128426480398</v>
      </c>
      <c r="F1110" s="3">
        <f t="shared" si="17"/>
        <v>1.883929785451314</v>
      </c>
      <c r="G1110" s="3">
        <f>parking_demand_data_2024_ver0!F1110</f>
        <v>2</v>
      </c>
      <c r="H1110" s="3">
        <f>parking_demand_data_2024_ver0!G1110</f>
        <v>0</v>
      </c>
      <c r="I1110" s="3">
        <f>parking_demand_data_2024_ver0!H1110</f>
        <v>0</v>
      </c>
      <c r="J1110" s="3">
        <f>parking_demand_data_2024_ver0!I1110</f>
        <v>2</v>
      </c>
      <c r="K1110" s="3">
        <f>parking_demand_data_2024_ver0!J1110</f>
        <v>0</v>
      </c>
      <c r="L1110" s="3">
        <f>parking_demand_data_2024_ver0!K1110</f>
        <v>0</v>
      </c>
      <c r="M1110" s="3">
        <f>parking_demand_data_2024_ver0!L1110</f>
        <v>0</v>
      </c>
      <c r="N1110" s="3">
        <f>parking_demand_data_2024_ver0!M1110</f>
        <v>23</v>
      </c>
      <c r="O1110" s="3">
        <f>parking_demand_data_2024_ver0!N1110</f>
        <v>0</v>
      </c>
      <c r="P1110" s="3">
        <f>parking_demand_data_2024_ver0!O1110</f>
        <v>0</v>
      </c>
      <c r="Q1110" s="3">
        <f>parking_demand_data_2024_ver0!P1110</f>
        <v>23</v>
      </c>
      <c r="R1110" s="3">
        <f>parking_demand_data_2024_ver0!Q1110</f>
        <v>0</v>
      </c>
      <c r="S1110" s="3">
        <f>parking_demand_data_2024_ver0!R1110</f>
        <v>0</v>
      </c>
      <c r="T1110" s="3">
        <f>parking_demand_data_2024_ver0!S1110</f>
        <v>0</v>
      </c>
    </row>
    <row r="1111" spans="1:20" x14ac:dyDescent="0.25">
      <c r="A1111">
        <v>18093</v>
      </c>
      <c r="B1111" t="s">
        <v>75</v>
      </c>
      <c r="C1111">
        <v>5</v>
      </c>
      <c r="D1111" s="3">
        <f>parking_demand_data_2024_ver0!D1111*calibration!$I$31</f>
        <v>1.2318002443335501</v>
      </c>
      <c r="E1111" s="3">
        <f>parking_demand_data_2024_ver0!E1111*calibration!$I$31</f>
        <v>1.7027826906963801</v>
      </c>
      <c r="F1111" s="3">
        <f t="shared" si="17"/>
        <v>2.9345829350299302</v>
      </c>
      <c r="G1111" s="3">
        <f>parking_demand_data_2024_ver0!F1111</f>
        <v>2</v>
      </c>
      <c r="H1111" s="3">
        <f>parking_demand_data_2024_ver0!G1111</f>
        <v>0</v>
      </c>
      <c r="I1111" s="3">
        <f>parking_demand_data_2024_ver0!H1111</f>
        <v>0</v>
      </c>
      <c r="J1111" s="3">
        <f>parking_demand_data_2024_ver0!I1111</f>
        <v>2</v>
      </c>
      <c r="K1111" s="3">
        <f>parking_demand_data_2024_ver0!J1111</f>
        <v>0</v>
      </c>
      <c r="L1111" s="3">
        <f>parking_demand_data_2024_ver0!K1111</f>
        <v>0</v>
      </c>
      <c r="M1111" s="3">
        <f>parking_demand_data_2024_ver0!L1111</f>
        <v>0</v>
      </c>
      <c r="N1111" s="3">
        <f>parking_demand_data_2024_ver0!M1111</f>
        <v>23</v>
      </c>
      <c r="O1111" s="3">
        <f>parking_demand_data_2024_ver0!N1111</f>
        <v>0</v>
      </c>
      <c r="P1111" s="3">
        <f>parking_demand_data_2024_ver0!O1111</f>
        <v>0</v>
      </c>
      <c r="Q1111" s="3">
        <f>parking_demand_data_2024_ver0!P1111</f>
        <v>23</v>
      </c>
      <c r="R1111" s="3">
        <f>parking_demand_data_2024_ver0!Q1111</f>
        <v>0</v>
      </c>
      <c r="S1111" s="3">
        <f>parking_demand_data_2024_ver0!R1111</f>
        <v>0</v>
      </c>
      <c r="T1111" s="3">
        <f>parking_demand_data_2024_ver0!S1111</f>
        <v>0</v>
      </c>
    </row>
    <row r="1112" spans="1:20" x14ac:dyDescent="0.25">
      <c r="A1112">
        <v>18093</v>
      </c>
      <c r="B1112" t="s">
        <v>75</v>
      </c>
      <c r="C1112">
        <v>6</v>
      </c>
      <c r="D1112" s="3">
        <f>parking_demand_data_2024_ver0!D1112*calibration!$I$31</f>
        <v>1.59409443384342</v>
      </c>
      <c r="E1112" s="3">
        <f>parking_demand_data_2024_ver0!E1112*calibration!$I$31</f>
        <v>6.6299836680306097</v>
      </c>
      <c r="F1112" s="3">
        <f t="shared" si="17"/>
        <v>8.2240781018740297</v>
      </c>
      <c r="G1112" s="3">
        <f>parking_demand_data_2024_ver0!F1112</f>
        <v>2</v>
      </c>
      <c r="H1112" s="3">
        <f>parking_demand_data_2024_ver0!G1112</f>
        <v>0</v>
      </c>
      <c r="I1112" s="3">
        <f>parking_demand_data_2024_ver0!H1112</f>
        <v>0</v>
      </c>
      <c r="J1112" s="3">
        <f>parking_demand_data_2024_ver0!I1112</f>
        <v>2</v>
      </c>
      <c r="K1112" s="3">
        <f>parking_demand_data_2024_ver0!J1112</f>
        <v>0</v>
      </c>
      <c r="L1112" s="3">
        <f>parking_demand_data_2024_ver0!K1112</f>
        <v>0</v>
      </c>
      <c r="M1112" s="3">
        <f>parking_demand_data_2024_ver0!L1112</f>
        <v>0</v>
      </c>
      <c r="N1112" s="3">
        <f>parking_demand_data_2024_ver0!M1112</f>
        <v>23</v>
      </c>
      <c r="O1112" s="3">
        <f>parking_demand_data_2024_ver0!N1112</f>
        <v>0</v>
      </c>
      <c r="P1112" s="3">
        <f>parking_demand_data_2024_ver0!O1112</f>
        <v>0</v>
      </c>
      <c r="Q1112" s="3">
        <f>parking_demand_data_2024_ver0!P1112</f>
        <v>23</v>
      </c>
      <c r="R1112" s="3">
        <f>parking_demand_data_2024_ver0!Q1112</f>
        <v>0</v>
      </c>
      <c r="S1112" s="3">
        <f>parking_demand_data_2024_ver0!R1112</f>
        <v>0</v>
      </c>
      <c r="T1112" s="3">
        <f>parking_demand_data_2024_ver0!S1112</f>
        <v>0</v>
      </c>
    </row>
    <row r="1113" spans="1:20" x14ac:dyDescent="0.25">
      <c r="A1113">
        <v>18093</v>
      </c>
      <c r="B1113" t="s">
        <v>75</v>
      </c>
      <c r="C1113">
        <v>7</v>
      </c>
      <c r="D1113" s="3">
        <f>parking_demand_data_2024_ver0!D1113*calibration!$I$31</f>
        <v>3.8765478277556</v>
      </c>
      <c r="E1113" s="3">
        <f>parking_demand_data_2024_ver0!E1113*calibration!$I$31</f>
        <v>8.6588311292858808</v>
      </c>
      <c r="F1113" s="3">
        <f t="shared" si="17"/>
        <v>12.53537895704148</v>
      </c>
      <c r="G1113" s="3">
        <f>parking_demand_data_2024_ver0!F1113</f>
        <v>2</v>
      </c>
      <c r="H1113" s="3">
        <f>parking_demand_data_2024_ver0!G1113</f>
        <v>0</v>
      </c>
      <c r="I1113" s="3">
        <f>parking_demand_data_2024_ver0!H1113</f>
        <v>0</v>
      </c>
      <c r="J1113" s="3">
        <f>parking_demand_data_2024_ver0!I1113</f>
        <v>2</v>
      </c>
      <c r="K1113" s="3">
        <f>parking_demand_data_2024_ver0!J1113</f>
        <v>0</v>
      </c>
      <c r="L1113" s="3">
        <f>parking_demand_data_2024_ver0!K1113</f>
        <v>0</v>
      </c>
      <c r="M1113" s="3">
        <f>parking_demand_data_2024_ver0!L1113</f>
        <v>0</v>
      </c>
      <c r="N1113" s="3">
        <f>parking_demand_data_2024_ver0!M1113</f>
        <v>23</v>
      </c>
      <c r="O1113" s="3">
        <f>parking_demand_data_2024_ver0!N1113</f>
        <v>0</v>
      </c>
      <c r="P1113" s="3">
        <f>parking_demand_data_2024_ver0!O1113</f>
        <v>0</v>
      </c>
      <c r="Q1113" s="3">
        <f>parking_demand_data_2024_ver0!P1113</f>
        <v>23</v>
      </c>
      <c r="R1113" s="3">
        <f>parking_demand_data_2024_ver0!Q1113</f>
        <v>0</v>
      </c>
      <c r="S1113" s="3">
        <f>parking_demand_data_2024_ver0!R1113</f>
        <v>0</v>
      </c>
      <c r="T1113" s="3">
        <f>parking_demand_data_2024_ver0!S1113</f>
        <v>0</v>
      </c>
    </row>
    <row r="1114" spans="1:20" x14ac:dyDescent="0.25">
      <c r="A1114">
        <v>18093</v>
      </c>
      <c r="B1114" t="s">
        <v>75</v>
      </c>
      <c r="C1114">
        <v>8</v>
      </c>
      <c r="D1114" s="3">
        <f>parking_demand_data_2024_ver0!D1114*calibration!$I$31</f>
        <v>4.0576949225105396</v>
      </c>
      <c r="E1114" s="3">
        <f>parking_demand_data_2024_ver0!E1114*calibration!$I$31</f>
        <v>8.3327663587269996</v>
      </c>
      <c r="F1114" s="3">
        <f t="shared" si="17"/>
        <v>12.390461281237538</v>
      </c>
      <c r="G1114" s="3">
        <f>parking_demand_data_2024_ver0!F1114</f>
        <v>2</v>
      </c>
      <c r="H1114" s="3">
        <f>parking_demand_data_2024_ver0!G1114</f>
        <v>0</v>
      </c>
      <c r="I1114" s="3">
        <f>parking_demand_data_2024_ver0!H1114</f>
        <v>0</v>
      </c>
      <c r="J1114" s="3">
        <f>parking_demand_data_2024_ver0!I1114</f>
        <v>2</v>
      </c>
      <c r="K1114" s="3">
        <f>parking_demand_data_2024_ver0!J1114</f>
        <v>0</v>
      </c>
      <c r="L1114" s="3">
        <f>parking_demand_data_2024_ver0!K1114</f>
        <v>0</v>
      </c>
      <c r="M1114" s="3">
        <f>parking_demand_data_2024_ver0!L1114</f>
        <v>0</v>
      </c>
      <c r="N1114" s="3">
        <f>parking_demand_data_2024_ver0!M1114</f>
        <v>23</v>
      </c>
      <c r="O1114" s="3">
        <f>parking_demand_data_2024_ver0!N1114</f>
        <v>0</v>
      </c>
      <c r="P1114" s="3">
        <f>parking_demand_data_2024_ver0!O1114</f>
        <v>0</v>
      </c>
      <c r="Q1114" s="3">
        <f>parking_demand_data_2024_ver0!P1114</f>
        <v>23</v>
      </c>
      <c r="R1114" s="3">
        <f>parking_demand_data_2024_ver0!Q1114</f>
        <v>0</v>
      </c>
      <c r="S1114" s="3">
        <f>parking_demand_data_2024_ver0!R1114</f>
        <v>0</v>
      </c>
      <c r="T1114" s="3">
        <f>parking_demand_data_2024_ver0!S1114</f>
        <v>0</v>
      </c>
    </row>
    <row r="1115" spans="1:20" x14ac:dyDescent="0.25">
      <c r="A1115">
        <v>18093</v>
      </c>
      <c r="B1115" t="s">
        <v>75</v>
      </c>
      <c r="C1115">
        <v>9</v>
      </c>
      <c r="D1115" s="3">
        <f>parking_demand_data_2024_ver0!D1115*calibration!$I$31</f>
        <v>1.9563886233532899</v>
      </c>
      <c r="E1115" s="3">
        <f>parking_demand_data_2024_ver0!E1115*calibration!$I$31</f>
        <v>8.9486664808937793</v>
      </c>
      <c r="F1115" s="3">
        <f t="shared" si="17"/>
        <v>10.905055104247069</v>
      </c>
      <c r="G1115" s="3">
        <f>parking_demand_data_2024_ver0!F1115</f>
        <v>2</v>
      </c>
      <c r="H1115" s="3">
        <f>parking_demand_data_2024_ver0!G1115</f>
        <v>0</v>
      </c>
      <c r="I1115" s="3">
        <f>parking_demand_data_2024_ver0!H1115</f>
        <v>0</v>
      </c>
      <c r="J1115" s="3">
        <f>parking_demand_data_2024_ver0!I1115</f>
        <v>2</v>
      </c>
      <c r="K1115" s="3">
        <f>parking_demand_data_2024_ver0!J1115</f>
        <v>0</v>
      </c>
      <c r="L1115" s="3">
        <f>parking_demand_data_2024_ver0!K1115</f>
        <v>0</v>
      </c>
      <c r="M1115" s="3">
        <f>parking_demand_data_2024_ver0!L1115</f>
        <v>0</v>
      </c>
      <c r="N1115" s="3">
        <f>parking_demand_data_2024_ver0!M1115</f>
        <v>23</v>
      </c>
      <c r="O1115" s="3">
        <f>parking_demand_data_2024_ver0!N1115</f>
        <v>0</v>
      </c>
      <c r="P1115" s="3">
        <f>parking_demand_data_2024_ver0!O1115</f>
        <v>0</v>
      </c>
      <c r="Q1115" s="3">
        <f>parking_demand_data_2024_ver0!P1115</f>
        <v>23</v>
      </c>
      <c r="R1115" s="3">
        <f>parking_demand_data_2024_ver0!Q1115</f>
        <v>0</v>
      </c>
      <c r="S1115" s="3">
        <f>parking_demand_data_2024_ver0!R1115</f>
        <v>0</v>
      </c>
      <c r="T1115" s="3">
        <f>parking_demand_data_2024_ver0!S1115</f>
        <v>0</v>
      </c>
    </row>
    <row r="1116" spans="1:20" x14ac:dyDescent="0.25">
      <c r="A1116">
        <v>18093</v>
      </c>
      <c r="B1116" t="s">
        <v>75</v>
      </c>
      <c r="C1116">
        <v>10</v>
      </c>
      <c r="D1116" s="3">
        <f>parking_demand_data_2024_ver0!D1116*calibration!$I$31</f>
        <v>2.1737651370592102</v>
      </c>
      <c r="E1116" s="3">
        <f>parking_demand_data_2024_ver0!E1116*calibration!$I$31</f>
        <v>8.1153898450210793</v>
      </c>
      <c r="F1116" s="3">
        <f t="shared" si="17"/>
        <v>10.289154982080289</v>
      </c>
      <c r="G1116" s="3">
        <f>parking_demand_data_2024_ver0!F1116</f>
        <v>2</v>
      </c>
      <c r="H1116" s="3">
        <f>parking_demand_data_2024_ver0!G1116</f>
        <v>0</v>
      </c>
      <c r="I1116" s="3">
        <f>parking_demand_data_2024_ver0!H1116</f>
        <v>0</v>
      </c>
      <c r="J1116" s="3">
        <f>parking_demand_data_2024_ver0!I1116</f>
        <v>2</v>
      </c>
      <c r="K1116" s="3">
        <f>parking_demand_data_2024_ver0!J1116</f>
        <v>0</v>
      </c>
      <c r="L1116" s="3">
        <f>parking_demand_data_2024_ver0!K1116</f>
        <v>0</v>
      </c>
      <c r="M1116" s="3">
        <f>parking_demand_data_2024_ver0!L1116</f>
        <v>0</v>
      </c>
      <c r="N1116" s="3">
        <f>parking_demand_data_2024_ver0!M1116</f>
        <v>23</v>
      </c>
      <c r="O1116" s="3">
        <f>parking_demand_data_2024_ver0!N1116</f>
        <v>0</v>
      </c>
      <c r="P1116" s="3">
        <f>parking_demand_data_2024_ver0!O1116</f>
        <v>0</v>
      </c>
      <c r="Q1116" s="3">
        <f>parking_demand_data_2024_ver0!P1116</f>
        <v>23</v>
      </c>
      <c r="R1116" s="3">
        <f>parking_demand_data_2024_ver0!Q1116</f>
        <v>0</v>
      </c>
      <c r="S1116" s="3">
        <f>parking_demand_data_2024_ver0!R1116</f>
        <v>0</v>
      </c>
      <c r="T1116" s="3">
        <f>parking_demand_data_2024_ver0!S1116</f>
        <v>0</v>
      </c>
    </row>
    <row r="1117" spans="1:20" x14ac:dyDescent="0.25">
      <c r="A1117">
        <v>18093</v>
      </c>
      <c r="B1117" t="s">
        <v>75</v>
      </c>
      <c r="C1117">
        <v>11</v>
      </c>
      <c r="D1117" s="3">
        <f>parking_demand_data_2024_ver0!D1117*calibration!$I$31</f>
        <v>3.6591713140496802</v>
      </c>
      <c r="E1117" s="3">
        <f>parking_demand_data_2024_ver0!E1117*calibration!$I$31</f>
        <v>7.2458837901973903</v>
      </c>
      <c r="F1117" s="3">
        <f t="shared" si="17"/>
        <v>10.90505510424707</v>
      </c>
      <c r="G1117" s="3">
        <f>parking_demand_data_2024_ver0!F1117</f>
        <v>2</v>
      </c>
      <c r="H1117" s="3">
        <f>parking_demand_data_2024_ver0!G1117</f>
        <v>0</v>
      </c>
      <c r="I1117" s="3">
        <f>parking_demand_data_2024_ver0!H1117</f>
        <v>0</v>
      </c>
      <c r="J1117" s="3">
        <f>parking_demand_data_2024_ver0!I1117</f>
        <v>2</v>
      </c>
      <c r="K1117" s="3">
        <f>parking_demand_data_2024_ver0!J1117</f>
        <v>0</v>
      </c>
      <c r="L1117" s="3">
        <f>parking_demand_data_2024_ver0!K1117</f>
        <v>0</v>
      </c>
      <c r="M1117" s="3">
        <f>parking_demand_data_2024_ver0!L1117</f>
        <v>0</v>
      </c>
      <c r="N1117" s="3">
        <f>parking_demand_data_2024_ver0!M1117</f>
        <v>23</v>
      </c>
      <c r="O1117" s="3">
        <f>parking_demand_data_2024_ver0!N1117</f>
        <v>0</v>
      </c>
      <c r="P1117" s="3">
        <f>parking_demand_data_2024_ver0!O1117</f>
        <v>0</v>
      </c>
      <c r="Q1117" s="3">
        <f>parking_demand_data_2024_ver0!P1117</f>
        <v>23</v>
      </c>
      <c r="R1117" s="3">
        <f>parking_demand_data_2024_ver0!Q1117</f>
        <v>0</v>
      </c>
      <c r="S1117" s="3">
        <f>parking_demand_data_2024_ver0!R1117</f>
        <v>0</v>
      </c>
      <c r="T1117" s="3">
        <f>parking_demand_data_2024_ver0!S1117</f>
        <v>0</v>
      </c>
    </row>
    <row r="1118" spans="1:20" x14ac:dyDescent="0.25">
      <c r="A1118">
        <v>18093</v>
      </c>
      <c r="B1118" t="s">
        <v>75</v>
      </c>
      <c r="C1118">
        <v>12</v>
      </c>
      <c r="D1118" s="3">
        <f>parking_demand_data_2024_ver0!D1118*calibration!$I$31</f>
        <v>2.8258946781769798</v>
      </c>
      <c r="E1118" s="3">
        <f>parking_demand_data_2024_ver0!E1118*calibration!$I$31</f>
        <v>4.8909715583832396</v>
      </c>
      <c r="F1118" s="3">
        <f t="shared" si="17"/>
        <v>7.7168662365602199</v>
      </c>
      <c r="G1118" s="3">
        <f>parking_demand_data_2024_ver0!F1118</f>
        <v>2</v>
      </c>
      <c r="H1118" s="3">
        <f>parking_demand_data_2024_ver0!G1118</f>
        <v>0</v>
      </c>
      <c r="I1118" s="3">
        <f>parking_demand_data_2024_ver0!H1118</f>
        <v>0</v>
      </c>
      <c r="J1118" s="3">
        <f>parking_demand_data_2024_ver0!I1118</f>
        <v>2</v>
      </c>
      <c r="K1118" s="3">
        <f>parking_demand_data_2024_ver0!J1118</f>
        <v>0</v>
      </c>
      <c r="L1118" s="3">
        <f>parking_demand_data_2024_ver0!K1118</f>
        <v>0</v>
      </c>
      <c r="M1118" s="3">
        <f>parking_demand_data_2024_ver0!L1118</f>
        <v>0</v>
      </c>
      <c r="N1118" s="3">
        <f>parking_demand_data_2024_ver0!M1118</f>
        <v>23</v>
      </c>
      <c r="O1118" s="3">
        <f>parking_demand_data_2024_ver0!N1118</f>
        <v>0</v>
      </c>
      <c r="P1118" s="3">
        <f>parking_demand_data_2024_ver0!O1118</f>
        <v>0</v>
      </c>
      <c r="Q1118" s="3">
        <f>parking_demand_data_2024_ver0!P1118</f>
        <v>23</v>
      </c>
      <c r="R1118" s="3">
        <f>parking_demand_data_2024_ver0!Q1118</f>
        <v>0</v>
      </c>
      <c r="S1118" s="3">
        <f>parking_demand_data_2024_ver0!R1118</f>
        <v>0</v>
      </c>
      <c r="T1118" s="3">
        <f>parking_demand_data_2024_ver0!S1118</f>
        <v>0</v>
      </c>
    </row>
    <row r="1119" spans="1:20" x14ac:dyDescent="0.25">
      <c r="A1119">
        <v>18093</v>
      </c>
      <c r="B1119" t="s">
        <v>75</v>
      </c>
      <c r="C1119">
        <v>13</v>
      </c>
      <c r="D1119" s="3">
        <f>parking_demand_data_2024_ver0!D1119*calibration!$I$31</f>
        <v>1.4129473390884899</v>
      </c>
      <c r="E1119" s="3">
        <f>parking_demand_data_2024_ver0!E1119*calibration!$I$31</f>
        <v>2.7172064213240201</v>
      </c>
      <c r="F1119" s="3">
        <f t="shared" si="17"/>
        <v>4.1301537604125098</v>
      </c>
      <c r="G1119" s="3">
        <f>parking_demand_data_2024_ver0!F1119</f>
        <v>2</v>
      </c>
      <c r="H1119" s="3">
        <f>parking_demand_data_2024_ver0!G1119</f>
        <v>0</v>
      </c>
      <c r="I1119" s="3">
        <f>parking_demand_data_2024_ver0!H1119</f>
        <v>0</v>
      </c>
      <c r="J1119" s="3">
        <f>parking_demand_data_2024_ver0!I1119</f>
        <v>2</v>
      </c>
      <c r="K1119" s="3">
        <f>parking_demand_data_2024_ver0!J1119</f>
        <v>0</v>
      </c>
      <c r="L1119" s="3">
        <f>parking_demand_data_2024_ver0!K1119</f>
        <v>0</v>
      </c>
      <c r="M1119" s="3">
        <f>parking_demand_data_2024_ver0!L1119</f>
        <v>0</v>
      </c>
      <c r="N1119" s="3">
        <f>parking_demand_data_2024_ver0!M1119</f>
        <v>23</v>
      </c>
      <c r="O1119" s="3">
        <f>parking_demand_data_2024_ver0!N1119</f>
        <v>0</v>
      </c>
      <c r="P1119" s="3">
        <f>parking_demand_data_2024_ver0!O1119</f>
        <v>0</v>
      </c>
      <c r="Q1119" s="3">
        <f>parking_demand_data_2024_ver0!P1119</f>
        <v>23</v>
      </c>
      <c r="R1119" s="3">
        <f>parking_demand_data_2024_ver0!Q1119</f>
        <v>0</v>
      </c>
      <c r="S1119" s="3">
        <f>parking_demand_data_2024_ver0!R1119</f>
        <v>0</v>
      </c>
      <c r="T1119" s="3">
        <f>parking_demand_data_2024_ver0!S1119</f>
        <v>0</v>
      </c>
    </row>
    <row r="1120" spans="1:20" x14ac:dyDescent="0.25">
      <c r="A1120">
        <v>18093</v>
      </c>
      <c r="B1120" t="s">
        <v>75</v>
      </c>
      <c r="C1120">
        <v>14</v>
      </c>
      <c r="D1120" s="3">
        <f>parking_demand_data_2024_ver0!D1120*calibration!$I$31</f>
        <v>0.94196489272566097</v>
      </c>
      <c r="E1120" s="3">
        <f>parking_demand_data_2024_ver0!E1120*calibration!$I$31</f>
        <v>1.34048850118651</v>
      </c>
      <c r="F1120" s="3">
        <f t="shared" si="17"/>
        <v>2.2824533939121707</v>
      </c>
      <c r="G1120" s="3">
        <f>parking_demand_data_2024_ver0!F1120</f>
        <v>2</v>
      </c>
      <c r="H1120" s="3">
        <f>parking_demand_data_2024_ver0!G1120</f>
        <v>0</v>
      </c>
      <c r="I1120" s="3">
        <f>parking_demand_data_2024_ver0!H1120</f>
        <v>0</v>
      </c>
      <c r="J1120" s="3">
        <f>parking_demand_data_2024_ver0!I1120</f>
        <v>2</v>
      </c>
      <c r="K1120" s="3">
        <f>parking_demand_data_2024_ver0!J1120</f>
        <v>0</v>
      </c>
      <c r="L1120" s="3">
        <f>parking_demand_data_2024_ver0!K1120</f>
        <v>0</v>
      </c>
      <c r="M1120" s="3">
        <f>parking_demand_data_2024_ver0!L1120</f>
        <v>0</v>
      </c>
      <c r="N1120" s="3">
        <f>parking_demand_data_2024_ver0!M1120</f>
        <v>23</v>
      </c>
      <c r="O1120" s="3">
        <f>parking_demand_data_2024_ver0!N1120</f>
        <v>0</v>
      </c>
      <c r="P1120" s="3">
        <f>parking_demand_data_2024_ver0!O1120</f>
        <v>0</v>
      </c>
      <c r="Q1120" s="3">
        <f>parking_demand_data_2024_ver0!P1120</f>
        <v>23</v>
      </c>
      <c r="R1120" s="3">
        <f>parking_demand_data_2024_ver0!Q1120</f>
        <v>0</v>
      </c>
      <c r="S1120" s="3">
        <f>parking_demand_data_2024_ver0!R1120</f>
        <v>0</v>
      </c>
      <c r="T1120" s="3">
        <f>parking_demand_data_2024_ver0!S1120</f>
        <v>0</v>
      </c>
    </row>
    <row r="1121" spans="1:20" x14ac:dyDescent="0.25">
      <c r="A1121">
        <v>18093</v>
      </c>
      <c r="B1121" t="s">
        <v>75</v>
      </c>
      <c r="C1121">
        <v>15</v>
      </c>
      <c r="D1121" s="3">
        <f>parking_demand_data_2024_ver0!D1121*calibration!$I$31</f>
        <v>0.905735473774674</v>
      </c>
      <c r="E1121" s="3">
        <f>parking_demand_data_2024_ver0!E1121*calibration!$I$31</f>
        <v>0.72458837901973905</v>
      </c>
      <c r="F1121" s="3">
        <f t="shared" si="17"/>
        <v>1.6303238527944131</v>
      </c>
      <c r="G1121" s="3">
        <f>parking_demand_data_2024_ver0!F1121</f>
        <v>2</v>
      </c>
      <c r="H1121" s="3">
        <f>parking_demand_data_2024_ver0!G1121</f>
        <v>0</v>
      </c>
      <c r="I1121" s="3">
        <f>parking_demand_data_2024_ver0!H1121</f>
        <v>0</v>
      </c>
      <c r="J1121" s="3">
        <f>parking_demand_data_2024_ver0!I1121</f>
        <v>2</v>
      </c>
      <c r="K1121" s="3">
        <f>parking_demand_data_2024_ver0!J1121</f>
        <v>0</v>
      </c>
      <c r="L1121" s="3">
        <f>parking_demand_data_2024_ver0!K1121</f>
        <v>0</v>
      </c>
      <c r="M1121" s="3">
        <f>parking_demand_data_2024_ver0!L1121</f>
        <v>0</v>
      </c>
      <c r="N1121" s="3">
        <f>parking_demand_data_2024_ver0!M1121</f>
        <v>23</v>
      </c>
      <c r="O1121" s="3">
        <f>parking_demand_data_2024_ver0!N1121</f>
        <v>0</v>
      </c>
      <c r="P1121" s="3">
        <f>parking_demand_data_2024_ver0!O1121</f>
        <v>0</v>
      </c>
      <c r="Q1121" s="3">
        <f>parking_demand_data_2024_ver0!P1121</f>
        <v>23</v>
      </c>
      <c r="R1121" s="3">
        <f>parking_demand_data_2024_ver0!Q1121</f>
        <v>0</v>
      </c>
      <c r="S1121" s="3">
        <f>parking_demand_data_2024_ver0!R1121</f>
        <v>0</v>
      </c>
      <c r="T1121" s="3">
        <f>parking_demand_data_2024_ver0!S1121</f>
        <v>0</v>
      </c>
    </row>
    <row r="1122" spans="1:20" x14ac:dyDescent="0.25">
      <c r="A1122">
        <v>18093</v>
      </c>
      <c r="B1122" t="s">
        <v>75</v>
      </c>
      <c r="C1122">
        <v>16</v>
      </c>
      <c r="D1122" s="3">
        <f>parking_demand_data_2024_ver0!D1122*calibration!$I$31</f>
        <v>0.79704721692171299</v>
      </c>
      <c r="E1122" s="3">
        <f>parking_demand_data_2024_ver0!E1122*calibration!$I$31</f>
        <v>0.61590012216677803</v>
      </c>
      <c r="F1122" s="3">
        <f t="shared" si="17"/>
        <v>1.412947339088491</v>
      </c>
      <c r="G1122" s="3">
        <f>parking_demand_data_2024_ver0!F1122</f>
        <v>2</v>
      </c>
      <c r="H1122" s="3">
        <f>parking_demand_data_2024_ver0!G1122</f>
        <v>0</v>
      </c>
      <c r="I1122" s="3">
        <f>parking_demand_data_2024_ver0!H1122</f>
        <v>0</v>
      </c>
      <c r="J1122" s="3">
        <f>parking_demand_data_2024_ver0!I1122</f>
        <v>2</v>
      </c>
      <c r="K1122" s="3">
        <f>parking_demand_data_2024_ver0!J1122</f>
        <v>0</v>
      </c>
      <c r="L1122" s="3">
        <f>parking_demand_data_2024_ver0!K1122</f>
        <v>0</v>
      </c>
      <c r="M1122" s="3">
        <f>parking_demand_data_2024_ver0!L1122</f>
        <v>0</v>
      </c>
      <c r="N1122" s="3">
        <f>parking_demand_data_2024_ver0!M1122</f>
        <v>23</v>
      </c>
      <c r="O1122" s="3">
        <f>parking_demand_data_2024_ver0!N1122</f>
        <v>0</v>
      </c>
      <c r="P1122" s="3">
        <f>parking_demand_data_2024_ver0!O1122</f>
        <v>0</v>
      </c>
      <c r="Q1122" s="3">
        <f>parking_demand_data_2024_ver0!P1122</f>
        <v>23</v>
      </c>
      <c r="R1122" s="3">
        <f>parking_demand_data_2024_ver0!Q1122</f>
        <v>0</v>
      </c>
      <c r="S1122" s="3">
        <f>parking_demand_data_2024_ver0!R1122</f>
        <v>0</v>
      </c>
      <c r="T1122" s="3">
        <f>parking_demand_data_2024_ver0!S1122</f>
        <v>0</v>
      </c>
    </row>
    <row r="1123" spans="1:20" x14ac:dyDescent="0.25">
      <c r="A1123">
        <v>18093</v>
      </c>
      <c r="B1123" t="s">
        <v>75</v>
      </c>
      <c r="C1123">
        <v>17</v>
      </c>
      <c r="D1123" s="3">
        <f>parking_demand_data_2024_ver0!D1123*calibration!$I$31</f>
        <v>0.905735473774674</v>
      </c>
      <c r="E1123" s="3">
        <f>parking_demand_data_2024_ver0!E1123*calibration!$I$31</f>
        <v>0.326064770558882</v>
      </c>
      <c r="F1123" s="3">
        <f t="shared" si="17"/>
        <v>1.2318002443335561</v>
      </c>
      <c r="G1123" s="3">
        <f>parking_demand_data_2024_ver0!F1123</f>
        <v>2</v>
      </c>
      <c r="H1123" s="3">
        <f>parking_demand_data_2024_ver0!G1123</f>
        <v>0</v>
      </c>
      <c r="I1123" s="3">
        <f>parking_demand_data_2024_ver0!H1123</f>
        <v>0</v>
      </c>
      <c r="J1123" s="3">
        <f>parking_demand_data_2024_ver0!I1123</f>
        <v>2</v>
      </c>
      <c r="K1123" s="3">
        <f>parking_demand_data_2024_ver0!J1123</f>
        <v>0</v>
      </c>
      <c r="L1123" s="3">
        <f>parking_demand_data_2024_ver0!K1123</f>
        <v>0</v>
      </c>
      <c r="M1123" s="3">
        <f>parking_demand_data_2024_ver0!L1123</f>
        <v>0</v>
      </c>
      <c r="N1123" s="3">
        <f>parking_demand_data_2024_ver0!M1123</f>
        <v>23</v>
      </c>
      <c r="O1123" s="3">
        <f>parking_demand_data_2024_ver0!N1123</f>
        <v>0</v>
      </c>
      <c r="P1123" s="3">
        <f>parking_demand_data_2024_ver0!O1123</f>
        <v>0</v>
      </c>
      <c r="Q1123" s="3">
        <f>parking_demand_data_2024_ver0!P1123</f>
        <v>23</v>
      </c>
      <c r="R1123" s="3">
        <f>parking_demand_data_2024_ver0!Q1123</f>
        <v>0</v>
      </c>
      <c r="S1123" s="3">
        <f>parking_demand_data_2024_ver0!R1123</f>
        <v>0</v>
      </c>
      <c r="T1123" s="3">
        <f>parking_demand_data_2024_ver0!S1123</f>
        <v>0</v>
      </c>
    </row>
    <row r="1124" spans="1:20" x14ac:dyDescent="0.25">
      <c r="A1124">
        <v>18093</v>
      </c>
      <c r="B1124" t="s">
        <v>75</v>
      </c>
      <c r="C1124">
        <v>18</v>
      </c>
      <c r="D1124" s="3">
        <f>parking_demand_data_2024_ver0!D1124*calibration!$I$31</f>
        <v>0.76081779797072602</v>
      </c>
      <c r="E1124" s="3">
        <f>parking_demand_data_2024_ver0!E1124*calibration!$I$31</f>
        <v>0.25360593265690801</v>
      </c>
      <c r="F1124" s="3">
        <f t="shared" si="17"/>
        <v>1.014423730627634</v>
      </c>
      <c r="G1124" s="3">
        <f>parking_demand_data_2024_ver0!F1124</f>
        <v>2</v>
      </c>
      <c r="H1124" s="3">
        <f>parking_demand_data_2024_ver0!G1124</f>
        <v>0</v>
      </c>
      <c r="I1124" s="3">
        <f>parking_demand_data_2024_ver0!H1124</f>
        <v>0</v>
      </c>
      <c r="J1124" s="3">
        <f>parking_demand_data_2024_ver0!I1124</f>
        <v>2</v>
      </c>
      <c r="K1124" s="3">
        <f>parking_demand_data_2024_ver0!J1124</f>
        <v>0</v>
      </c>
      <c r="L1124" s="3">
        <f>parking_demand_data_2024_ver0!K1124</f>
        <v>0</v>
      </c>
      <c r="M1124" s="3">
        <f>parking_demand_data_2024_ver0!L1124</f>
        <v>0</v>
      </c>
      <c r="N1124" s="3">
        <f>parking_demand_data_2024_ver0!M1124</f>
        <v>23</v>
      </c>
      <c r="O1124" s="3">
        <f>parking_demand_data_2024_ver0!N1124</f>
        <v>0</v>
      </c>
      <c r="P1124" s="3">
        <f>parking_demand_data_2024_ver0!O1124</f>
        <v>0</v>
      </c>
      <c r="Q1124" s="3">
        <f>parking_demand_data_2024_ver0!P1124</f>
        <v>23</v>
      </c>
      <c r="R1124" s="3">
        <f>parking_demand_data_2024_ver0!Q1124</f>
        <v>0</v>
      </c>
      <c r="S1124" s="3">
        <f>parking_demand_data_2024_ver0!R1124</f>
        <v>0</v>
      </c>
      <c r="T1124" s="3">
        <f>parking_demand_data_2024_ver0!S1124</f>
        <v>0</v>
      </c>
    </row>
    <row r="1125" spans="1:20" x14ac:dyDescent="0.25">
      <c r="A1125">
        <v>18093</v>
      </c>
      <c r="B1125" t="s">
        <v>75</v>
      </c>
      <c r="C1125">
        <v>19</v>
      </c>
      <c r="D1125" s="3">
        <f>parking_demand_data_2024_ver0!D1125*calibration!$I$31</f>
        <v>0.83327663587269996</v>
      </c>
      <c r="E1125" s="3">
        <f>parking_demand_data_2024_ver0!E1125*calibration!$I$31</f>
        <v>0.25360593265690801</v>
      </c>
      <c r="F1125" s="3">
        <f t="shared" si="17"/>
        <v>1.086882568529608</v>
      </c>
      <c r="G1125" s="3">
        <f>parking_demand_data_2024_ver0!F1125</f>
        <v>2</v>
      </c>
      <c r="H1125" s="3">
        <f>parking_demand_data_2024_ver0!G1125</f>
        <v>0</v>
      </c>
      <c r="I1125" s="3">
        <f>parking_demand_data_2024_ver0!H1125</f>
        <v>0</v>
      </c>
      <c r="J1125" s="3">
        <f>parking_demand_data_2024_ver0!I1125</f>
        <v>2</v>
      </c>
      <c r="K1125" s="3">
        <f>parking_demand_data_2024_ver0!J1125</f>
        <v>0</v>
      </c>
      <c r="L1125" s="3">
        <f>parking_demand_data_2024_ver0!K1125</f>
        <v>0</v>
      </c>
      <c r="M1125" s="3">
        <f>parking_demand_data_2024_ver0!L1125</f>
        <v>0</v>
      </c>
      <c r="N1125" s="3">
        <f>parking_demand_data_2024_ver0!M1125</f>
        <v>23</v>
      </c>
      <c r="O1125" s="3">
        <f>parking_demand_data_2024_ver0!N1125</f>
        <v>0</v>
      </c>
      <c r="P1125" s="3">
        <f>parking_demand_data_2024_ver0!O1125</f>
        <v>0</v>
      </c>
      <c r="Q1125" s="3">
        <f>parking_demand_data_2024_ver0!P1125</f>
        <v>23</v>
      </c>
      <c r="R1125" s="3">
        <f>parking_demand_data_2024_ver0!Q1125</f>
        <v>0</v>
      </c>
      <c r="S1125" s="3">
        <f>parking_demand_data_2024_ver0!R1125</f>
        <v>0</v>
      </c>
      <c r="T1125" s="3">
        <f>parking_demand_data_2024_ver0!S1125</f>
        <v>0</v>
      </c>
    </row>
    <row r="1126" spans="1:20" x14ac:dyDescent="0.25">
      <c r="A1126">
        <v>18093</v>
      </c>
      <c r="B1126" t="s">
        <v>75</v>
      </c>
      <c r="C1126">
        <v>20</v>
      </c>
      <c r="D1126" s="3">
        <f>parking_demand_data_2024_ver0!D1126*calibration!$I$31</f>
        <v>0.97819431167664805</v>
      </c>
      <c r="E1126" s="3">
        <f>parking_demand_data_2024_ver0!E1126*calibration!$I$31</f>
        <v>0.43475302741184302</v>
      </c>
      <c r="F1126" s="3">
        <f t="shared" si="17"/>
        <v>1.412947339088491</v>
      </c>
      <c r="G1126" s="3">
        <f>parking_demand_data_2024_ver0!F1126</f>
        <v>2</v>
      </c>
      <c r="H1126" s="3">
        <f>parking_demand_data_2024_ver0!G1126</f>
        <v>0</v>
      </c>
      <c r="I1126" s="3">
        <f>parking_demand_data_2024_ver0!H1126</f>
        <v>0</v>
      </c>
      <c r="J1126" s="3">
        <f>parking_demand_data_2024_ver0!I1126</f>
        <v>2</v>
      </c>
      <c r="K1126" s="3">
        <f>parking_demand_data_2024_ver0!J1126</f>
        <v>0</v>
      </c>
      <c r="L1126" s="3">
        <f>parking_demand_data_2024_ver0!K1126</f>
        <v>0</v>
      </c>
      <c r="M1126" s="3">
        <f>parking_demand_data_2024_ver0!L1126</f>
        <v>0</v>
      </c>
      <c r="N1126" s="3">
        <f>parking_demand_data_2024_ver0!M1126</f>
        <v>23</v>
      </c>
      <c r="O1126" s="3">
        <f>parking_demand_data_2024_ver0!N1126</f>
        <v>0</v>
      </c>
      <c r="P1126" s="3">
        <f>parking_demand_data_2024_ver0!O1126</f>
        <v>0</v>
      </c>
      <c r="Q1126" s="3">
        <f>parking_demand_data_2024_ver0!P1126</f>
        <v>23</v>
      </c>
      <c r="R1126" s="3">
        <f>parking_demand_data_2024_ver0!Q1126</f>
        <v>0</v>
      </c>
      <c r="S1126" s="3">
        <f>parking_demand_data_2024_ver0!R1126</f>
        <v>0</v>
      </c>
      <c r="T1126" s="3">
        <f>parking_demand_data_2024_ver0!S1126</f>
        <v>0</v>
      </c>
    </row>
    <row r="1127" spans="1:20" x14ac:dyDescent="0.25">
      <c r="A1127">
        <v>18093</v>
      </c>
      <c r="B1127" t="s">
        <v>75</v>
      </c>
      <c r="C1127">
        <v>21</v>
      </c>
      <c r="D1127" s="3">
        <f>parking_demand_data_2024_ver0!D1127*calibration!$I$31</f>
        <v>1.1231119874805899</v>
      </c>
      <c r="E1127" s="3">
        <f>parking_demand_data_2024_ver0!E1127*calibration!$I$31</f>
        <v>0.54344128426480398</v>
      </c>
      <c r="F1127" s="3">
        <f t="shared" si="17"/>
        <v>1.6665532717453939</v>
      </c>
      <c r="G1127" s="3">
        <f>parking_demand_data_2024_ver0!F1127</f>
        <v>2</v>
      </c>
      <c r="H1127" s="3">
        <f>parking_demand_data_2024_ver0!G1127</f>
        <v>0</v>
      </c>
      <c r="I1127" s="3">
        <f>parking_demand_data_2024_ver0!H1127</f>
        <v>0</v>
      </c>
      <c r="J1127" s="3">
        <f>parking_demand_data_2024_ver0!I1127</f>
        <v>2</v>
      </c>
      <c r="K1127" s="3">
        <f>parking_demand_data_2024_ver0!J1127</f>
        <v>0</v>
      </c>
      <c r="L1127" s="3">
        <f>parking_demand_data_2024_ver0!K1127</f>
        <v>0</v>
      </c>
      <c r="M1127" s="3">
        <f>parking_demand_data_2024_ver0!L1127</f>
        <v>0</v>
      </c>
      <c r="N1127" s="3">
        <f>parking_demand_data_2024_ver0!M1127</f>
        <v>23</v>
      </c>
      <c r="O1127" s="3">
        <f>parking_demand_data_2024_ver0!N1127</f>
        <v>0</v>
      </c>
      <c r="P1127" s="3">
        <f>parking_demand_data_2024_ver0!O1127</f>
        <v>0</v>
      </c>
      <c r="Q1127" s="3">
        <f>parking_demand_data_2024_ver0!P1127</f>
        <v>23</v>
      </c>
      <c r="R1127" s="3">
        <f>parking_demand_data_2024_ver0!Q1127</f>
        <v>0</v>
      </c>
      <c r="S1127" s="3">
        <f>parking_demand_data_2024_ver0!R1127</f>
        <v>0</v>
      </c>
      <c r="T1127" s="3">
        <f>parking_demand_data_2024_ver0!S1127</f>
        <v>0</v>
      </c>
    </row>
    <row r="1128" spans="1:20" x14ac:dyDescent="0.25">
      <c r="A1128">
        <v>18093</v>
      </c>
      <c r="B1128" t="s">
        <v>75</v>
      </c>
      <c r="C1128">
        <v>22</v>
      </c>
      <c r="D1128" s="3">
        <f>parking_demand_data_2024_ver0!D1128*calibration!$I$31</f>
        <v>1.1593414064315799</v>
      </c>
      <c r="E1128" s="3">
        <f>parking_demand_data_2024_ver0!E1128*calibration!$I$31</f>
        <v>0.47098244636282999</v>
      </c>
      <c r="F1128" s="3">
        <f t="shared" si="17"/>
        <v>1.6303238527944099</v>
      </c>
      <c r="G1128" s="3">
        <f>parking_demand_data_2024_ver0!F1128</f>
        <v>2</v>
      </c>
      <c r="H1128" s="3">
        <f>parking_demand_data_2024_ver0!G1128</f>
        <v>0</v>
      </c>
      <c r="I1128" s="3">
        <f>parking_demand_data_2024_ver0!H1128</f>
        <v>0</v>
      </c>
      <c r="J1128" s="3">
        <f>parking_demand_data_2024_ver0!I1128</f>
        <v>2</v>
      </c>
      <c r="K1128" s="3">
        <f>parking_demand_data_2024_ver0!J1128</f>
        <v>0</v>
      </c>
      <c r="L1128" s="3">
        <f>parking_demand_data_2024_ver0!K1128</f>
        <v>0</v>
      </c>
      <c r="M1128" s="3">
        <f>parking_demand_data_2024_ver0!L1128</f>
        <v>0</v>
      </c>
      <c r="N1128" s="3">
        <f>parking_demand_data_2024_ver0!M1128</f>
        <v>23</v>
      </c>
      <c r="O1128" s="3">
        <f>parking_demand_data_2024_ver0!N1128</f>
        <v>0</v>
      </c>
      <c r="P1128" s="3">
        <f>parking_demand_data_2024_ver0!O1128</f>
        <v>0</v>
      </c>
      <c r="Q1128" s="3">
        <f>parking_demand_data_2024_ver0!P1128</f>
        <v>23</v>
      </c>
      <c r="R1128" s="3">
        <f>parking_demand_data_2024_ver0!Q1128</f>
        <v>0</v>
      </c>
      <c r="S1128" s="3">
        <f>parking_demand_data_2024_ver0!R1128</f>
        <v>0</v>
      </c>
      <c r="T1128" s="3">
        <f>parking_demand_data_2024_ver0!S1128</f>
        <v>0</v>
      </c>
    </row>
    <row r="1129" spans="1:20" x14ac:dyDescent="0.25">
      <c r="A1129">
        <v>18093</v>
      </c>
      <c r="B1129" t="s">
        <v>75</v>
      </c>
      <c r="C1129">
        <v>23</v>
      </c>
      <c r="D1129" s="3">
        <f>parking_demand_data_2024_ver0!D1129*calibration!$I$31</f>
        <v>1.2318002443335501</v>
      </c>
      <c r="E1129" s="3">
        <f>parking_demand_data_2024_ver0!E1129*calibration!$I$31</f>
        <v>0.43475302741184302</v>
      </c>
      <c r="F1129" s="3">
        <f t="shared" si="17"/>
        <v>1.666553271745393</v>
      </c>
      <c r="G1129" s="3">
        <f>parking_demand_data_2024_ver0!F1129</f>
        <v>2</v>
      </c>
      <c r="H1129" s="3">
        <f>parking_demand_data_2024_ver0!G1129</f>
        <v>0</v>
      </c>
      <c r="I1129" s="3">
        <f>parking_demand_data_2024_ver0!H1129</f>
        <v>0</v>
      </c>
      <c r="J1129" s="3">
        <f>parking_demand_data_2024_ver0!I1129</f>
        <v>2</v>
      </c>
      <c r="K1129" s="3">
        <f>parking_demand_data_2024_ver0!J1129</f>
        <v>0</v>
      </c>
      <c r="L1129" s="3">
        <f>parking_demand_data_2024_ver0!K1129</f>
        <v>0</v>
      </c>
      <c r="M1129" s="3">
        <f>parking_demand_data_2024_ver0!L1129</f>
        <v>0</v>
      </c>
      <c r="N1129" s="3">
        <f>parking_demand_data_2024_ver0!M1129</f>
        <v>23</v>
      </c>
      <c r="O1129" s="3">
        <f>parking_demand_data_2024_ver0!N1129</f>
        <v>0</v>
      </c>
      <c r="P1129" s="3">
        <f>parking_demand_data_2024_ver0!O1129</f>
        <v>0</v>
      </c>
      <c r="Q1129" s="3">
        <f>parking_demand_data_2024_ver0!P1129</f>
        <v>23</v>
      </c>
      <c r="R1129" s="3">
        <f>parking_demand_data_2024_ver0!Q1129</f>
        <v>0</v>
      </c>
      <c r="S1129" s="3">
        <f>parking_demand_data_2024_ver0!R1129</f>
        <v>0</v>
      </c>
      <c r="T1129" s="3">
        <f>parking_demand_data_2024_ver0!S1129</f>
        <v>0</v>
      </c>
    </row>
    <row r="1130" spans="1:20" x14ac:dyDescent="0.25">
      <c r="A1130">
        <v>18095</v>
      </c>
      <c r="B1130" t="s">
        <v>76</v>
      </c>
      <c r="C1130">
        <v>0</v>
      </c>
      <c r="D1130" s="3">
        <f>parking_demand_data_2024_ver0!D1130*calibration!$I$31</f>
        <v>74.834420946591393</v>
      </c>
      <c r="E1130" s="3">
        <f>parking_demand_data_2024_ver0!E1130*calibration!$I$31</f>
        <v>10.9317195189568</v>
      </c>
      <c r="F1130" s="3">
        <f t="shared" si="17"/>
        <v>85.76614046554819</v>
      </c>
      <c r="G1130" s="3">
        <f>parking_demand_data_2024_ver0!F1130</f>
        <v>1</v>
      </c>
      <c r="H1130" s="3">
        <f>parking_demand_data_2024_ver0!G1130</f>
        <v>1</v>
      </c>
      <c r="I1130" s="3">
        <f>parking_demand_data_2024_ver0!H1130</f>
        <v>0</v>
      </c>
      <c r="J1130" s="3">
        <f>parking_demand_data_2024_ver0!I1130</f>
        <v>0</v>
      </c>
      <c r="K1130" s="3">
        <f>parking_demand_data_2024_ver0!J1130</f>
        <v>0</v>
      </c>
      <c r="L1130" s="3">
        <f>parking_demand_data_2024_ver0!K1130</f>
        <v>0</v>
      </c>
      <c r="M1130" s="3">
        <f>parking_demand_data_2024_ver0!L1130</f>
        <v>0</v>
      </c>
      <c r="N1130" s="3">
        <f>parking_demand_data_2024_ver0!M1130</f>
        <v>100</v>
      </c>
      <c r="O1130" s="3">
        <f>parking_demand_data_2024_ver0!N1130</f>
        <v>100</v>
      </c>
      <c r="P1130" s="3">
        <f>parking_demand_data_2024_ver0!O1130</f>
        <v>0</v>
      </c>
      <c r="Q1130" s="3">
        <f>parking_demand_data_2024_ver0!P1130</f>
        <v>0</v>
      </c>
      <c r="R1130" s="3">
        <f>parking_demand_data_2024_ver0!Q1130</f>
        <v>0</v>
      </c>
      <c r="S1130" s="3">
        <f>parking_demand_data_2024_ver0!R1130</f>
        <v>0</v>
      </c>
      <c r="T1130" s="3">
        <f>parking_demand_data_2024_ver0!S1130</f>
        <v>0</v>
      </c>
    </row>
    <row r="1131" spans="1:20" x14ac:dyDescent="0.25">
      <c r="A1131">
        <v>18095</v>
      </c>
      <c r="B1131" t="s">
        <v>76</v>
      </c>
      <c r="C1131">
        <v>1</v>
      </c>
      <c r="D1131" s="3">
        <f>parking_demand_data_2024_ver0!D1131*calibration!$I$31</f>
        <v>76.295341988295306</v>
      </c>
      <c r="E1131" s="3">
        <f>parking_demand_data_2024_ver0!E1131*calibration!$I$31</f>
        <v>12.417828854483201</v>
      </c>
      <c r="F1131" s="3">
        <f t="shared" si="17"/>
        <v>88.71317084277851</v>
      </c>
      <c r="G1131" s="3">
        <f>parking_demand_data_2024_ver0!F1131</f>
        <v>1</v>
      </c>
      <c r="H1131" s="3">
        <f>parking_demand_data_2024_ver0!G1131</f>
        <v>1</v>
      </c>
      <c r="I1131" s="3">
        <f>parking_demand_data_2024_ver0!H1131</f>
        <v>0</v>
      </c>
      <c r="J1131" s="3">
        <f>parking_demand_data_2024_ver0!I1131</f>
        <v>0</v>
      </c>
      <c r="K1131" s="3">
        <f>parking_demand_data_2024_ver0!J1131</f>
        <v>0</v>
      </c>
      <c r="L1131" s="3">
        <f>parking_demand_data_2024_ver0!K1131</f>
        <v>0</v>
      </c>
      <c r="M1131" s="3">
        <f>parking_demand_data_2024_ver0!L1131</f>
        <v>0</v>
      </c>
      <c r="N1131" s="3">
        <f>parking_demand_data_2024_ver0!M1131</f>
        <v>100</v>
      </c>
      <c r="O1131" s="3">
        <f>parking_demand_data_2024_ver0!N1131</f>
        <v>100</v>
      </c>
      <c r="P1131" s="3">
        <f>parking_demand_data_2024_ver0!O1131</f>
        <v>0</v>
      </c>
      <c r="Q1131" s="3">
        <f>parking_demand_data_2024_ver0!P1131</f>
        <v>0</v>
      </c>
      <c r="R1131" s="3">
        <f>parking_demand_data_2024_ver0!Q1131</f>
        <v>0</v>
      </c>
      <c r="S1131" s="3">
        <f>parking_demand_data_2024_ver0!R1131</f>
        <v>0</v>
      </c>
      <c r="T1131" s="3">
        <f>parking_demand_data_2024_ver0!S1131</f>
        <v>0</v>
      </c>
    </row>
    <row r="1132" spans="1:20" x14ac:dyDescent="0.25">
      <c r="A1132">
        <v>18095</v>
      </c>
      <c r="B1132" t="s">
        <v>76</v>
      </c>
      <c r="C1132">
        <v>2</v>
      </c>
      <c r="D1132" s="3">
        <f>parking_demand_data_2024_ver0!D1132*calibration!$I$31</f>
        <v>78.663041607608605</v>
      </c>
      <c r="E1132" s="3">
        <f>parking_demand_data_2024_ver0!E1132*calibration!$I$31</f>
        <v>14.1558211282344</v>
      </c>
      <c r="F1132" s="3">
        <f t="shared" si="17"/>
        <v>92.818862735842998</v>
      </c>
      <c r="G1132" s="3">
        <f>parking_demand_data_2024_ver0!F1132</f>
        <v>1</v>
      </c>
      <c r="H1132" s="3">
        <f>parking_demand_data_2024_ver0!G1132</f>
        <v>1</v>
      </c>
      <c r="I1132" s="3">
        <f>parking_demand_data_2024_ver0!H1132</f>
        <v>0</v>
      </c>
      <c r="J1132" s="3">
        <f>parking_demand_data_2024_ver0!I1132</f>
        <v>0</v>
      </c>
      <c r="K1132" s="3">
        <f>parking_demand_data_2024_ver0!J1132</f>
        <v>0</v>
      </c>
      <c r="L1132" s="3">
        <f>parking_demand_data_2024_ver0!K1132</f>
        <v>0</v>
      </c>
      <c r="M1132" s="3">
        <f>parking_demand_data_2024_ver0!L1132</f>
        <v>0</v>
      </c>
      <c r="N1132" s="3">
        <f>parking_demand_data_2024_ver0!M1132</f>
        <v>100</v>
      </c>
      <c r="O1132" s="3">
        <f>parking_demand_data_2024_ver0!N1132</f>
        <v>100</v>
      </c>
      <c r="P1132" s="3">
        <f>parking_demand_data_2024_ver0!O1132</f>
        <v>0</v>
      </c>
      <c r="Q1132" s="3">
        <f>parking_demand_data_2024_ver0!P1132</f>
        <v>0</v>
      </c>
      <c r="R1132" s="3">
        <f>parking_demand_data_2024_ver0!Q1132</f>
        <v>0</v>
      </c>
      <c r="S1132" s="3">
        <f>parking_demand_data_2024_ver0!R1132</f>
        <v>0</v>
      </c>
      <c r="T1132" s="3">
        <f>parking_demand_data_2024_ver0!S1132</f>
        <v>0</v>
      </c>
    </row>
    <row r="1133" spans="1:20" x14ac:dyDescent="0.25">
      <c r="A1133">
        <v>18095</v>
      </c>
      <c r="B1133" t="s">
        <v>76</v>
      </c>
      <c r="C1133">
        <v>3</v>
      </c>
      <c r="D1133" s="3">
        <f>parking_demand_data_2024_ver0!D1133*calibration!$I$31</f>
        <v>78.209652318803904</v>
      </c>
      <c r="E1133" s="3">
        <f>parking_demand_data_2024_ver0!E1133*calibration!$I$31</f>
        <v>14.1810094220568</v>
      </c>
      <c r="F1133" s="3">
        <f t="shared" si="17"/>
        <v>92.390661740860708</v>
      </c>
      <c r="G1133" s="3">
        <f>parking_demand_data_2024_ver0!F1133</f>
        <v>1</v>
      </c>
      <c r="H1133" s="3">
        <f>parking_demand_data_2024_ver0!G1133</f>
        <v>1</v>
      </c>
      <c r="I1133" s="3">
        <f>parking_demand_data_2024_ver0!H1133</f>
        <v>0</v>
      </c>
      <c r="J1133" s="3">
        <f>parking_demand_data_2024_ver0!I1133</f>
        <v>0</v>
      </c>
      <c r="K1133" s="3">
        <f>parking_demand_data_2024_ver0!J1133</f>
        <v>0</v>
      </c>
      <c r="L1133" s="3">
        <f>parking_demand_data_2024_ver0!K1133</f>
        <v>0</v>
      </c>
      <c r="M1133" s="3">
        <f>parking_demand_data_2024_ver0!L1133</f>
        <v>0</v>
      </c>
      <c r="N1133" s="3">
        <f>parking_demand_data_2024_ver0!M1133</f>
        <v>100</v>
      </c>
      <c r="O1133" s="3">
        <f>parking_demand_data_2024_ver0!N1133</f>
        <v>100</v>
      </c>
      <c r="P1133" s="3">
        <f>parking_demand_data_2024_ver0!O1133</f>
        <v>0</v>
      </c>
      <c r="Q1133" s="3">
        <f>parking_demand_data_2024_ver0!P1133</f>
        <v>0</v>
      </c>
      <c r="R1133" s="3">
        <f>parking_demand_data_2024_ver0!Q1133</f>
        <v>0</v>
      </c>
      <c r="S1133" s="3">
        <f>parking_demand_data_2024_ver0!R1133</f>
        <v>0</v>
      </c>
      <c r="T1133" s="3">
        <f>parking_demand_data_2024_ver0!S1133</f>
        <v>0</v>
      </c>
    </row>
    <row r="1134" spans="1:20" x14ac:dyDescent="0.25">
      <c r="A1134">
        <v>18095</v>
      </c>
      <c r="B1134" t="s">
        <v>76</v>
      </c>
      <c r="C1134">
        <v>4</v>
      </c>
      <c r="D1134" s="3">
        <f>parking_demand_data_2024_ver0!D1134*calibration!$I$31</f>
        <v>69.872327063562693</v>
      </c>
      <c r="E1134" s="3">
        <f>parking_demand_data_2024_ver0!E1134*calibration!$I$31</f>
        <v>14.0550679529444</v>
      </c>
      <c r="F1134" s="3">
        <f t="shared" si="17"/>
        <v>83.927395016507091</v>
      </c>
      <c r="G1134" s="3">
        <f>parking_demand_data_2024_ver0!F1134</f>
        <v>1</v>
      </c>
      <c r="H1134" s="3">
        <f>parking_demand_data_2024_ver0!G1134</f>
        <v>1</v>
      </c>
      <c r="I1134" s="3">
        <f>parking_demand_data_2024_ver0!H1134</f>
        <v>0</v>
      </c>
      <c r="J1134" s="3">
        <f>parking_demand_data_2024_ver0!I1134</f>
        <v>0</v>
      </c>
      <c r="K1134" s="3">
        <f>parking_demand_data_2024_ver0!J1134</f>
        <v>0</v>
      </c>
      <c r="L1134" s="3">
        <f>parking_demand_data_2024_ver0!K1134</f>
        <v>0</v>
      </c>
      <c r="M1134" s="3">
        <f>parking_demand_data_2024_ver0!L1134</f>
        <v>0</v>
      </c>
      <c r="N1134" s="3">
        <f>parking_demand_data_2024_ver0!M1134</f>
        <v>100</v>
      </c>
      <c r="O1134" s="3">
        <f>parking_demand_data_2024_ver0!N1134</f>
        <v>100</v>
      </c>
      <c r="P1134" s="3">
        <f>parking_demand_data_2024_ver0!O1134</f>
        <v>0</v>
      </c>
      <c r="Q1134" s="3">
        <f>parking_demand_data_2024_ver0!P1134</f>
        <v>0</v>
      </c>
      <c r="R1134" s="3">
        <f>parking_demand_data_2024_ver0!Q1134</f>
        <v>0</v>
      </c>
      <c r="S1134" s="3">
        <f>parking_demand_data_2024_ver0!R1134</f>
        <v>0</v>
      </c>
      <c r="T1134" s="3">
        <f>parking_demand_data_2024_ver0!S1134</f>
        <v>0</v>
      </c>
    </row>
    <row r="1135" spans="1:20" x14ac:dyDescent="0.25">
      <c r="A1135">
        <v>18095</v>
      </c>
      <c r="B1135" t="s">
        <v>76</v>
      </c>
      <c r="C1135">
        <v>5</v>
      </c>
      <c r="D1135" s="3">
        <f>parking_demand_data_2024_ver0!D1135*calibration!$I$31</f>
        <v>61.761696452723697</v>
      </c>
      <c r="E1135" s="3">
        <f>parking_demand_data_2024_ver0!E1135*calibration!$I$31</f>
        <v>13.400172313559899</v>
      </c>
      <c r="F1135" s="3">
        <f t="shared" si="17"/>
        <v>75.16186876628359</v>
      </c>
      <c r="G1135" s="3">
        <f>parking_demand_data_2024_ver0!F1135</f>
        <v>1</v>
      </c>
      <c r="H1135" s="3">
        <f>parking_demand_data_2024_ver0!G1135</f>
        <v>1</v>
      </c>
      <c r="I1135" s="3">
        <f>parking_demand_data_2024_ver0!H1135</f>
        <v>0</v>
      </c>
      <c r="J1135" s="3">
        <f>parking_demand_data_2024_ver0!I1135</f>
        <v>0</v>
      </c>
      <c r="K1135" s="3">
        <f>parking_demand_data_2024_ver0!J1135</f>
        <v>0</v>
      </c>
      <c r="L1135" s="3">
        <f>parking_demand_data_2024_ver0!K1135</f>
        <v>0</v>
      </c>
      <c r="M1135" s="3">
        <f>parking_demand_data_2024_ver0!L1135</f>
        <v>0</v>
      </c>
      <c r="N1135" s="3">
        <f>parking_demand_data_2024_ver0!M1135</f>
        <v>100</v>
      </c>
      <c r="O1135" s="3">
        <f>parking_demand_data_2024_ver0!N1135</f>
        <v>100</v>
      </c>
      <c r="P1135" s="3">
        <f>parking_demand_data_2024_ver0!O1135</f>
        <v>0</v>
      </c>
      <c r="Q1135" s="3">
        <f>parking_demand_data_2024_ver0!P1135</f>
        <v>0</v>
      </c>
      <c r="R1135" s="3">
        <f>parking_demand_data_2024_ver0!Q1135</f>
        <v>0</v>
      </c>
      <c r="S1135" s="3">
        <f>parking_demand_data_2024_ver0!R1135</f>
        <v>0</v>
      </c>
      <c r="T1135" s="3">
        <f>parking_demand_data_2024_ver0!S1135</f>
        <v>0</v>
      </c>
    </row>
    <row r="1136" spans="1:20" x14ac:dyDescent="0.25">
      <c r="A1136">
        <v>18095</v>
      </c>
      <c r="B1136" t="s">
        <v>76</v>
      </c>
      <c r="C1136">
        <v>6</v>
      </c>
      <c r="D1136" s="3">
        <f>parking_demand_data_2024_ver0!D1136*calibration!$I$31</f>
        <v>57.429309915257001</v>
      </c>
      <c r="E1136" s="3">
        <f>parking_demand_data_2024_ver0!E1136*calibration!$I$31</f>
        <v>15.0374114120212</v>
      </c>
      <c r="F1136" s="3">
        <f t="shared" si="17"/>
        <v>72.466721327278208</v>
      </c>
      <c r="G1136" s="3">
        <f>parking_demand_data_2024_ver0!F1136</f>
        <v>1</v>
      </c>
      <c r="H1136" s="3">
        <f>parking_demand_data_2024_ver0!G1136</f>
        <v>1</v>
      </c>
      <c r="I1136" s="3">
        <f>parking_demand_data_2024_ver0!H1136</f>
        <v>0</v>
      </c>
      <c r="J1136" s="3">
        <f>parking_demand_data_2024_ver0!I1136</f>
        <v>0</v>
      </c>
      <c r="K1136" s="3">
        <f>parking_demand_data_2024_ver0!J1136</f>
        <v>0</v>
      </c>
      <c r="L1136" s="3">
        <f>parking_demand_data_2024_ver0!K1136</f>
        <v>0</v>
      </c>
      <c r="M1136" s="3">
        <f>parking_demand_data_2024_ver0!L1136</f>
        <v>0</v>
      </c>
      <c r="N1136" s="3">
        <f>parking_demand_data_2024_ver0!M1136</f>
        <v>100</v>
      </c>
      <c r="O1136" s="3">
        <f>parking_demand_data_2024_ver0!N1136</f>
        <v>100</v>
      </c>
      <c r="P1136" s="3">
        <f>parking_demand_data_2024_ver0!O1136</f>
        <v>0</v>
      </c>
      <c r="Q1136" s="3">
        <f>parking_demand_data_2024_ver0!P1136</f>
        <v>0</v>
      </c>
      <c r="R1136" s="3">
        <f>parking_demand_data_2024_ver0!Q1136</f>
        <v>0</v>
      </c>
      <c r="S1136" s="3">
        <f>parking_demand_data_2024_ver0!R1136</f>
        <v>0</v>
      </c>
      <c r="T1136" s="3">
        <f>parking_demand_data_2024_ver0!S1136</f>
        <v>0</v>
      </c>
    </row>
    <row r="1137" spans="1:20" x14ac:dyDescent="0.25">
      <c r="A1137">
        <v>18095</v>
      </c>
      <c r="B1137" t="s">
        <v>76</v>
      </c>
      <c r="C1137">
        <v>7</v>
      </c>
      <c r="D1137" s="3">
        <f>parking_demand_data_2024_ver0!D1137*calibration!$I$31</f>
        <v>52.845040439565402</v>
      </c>
      <c r="E1137" s="3">
        <f>parking_demand_data_2024_ver0!E1137*calibration!$I$31</f>
        <v>14.9618465305537</v>
      </c>
      <c r="F1137" s="3">
        <f t="shared" si="17"/>
        <v>67.806886970119109</v>
      </c>
      <c r="G1137" s="3">
        <f>parking_demand_data_2024_ver0!F1137</f>
        <v>1</v>
      </c>
      <c r="H1137" s="3">
        <f>parking_demand_data_2024_ver0!G1137</f>
        <v>1</v>
      </c>
      <c r="I1137" s="3">
        <f>parking_demand_data_2024_ver0!H1137</f>
        <v>0</v>
      </c>
      <c r="J1137" s="3">
        <f>parking_demand_data_2024_ver0!I1137</f>
        <v>0</v>
      </c>
      <c r="K1137" s="3">
        <f>parking_demand_data_2024_ver0!J1137</f>
        <v>0</v>
      </c>
      <c r="L1137" s="3">
        <f>parking_demand_data_2024_ver0!K1137</f>
        <v>0</v>
      </c>
      <c r="M1137" s="3">
        <f>parking_demand_data_2024_ver0!L1137</f>
        <v>0</v>
      </c>
      <c r="N1137" s="3">
        <f>parking_demand_data_2024_ver0!M1137</f>
        <v>100</v>
      </c>
      <c r="O1137" s="3">
        <f>parking_demand_data_2024_ver0!N1137</f>
        <v>100</v>
      </c>
      <c r="P1137" s="3">
        <f>parking_demand_data_2024_ver0!O1137</f>
        <v>0</v>
      </c>
      <c r="Q1137" s="3">
        <f>parking_demand_data_2024_ver0!P1137</f>
        <v>0</v>
      </c>
      <c r="R1137" s="3">
        <f>parking_demand_data_2024_ver0!Q1137</f>
        <v>0</v>
      </c>
      <c r="S1137" s="3">
        <f>parking_demand_data_2024_ver0!R1137</f>
        <v>0</v>
      </c>
      <c r="T1137" s="3">
        <f>parking_demand_data_2024_ver0!S1137</f>
        <v>0</v>
      </c>
    </row>
    <row r="1138" spans="1:20" x14ac:dyDescent="0.25">
      <c r="A1138">
        <v>18095</v>
      </c>
      <c r="B1138" t="s">
        <v>76</v>
      </c>
      <c r="C1138">
        <v>8</v>
      </c>
      <c r="D1138" s="3">
        <f>parking_demand_data_2024_ver0!D1138*calibration!$I$31</f>
        <v>48.3111475515188</v>
      </c>
      <c r="E1138" s="3">
        <f>parking_demand_data_2024_ver0!E1138*calibration!$I$31</f>
        <v>14.508457241749101</v>
      </c>
      <c r="F1138" s="3">
        <f t="shared" si="17"/>
        <v>62.819604793267899</v>
      </c>
      <c r="G1138" s="3">
        <f>parking_demand_data_2024_ver0!F1138</f>
        <v>1</v>
      </c>
      <c r="H1138" s="3">
        <f>parking_demand_data_2024_ver0!G1138</f>
        <v>1</v>
      </c>
      <c r="I1138" s="3">
        <f>parking_demand_data_2024_ver0!H1138</f>
        <v>0</v>
      </c>
      <c r="J1138" s="3">
        <f>parking_demand_data_2024_ver0!I1138</f>
        <v>0</v>
      </c>
      <c r="K1138" s="3">
        <f>parking_demand_data_2024_ver0!J1138</f>
        <v>0</v>
      </c>
      <c r="L1138" s="3">
        <f>parking_demand_data_2024_ver0!K1138</f>
        <v>0</v>
      </c>
      <c r="M1138" s="3">
        <f>parking_demand_data_2024_ver0!L1138</f>
        <v>0</v>
      </c>
      <c r="N1138" s="3">
        <f>parking_demand_data_2024_ver0!M1138</f>
        <v>100</v>
      </c>
      <c r="O1138" s="3">
        <f>parking_demand_data_2024_ver0!N1138</f>
        <v>100</v>
      </c>
      <c r="P1138" s="3">
        <f>parking_demand_data_2024_ver0!O1138</f>
        <v>0</v>
      </c>
      <c r="Q1138" s="3">
        <f>parking_demand_data_2024_ver0!P1138</f>
        <v>0</v>
      </c>
      <c r="R1138" s="3">
        <f>parking_demand_data_2024_ver0!Q1138</f>
        <v>0</v>
      </c>
      <c r="S1138" s="3">
        <f>parking_demand_data_2024_ver0!R1138</f>
        <v>0</v>
      </c>
      <c r="T1138" s="3">
        <f>parking_demand_data_2024_ver0!S1138</f>
        <v>0</v>
      </c>
    </row>
    <row r="1139" spans="1:20" x14ac:dyDescent="0.25">
      <c r="A1139">
        <v>18095</v>
      </c>
      <c r="B1139" t="s">
        <v>76</v>
      </c>
      <c r="C1139">
        <v>9</v>
      </c>
      <c r="D1139" s="3">
        <f>parking_demand_data_2024_ver0!D1139*calibration!$I$31</f>
        <v>45.767129875448198</v>
      </c>
      <c r="E1139" s="3">
        <f>parking_demand_data_2024_ver0!E1139*calibration!$I$31</f>
        <v>13.4505489012049</v>
      </c>
      <c r="F1139" s="3">
        <f t="shared" si="17"/>
        <v>59.217678776653102</v>
      </c>
      <c r="G1139" s="3">
        <f>parking_demand_data_2024_ver0!F1139</f>
        <v>1</v>
      </c>
      <c r="H1139" s="3">
        <f>parking_demand_data_2024_ver0!G1139</f>
        <v>1</v>
      </c>
      <c r="I1139" s="3">
        <f>parking_demand_data_2024_ver0!H1139</f>
        <v>0</v>
      </c>
      <c r="J1139" s="3">
        <f>parking_demand_data_2024_ver0!I1139</f>
        <v>0</v>
      </c>
      <c r="K1139" s="3">
        <f>parking_demand_data_2024_ver0!J1139</f>
        <v>0</v>
      </c>
      <c r="L1139" s="3">
        <f>parking_demand_data_2024_ver0!K1139</f>
        <v>0</v>
      </c>
      <c r="M1139" s="3">
        <f>parking_demand_data_2024_ver0!L1139</f>
        <v>0</v>
      </c>
      <c r="N1139" s="3">
        <f>parking_demand_data_2024_ver0!M1139</f>
        <v>100</v>
      </c>
      <c r="O1139" s="3">
        <f>parking_demand_data_2024_ver0!N1139</f>
        <v>100</v>
      </c>
      <c r="P1139" s="3">
        <f>parking_demand_data_2024_ver0!O1139</f>
        <v>0</v>
      </c>
      <c r="Q1139" s="3">
        <f>parking_demand_data_2024_ver0!P1139</f>
        <v>0</v>
      </c>
      <c r="R1139" s="3">
        <f>parking_demand_data_2024_ver0!Q1139</f>
        <v>0</v>
      </c>
      <c r="S1139" s="3">
        <f>parking_demand_data_2024_ver0!R1139</f>
        <v>0</v>
      </c>
      <c r="T1139" s="3">
        <f>parking_demand_data_2024_ver0!S1139</f>
        <v>0</v>
      </c>
    </row>
    <row r="1140" spans="1:20" x14ac:dyDescent="0.25">
      <c r="A1140">
        <v>18095</v>
      </c>
      <c r="B1140" t="s">
        <v>76</v>
      </c>
      <c r="C1140">
        <v>10</v>
      </c>
      <c r="D1140" s="3">
        <f>parking_demand_data_2024_ver0!D1140*calibration!$I$31</f>
        <v>45.238175705176097</v>
      </c>
      <c r="E1140" s="3">
        <f>parking_demand_data_2024_ver0!E1140*calibration!$I$31</f>
        <v>13.1482893753351</v>
      </c>
      <c r="F1140" s="3">
        <f t="shared" si="17"/>
        <v>58.386465080511201</v>
      </c>
      <c r="G1140" s="3">
        <f>parking_demand_data_2024_ver0!F1140</f>
        <v>1</v>
      </c>
      <c r="H1140" s="3">
        <f>parking_demand_data_2024_ver0!G1140</f>
        <v>1</v>
      </c>
      <c r="I1140" s="3">
        <f>parking_demand_data_2024_ver0!H1140</f>
        <v>0</v>
      </c>
      <c r="J1140" s="3">
        <f>parking_demand_data_2024_ver0!I1140</f>
        <v>0</v>
      </c>
      <c r="K1140" s="3">
        <f>parking_demand_data_2024_ver0!J1140</f>
        <v>0</v>
      </c>
      <c r="L1140" s="3">
        <f>parking_demand_data_2024_ver0!K1140</f>
        <v>0</v>
      </c>
      <c r="M1140" s="3">
        <f>parking_demand_data_2024_ver0!L1140</f>
        <v>0</v>
      </c>
      <c r="N1140" s="3">
        <f>parking_demand_data_2024_ver0!M1140</f>
        <v>100</v>
      </c>
      <c r="O1140" s="3">
        <f>parking_demand_data_2024_ver0!N1140</f>
        <v>100</v>
      </c>
      <c r="P1140" s="3">
        <f>parking_demand_data_2024_ver0!O1140</f>
        <v>0</v>
      </c>
      <c r="Q1140" s="3">
        <f>parking_demand_data_2024_ver0!P1140</f>
        <v>0</v>
      </c>
      <c r="R1140" s="3">
        <f>parking_demand_data_2024_ver0!Q1140</f>
        <v>0</v>
      </c>
      <c r="S1140" s="3">
        <f>parking_demand_data_2024_ver0!R1140</f>
        <v>0</v>
      </c>
      <c r="T1140" s="3">
        <f>parking_demand_data_2024_ver0!S1140</f>
        <v>0</v>
      </c>
    </row>
    <row r="1141" spans="1:20" x14ac:dyDescent="0.25">
      <c r="A1141">
        <v>18095</v>
      </c>
      <c r="B1141" t="s">
        <v>76</v>
      </c>
      <c r="C1141">
        <v>11</v>
      </c>
      <c r="D1141" s="3">
        <f>parking_demand_data_2024_ver0!D1141*calibration!$I$31</f>
        <v>47.127297741862201</v>
      </c>
      <c r="E1141" s="3">
        <f>parking_demand_data_2024_ver0!E1141*calibration!$I$31</f>
        <v>14.105444540589399</v>
      </c>
      <c r="F1141" s="3">
        <f t="shared" si="17"/>
        <v>61.232742282451596</v>
      </c>
      <c r="G1141" s="3">
        <f>parking_demand_data_2024_ver0!F1141</f>
        <v>1</v>
      </c>
      <c r="H1141" s="3">
        <f>parking_demand_data_2024_ver0!G1141</f>
        <v>1</v>
      </c>
      <c r="I1141" s="3">
        <f>parking_demand_data_2024_ver0!H1141</f>
        <v>0</v>
      </c>
      <c r="J1141" s="3">
        <f>parking_demand_data_2024_ver0!I1141</f>
        <v>0</v>
      </c>
      <c r="K1141" s="3">
        <f>parking_demand_data_2024_ver0!J1141</f>
        <v>0</v>
      </c>
      <c r="L1141" s="3">
        <f>parking_demand_data_2024_ver0!K1141</f>
        <v>0</v>
      </c>
      <c r="M1141" s="3">
        <f>parking_demand_data_2024_ver0!L1141</f>
        <v>0</v>
      </c>
      <c r="N1141" s="3">
        <f>parking_demand_data_2024_ver0!M1141</f>
        <v>100</v>
      </c>
      <c r="O1141" s="3">
        <f>parking_demand_data_2024_ver0!N1141</f>
        <v>100</v>
      </c>
      <c r="P1141" s="3">
        <f>parking_demand_data_2024_ver0!O1141</f>
        <v>0</v>
      </c>
      <c r="Q1141" s="3">
        <f>parking_demand_data_2024_ver0!P1141</f>
        <v>0</v>
      </c>
      <c r="R1141" s="3">
        <f>parking_demand_data_2024_ver0!Q1141</f>
        <v>0</v>
      </c>
      <c r="S1141" s="3">
        <f>parking_demand_data_2024_ver0!R1141</f>
        <v>0</v>
      </c>
      <c r="T1141" s="3">
        <f>parking_demand_data_2024_ver0!S1141</f>
        <v>0</v>
      </c>
    </row>
    <row r="1142" spans="1:20" x14ac:dyDescent="0.25">
      <c r="A1142">
        <v>18095</v>
      </c>
      <c r="B1142" t="s">
        <v>76</v>
      </c>
      <c r="C1142">
        <v>12</v>
      </c>
      <c r="D1142" s="3">
        <f>parking_demand_data_2024_ver0!D1142*calibration!$I$31</f>
        <v>48.865290015613397</v>
      </c>
      <c r="E1142" s="3">
        <f>parking_demand_data_2024_ver0!E1142*calibration!$I$31</f>
        <v>13.929126483832</v>
      </c>
      <c r="F1142" s="3">
        <f t="shared" si="17"/>
        <v>62.794416499445397</v>
      </c>
      <c r="G1142" s="3">
        <f>parking_demand_data_2024_ver0!F1142</f>
        <v>1</v>
      </c>
      <c r="H1142" s="3">
        <f>parking_demand_data_2024_ver0!G1142</f>
        <v>1</v>
      </c>
      <c r="I1142" s="3">
        <f>parking_demand_data_2024_ver0!H1142</f>
        <v>0</v>
      </c>
      <c r="J1142" s="3">
        <f>parking_demand_data_2024_ver0!I1142</f>
        <v>0</v>
      </c>
      <c r="K1142" s="3">
        <f>parking_demand_data_2024_ver0!J1142</f>
        <v>0</v>
      </c>
      <c r="L1142" s="3">
        <f>parking_demand_data_2024_ver0!K1142</f>
        <v>0</v>
      </c>
      <c r="M1142" s="3">
        <f>parking_demand_data_2024_ver0!L1142</f>
        <v>0</v>
      </c>
      <c r="N1142" s="3">
        <f>parking_demand_data_2024_ver0!M1142</f>
        <v>100</v>
      </c>
      <c r="O1142" s="3">
        <f>parking_demand_data_2024_ver0!N1142</f>
        <v>100</v>
      </c>
      <c r="P1142" s="3">
        <f>parking_demand_data_2024_ver0!O1142</f>
        <v>0</v>
      </c>
      <c r="Q1142" s="3">
        <f>parking_demand_data_2024_ver0!P1142</f>
        <v>0</v>
      </c>
      <c r="R1142" s="3">
        <f>parking_demand_data_2024_ver0!Q1142</f>
        <v>0</v>
      </c>
      <c r="S1142" s="3">
        <f>parking_demand_data_2024_ver0!R1142</f>
        <v>0</v>
      </c>
      <c r="T1142" s="3">
        <f>parking_demand_data_2024_ver0!S1142</f>
        <v>0</v>
      </c>
    </row>
    <row r="1143" spans="1:20" x14ac:dyDescent="0.25">
      <c r="A1143">
        <v>18095</v>
      </c>
      <c r="B1143" t="s">
        <v>76</v>
      </c>
      <c r="C1143">
        <v>13</v>
      </c>
      <c r="D1143" s="3">
        <f>parking_demand_data_2024_ver0!D1143*calibration!$I$31</f>
        <v>52.114579918713403</v>
      </c>
      <c r="E1143" s="3">
        <f>parking_demand_data_2024_ver0!E1143*calibration!$I$31</f>
        <v>11.1836024571816</v>
      </c>
      <c r="F1143" s="3">
        <f t="shared" si="17"/>
        <v>63.298182375895003</v>
      </c>
      <c r="G1143" s="3">
        <f>parking_demand_data_2024_ver0!F1143</f>
        <v>1</v>
      </c>
      <c r="H1143" s="3">
        <f>parking_demand_data_2024_ver0!G1143</f>
        <v>1</v>
      </c>
      <c r="I1143" s="3">
        <f>parking_demand_data_2024_ver0!H1143</f>
        <v>0</v>
      </c>
      <c r="J1143" s="3">
        <f>parking_demand_data_2024_ver0!I1143</f>
        <v>0</v>
      </c>
      <c r="K1143" s="3">
        <f>parking_demand_data_2024_ver0!J1143</f>
        <v>0</v>
      </c>
      <c r="L1143" s="3">
        <f>parking_demand_data_2024_ver0!K1143</f>
        <v>0</v>
      </c>
      <c r="M1143" s="3">
        <f>parking_demand_data_2024_ver0!L1143</f>
        <v>0</v>
      </c>
      <c r="N1143" s="3">
        <f>parking_demand_data_2024_ver0!M1143</f>
        <v>100</v>
      </c>
      <c r="O1143" s="3">
        <f>parking_demand_data_2024_ver0!N1143</f>
        <v>100</v>
      </c>
      <c r="P1143" s="3">
        <f>parking_demand_data_2024_ver0!O1143</f>
        <v>0</v>
      </c>
      <c r="Q1143" s="3">
        <f>parking_demand_data_2024_ver0!P1143</f>
        <v>0</v>
      </c>
      <c r="R1143" s="3">
        <f>parking_demand_data_2024_ver0!Q1143</f>
        <v>0</v>
      </c>
      <c r="S1143" s="3">
        <f>parking_demand_data_2024_ver0!R1143</f>
        <v>0</v>
      </c>
      <c r="T1143" s="3">
        <f>parking_demand_data_2024_ver0!S1143</f>
        <v>0</v>
      </c>
    </row>
    <row r="1144" spans="1:20" x14ac:dyDescent="0.25">
      <c r="A1144">
        <v>18095</v>
      </c>
      <c r="B1144" t="s">
        <v>76</v>
      </c>
      <c r="C1144">
        <v>14</v>
      </c>
      <c r="D1144" s="3">
        <f>parking_demand_data_2024_ver0!D1144*calibration!$I$31</f>
        <v>56.270648399422797</v>
      </c>
      <c r="E1144" s="3">
        <f>parking_demand_data_2024_ver0!E1144*calibration!$I$31</f>
        <v>7.1030988579396803</v>
      </c>
      <c r="F1144" s="3">
        <f t="shared" si="17"/>
        <v>63.373747257362474</v>
      </c>
      <c r="G1144" s="3">
        <f>parking_demand_data_2024_ver0!F1144</f>
        <v>1</v>
      </c>
      <c r="H1144" s="3">
        <f>parking_demand_data_2024_ver0!G1144</f>
        <v>1</v>
      </c>
      <c r="I1144" s="3">
        <f>parking_demand_data_2024_ver0!H1144</f>
        <v>0</v>
      </c>
      <c r="J1144" s="3">
        <f>parking_demand_data_2024_ver0!I1144</f>
        <v>0</v>
      </c>
      <c r="K1144" s="3">
        <f>parking_demand_data_2024_ver0!J1144</f>
        <v>0</v>
      </c>
      <c r="L1144" s="3">
        <f>parking_demand_data_2024_ver0!K1144</f>
        <v>0</v>
      </c>
      <c r="M1144" s="3">
        <f>parking_demand_data_2024_ver0!L1144</f>
        <v>0</v>
      </c>
      <c r="N1144" s="3">
        <f>parking_demand_data_2024_ver0!M1144</f>
        <v>100</v>
      </c>
      <c r="O1144" s="3">
        <f>parking_demand_data_2024_ver0!N1144</f>
        <v>100</v>
      </c>
      <c r="P1144" s="3">
        <f>parking_demand_data_2024_ver0!O1144</f>
        <v>0</v>
      </c>
      <c r="Q1144" s="3">
        <f>parking_demand_data_2024_ver0!P1144</f>
        <v>0</v>
      </c>
      <c r="R1144" s="3">
        <f>parking_demand_data_2024_ver0!Q1144</f>
        <v>0</v>
      </c>
      <c r="S1144" s="3">
        <f>parking_demand_data_2024_ver0!R1144</f>
        <v>0</v>
      </c>
      <c r="T1144" s="3">
        <f>parking_demand_data_2024_ver0!S1144</f>
        <v>0</v>
      </c>
    </row>
    <row r="1145" spans="1:20" x14ac:dyDescent="0.25">
      <c r="A1145">
        <v>18095</v>
      </c>
      <c r="B1145" t="s">
        <v>76</v>
      </c>
      <c r="C1145">
        <v>15</v>
      </c>
      <c r="D1145" s="3">
        <f>parking_demand_data_2024_ver0!D1145*calibration!$I$31</f>
        <v>57.454498209079397</v>
      </c>
      <c r="E1145" s="3">
        <f>parking_demand_data_2024_ver0!E1145*calibration!$I$31</f>
        <v>8.5892081934660691</v>
      </c>
      <c r="F1145" s="3">
        <f t="shared" si="17"/>
        <v>66.043706402545467</v>
      </c>
      <c r="G1145" s="3">
        <f>parking_demand_data_2024_ver0!F1145</f>
        <v>1</v>
      </c>
      <c r="H1145" s="3">
        <f>parking_demand_data_2024_ver0!G1145</f>
        <v>1</v>
      </c>
      <c r="I1145" s="3">
        <f>parking_demand_data_2024_ver0!H1145</f>
        <v>0</v>
      </c>
      <c r="J1145" s="3">
        <f>parking_demand_data_2024_ver0!I1145</f>
        <v>0</v>
      </c>
      <c r="K1145" s="3">
        <f>parking_demand_data_2024_ver0!J1145</f>
        <v>0</v>
      </c>
      <c r="L1145" s="3">
        <f>parking_demand_data_2024_ver0!K1145</f>
        <v>0</v>
      </c>
      <c r="M1145" s="3">
        <f>parking_demand_data_2024_ver0!L1145</f>
        <v>0</v>
      </c>
      <c r="N1145" s="3">
        <f>parking_demand_data_2024_ver0!M1145</f>
        <v>100</v>
      </c>
      <c r="O1145" s="3">
        <f>parking_demand_data_2024_ver0!N1145</f>
        <v>100</v>
      </c>
      <c r="P1145" s="3">
        <f>parking_demand_data_2024_ver0!O1145</f>
        <v>0</v>
      </c>
      <c r="Q1145" s="3">
        <f>parking_demand_data_2024_ver0!P1145</f>
        <v>0</v>
      </c>
      <c r="R1145" s="3">
        <f>parking_demand_data_2024_ver0!Q1145</f>
        <v>0</v>
      </c>
      <c r="S1145" s="3">
        <f>parking_demand_data_2024_ver0!R1145</f>
        <v>0</v>
      </c>
      <c r="T1145" s="3">
        <f>parking_demand_data_2024_ver0!S1145</f>
        <v>0</v>
      </c>
    </row>
    <row r="1146" spans="1:20" x14ac:dyDescent="0.25">
      <c r="A1146">
        <v>18095</v>
      </c>
      <c r="B1146" t="s">
        <v>76</v>
      </c>
      <c r="C1146">
        <v>16</v>
      </c>
      <c r="D1146" s="3">
        <f>parking_demand_data_2024_ver0!D1146*calibration!$I$31</f>
        <v>60.225210529552399</v>
      </c>
      <c r="E1146" s="3">
        <f>parking_demand_data_2024_ver0!E1146*calibration!$I$31</f>
        <v>7.4053583838094497</v>
      </c>
      <c r="F1146" s="3">
        <f t="shared" si="17"/>
        <v>67.630568913361856</v>
      </c>
      <c r="G1146" s="3">
        <f>parking_demand_data_2024_ver0!F1146</f>
        <v>1</v>
      </c>
      <c r="H1146" s="3">
        <f>parking_demand_data_2024_ver0!G1146</f>
        <v>1</v>
      </c>
      <c r="I1146" s="3">
        <f>parking_demand_data_2024_ver0!H1146</f>
        <v>0</v>
      </c>
      <c r="J1146" s="3">
        <f>parking_demand_data_2024_ver0!I1146</f>
        <v>0</v>
      </c>
      <c r="K1146" s="3">
        <f>parking_demand_data_2024_ver0!J1146</f>
        <v>0</v>
      </c>
      <c r="L1146" s="3">
        <f>parking_demand_data_2024_ver0!K1146</f>
        <v>0</v>
      </c>
      <c r="M1146" s="3">
        <f>parking_demand_data_2024_ver0!L1146</f>
        <v>0</v>
      </c>
      <c r="N1146" s="3">
        <f>parking_demand_data_2024_ver0!M1146</f>
        <v>100</v>
      </c>
      <c r="O1146" s="3">
        <f>parking_demand_data_2024_ver0!N1146</f>
        <v>100</v>
      </c>
      <c r="P1146" s="3">
        <f>parking_demand_data_2024_ver0!O1146</f>
        <v>0</v>
      </c>
      <c r="Q1146" s="3">
        <f>parking_demand_data_2024_ver0!P1146</f>
        <v>0</v>
      </c>
      <c r="R1146" s="3">
        <f>parking_demand_data_2024_ver0!Q1146</f>
        <v>0</v>
      </c>
      <c r="S1146" s="3">
        <f>parking_demand_data_2024_ver0!R1146</f>
        <v>0</v>
      </c>
      <c r="T1146" s="3">
        <f>parking_demand_data_2024_ver0!S1146</f>
        <v>0</v>
      </c>
    </row>
    <row r="1147" spans="1:20" x14ac:dyDescent="0.25">
      <c r="A1147">
        <v>18095</v>
      </c>
      <c r="B1147" t="s">
        <v>76</v>
      </c>
      <c r="C1147">
        <v>17</v>
      </c>
      <c r="D1147" s="3">
        <f>parking_demand_data_2024_ver0!D1147*calibration!$I$31</f>
        <v>63.927889721457099</v>
      </c>
      <c r="E1147" s="3">
        <f>parking_demand_data_2024_ver0!E1147*calibration!$I$31</f>
        <v>6.1711319865078798</v>
      </c>
      <c r="F1147" s="3">
        <f t="shared" si="17"/>
        <v>70.09902170796498</v>
      </c>
      <c r="G1147" s="3">
        <f>parking_demand_data_2024_ver0!F1147</f>
        <v>1</v>
      </c>
      <c r="H1147" s="3">
        <f>parking_demand_data_2024_ver0!G1147</f>
        <v>1</v>
      </c>
      <c r="I1147" s="3">
        <f>parking_demand_data_2024_ver0!H1147</f>
        <v>0</v>
      </c>
      <c r="J1147" s="3">
        <f>parking_demand_data_2024_ver0!I1147</f>
        <v>0</v>
      </c>
      <c r="K1147" s="3">
        <f>parking_demand_data_2024_ver0!J1147</f>
        <v>0</v>
      </c>
      <c r="L1147" s="3">
        <f>parking_demand_data_2024_ver0!K1147</f>
        <v>0</v>
      </c>
      <c r="M1147" s="3">
        <f>parking_demand_data_2024_ver0!L1147</f>
        <v>0</v>
      </c>
      <c r="N1147" s="3">
        <f>parking_demand_data_2024_ver0!M1147</f>
        <v>100</v>
      </c>
      <c r="O1147" s="3">
        <f>parking_demand_data_2024_ver0!N1147</f>
        <v>100</v>
      </c>
      <c r="P1147" s="3">
        <f>parking_demand_data_2024_ver0!O1147</f>
        <v>0</v>
      </c>
      <c r="Q1147" s="3">
        <f>parking_demand_data_2024_ver0!P1147</f>
        <v>0</v>
      </c>
      <c r="R1147" s="3">
        <f>parking_demand_data_2024_ver0!Q1147</f>
        <v>0</v>
      </c>
      <c r="S1147" s="3">
        <f>parking_demand_data_2024_ver0!R1147</f>
        <v>0</v>
      </c>
      <c r="T1147" s="3">
        <f>parking_demand_data_2024_ver0!S1147</f>
        <v>0</v>
      </c>
    </row>
    <row r="1148" spans="1:20" x14ac:dyDescent="0.25">
      <c r="A1148">
        <v>18095</v>
      </c>
      <c r="B1148" t="s">
        <v>76</v>
      </c>
      <c r="C1148">
        <v>18</v>
      </c>
      <c r="D1148" s="3">
        <f>parking_demand_data_2024_ver0!D1148*calibration!$I$31</f>
        <v>66.597848866640106</v>
      </c>
      <c r="E1148" s="3">
        <f>parking_demand_data_2024_ver0!E1148*calibration!$I$31</f>
        <v>6.0703788112179504</v>
      </c>
      <c r="F1148" s="3">
        <f t="shared" si="17"/>
        <v>72.668227677858056</v>
      </c>
      <c r="G1148" s="3">
        <f>parking_demand_data_2024_ver0!F1148</f>
        <v>1</v>
      </c>
      <c r="H1148" s="3">
        <f>parking_demand_data_2024_ver0!G1148</f>
        <v>1</v>
      </c>
      <c r="I1148" s="3">
        <f>parking_demand_data_2024_ver0!H1148</f>
        <v>0</v>
      </c>
      <c r="J1148" s="3">
        <f>parking_demand_data_2024_ver0!I1148</f>
        <v>0</v>
      </c>
      <c r="K1148" s="3">
        <f>parking_demand_data_2024_ver0!J1148</f>
        <v>0</v>
      </c>
      <c r="L1148" s="3">
        <f>parking_demand_data_2024_ver0!K1148</f>
        <v>0</v>
      </c>
      <c r="M1148" s="3">
        <f>parking_demand_data_2024_ver0!L1148</f>
        <v>0</v>
      </c>
      <c r="N1148" s="3">
        <f>parking_demand_data_2024_ver0!M1148</f>
        <v>100</v>
      </c>
      <c r="O1148" s="3">
        <f>parking_demand_data_2024_ver0!N1148</f>
        <v>100</v>
      </c>
      <c r="P1148" s="3">
        <f>parking_demand_data_2024_ver0!O1148</f>
        <v>0</v>
      </c>
      <c r="Q1148" s="3">
        <f>parking_demand_data_2024_ver0!P1148</f>
        <v>0</v>
      </c>
      <c r="R1148" s="3">
        <f>parking_demand_data_2024_ver0!Q1148</f>
        <v>0</v>
      </c>
      <c r="S1148" s="3">
        <f>parking_demand_data_2024_ver0!R1148</f>
        <v>0</v>
      </c>
      <c r="T1148" s="3">
        <f>parking_demand_data_2024_ver0!S1148</f>
        <v>0</v>
      </c>
    </row>
    <row r="1149" spans="1:20" x14ac:dyDescent="0.25">
      <c r="A1149">
        <v>18095</v>
      </c>
      <c r="B1149" t="s">
        <v>76</v>
      </c>
      <c r="C1149">
        <v>19</v>
      </c>
      <c r="D1149" s="3">
        <f>parking_demand_data_2024_ver0!D1149*calibration!$I$31</f>
        <v>68.1595230836339</v>
      </c>
      <c r="E1149" s="3">
        <f>parking_demand_data_2024_ver0!E1149*calibration!$I$31</f>
        <v>5.8940607544605799</v>
      </c>
      <c r="F1149" s="3">
        <f t="shared" si="17"/>
        <v>74.053583838094482</v>
      </c>
      <c r="G1149" s="3">
        <f>parking_demand_data_2024_ver0!F1149</f>
        <v>1</v>
      </c>
      <c r="H1149" s="3">
        <f>parking_demand_data_2024_ver0!G1149</f>
        <v>1</v>
      </c>
      <c r="I1149" s="3">
        <f>parking_demand_data_2024_ver0!H1149</f>
        <v>0</v>
      </c>
      <c r="J1149" s="3">
        <f>parking_demand_data_2024_ver0!I1149</f>
        <v>0</v>
      </c>
      <c r="K1149" s="3">
        <f>parking_demand_data_2024_ver0!J1149</f>
        <v>0</v>
      </c>
      <c r="L1149" s="3">
        <f>parking_demand_data_2024_ver0!K1149</f>
        <v>0</v>
      </c>
      <c r="M1149" s="3">
        <f>parking_demand_data_2024_ver0!L1149</f>
        <v>0</v>
      </c>
      <c r="N1149" s="3">
        <f>parking_demand_data_2024_ver0!M1149</f>
        <v>100</v>
      </c>
      <c r="O1149" s="3">
        <f>parking_demand_data_2024_ver0!N1149</f>
        <v>100</v>
      </c>
      <c r="P1149" s="3">
        <f>parking_demand_data_2024_ver0!O1149</f>
        <v>0</v>
      </c>
      <c r="Q1149" s="3">
        <f>parking_demand_data_2024_ver0!P1149</f>
        <v>0</v>
      </c>
      <c r="R1149" s="3">
        <f>parking_demand_data_2024_ver0!Q1149</f>
        <v>0</v>
      </c>
      <c r="S1149" s="3">
        <f>parking_demand_data_2024_ver0!R1149</f>
        <v>0</v>
      </c>
      <c r="T1149" s="3">
        <f>parking_demand_data_2024_ver0!S1149</f>
        <v>0</v>
      </c>
    </row>
    <row r="1150" spans="1:20" x14ac:dyDescent="0.25">
      <c r="A1150">
        <v>18095</v>
      </c>
      <c r="B1150" t="s">
        <v>76</v>
      </c>
      <c r="C1150">
        <v>20</v>
      </c>
      <c r="D1150" s="3">
        <f>parking_demand_data_2024_ver0!D1150*calibration!$I$31</f>
        <v>69.947891945030094</v>
      </c>
      <c r="E1150" s="3">
        <f>parking_demand_data_2024_ver0!E1150*calibration!$I$31</f>
        <v>6.9519690950047899</v>
      </c>
      <c r="F1150" s="3">
        <f t="shared" si="17"/>
        <v>76.899861040034878</v>
      </c>
      <c r="G1150" s="3">
        <f>parking_demand_data_2024_ver0!F1150</f>
        <v>1</v>
      </c>
      <c r="H1150" s="3">
        <f>parking_demand_data_2024_ver0!G1150</f>
        <v>1</v>
      </c>
      <c r="I1150" s="3">
        <f>parking_demand_data_2024_ver0!H1150</f>
        <v>0</v>
      </c>
      <c r="J1150" s="3">
        <f>parking_demand_data_2024_ver0!I1150</f>
        <v>0</v>
      </c>
      <c r="K1150" s="3">
        <f>parking_demand_data_2024_ver0!J1150</f>
        <v>0</v>
      </c>
      <c r="L1150" s="3">
        <f>parking_demand_data_2024_ver0!K1150</f>
        <v>0</v>
      </c>
      <c r="M1150" s="3">
        <f>parking_demand_data_2024_ver0!L1150</f>
        <v>0</v>
      </c>
      <c r="N1150" s="3">
        <f>parking_demand_data_2024_ver0!M1150</f>
        <v>100</v>
      </c>
      <c r="O1150" s="3">
        <f>parking_demand_data_2024_ver0!N1150</f>
        <v>100</v>
      </c>
      <c r="P1150" s="3">
        <f>parking_demand_data_2024_ver0!O1150</f>
        <v>0</v>
      </c>
      <c r="Q1150" s="3">
        <f>parking_demand_data_2024_ver0!P1150</f>
        <v>0</v>
      </c>
      <c r="R1150" s="3">
        <f>parking_demand_data_2024_ver0!Q1150</f>
        <v>0</v>
      </c>
      <c r="S1150" s="3">
        <f>parking_demand_data_2024_ver0!R1150</f>
        <v>0</v>
      </c>
      <c r="T1150" s="3">
        <f>parking_demand_data_2024_ver0!S1150</f>
        <v>0</v>
      </c>
    </row>
    <row r="1151" spans="1:20" x14ac:dyDescent="0.25">
      <c r="A1151">
        <v>18095</v>
      </c>
      <c r="B1151" t="s">
        <v>76</v>
      </c>
      <c r="C1151">
        <v>21</v>
      </c>
      <c r="D1151" s="3">
        <f>parking_demand_data_2024_ver0!D1151*calibration!$I$31</f>
        <v>72.240026682875893</v>
      </c>
      <c r="E1151" s="3">
        <f>parking_demand_data_2024_ver0!E1151*calibration!$I$31</f>
        <v>7.53129985292186</v>
      </c>
      <c r="F1151" s="3">
        <f t="shared" si="17"/>
        <v>79.771326535797755</v>
      </c>
      <c r="G1151" s="3">
        <f>parking_demand_data_2024_ver0!F1151</f>
        <v>1</v>
      </c>
      <c r="H1151" s="3">
        <f>parking_demand_data_2024_ver0!G1151</f>
        <v>1</v>
      </c>
      <c r="I1151" s="3">
        <f>parking_demand_data_2024_ver0!H1151</f>
        <v>0</v>
      </c>
      <c r="J1151" s="3">
        <f>parking_demand_data_2024_ver0!I1151</f>
        <v>0</v>
      </c>
      <c r="K1151" s="3">
        <f>parking_demand_data_2024_ver0!J1151</f>
        <v>0</v>
      </c>
      <c r="L1151" s="3">
        <f>parking_demand_data_2024_ver0!K1151</f>
        <v>0</v>
      </c>
      <c r="M1151" s="3">
        <f>parking_demand_data_2024_ver0!L1151</f>
        <v>0</v>
      </c>
      <c r="N1151" s="3">
        <f>parking_demand_data_2024_ver0!M1151</f>
        <v>100</v>
      </c>
      <c r="O1151" s="3">
        <f>parking_demand_data_2024_ver0!N1151</f>
        <v>100</v>
      </c>
      <c r="P1151" s="3">
        <f>parking_demand_data_2024_ver0!O1151</f>
        <v>0</v>
      </c>
      <c r="Q1151" s="3">
        <f>parking_demand_data_2024_ver0!P1151</f>
        <v>0</v>
      </c>
      <c r="R1151" s="3">
        <f>parking_demand_data_2024_ver0!Q1151</f>
        <v>0</v>
      </c>
      <c r="S1151" s="3">
        <f>parking_demand_data_2024_ver0!R1151</f>
        <v>0</v>
      </c>
      <c r="T1151" s="3">
        <f>parking_demand_data_2024_ver0!S1151</f>
        <v>0</v>
      </c>
    </row>
    <row r="1152" spans="1:20" x14ac:dyDescent="0.25">
      <c r="A1152">
        <v>18095</v>
      </c>
      <c r="B1152" t="s">
        <v>76</v>
      </c>
      <c r="C1152">
        <v>22</v>
      </c>
      <c r="D1152" s="3">
        <f>parking_demand_data_2024_ver0!D1152*calibration!$I$31</f>
        <v>72.920110616082894</v>
      </c>
      <c r="E1152" s="3">
        <f>parking_demand_data_2024_ver0!E1152*calibration!$I$31</f>
        <v>8.2113837861288506</v>
      </c>
      <c r="F1152" s="3">
        <f t="shared" si="17"/>
        <v>81.131494402211743</v>
      </c>
      <c r="G1152" s="3">
        <f>parking_demand_data_2024_ver0!F1152</f>
        <v>1</v>
      </c>
      <c r="H1152" s="3">
        <f>parking_demand_data_2024_ver0!G1152</f>
        <v>1</v>
      </c>
      <c r="I1152" s="3">
        <f>parking_demand_data_2024_ver0!H1152</f>
        <v>0</v>
      </c>
      <c r="J1152" s="3">
        <f>parking_demand_data_2024_ver0!I1152</f>
        <v>0</v>
      </c>
      <c r="K1152" s="3">
        <f>parking_demand_data_2024_ver0!J1152</f>
        <v>0</v>
      </c>
      <c r="L1152" s="3">
        <f>parking_demand_data_2024_ver0!K1152</f>
        <v>0</v>
      </c>
      <c r="M1152" s="3">
        <f>parking_demand_data_2024_ver0!L1152</f>
        <v>0</v>
      </c>
      <c r="N1152" s="3">
        <f>parking_demand_data_2024_ver0!M1152</f>
        <v>100</v>
      </c>
      <c r="O1152" s="3">
        <f>parking_demand_data_2024_ver0!N1152</f>
        <v>100</v>
      </c>
      <c r="P1152" s="3">
        <f>parking_demand_data_2024_ver0!O1152</f>
        <v>0</v>
      </c>
      <c r="Q1152" s="3">
        <f>parking_demand_data_2024_ver0!P1152</f>
        <v>0</v>
      </c>
      <c r="R1152" s="3">
        <f>parking_demand_data_2024_ver0!Q1152</f>
        <v>0</v>
      </c>
      <c r="S1152" s="3">
        <f>parking_demand_data_2024_ver0!R1152</f>
        <v>0</v>
      </c>
      <c r="T1152" s="3">
        <f>parking_demand_data_2024_ver0!S1152</f>
        <v>0</v>
      </c>
    </row>
    <row r="1153" spans="1:20" x14ac:dyDescent="0.25">
      <c r="A1153">
        <v>18095</v>
      </c>
      <c r="B1153" t="s">
        <v>76</v>
      </c>
      <c r="C1153">
        <v>23</v>
      </c>
      <c r="D1153" s="3">
        <f>parking_demand_data_2024_ver0!D1153*calibration!$I$31</f>
        <v>73.323123317242604</v>
      </c>
      <c r="E1153" s="3">
        <f>parking_demand_data_2024_ver0!E1153*calibration!$I$31</f>
        <v>9.9997526475250105</v>
      </c>
      <c r="F1153" s="3">
        <f t="shared" si="17"/>
        <v>83.322875964767618</v>
      </c>
      <c r="G1153" s="3">
        <f>parking_demand_data_2024_ver0!F1153</f>
        <v>1</v>
      </c>
      <c r="H1153" s="3">
        <f>parking_demand_data_2024_ver0!G1153</f>
        <v>1</v>
      </c>
      <c r="I1153" s="3">
        <f>parking_demand_data_2024_ver0!H1153</f>
        <v>0</v>
      </c>
      <c r="J1153" s="3">
        <f>parking_demand_data_2024_ver0!I1153</f>
        <v>0</v>
      </c>
      <c r="K1153" s="3">
        <f>parking_demand_data_2024_ver0!J1153</f>
        <v>0</v>
      </c>
      <c r="L1153" s="3">
        <f>parking_demand_data_2024_ver0!K1153</f>
        <v>0</v>
      </c>
      <c r="M1153" s="3">
        <f>parking_demand_data_2024_ver0!L1153</f>
        <v>0</v>
      </c>
      <c r="N1153" s="3">
        <f>parking_demand_data_2024_ver0!M1153</f>
        <v>100</v>
      </c>
      <c r="O1153" s="3">
        <f>parking_demand_data_2024_ver0!N1153</f>
        <v>100</v>
      </c>
      <c r="P1153" s="3">
        <f>parking_demand_data_2024_ver0!O1153</f>
        <v>0</v>
      </c>
      <c r="Q1153" s="3">
        <f>parking_demand_data_2024_ver0!P1153</f>
        <v>0</v>
      </c>
      <c r="R1153" s="3">
        <f>parking_demand_data_2024_ver0!Q1153</f>
        <v>0</v>
      </c>
      <c r="S1153" s="3">
        <f>parking_demand_data_2024_ver0!R1153</f>
        <v>0</v>
      </c>
      <c r="T1153" s="3">
        <f>parking_demand_data_2024_ver0!S1153</f>
        <v>0</v>
      </c>
    </row>
    <row r="1154" spans="1:20" x14ac:dyDescent="0.25">
      <c r="A1154">
        <v>18097</v>
      </c>
      <c r="B1154" t="s">
        <v>77</v>
      </c>
      <c r="C1154">
        <v>0</v>
      </c>
      <c r="D1154" s="3">
        <f>parking_demand_data_2024_ver0!D1154*calibration!$I$31</f>
        <v>123.50932376508101</v>
      </c>
      <c r="E1154" s="3">
        <f>parking_demand_data_2024_ver0!E1154*calibration!$I$31</f>
        <v>53.874685859193697</v>
      </c>
      <c r="F1154" s="3">
        <f t="shared" si="17"/>
        <v>177.38400962427471</v>
      </c>
      <c r="G1154" s="3">
        <f>parking_demand_data_2024_ver0!F1154</f>
        <v>5</v>
      </c>
      <c r="H1154" s="3">
        <f>parking_demand_data_2024_ver0!G1154</f>
        <v>1</v>
      </c>
      <c r="I1154" s="3">
        <f>parking_demand_data_2024_ver0!H1154</f>
        <v>0</v>
      </c>
      <c r="J1154" s="3">
        <f>parking_demand_data_2024_ver0!I1154</f>
        <v>4</v>
      </c>
      <c r="K1154" s="3">
        <f>parking_demand_data_2024_ver0!J1154</f>
        <v>0</v>
      </c>
      <c r="L1154" s="3">
        <f>parking_demand_data_2024_ver0!K1154</f>
        <v>0</v>
      </c>
      <c r="M1154" s="3">
        <f>parking_demand_data_2024_ver0!L1154</f>
        <v>0</v>
      </c>
      <c r="N1154" s="3">
        <f>parking_demand_data_2024_ver0!M1154</f>
        <v>168</v>
      </c>
      <c r="O1154" s="3">
        <f>parking_demand_data_2024_ver0!N1154</f>
        <v>100</v>
      </c>
      <c r="P1154" s="3">
        <f>parking_demand_data_2024_ver0!O1154</f>
        <v>0</v>
      </c>
      <c r="Q1154" s="3">
        <f>parking_demand_data_2024_ver0!P1154</f>
        <v>68</v>
      </c>
      <c r="R1154" s="3">
        <f>parking_demand_data_2024_ver0!Q1154</f>
        <v>0</v>
      </c>
      <c r="S1154" s="3">
        <f>parking_demand_data_2024_ver0!R1154</f>
        <v>0</v>
      </c>
      <c r="T1154" s="3">
        <f>parking_demand_data_2024_ver0!S1154</f>
        <v>0</v>
      </c>
    </row>
    <row r="1155" spans="1:20" x14ac:dyDescent="0.25">
      <c r="A1155">
        <v>18097</v>
      </c>
      <c r="B1155" t="s">
        <v>77</v>
      </c>
      <c r="C1155">
        <v>1</v>
      </c>
      <c r="D1155" s="3">
        <f>parking_demand_data_2024_ver0!D1155*calibration!$I$31</f>
        <v>123.64460232342201</v>
      </c>
      <c r="E1155" s="3">
        <f>parking_demand_data_2024_ver0!E1155*calibration!$I$31</f>
        <v>57.527206934393298</v>
      </c>
      <c r="F1155" s="3">
        <f t="shared" ref="F1155:F1218" si="18">SUM(D1155:E1155)</f>
        <v>181.17180925781531</v>
      </c>
      <c r="G1155" s="3">
        <f>parking_demand_data_2024_ver0!F1155</f>
        <v>5</v>
      </c>
      <c r="H1155" s="3">
        <f>parking_demand_data_2024_ver0!G1155</f>
        <v>1</v>
      </c>
      <c r="I1155" s="3">
        <f>parking_demand_data_2024_ver0!H1155</f>
        <v>0</v>
      </c>
      <c r="J1155" s="3">
        <f>parking_demand_data_2024_ver0!I1155</f>
        <v>4</v>
      </c>
      <c r="K1155" s="3">
        <f>parking_demand_data_2024_ver0!J1155</f>
        <v>0</v>
      </c>
      <c r="L1155" s="3">
        <f>parking_demand_data_2024_ver0!K1155</f>
        <v>0</v>
      </c>
      <c r="M1155" s="3">
        <f>parking_demand_data_2024_ver0!L1155</f>
        <v>0</v>
      </c>
      <c r="N1155" s="3">
        <f>parking_demand_data_2024_ver0!M1155</f>
        <v>168</v>
      </c>
      <c r="O1155" s="3">
        <f>parking_demand_data_2024_ver0!N1155</f>
        <v>100</v>
      </c>
      <c r="P1155" s="3">
        <f>parking_demand_data_2024_ver0!O1155</f>
        <v>0</v>
      </c>
      <c r="Q1155" s="3">
        <f>parking_demand_data_2024_ver0!P1155</f>
        <v>68</v>
      </c>
      <c r="R1155" s="3">
        <f>parking_demand_data_2024_ver0!Q1155</f>
        <v>0</v>
      </c>
      <c r="S1155" s="3">
        <f>parking_demand_data_2024_ver0!R1155</f>
        <v>0</v>
      </c>
      <c r="T1155" s="3">
        <f>parking_demand_data_2024_ver0!S1155</f>
        <v>0</v>
      </c>
    </row>
    <row r="1156" spans="1:20" x14ac:dyDescent="0.25">
      <c r="A1156">
        <v>18097</v>
      </c>
      <c r="B1156" t="s">
        <v>77</v>
      </c>
      <c r="C1156">
        <v>2</v>
      </c>
      <c r="D1156" s="3">
        <f>parking_demand_data_2024_ver0!D1156*calibration!$I$31</f>
        <v>125.098846825585</v>
      </c>
      <c r="E1156" s="3">
        <f>parking_demand_data_2024_ver0!E1156*calibration!$I$31</f>
        <v>56.4111588280823</v>
      </c>
      <c r="F1156" s="3">
        <f t="shared" si="18"/>
        <v>181.51000565366729</v>
      </c>
      <c r="G1156" s="3">
        <f>parking_demand_data_2024_ver0!F1156</f>
        <v>5</v>
      </c>
      <c r="H1156" s="3">
        <f>parking_demand_data_2024_ver0!G1156</f>
        <v>1</v>
      </c>
      <c r="I1156" s="3">
        <f>parking_demand_data_2024_ver0!H1156</f>
        <v>0</v>
      </c>
      <c r="J1156" s="3">
        <f>parking_demand_data_2024_ver0!I1156</f>
        <v>4</v>
      </c>
      <c r="K1156" s="3">
        <f>parking_demand_data_2024_ver0!J1156</f>
        <v>0</v>
      </c>
      <c r="L1156" s="3">
        <f>parking_demand_data_2024_ver0!K1156</f>
        <v>0</v>
      </c>
      <c r="M1156" s="3">
        <f>parking_demand_data_2024_ver0!L1156</f>
        <v>0</v>
      </c>
      <c r="N1156" s="3">
        <f>parking_demand_data_2024_ver0!M1156</f>
        <v>168</v>
      </c>
      <c r="O1156" s="3">
        <f>parking_demand_data_2024_ver0!N1156</f>
        <v>100</v>
      </c>
      <c r="P1156" s="3">
        <f>parking_demand_data_2024_ver0!O1156</f>
        <v>0</v>
      </c>
      <c r="Q1156" s="3">
        <f>parking_demand_data_2024_ver0!P1156</f>
        <v>68</v>
      </c>
      <c r="R1156" s="3">
        <f>parking_demand_data_2024_ver0!Q1156</f>
        <v>0</v>
      </c>
      <c r="S1156" s="3">
        <f>parking_demand_data_2024_ver0!R1156</f>
        <v>0</v>
      </c>
      <c r="T1156" s="3">
        <f>parking_demand_data_2024_ver0!S1156</f>
        <v>0</v>
      </c>
    </row>
    <row r="1157" spans="1:20" x14ac:dyDescent="0.25">
      <c r="A1157">
        <v>18097</v>
      </c>
      <c r="B1157" t="s">
        <v>77</v>
      </c>
      <c r="C1157">
        <v>3</v>
      </c>
      <c r="D1157" s="3">
        <f>parking_demand_data_2024_ver0!D1157*calibration!$I$31</f>
        <v>122.3256363796</v>
      </c>
      <c r="E1157" s="3">
        <f>parking_demand_data_2024_ver0!E1157*calibration!$I$31</f>
        <v>53.908505498778901</v>
      </c>
      <c r="F1157" s="3">
        <f t="shared" si="18"/>
        <v>176.23414187837889</v>
      </c>
      <c r="G1157" s="3">
        <f>parking_demand_data_2024_ver0!F1157</f>
        <v>5</v>
      </c>
      <c r="H1157" s="3">
        <f>parking_demand_data_2024_ver0!G1157</f>
        <v>1</v>
      </c>
      <c r="I1157" s="3">
        <f>parking_demand_data_2024_ver0!H1157</f>
        <v>0</v>
      </c>
      <c r="J1157" s="3">
        <f>parking_demand_data_2024_ver0!I1157</f>
        <v>4</v>
      </c>
      <c r="K1157" s="3">
        <f>parking_demand_data_2024_ver0!J1157</f>
        <v>0</v>
      </c>
      <c r="L1157" s="3">
        <f>parking_demand_data_2024_ver0!K1157</f>
        <v>0</v>
      </c>
      <c r="M1157" s="3">
        <f>parking_demand_data_2024_ver0!L1157</f>
        <v>0</v>
      </c>
      <c r="N1157" s="3">
        <f>parking_demand_data_2024_ver0!M1157</f>
        <v>168</v>
      </c>
      <c r="O1157" s="3">
        <f>parking_demand_data_2024_ver0!N1157</f>
        <v>100</v>
      </c>
      <c r="P1157" s="3">
        <f>parking_demand_data_2024_ver0!O1157</f>
        <v>0</v>
      </c>
      <c r="Q1157" s="3">
        <f>parking_demand_data_2024_ver0!P1157</f>
        <v>68</v>
      </c>
      <c r="R1157" s="3">
        <f>parking_demand_data_2024_ver0!Q1157</f>
        <v>0</v>
      </c>
      <c r="S1157" s="3">
        <f>parking_demand_data_2024_ver0!R1157</f>
        <v>0</v>
      </c>
      <c r="T1157" s="3">
        <f>parking_demand_data_2024_ver0!S1157</f>
        <v>0</v>
      </c>
    </row>
    <row r="1158" spans="1:20" x14ac:dyDescent="0.25">
      <c r="A1158">
        <v>18097</v>
      </c>
      <c r="B1158" t="s">
        <v>77</v>
      </c>
      <c r="C1158">
        <v>4</v>
      </c>
      <c r="D1158" s="3">
        <f>parking_demand_data_2024_ver0!D1158*calibration!$I$31</f>
        <v>117.793804675186</v>
      </c>
      <c r="E1158" s="3">
        <f>parking_demand_data_2024_ver0!E1158*calibration!$I$31</f>
        <v>60.097499542867098</v>
      </c>
      <c r="F1158" s="3">
        <f t="shared" si="18"/>
        <v>177.89130421805311</v>
      </c>
      <c r="G1158" s="3">
        <f>parking_demand_data_2024_ver0!F1158</f>
        <v>5</v>
      </c>
      <c r="H1158" s="3">
        <f>parking_demand_data_2024_ver0!G1158</f>
        <v>1</v>
      </c>
      <c r="I1158" s="3">
        <f>parking_demand_data_2024_ver0!H1158</f>
        <v>0</v>
      </c>
      <c r="J1158" s="3">
        <f>parking_demand_data_2024_ver0!I1158</f>
        <v>4</v>
      </c>
      <c r="K1158" s="3">
        <f>parking_demand_data_2024_ver0!J1158</f>
        <v>0</v>
      </c>
      <c r="L1158" s="3">
        <f>parking_demand_data_2024_ver0!K1158</f>
        <v>0</v>
      </c>
      <c r="M1158" s="3">
        <f>parking_demand_data_2024_ver0!L1158</f>
        <v>0</v>
      </c>
      <c r="N1158" s="3">
        <f>parking_demand_data_2024_ver0!M1158</f>
        <v>168</v>
      </c>
      <c r="O1158" s="3">
        <f>parking_demand_data_2024_ver0!N1158</f>
        <v>100</v>
      </c>
      <c r="P1158" s="3">
        <f>parking_demand_data_2024_ver0!O1158</f>
        <v>0</v>
      </c>
      <c r="Q1158" s="3">
        <f>parking_demand_data_2024_ver0!P1158</f>
        <v>68</v>
      </c>
      <c r="R1158" s="3">
        <f>parking_demand_data_2024_ver0!Q1158</f>
        <v>0</v>
      </c>
      <c r="S1158" s="3">
        <f>parking_demand_data_2024_ver0!R1158</f>
        <v>0</v>
      </c>
      <c r="T1158" s="3">
        <f>parking_demand_data_2024_ver0!S1158</f>
        <v>0</v>
      </c>
    </row>
    <row r="1159" spans="1:20" x14ac:dyDescent="0.25">
      <c r="A1159">
        <v>18097</v>
      </c>
      <c r="B1159" t="s">
        <v>77</v>
      </c>
      <c r="C1159">
        <v>5</v>
      </c>
      <c r="D1159" s="3">
        <f>parking_demand_data_2024_ver0!D1159*calibration!$I$31</f>
        <v>116.069003056342</v>
      </c>
      <c r="E1159" s="3">
        <f>parking_demand_data_2024_ver0!E1159*calibration!$I$31</f>
        <v>58.237419365682101</v>
      </c>
      <c r="F1159" s="3">
        <f t="shared" si="18"/>
        <v>174.3064224220241</v>
      </c>
      <c r="G1159" s="3">
        <f>parking_demand_data_2024_ver0!F1159</f>
        <v>5</v>
      </c>
      <c r="H1159" s="3">
        <f>parking_demand_data_2024_ver0!G1159</f>
        <v>1</v>
      </c>
      <c r="I1159" s="3">
        <f>parking_demand_data_2024_ver0!H1159</f>
        <v>0</v>
      </c>
      <c r="J1159" s="3">
        <f>parking_demand_data_2024_ver0!I1159</f>
        <v>4</v>
      </c>
      <c r="K1159" s="3">
        <f>parking_demand_data_2024_ver0!J1159</f>
        <v>0</v>
      </c>
      <c r="L1159" s="3">
        <f>parking_demand_data_2024_ver0!K1159</f>
        <v>0</v>
      </c>
      <c r="M1159" s="3">
        <f>parking_demand_data_2024_ver0!L1159</f>
        <v>0</v>
      </c>
      <c r="N1159" s="3">
        <f>parking_demand_data_2024_ver0!M1159</f>
        <v>168</v>
      </c>
      <c r="O1159" s="3">
        <f>parking_demand_data_2024_ver0!N1159</f>
        <v>100</v>
      </c>
      <c r="P1159" s="3">
        <f>parking_demand_data_2024_ver0!O1159</f>
        <v>0</v>
      </c>
      <c r="Q1159" s="3">
        <f>parking_demand_data_2024_ver0!P1159</f>
        <v>68</v>
      </c>
      <c r="R1159" s="3">
        <f>parking_demand_data_2024_ver0!Q1159</f>
        <v>0</v>
      </c>
      <c r="S1159" s="3">
        <f>parking_demand_data_2024_ver0!R1159</f>
        <v>0</v>
      </c>
      <c r="T1159" s="3">
        <f>parking_demand_data_2024_ver0!S1159</f>
        <v>0</v>
      </c>
    </row>
    <row r="1160" spans="1:20" x14ac:dyDescent="0.25">
      <c r="A1160">
        <v>18097</v>
      </c>
      <c r="B1160" t="s">
        <v>77</v>
      </c>
      <c r="C1160">
        <v>6</v>
      </c>
      <c r="D1160" s="3">
        <f>parking_demand_data_2024_ver0!D1160*calibration!$I$31</f>
        <v>113.22815333118599</v>
      </c>
      <c r="E1160" s="3">
        <f>parking_demand_data_2024_ver0!E1160*calibration!$I$31</f>
        <v>47.516593617179602</v>
      </c>
      <c r="F1160" s="3">
        <f t="shared" si="18"/>
        <v>160.74474694836559</v>
      </c>
      <c r="G1160" s="3">
        <f>parking_demand_data_2024_ver0!F1160</f>
        <v>5</v>
      </c>
      <c r="H1160" s="3">
        <f>parking_demand_data_2024_ver0!G1160</f>
        <v>1</v>
      </c>
      <c r="I1160" s="3">
        <f>parking_demand_data_2024_ver0!H1160</f>
        <v>0</v>
      </c>
      <c r="J1160" s="3">
        <f>parking_demand_data_2024_ver0!I1160</f>
        <v>4</v>
      </c>
      <c r="K1160" s="3">
        <f>parking_demand_data_2024_ver0!J1160</f>
        <v>0</v>
      </c>
      <c r="L1160" s="3">
        <f>parking_demand_data_2024_ver0!K1160</f>
        <v>0</v>
      </c>
      <c r="M1160" s="3">
        <f>parking_demand_data_2024_ver0!L1160</f>
        <v>0</v>
      </c>
      <c r="N1160" s="3">
        <f>parking_demand_data_2024_ver0!M1160</f>
        <v>168</v>
      </c>
      <c r="O1160" s="3">
        <f>parking_demand_data_2024_ver0!N1160</f>
        <v>100</v>
      </c>
      <c r="P1160" s="3">
        <f>parking_demand_data_2024_ver0!O1160</f>
        <v>0</v>
      </c>
      <c r="Q1160" s="3">
        <f>parking_demand_data_2024_ver0!P1160</f>
        <v>68</v>
      </c>
      <c r="R1160" s="3">
        <f>parking_demand_data_2024_ver0!Q1160</f>
        <v>0</v>
      </c>
      <c r="S1160" s="3">
        <f>parking_demand_data_2024_ver0!R1160</f>
        <v>0</v>
      </c>
      <c r="T1160" s="3">
        <f>parking_demand_data_2024_ver0!S1160</f>
        <v>0</v>
      </c>
    </row>
    <row r="1161" spans="1:20" x14ac:dyDescent="0.25">
      <c r="A1161">
        <v>18097</v>
      </c>
      <c r="B1161" t="s">
        <v>77</v>
      </c>
      <c r="C1161">
        <v>7</v>
      </c>
      <c r="D1161" s="3">
        <f>parking_demand_data_2024_ver0!D1161*calibration!$I$31</f>
        <v>103.251359653558</v>
      </c>
      <c r="E1161" s="3">
        <f>parking_demand_data_2024_ver0!E1161*calibration!$I$31</f>
        <v>51.946966402838399</v>
      </c>
      <c r="F1161" s="3">
        <f t="shared" si="18"/>
        <v>155.19832605639641</v>
      </c>
      <c r="G1161" s="3">
        <f>parking_demand_data_2024_ver0!F1161</f>
        <v>5</v>
      </c>
      <c r="H1161" s="3">
        <f>parking_demand_data_2024_ver0!G1161</f>
        <v>1</v>
      </c>
      <c r="I1161" s="3">
        <f>parking_demand_data_2024_ver0!H1161</f>
        <v>0</v>
      </c>
      <c r="J1161" s="3">
        <f>parking_demand_data_2024_ver0!I1161</f>
        <v>4</v>
      </c>
      <c r="K1161" s="3">
        <f>parking_demand_data_2024_ver0!J1161</f>
        <v>0</v>
      </c>
      <c r="L1161" s="3">
        <f>parking_demand_data_2024_ver0!K1161</f>
        <v>0</v>
      </c>
      <c r="M1161" s="3">
        <f>parking_demand_data_2024_ver0!L1161</f>
        <v>0</v>
      </c>
      <c r="N1161" s="3">
        <f>parking_demand_data_2024_ver0!M1161</f>
        <v>168</v>
      </c>
      <c r="O1161" s="3">
        <f>parking_demand_data_2024_ver0!N1161</f>
        <v>100</v>
      </c>
      <c r="P1161" s="3">
        <f>parking_demand_data_2024_ver0!O1161</f>
        <v>0</v>
      </c>
      <c r="Q1161" s="3">
        <f>parking_demand_data_2024_ver0!P1161</f>
        <v>68</v>
      </c>
      <c r="R1161" s="3">
        <f>parking_demand_data_2024_ver0!Q1161</f>
        <v>0</v>
      </c>
      <c r="S1161" s="3">
        <f>parking_demand_data_2024_ver0!R1161</f>
        <v>0</v>
      </c>
      <c r="T1161" s="3">
        <f>parking_demand_data_2024_ver0!S1161</f>
        <v>0</v>
      </c>
    </row>
    <row r="1162" spans="1:20" x14ac:dyDescent="0.25">
      <c r="A1162">
        <v>18097</v>
      </c>
      <c r="B1162" t="s">
        <v>77</v>
      </c>
      <c r="C1162">
        <v>8</v>
      </c>
      <c r="D1162" s="3">
        <f>parking_demand_data_2024_ver0!D1162*calibration!$I$31</f>
        <v>94.255335523900101</v>
      </c>
      <c r="E1162" s="3">
        <f>parking_demand_data_2024_ver0!E1162*calibration!$I$31</f>
        <v>77.920449604257598</v>
      </c>
      <c r="F1162" s="3">
        <f t="shared" si="18"/>
        <v>172.17578512815771</v>
      </c>
      <c r="G1162" s="3">
        <f>parking_demand_data_2024_ver0!F1162</f>
        <v>5</v>
      </c>
      <c r="H1162" s="3">
        <f>parking_demand_data_2024_ver0!G1162</f>
        <v>1</v>
      </c>
      <c r="I1162" s="3">
        <f>parking_demand_data_2024_ver0!H1162</f>
        <v>0</v>
      </c>
      <c r="J1162" s="3">
        <f>parking_demand_data_2024_ver0!I1162</f>
        <v>4</v>
      </c>
      <c r="K1162" s="3">
        <f>parking_demand_data_2024_ver0!J1162</f>
        <v>0</v>
      </c>
      <c r="L1162" s="3">
        <f>parking_demand_data_2024_ver0!K1162</f>
        <v>0</v>
      </c>
      <c r="M1162" s="3">
        <f>parking_demand_data_2024_ver0!L1162</f>
        <v>0</v>
      </c>
      <c r="N1162" s="3">
        <f>parking_demand_data_2024_ver0!M1162</f>
        <v>168</v>
      </c>
      <c r="O1162" s="3">
        <f>parking_demand_data_2024_ver0!N1162</f>
        <v>100</v>
      </c>
      <c r="P1162" s="3">
        <f>parking_demand_data_2024_ver0!O1162</f>
        <v>0</v>
      </c>
      <c r="Q1162" s="3">
        <f>parking_demand_data_2024_ver0!P1162</f>
        <v>68</v>
      </c>
      <c r="R1162" s="3">
        <f>parking_demand_data_2024_ver0!Q1162</f>
        <v>0</v>
      </c>
      <c r="S1162" s="3">
        <f>parking_demand_data_2024_ver0!R1162</f>
        <v>0</v>
      </c>
      <c r="T1162" s="3">
        <f>parking_demand_data_2024_ver0!S1162</f>
        <v>0</v>
      </c>
    </row>
    <row r="1163" spans="1:20" x14ac:dyDescent="0.25">
      <c r="A1163">
        <v>18097</v>
      </c>
      <c r="B1163" t="s">
        <v>77</v>
      </c>
      <c r="C1163">
        <v>9</v>
      </c>
      <c r="D1163" s="3">
        <f>parking_demand_data_2024_ver0!D1163*calibration!$I$31</f>
        <v>87.2208504901824</v>
      </c>
      <c r="E1163" s="3">
        <f>parking_demand_data_2024_ver0!E1163*calibration!$I$31</f>
        <v>85.9695238255307</v>
      </c>
      <c r="F1163" s="3">
        <f t="shared" si="18"/>
        <v>173.19037431571309</v>
      </c>
      <c r="G1163" s="3">
        <f>parking_demand_data_2024_ver0!F1163</f>
        <v>5</v>
      </c>
      <c r="H1163" s="3">
        <f>parking_demand_data_2024_ver0!G1163</f>
        <v>1</v>
      </c>
      <c r="I1163" s="3">
        <f>parking_demand_data_2024_ver0!H1163</f>
        <v>0</v>
      </c>
      <c r="J1163" s="3">
        <f>parking_demand_data_2024_ver0!I1163</f>
        <v>4</v>
      </c>
      <c r="K1163" s="3">
        <f>parking_demand_data_2024_ver0!J1163</f>
        <v>0</v>
      </c>
      <c r="L1163" s="3">
        <f>parking_demand_data_2024_ver0!K1163</f>
        <v>0</v>
      </c>
      <c r="M1163" s="3">
        <f>parking_demand_data_2024_ver0!L1163</f>
        <v>0</v>
      </c>
      <c r="N1163" s="3">
        <f>parking_demand_data_2024_ver0!M1163</f>
        <v>168</v>
      </c>
      <c r="O1163" s="3">
        <f>parking_demand_data_2024_ver0!N1163</f>
        <v>100</v>
      </c>
      <c r="P1163" s="3">
        <f>parking_demand_data_2024_ver0!O1163</f>
        <v>0</v>
      </c>
      <c r="Q1163" s="3">
        <f>parking_demand_data_2024_ver0!P1163</f>
        <v>68</v>
      </c>
      <c r="R1163" s="3">
        <f>parking_demand_data_2024_ver0!Q1163</f>
        <v>0</v>
      </c>
      <c r="S1163" s="3">
        <f>parking_demand_data_2024_ver0!R1163</f>
        <v>0</v>
      </c>
      <c r="T1163" s="3">
        <f>parking_demand_data_2024_ver0!S1163</f>
        <v>0</v>
      </c>
    </row>
    <row r="1164" spans="1:20" x14ac:dyDescent="0.25">
      <c r="A1164">
        <v>18097</v>
      </c>
      <c r="B1164" t="s">
        <v>77</v>
      </c>
      <c r="C1164">
        <v>10</v>
      </c>
      <c r="D1164" s="3">
        <f>parking_demand_data_2024_ver0!D1164*calibration!$I$31</f>
        <v>82.046445633649697</v>
      </c>
      <c r="E1164" s="3">
        <f>parking_demand_data_2024_ver0!E1164*calibration!$I$31</f>
        <v>90.907191204967205</v>
      </c>
      <c r="F1164" s="3">
        <f t="shared" si="18"/>
        <v>172.95363683861689</v>
      </c>
      <c r="G1164" s="3">
        <f>parking_demand_data_2024_ver0!F1164</f>
        <v>5</v>
      </c>
      <c r="H1164" s="3">
        <f>parking_demand_data_2024_ver0!G1164</f>
        <v>1</v>
      </c>
      <c r="I1164" s="3">
        <f>parking_demand_data_2024_ver0!H1164</f>
        <v>0</v>
      </c>
      <c r="J1164" s="3">
        <f>parking_demand_data_2024_ver0!I1164</f>
        <v>4</v>
      </c>
      <c r="K1164" s="3">
        <f>parking_demand_data_2024_ver0!J1164</f>
        <v>0</v>
      </c>
      <c r="L1164" s="3">
        <f>parking_demand_data_2024_ver0!K1164</f>
        <v>0</v>
      </c>
      <c r="M1164" s="3">
        <f>parking_demand_data_2024_ver0!L1164</f>
        <v>0</v>
      </c>
      <c r="N1164" s="3">
        <f>parking_demand_data_2024_ver0!M1164</f>
        <v>168</v>
      </c>
      <c r="O1164" s="3">
        <f>parking_demand_data_2024_ver0!N1164</f>
        <v>100</v>
      </c>
      <c r="P1164" s="3">
        <f>parking_demand_data_2024_ver0!O1164</f>
        <v>0</v>
      </c>
      <c r="Q1164" s="3">
        <f>parking_demand_data_2024_ver0!P1164</f>
        <v>68</v>
      </c>
      <c r="R1164" s="3">
        <f>parking_demand_data_2024_ver0!Q1164</f>
        <v>0</v>
      </c>
      <c r="S1164" s="3">
        <f>parking_demand_data_2024_ver0!R1164</f>
        <v>0</v>
      </c>
      <c r="T1164" s="3">
        <f>parking_demand_data_2024_ver0!S1164</f>
        <v>0</v>
      </c>
    </row>
    <row r="1165" spans="1:20" x14ac:dyDescent="0.25">
      <c r="A1165">
        <v>18097</v>
      </c>
      <c r="B1165" t="s">
        <v>77</v>
      </c>
      <c r="C1165">
        <v>11</v>
      </c>
      <c r="D1165" s="3">
        <f>parking_demand_data_2024_ver0!D1165*calibration!$I$31</f>
        <v>84.278541846271693</v>
      </c>
      <c r="E1165" s="3">
        <f>parking_demand_data_2024_ver0!E1165*calibration!$I$31</f>
        <v>86.984113013086201</v>
      </c>
      <c r="F1165" s="3">
        <f t="shared" si="18"/>
        <v>171.26265485935789</v>
      </c>
      <c r="G1165" s="3">
        <f>parking_demand_data_2024_ver0!F1165</f>
        <v>5</v>
      </c>
      <c r="H1165" s="3">
        <f>parking_demand_data_2024_ver0!G1165</f>
        <v>1</v>
      </c>
      <c r="I1165" s="3">
        <f>parking_demand_data_2024_ver0!H1165</f>
        <v>0</v>
      </c>
      <c r="J1165" s="3">
        <f>parking_demand_data_2024_ver0!I1165</f>
        <v>4</v>
      </c>
      <c r="K1165" s="3">
        <f>parking_demand_data_2024_ver0!J1165</f>
        <v>0</v>
      </c>
      <c r="L1165" s="3">
        <f>parking_demand_data_2024_ver0!K1165</f>
        <v>0</v>
      </c>
      <c r="M1165" s="3">
        <f>parking_demand_data_2024_ver0!L1165</f>
        <v>0</v>
      </c>
      <c r="N1165" s="3">
        <f>parking_demand_data_2024_ver0!M1165</f>
        <v>168</v>
      </c>
      <c r="O1165" s="3">
        <f>parking_demand_data_2024_ver0!N1165</f>
        <v>100</v>
      </c>
      <c r="P1165" s="3">
        <f>parking_demand_data_2024_ver0!O1165</f>
        <v>0</v>
      </c>
      <c r="Q1165" s="3">
        <f>parking_demand_data_2024_ver0!P1165</f>
        <v>68</v>
      </c>
      <c r="R1165" s="3">
        <f>parking_demand_data_2024_ver0!Q1165</f>
        <v>0</v>
      </c>
      <c r="S1165" s="3">
        <f>parking_demand_data_2024_ver0!R1165</f>
        <v>0</v>
      </c>
      <c r="T1165" s="3">
        <f>parking_demand_data_2024_ver0!S1165</f>
        <v>0</v>
      </c>
    </row>
    <row r="1166" spans="1:20" x14ac:dyDescent="0.25">
      <c r="A1166">
        <v>18097</v>
      </c>
      <c r="B1166" t="s">
        <v>77</v>
      </c>
      <c r="C1166">
        <v>12</v>
      </c>
      <c r="D1166" s="3">
        <f>parking_demand_data_2024_ver0!D1166*calibration!$I$31</f>
        <v>86.984113013086201</v>
      </c>
      <c r="E1166" s="3">
        <f>parking_demand_data_2024_ver0!E1166*calibration!$I$31</f>
        <v>82.317002750331099</v>
      </c>
      <c r="F1166" s="3">
        <f t="shared" si="18"/>
        <v>169.3011157634173</v>
      </c>
      <c r="G1166" s="3">
        <f>parking_demand_data_2024_ver0!F1166</f>
        <v>5</v>
      </c>
      <c r="H1166" s="3">
        <f>parking_demand_data_2024_ver0!G1166</f>
        <v>1</v>
      </c>
      <c r="I1166" s="3">
        <f>parking_demand_data_2024_ver0!H1166</f>
        <v>0</v>
      </c>
      <c r="J1166" s="3">
        <f>parking_demand_data_2024_ver0!I1166</f>
        <v>4</v>
      </c>
      <c r="K1166" s="3">
        <f>parking_demand_data_2024_ver0!J1166</f>
        <v>0</v>
      </c>
      <c r="L1166" s="3">
        <f>parking_demand_data_2024_ver0!K1166</f>
        <v>0</v>
      </c>
      <c r="M1166" s="3">
        <f>parking_demand_data_2024_ver0!L1166</f>
        <v>0</v>
      </c>
      <c r="N1166" s="3">
        <f>parking_demand_data_2024_ver0!M1166</f>
        <v>168</v>
      </c>
      <c r="O1166" s="3">
        <f>parking_demand_data_2024_ver0!N1166</f>
        <v>100</v>
      </c>
      <c r="P1166" s="3">
        <f>parking_demand_data_2024_ver0!O1166</f>
        <v>0</v>
      </c>
      <c r="Q1166" s="3">
        <f>parking_demand_data_2024_ver0!P1166</f>
        <v>68</v>
      </c>
      <c r="R1166" s="3">
        <f>parking_demand_data_2024_ver0!Q1166</f>
        <v>0</v>
      </c>
      <c r="S1166" s="3">
        <f>parking_demand_data_2024_ver0!R1166</f>
        <v>0</v>
      </c>
      <c r="T1166" s="3">
        <f>parking_demand_data_2024_ver0!S1166</f>
        <v>0</v>
      </c>
    </row>
    <row r="1167" spans="1:20" x14ac:dyDescent="0.25">
      <c r="A1167">
        <v>18097</v>
      </c>
      <c r="B1167" t="s">
        <v>77</v>
      </c>
      <c r="C1167">
        <v>13</v>
      </c>
      <c r="D1167" s="3">
        <f>parking_demand_data_2024_ver0!D1167*calibration!$I$31</f>
        <v>89.216209225708099</v>
      </c>
      <c r="E1167" s="3">
        <f>parking_demand_data_2024_ver0!E1167*calibration!$I$31</f>
        <v>73.050421503991501</v>
      </c>
      <c r="F1167" s="3">
        <f t="shared" si="18"/>
        <v>162.26663072969961</v>
      </c>
      <c r="G1167" s="3">
        <f>parking_demand_data_2024_ver0!F1167</f>
        <v>5</v>
      </c>
      <c r="H1167" s="3">
        <f>parking_demand_data_2024_ver0!G1167</f>
        <v>1</v>
      </c>
      <c r="I1167" s="3">
        <f>parking_demand_data_2024_ver0!H1167</f>
        <v>0</v>
      </c>
      <c r="J1167" s="3">
        <f>parking_demand_data_2024_ver0!I1167</f>
        <v>4</v>
      </c>
      <c r="K1167" s="3">
        <f>parking_demand_data_2024_ver0!J1167</f>
        <v>0</v>
      </c>
      <c r="L1167" s="3">
        <f>parking_demand_data_2024_ver0!K1167</f>
        <v>0</v>
      </c>
      <c r="M1167" s="3">
        <f>parking_demand_data_2024_ver0!L1167</f>
        <v>0</v>
      </c>
      <c r="N1167" s="3">
        <f>parking_demand_data_2024_ver0!M1167</f>
        <v>168</v>
      </c>
      <c r="O1167" s="3">
        <f>parking_demand_data_2024_ver0!N1167</f>
        <v>100</v>
      </c>
      <c r="P1167" s="3">
        <f>parking_demand_data_2024_ver0!O1167</f>
        <v>0</v>
      </c>
      <c r="Q1167" s="3">
        <f>parking_demand_data_2024_ver0!P1167</f>
        <v>68</v>
      </c>
      <c r="R1167" s="3">
        <f>parking_demand_data_2024_ver0!Q1167</f>
        <v>0</v>
      </c>
      <c r="S1167" s="3">
        <f>parking_demand_data_2024_ver0!R1167</f>
        <v>0</v>
      </c>
      <c r="T1167" s="3">
        <f>parking_demand_data_2024_ver0!S1167</f>
        <v>0</v>
      </c>
    </row>
    <row r="1168" spans="1:20" x14ac:dyDescent="0.25">
      <c r="A1168">
        <v>18097</v>
      </c>
      <c r="B1168" t="s">
        <v>77</v>
      </c>
      <c r="C1168">
        <v>14</v>
      </c>
      <c r="D1168" s="3">
        <f>parking_demand_data_2024_ver0!D1168*calibration!$I$31</f>
        <v>88.539816434004507</v>
      </c>
      <c r="E1168" s="3">
        <f>parking_demand_data_2024_ver0!E1168*calibration!$I$31</f>
        <v>60.6724334158151</v>
      </c>
      <c r="F1168" s="3">
        <f t="shared" si="18"/>
        <v>149.21224984981961</v>
      </c>
      <c r="G1168" s="3">
        <f>parking_demand_data_2024_ver0!F1168</f>
        <v>5</v>
      </c>
      <c r="H1168" s="3">
        <f>parking_demand_data_2024_ver0!G1168</f>
        <v>1</v>
      </c>
      <c r="I1168" s="3">
        <f>parking_demand_data_2024_ver0!H1168</f>
        <v>0</v>
      </c>
      <c r="J1168" s="3">
        <f>parking_demand_data_2024_ver0!I1168</f>
        <v>4</v>
      </c>
      <c r="K1168" s="3">
        <f>parking_demand_data_2024_ver0!J1168</f>
        <v>0</v>
      </c>
      <c r="L1168" s="3">
        <f>parking_demand_data_2024_ver0!K1168</f>
        <v>0</v>
      </c>
      <c r="M1168" s="3">
        <f>parking_demand_data_2024_ver0!L1168</f>
        <v>0</v>
      </c>
      <c r="N1168" s="3">
        <f>parking_demand_data_2024_ver0!M1168</f>
        <v>168</v>
      </c>
      <c r="O1168" s="3">
        <f>parking_demand_data_2024_ver0!N1168</f>
        <v>100</v>
      </c>
      <c r="P1168" s="3">
        <f>parking_demand_data_2024_ver0!O1168</f>
        <v>0</v>
      </c>
      <c r="Q1168" s="3">
        <f>parking_demand_data_2024_ver0!P1168</f>
        <v>68</v>
      </c>
      <c r="R1168" s="3">
        <f>parking_demand_data_2024_ver0!Q1168</f>
        <v>0</v>
      </c>
      <c r="S1168" s="3">
        <f>parking_demand_data_2024_ver0!R1168</f>
        <v>0</v>
      </c>
      <c r="T1168" s="3">
        <f>parking_demand_data_2024_ver0!S1168</f>
        <v>0</v>
      </c>
    </row>
    <row r="1169" spans="1:20" x14ac:dyDescent="0.25">
      <c r="A1169">
        <v>18097</v>
      </c>
      <c r="B1169" t="s">
        <v>77</v>
      </c>
      <c r="C1169">
        <v>15</v>
      </c>
      <c r="D1169" s="3">
        <f>parking_demand_data_2024_ver0!D1169*calibration!$I$31</f>
        <v>89.047111027782194</v>
      </c>
      <c r="E1169" s="3">
        <f>parking_demand_data_2024_ver0!E1169*calibration!$I$31</f>
        <v>46.603463348379698</v>
      </c>
      <c r="F1169" s="3">
        <f t="shared" si="18"/>
        <v>135.6505743761619</v>
      </c>
      <c r="G1169" s="3">
        <f>parking_demand_data_2024_ver0!F1169</f>
        <v>5</v>
      </c>
      <c r="H1169" s="3">
        <f>parking_demand_data_2024_ver0!G1169</f>
        <v>1</v>
      </c>
      <c r="I1169" s="3">
        <f>parking_demand_data_2024_ver0!H1169</f>
        <v>0</v>
      </c>
      <c r="J1169" s="3">
        <f>parking_demand_data_2024_ver0!I1169</f>
        <v>4</v>
      </c>
      <c r="K1169" s="3">
        <f>parking_demand_data_2024_ver0!J1169</f>
        <v>0</v>
      </c>
      <c r="L1169" s="3">
        <f>parking_demand_data_2024_ver0!K1169</f>
        <v>0</v>
      </c>
      <c r="M1169" s="3">
        <f>parking_demand_data_2024_ver0!L1169</f>
        <v>0</v>
      </c>
      <c r="N1169" s="3">
        <f>parking_demand_data_2024_ver0!M1169</f>
        <v>168</v>
      </c>
      <c r="O1169" s="3">
        <f>parking_demand_data_2024_ver0!N1169</f>
        <v>100</v>
      </c>
      <c r="P1169" s="3">
        <f>parking_demand_data_2024_ver0!O1169</f>
        <v>0</v>
      </c>
      <c r="Q1169" s="3">
        <f>parking_demand_data_2024_ver0!P1169</f>
        <v>68</v>
      </c>
      <c r="R1169" s="3">
        <f>parking_demand_data_2024_ver0!Q1169</f>
        <v>0</v>
      </c>
      <c r="S1169" s="3">
        <f>parking_demand_data_2024_ver0!R1169</f>
        <v>0</v>
      </c>
      <c r="T1169" s="3">
        <f>parking_demand_data_2024_ver0!S1169</f>
        <v>0</v>
      </c>
    </row>
    <row r="1170" spans="1:20" x14ac:dyDescent="0.25">
      <c r="A1170">
        <v>18097</v>
      </c>
      <c r="B1170" t="s">
        <v>77</v>
      </c>
      <c r="C1170">
        <v>16</v>
      </c>
      <c r="D1170" s="3">
        <f>parking_demand_data_2024_ver0!D1170*calibration!$I$31</f>
        <v>90.399896611189504</v>
      </c>
      <c r="E1170" s="3">
        <f>parking_demand_data_2024_ver0!E1170*calibration!$I$31</f>
        <v>37.505980299965998</v>
      </c>
      <c r="F1170" s="3">
        <f t="shared" si="18"/>
        <v>127.9058769111555</v>
      </c>
      <c r="G1170" s="3">
        <f>parking_demand_data_2024_ver0!F1170</f>
        <v>5</v>
      </c>
      <c r="H1170" s="3">
        <f>parking_demand_data_2024_ver0!G1170</f>
        <v>1</v>
      </c>
      <c r="I1170" s="3">
        <f>parking_demand_data_2024_ver0!H1170</f>
        <v>0</v>
      </c>
      <c r="J1170" s="3">
        <f>parking_demand_data_2024_ver0!I1170</f>
        <v>4</v>
      </c>
      <c r="K1170" s="3">
        <f>parking_demand_data_2024_ver0!J1170</f>
        <v>0</v>
      </c>
      <c r="L1170" s="3">
        <f>parking_demand_data_2024_ver0!K1170</f>
        <v>0</v>
      </c>
      <c r="M1170" s="3">
        <f>parking_demand_data_2024_ver0!L1170</f>
        <v>0</v>
      </c>
      <c r="N1170" s="3">
        <f>parking_demand_data_2024_ver0!M1170</f>
        <v>168</v>
      </c>
      <c r="O1170" s="3">
        <f>parking_demand_data_2024_ver0!N1170</f>
        <v>100</v>
      </c>
      <c r="P1170" s="3">
        <f>parking_demand_data_2024_ver0!O1170</f>
        <v>0</v>
      </c>
      <c r="Q1170" s="3">
        <f>parking_demand_data_2024_ver0!P1170</f>
        <v>68</v>
      </c>
      <c r="R1170" s="3">
        <f>parking_demand_data_2024_ver0!Q1170</f>
        <v>0</v>
      </c>
      <c r="S1170" s="3">
        <f>parking_demand_data_2024_ver0!R1170</f>
        <v>0</v>
      </c>
      <c r="T1170" s="3">
        <f>parking_demand_data_2024_ver0!S1170</f>
        <v>0</v>
      </c>
    </row>
    <row r="1171" spans="1:20" x14ac:dyDescent="0.25">
      <c r="A1171">
        <v>18097</v>
      </c>
      <c r="B1171" t="s">
        <v>77</v>
      </c>
      <c r="C1171">
        <v>17</v>
      </c>
      <c r="D1171" s="3">
        <f>parking_demand_data_2024_ver0!D1171*calibration!$I$31</f>
        <v>96.284513899011003</v>
      </c>
      <c r="E1171" s="3">
        <f>parking_demand_data_2024_ver0!E1171*calibration!$I$31</f>
        <v>36.525210751995701</v>
      </c>
      <c r="F1171" s="3">
        <f t="shared" si="18"/>
        <v>132.80972465100672</v>
      </c>
      <c r="G1171" s="3">
        <f>parking_demand_data_2024_ver0!F1171</f>
        <v>5</v>
      </c>
      <c r="H1171" s="3">
        <f>parking_demand_data_2024_ver0!G1171</f>
        <v>1</v>
      </c>
      <c r="I1171" s="3">
        <f>parking_demand_data_2024_ver0!H1171</f>
        <v>0</v>
      </c>
      <c r="J1171" s="3">
        <f>parking_demand_data_2024_ver0!I1171</f>
        <v>4</v>
      </c>
      <c r="K1171" s="3">
        <f>parking_demand_data_2024_ver0!J1171</f>
        <v>0</v>
      </c>
      <c r="L1171" s="3">
        <f>parking_demand_data_2024_ver0!K1171</f>
        <v>0</v>
      </c>
      <c r="M1171" s="3">
        <f>parking_demand_data_2024_ver0!L1171</f>
        <v>0</v>
      </c>
      <c r="N1171" s="3">
        <f>parking_demand_data_2024_ver0!M1171</f>
        <v>168</v>
      </c>
      <c r="O1171" s="3">
        <f>parking_demand_data_2024_ver0!N1171</f>
        <v>100</v>
      </c>
      <c r="P1171" s="3">
        <f>parking_demand_data_2024_ver0!O1171</f>
        <v>0</v>
      </c>
      <c r="Q1171" s="3">
        <f>parking_demand_data_2024_ver0!P1171</f>
        <v>68</v>
      </c>
      <c r="R1171" s="3">
        <f>parking_demand_data_2024_ver0!Q1171</f>
        <v>0</v>
      </c>
      <c r="S1171" s="3">
        <f>parking_demand_data_2024_ver0!R1171</f>
        <v>0</v>
      </c>
      <c r="T1171" s="3">
        <f>parking_demand_data_2024_ver0!S1171</f>
        <v>0</v>
      </c>
    </row>
    <row r="1172" spans="1:20" x14ac:dyDescent="0.25">
      <c r="A1172">
        <v>18097</v>
      </c>
      <c r="B1172" t="s">
        <v>77</v>
      </c>
      <c r="C1172">
        <v>18</v>
      </c>
      <c r="D1172" s="3">
        <f>parking_demand_data_2024_ver0!D1172*calibration!$I$31</f>
        <v>102.94698289729099</v>
      </c>
      <c r="E1172" s="3">
        <f>parking_demand_data_2024_ver0!E1172*calibration!$I$31</f>
        <v>35.747359041536598</v>
      </c>
      <c r="F1172" s="3">
        <f t="shared" si="18"/>
        <v>138.69434193882759</v>
      </c>
      <c r="G1172" s="3">
        <f>parking_demand_data_2024_ver0!F1172</f>
        <v>5</v>
      </c>
      <c r="H1172" s="3">
        <f>parking_demand_data_2024_ver0!G1172</f>
        <v>1</v>
      </c>
      <c r="I1172" s="3">
        <f>parking_demand_data_2024_ver0!H1172</f>
        <v>0</v>
      </c>
      <c r="J1172" s="3">
        <f>parking_demand_data_2024_ver0!I1172</f>
        <v>4</v>
      </c>
      <c r="K1172" s="3">
        <f>parking_demand_data_2024_ver0!J1172</f>
        <v>0</v>
      </c>
      <c r="L1172" s="3">
        <f>parking_demand_data_2024_ver0!K1172</f>
        <v>0</v>
      </c>
      <c r="M1172" s="3">
        <f>parking_demand_data_2024_ver0!L1172</f>
        <v>0</v>
      </c>
      <c r="N1172" s="3">
        <f>parking_demand_data_2024_ver0!M1172</f>
        <v>168</v>
      </c>
      <c r="O1172" s="3">
        <f>parking_demand_data_2024_ver0!N1172</f>
        <v>100</v>
      </c>
      <c r="P1172" s="3">
        <f>parking_demand_data_2024_ver0!O1172</f>
        <v>0</v>
      </c>
      <c r="Q1172" s="3">
        <f>parking_demand_data_2024_ver0!P1172</f>
        <v>68</v>
      </c>
      <c r="R1172" s="3">
        <f>parking_demand_data_2024_ver0!Q1172</f>
        <v>0</v>
      </c>
      <c r="S1172" s="3">
        <f>parking_demand_data_2024_ver0!R1172</f>
        <v>0</v>
      </c>
      <c r="T1172" s="3">
        <f>parking_demand_data_2024_ver0!S1172</f>
        <v>0</v>
      </c>
    </row>
    <row r="1173" spans="1:20" x14ac:dyDescent="0.25">
      <c r="A1173">
        <v>18097</v>
      </c>
      <c r="B1173" t="s">
        <v>77</v>
      </c>
      <c r="C1173">
        <v>19</v>
      </c>
      <c r="D1173" s="3">
        <f>parking_demand_data_2024_ver0!D1173*calibration!$I$31</f>
        <v>109.74473045391299</v>
      </c>
      <c r="E1173" s="3">
        <f>parking_demand_data_2024_ver0!E1173*calibration!$I$31</f>
        <v>35.713539401951401</v>
      </c>
      <c r="F1173" s="3">
        <f t="shared" si="18"/>
        <v>145.45826985586439</v>
      </c>
      <c r="G1173" s="3">
        <f>parking_demand_data_2024_ver0!F1173</f>
        <v>5</v>
      </c>
      <c r="H1173" s="3">
        <f>parking_demand_data_2024_ver0!G1173</f>
        <v>1</v>
      </c>
      <c r="I1173" s="3">
        <f>parking_demand_data_2024_ver0!H1173</f>
        <v>0</v>
      </c>
      <c r="J1173" s="3">
        <f>parking_demand_data_2024_ver0!I1173</f>
        <v>4</v>
      </c>
      <c r="K1173" s="3">
        <f>parking_demand_data_2024_ver0!J1173</f>
        <v>0</v>
      </c>
      <c r="L1173" s="3">
        <f>parking_demand_data_2024_ver0!K1173</f>
        <v>0</v>
      </c>
      <c r="M1173" s="3">
        <f>parking_demand_data_2024_ver0!L1173</f>
        <v>0</v>
      </c>
      <c r="N1173" s="3">
        <f>parking_demand_data_2024_ver0!M1173</f>
        <v>168</v>
      </c>
      <c r="O1173" s="3">
        <f>parking_demand_data_2024_ver0!N1173</f>
        <v>100</v>
      </c>
      <c r="P1173" s="3">
        <f>parking_demand_data_2024_ver0!O1173</f>
        <v>0</v>
      </c>
      <c r="Q1173" s="3">
        <f>parking_demand_data_2024_ver0!P1173</f>
        <v>68</v>
      </c>
      <c r="R1173" s="3">
        <f>parking_demand_data_2024_ver0!Q1173</f>
        <v>0</v>
      </c>
      <c r="S1173" s="3">
        <f>parking_demand_data_2024_ver0!R1173</f>
        <v>0</v>
      </c>
      <c r="T1173" s="3">
        <f>parking_demand_data_2024_ver0!S1173</f>
        <v>0</v>
      </c>
    </row>
    <row r="1174" spans="1:20" x14ac:dyDescent="0.25">
      <c r="A1174">
        <v>18097</v>
      </c>
      <c r="B1174" t="s">
        <v>77</v>
      </c>
      <c r="C1174">
        <v>20</v>
      </c>
      <c r="D1174" s="3">
        <f>parking_demand_data_2024_ver0!D1174*calibration!$I$31</f>
        <v>116.407199452193</v>
      </c>
      <c r="E1174" s="3">
        <f>parking_demand_data_2024_ver0!E1174*calibration!$I$31</f>
        <v>53.299751986245603</v>
      </c>
      <c r="F1174" s="3">
        <f t="shared" si="18"/>
        <v>169.70695143843861</v>
      </c>
      <c r="G1174" s="3">
        <f>parking_demand_data_2024_ver0!F1174</f>
        <v>5</v>
      </c>
      <c r="H1174" s="3">
        <f>parking_demand_data_2024_ver0!G1174</f>
        <v>1</v>
      </c>
      <c r="I1174" s="3">
        <f>parking_demand_data_2024_ver0!H1174</f>
        <v>0</v>
      </c>
      <c r="J1174" s="3">
        <f>parking_demand_data_2024_ver0!I1174</f>
        <v>4</v>
      </c>
      <c r="K1174" s="3">
        <f>parking_demand_data_2024_ver0!J1174</f>
        <v>0</v>
      </c>
      <c r="L1174" s="3">
        <f>parking_demand_data_2024_ver0!K1174</f>
        <v>0</v>
      </c>
      <c r="M1174" s="3">
        <f>parking_demand_data_2024_ver0!L1174</f>
        <v>0</v>
      </c>
      <c r="N1174" s="3">
        <f>parking_demand_data_2024_ver0!M1174</f>
        <v>168</v>
      </c>
      <c r="O1174" s="3">
        <f>parking_demand_data_2024_ver0!N1174</f>
        <v>100</v>
      </c>
      <c r="P1174" s="3">
        <f>parking_demand_data_2024_ver0!O1174</f>
        <v>0</v>
      </c>
      <c r="Q1174" s="3">
        <f>parking_demand_data_2024_ver0!P1174</f>
        <v>68</v>
      </c>
      <c r="R1174" s="3">
        <f>parking_demand_data_2024_ver0!Q1174</f>
        <v>0</v>
      </c>
      <c r="S1174" s="3">
        <f>parking_demand_data_2024_ver0!R1174</f>
        <v>0</v>
      </c>
      <c r="T1174" s="3">
        <f>parking_demand_data_2024_ver0!S1174</f>
        <v>0</v>
      </c>
    </row>
    <row r="1175" spans="1:20" x14ac:dyDescent="0.25">
      <c r="A1175">
        <v>18097</v>
      </c>
      <c r="B1175" t="s">
        <v>77</v>
      </c>
      <c r="C1175">
        <v>21</v>
      </c>
      <c r="D1175" s="3">
        <f>parking_demand_data_2024_ver0!D1175*calibration!$I$31</f>
        <v>120.093540166978</v>
      </c>
      <c r="E1175" s="3">
        <f>parking_demand_data_2024_ver0!E1175*calibration!$I$31</f>
        <v>55.430389280112003</v>
      </c>
      <c r="F1175" s="3">
        <f t="shared" si="18"/>
        <v>175.52392944709001</v>
      </c>
      <c r="G1175" s="3">
        <f>parking_demand_data_2024_ver0!F1175</f>
        <v>5</v>
      </c>
      <c r="H1175" s="3">
        <f>parking_demand_data_2024_ver0!G1175</f>
        <v>1</v>
      </c>
      <c r="I1175" s="3">
        <f>parking_demand_data_2024_ver0!H1175</f>
        <v>0</v>
      </c>
      <c r="J1175" s="3">
        <f>parking_demand_data_2024_ver0!I1175</f>
        <v>4</v>
      </c>
      <c r="K1175" s="3">
        <f>parking_demand_data_2024_ver0!J1175</f>
        <v>0</v>
      </c>
      <c r="L1175" s="3">
        <f>parking_demand_data_2024_ver0!K1175</f>
        <v>0</v>
      </c>
      <c r="M1175" s="3">
        <f>parking_demand_data_2024_ver0!L1175</f>
        <v>0</v>
      </c>
      <c r="N1175" s="3">
        <f>parking_demand_data_2024_ver0!M1175</f>
        <v>168</v>
      </c>
      <c r="O1175" s="3">
        <f>parking_demand_data_2024_ver0!N1175</f>
        <v>100</v>
      </c>
      <c r="P1175" s="3">
        <f>parking_demand_data_2024_ver0!O1175</f>
        <v>0</v>
      </c>
      <c r="Q1175" s="3">
        <f>parking_demand_data_2024_ver0!P1175</f>
        <v>68</v>
      </c>
      <c r="R1175" s="3">
        <f>parking_demand_data_2024_ver0!Q1175</f>
        <v>0</v>
      </c>
      <c r="S1175" s="3">
        <f>parking_demand_data_2024_ver0!R1175</f>
        <v>0</v>
      </c>
      <c r="T1175" s="3">
        <f>parking_demand_data_2024_ver0!S1175</f>
        <v>0</v>
      </c>
    </row>
    <row r="1176" spans="1:20" x14ac:dyDescent="0.25">
      <c r="A1176">
        <v>18097</v>
      </c>
      <c r="B1176" t="s">
        <v>77</v>
      </c>
      <c r="C1176">
        <v>22</v>
      </c>
      <c r="D1176" s="3">
        <f>parking_demand_data_2024_ver0!D1176*calibration!$I$31</f>
        <v>121.446325750385</v>
      </c>
      <c r="E1176" s="3">
        <f>parking_demand_data_2024_ver0!E1176*calibration!$I$31</f>
        <v>52.5219002757865</v>
      </c>
      <c r="F1176" s="3">
        <f t="shared" si="18"/>
        <v>173.96822602617149</v>
      </c>
      <c r="G1176" s="3">
        <f>parking_demand_data_2024_ver0!F1176</f>
        <v>5</v>
      </c>
      <c r="H1176" s="3">
        <f>parking_demand_data_2024_ver0!G1176</f>
        <v>1</v>
      </c>
      <c r="I1176" s="3">
        <f>parking_demand_data_2024_ver0!H1176</f>
        <v>0</v>
      </c>
      <c r="J1176" s="3">
        <f>parking_demand_data_2024_ver0!I1176</f>
        <v>4</v>
      </c>
      <c r="K1176" s="3">
        <f>parking_demand_data_2024_ver0!J1176</f>
        <v>0</v>
      </c>
      <c r="L1176" s="3">
        <f>parking_demand_data_2024_ver0!K1176</f>
        <v>0</v>
      </c>
      <c r="M1176" s="3">
        <f>parking_demand_data_2024_ver0!L1176</f>
        <v>0</v>
      </c>
      <c r="N1176" s="3">
        <f>parking_demand_data_2024_ver0!M1176</f>
        <v>168</v>
      </c>
      <c r="O1176" s="3">
        <f>parking_demand_data_2024_ver0!N1176</f>
        <v>100</v>
      </c>
      <c r="P1176" s="3">
        <f>parking_demand_data_2024_ver0!O1176</f>
        <v>0</v>
      </c>
      <c r="Q1176" s="3">
        <f>parking_demand_data_2024_ver0!P1176</f>
        <v>68</v>
      </c>
      <c r="R1176" s="3">
        <f>parking_demand_data_2024_ver0!Q1176</f>
        <v>0</v>
      </c>
      <c r="S1176" s="3">
        <f>parking_demand_data_2024_ver0!R1176</f>
        <v>0</v>
      </c>
      <c r="T1176" s="3">
        <f>parking_demand_data_2024_ver0!S1176</f>
        <v>0</v>
      </c>
    </row>
    <row r="1177" spans="1:20" x14ac:dyDescent="0.25">
      <c r="A1177">
        <v>18097</v>
      </c>
      <c r="B1177" t="s">
        <v>77</v>
      </c>
      <c r="C1177">
        <v>23</v>
      </c>
      <c r="D1177" s="3">
        <f>parking_demand_data_2024_ver0!D1177*calibration!$I$31</f>
        <v>122.79911133379299</v>
      </c>
      <c r="E1177" s="3">
        <f>parking_demand_data_2024_ver0!E1177*calibration!$I$31</f>
        <v>53.299751986245603</v>
      </c>
      <c r="F1177" s="3">
        <f t="shared" si="18"/>
        <v>176.09886332003859</v>
      </c>
      <c r="G1177" s="3">
        <f>parking_demand_data_2024_ver0!F1177</f>
        <v>5</v>
      </c>
      <c r="H1177" s="3">
        <f>parking_demand_data_2024_ver0!G1177</f>
        <v>1</v>
      </c>
      <c r="I1177" s="3">
        <f>parking_demand_data_2024_ver0!H1177</f>
        <v>0</v>
      </c>
      <c r="J1177" s="3">
        <f>parking_demand_data_2024_ver0!I1177</f>
        <v>4</v>
      </c>
      <c r="K1177" s="3">
        <f>parking_demand_data_2024_ver0!J1177</f>
        <v>0</v>
      </c>
      <c r="L1177" s="3">
        <f>parking_demand_data_2024_ver0!K1177</f>
        <v>0</v>
      </c>
      <c r="M1177" s="3">
        <f>parking_demand_data_2024_ver0!L1177</f>
        <v>0</v>
      </c>
      <c r="N1177" s="3">
        <f>parking_demand_data_2024_ver0!M1177</f>
        <v>168</v>
      </c>
      <c r="O1177" s="3">
        <f>parking_demand_data_2024_ver0!N1177</f>
        <v>100</v>
      </c>
      <c r="P1177" s="3">
        <f>parking_demand_data_2024_ver0!O1177</f>
        <v>0</v>
      </c>
      <c r="Q1177" s="3">
        <f>parking_demand_data_2024_ver0!P1177</f>
        <v>68</v>
      </c>
      <c r="R1177" s="3">
        <f>parking_demand_data_2024_ver0!Q1177</f>
        <v>0</v>
      </c>
      <c r="S1177" s="3">
        <f>parking_demand_data_2024_ver0!R1177</f>
        <v>0</v>
      </c>
      <c r="T1177" s="3">
        <f>parking_demand_data_2024_ver0!S1177</f>
        <v>0</v>
      </c>
    </row>
    <row r="1178" spans="1:20" x14ac:dyDescent="0.25">
      <c r="A1178">
        <v>18099</v>
      </c>
      <c r="B1178" t="s">
        <v>78</v>
      </c>
      <c r="C1178">
        <v>0</v>
      </c>
      <c r="D1178" s="3">
        <f>parking_demand_data_2024_ver0!D1178*calibration!$I$31</f>
        <v>116.100912961482</v>
      </c>
      <c r="E1178" s="3">
        <f>parking_demand_data_2024_ver0!E1178*calibration!$I$31</f>
        <v>2.24740443208445</v>
      </c>
      <c r="F1178" s="3">
        <f t="shared" si="18"/>
        <v>118.34831739356645</v>
      </c>
      <c r="G1178" s="3">
        <f>parking_demand_data_2024_ver0!F1178</f>
        <v>4</v>
      </c>
      <c r="H1178" s="3">
        <f>parking_demand_data_2024_ver0!G1178</f>
        <v>0</v>
      </c>
      <c r="I1178" s="3">
        <f>parking_demand_data_2024_ver0!H1178</f>
        <v>1</v>
      </c>
      <c r="J1178" s="3">
        <f>parking_demand_data_2024_ver0!I1178</f>
        <v>3</v>
      </c>
      <c r="K1178" s="3">
        <f>parking_demand_data_2024_ver0!J1178</f>
        <v>0</v>
      </c>
      <c r="L1178" s="3">
        <f>parking_demand_data_2024_ver0!K1178</f>
        <v>0</v>
      </c>
      <c r="M1178" s="3">
        <f>parking_demand_data_2024_ver0!L1178</f>
        <v>0</v>
      </c>
      <c r="N1178" s="3">
        <f>parking_demand_data_2024_ver0!M1178</f>
        <v>135</v>
      </c>
      <c r="O1178" s="3">
        <f>parking_demand_data_2024_ver0!N1178</f>
        <v>0</v>
      </c>
      <c r="P1178" s="3">
        <f>parking_demand_data_2024_ver0!O1178</f>
        <v>59</v>
      </c>
      <c r="Q1178" s="3">
        <f>parking_demand_data_2024_ver0!P1178</f>
        <v>76</v>
      </c>
      <c r="R1178" s="3">
        <f>parking_demand_data_2024_ver0!Q1178</f>
        <v>0</v>
      </c>
      <c r="S1178" s="3">
        <f>parking_demand_data_2024_ver0!R1178</f>
        <v>0</v>
      </c>
      <c r="T1178" s="3">
        <f>parking_demand_data_2024_ver0!S1178</f>
        <v>0</v>
      </c>
    </row>
    <row r="1179" spans="1:20" x14ac:dyDescent="0.25">
      <c r="A1179">
        <v>18099</v>
      </c>
      <c r="B1179" t="s">
        <v>78</v>
      </c>
      <c r="C1179">
        <v>1</v>
      </c>
      <c r="D1179" s="3">
        <f>parking_demand_data_2024_ver0!D1179*calibration!$I$31</f>
        <v>117.38193348777</v>
      </c>
      <c r="E1179" s="3">
        <f>parking_demand_data_2024_ver0!E1179*calibration!$I$31</f>
        <v>2.3822486980095099</v>
      </c>
      <c r="F1179" s="3">
        <f t="shared" si="18"/>
        <v>119.7641821857795</v>
      </c>
      <c r="G1179" s="3">
        <f>parking_demand_data_2024_ver0!F1179</f>
        <v>4</v>
      </c>
      <c r="H1179" s="3">
        <f>parking_demand_data_2024_ver0!G1179</f>
        <v>0</v>
      </c>
      <c r="I1179" s="3">
        <f>parking_demand_data_2024_ver0!H1179</f>
        <v>1</v>
      </c>
      <c r="J1179" s="3">
        <f>parking_demand_data_2024_ver0!I1179</f>
        <v>3</v>
      </c>
      <c r="K1179" s="3">
        <f>parking_demand_data_2024_ver0!J1179</f>
        <v>0</v>
      </c>
      <c r="L1179" s="3">
        <f>parking_demand_data_2024_ver0!K1179</f>
        <v>0</v>
      </c>
      <c r="M1179" s="3">
        <f>parking_demand_data_2024_ver0!L1179</f>
        <v>0</v>
      </c>
      <c r="N1179" s="3">
        <f>parking_demand_data_2024_ver0!M1179</f>
        <v>135</v>
      </c>
      <c r="O1179" s="3">
        <f>parking_demand_data_2024_ver0!N1179</f>
        <v>0</v>
      </c>
      <c r="P1179" s="3">
        <f>parking_demand_data_2024_ver0!O1179</f>
        <v>59</v>
      </c>
      <c r="Q1179" s="3">
        <f>parking_demand_data_2024_ver0!P1179</f>
        <v>76</v>
      </c>
      <c r="R1179" s="3">
        <f>parking_demand_data_2024_ver0!Q1179</f>
        <v>0</v>
      </c>
      <c r="S1179" s="3">
        <f>parking_demand_data_2024_ver0!R1179</f>
        <v>0</v>
      </c>
      <c r="T1179" s="3">
        <f>parking_demand_data_2024_ver0!S1179</f>
        <v>0</v>
      </c>
    </row>
    <row r="1180" spans="1:20" x14ac:dyDescent="0.25">
      <c r="A1180">
        <v>18099</v>
      </c>
      <c r="B1180" t="s">
        <v>78</v>
      </c>
      <c r="C1180">
        <v>2</v>
      </c>
      <c r="D1180" s="3">
        <f>parking_demand_data_2024_ver0!D1180*calibration!$I$31</f>
        <v>117.6291479753</v>
      </c>
      <c r="E1180" s="3">
        <f>parking_demand_data_2024_ver0!E1180*calibration!$I$31</f>
        <v>2.5395670082554198</v>
      </c>
      <c r="F1180" s="3">
        <f t="shared" si="18"/>
        <v>120.16871498355542</v>
      </c>
      <c r="G1180" s="3">
        <f>parking_demand_data_2024_ver0!F1180</f>
        <v>4</v>
      </c>
      <c r="H1180" s="3">
        <f>parking_demand_data_2024_ver0!G1180</f>
        <v>0</v>
      </c>
      <c r="I1180" s="3">
        <f>parking_demand_data_2024_ver0!H1180</f>
        <v>1</v>
      </c>
      <c r="J1180" s="3">
        <f>parking_demand_data_2024_ver0!I1180</f>
        <v>3</v>
      </c>
      <c r="K1180" s="3">
        <f>parking_demand_data_2024_ver0!J1180</f>
        <v>0</v>
      </c>
      <c r="L1180" s="3">
        <f>parking_demand_data_2024_ver0!K1180</f>
        <v>0</v>
      </c>
      <c r="M1180" s="3">
        <f>parking_demand_data_2024_ver0!L1180</f>
        <v>0</v>
      </c>
      <c r="N1180" s="3">
        <f>parking_demand_data_2024_ver0!M1180</f>
        <v>135</v>
      </c>
      <c r="O1180" s="3">
        <f>parking_demand_data_2024_ver0!N1180</f>
        <v>0</v>
      </c>
      <c r="P1180" s="3">
        <f>parking_demand_data_2024_ver0!O1180</f>
        <v>59</v>
      </c>
      <c r="Q1180" s="3">
        <f>parking_demand_data_2024_ver0!P1180</f>
        <v>76</v>
      </c>
      <c r="R1180" s="3">
        <f>parking_demand_data_2024_ver0!Q1180</f>
        <v>0</v>
      </c>
      <c r="S1180" s="3">
        <f>parking_demand_data_2024_ver0!R1180</f>
        <v>0</v>
      </c>
      <c r="T1180" s="3">
        <f>parking_demand_data_2024_ver0!S1180</f>
        <v>0</v>
      </c>
    </row>
    <row r="1181" spans="1:20" x14ac:dyDescent="0.25">
      <c r="A1181">
        <v>18099</v>
      </c>
      <c r="B1181" t="s">
        <v>78</v>
      </c>
      <c r="C1181">
        <v>3</v>
      </c>
      <c r="D1181" s="3">
        <f>parking_demand_data_2024_ver0!D1181*calibration!$I$31</f>
        <v>114.685048169269</v>
      </c>
      <c r="E1181" s="3">
        <f>parking_demand_data_2024_ver0!E1181*calibration!$I$31</f>
        <v>3.48347686973089</v>
      </c>
      <c r="F1181" s="3">
        <f t="shared" si="18"/>
        <v>118.16852503899989</v>
      </c>
      <c r="G1181" s="3">
        <f>parking_demand_data_2024_ver0!F1181</f>
        <v>4</v>
      </c>
      <c r="H1181" s="3">
        <f>parking_demand_data_2024_ver0!G1181</f>
        <v>0</v>
      </c>
      <c r="I1181" s="3">
        <f>parking_demand_data_2024_ver0!H1181</f>
        <v>1</v>
      </c>
      <c r="J1181" s="3">
        <f>parking_demand_data_2024_ver0!I1181</f>
        <v>3</v>
      </c>
      <c r="K1181" s="3">
        <f>parking_demand_data_2024_ver0!J1181</f>
        <v>0</v>
      </c>
      <c r="L1181" s="3">
        <f>parking_demand_data_2024_ver0!K1181</f>
        <v>0</v>
      </c>
      <c r="M1181" s="3">
        <f>parking_demand_data_2024_ver0!L1181</f>
        <v>0</v>
      </c>
      <c r="N1181" s="3">
        <f>parking_demand_data_2024_ver0!M1181</f>
        <v>135</v>
      </c>
      <c r="O1181" s="3">
        <f>parking_demand_data_2024_ver0!N1181</f>
        <v>0</v>
      </c>
      <c r="P1181" s="3">
        <f>parking_demand_data_2024_ver0!O1181</f>
        <v>59</v>
      </c>
      <c r="Q1181" s="3">
        <f>parking_demand_data_2024_ver0!P1181</f>
        <v>76</v>
      </c>
      <c r="R1181" s="3">
        <f>parking_demand_data_2024_ver0!Q1181</f>
        <v>0</v>
      </c>
      <c r="S1181" s="3">
        <f>parking_demand_data_2024_ver0!R1181</f>
        <v>0</v>
      </c>
      <c r="T1181" s="3">
        <f>parking_demand_data_2024_ver0!S1181</f>
        <v>0</v>
      </c>
    </row>
    <row r="1182" spans="1:20" x14ac:dyDescent="0.25">
      <c r="A1182">
        <v>18099</v>
      </c>
      <c r="B1182" t="s">
        <v>78</v>
      </c>
      <c r="C1182">
        <v>4</v>
      </c>
      <c r="D1182" s="3">
        <f>parking_demand_data_2024_ver0!D1182*calibration!$I$31</f>
        <v>108.32489362647</v>
      </c>
      <c r="E1182" s="3">
        <f>parking_demand_data_2024_ver0!E1182*calibration!$I$31</f>
        <v>3.93295775614778</v>
      </c>
      <c r="F1182" s="3">
        <f t="shared" si="18"/>
        <v>112.25785138261779</v>
      </c>
      <c r="G1182" s="3">
        <f>parking_demand_data_2024_ver0!F1182</f>
        <v>4</v>
      </c>
      <c r="H1182" s="3">
        <f>parking_demand_data_2024_ver0!G1182</f>
        <v>0</v>
      </c>
      <c r="I1182" s="3">
        <f>parking_demand_data_2024_ver0!H1182</f>
        <v>1</v>
      </c>
      <c r="J1182" s="3">
        <f>parking_demand_data_2024_ver0!I1182</f>
        <v>3</v>
      </c>
      <c r="K1182" s="3">
        <f>parking_demand_data_2024_ver0!J1182</f>
        <v>0</v>
      </c>
      <c r="L1182" s="3">
        <f>parking_demand_data_2024_ver0!K1182</f>
        <v>0</v>
      </c>
      <c r="M1182" s="3">
        <f>parking_demand_data_2024_ver0!L1182</f>
        <v>0</v>
      </c>
      <c r="N1182" s="3">
        <f>parking_demand_data_2024_ver0!M1182</f>
        <v>135</v>
      </c>
      <c r="O1182" s="3">
        <f>parking_demand_data_2024_ver0!N1182</f>
        <v>0</v>
      </c>
      <c r="P1182" s="3">
        <f>parking_demand_data_2024_ver0!O1182</f>
        <v>59</v>
      </c>
      <c r="Q1182" s="3">
        <f>parking_demand_data_2024_ver0!P1182</f>
        <v>76</v>
      </c>
      <c r="R1182" s="3">
        <f>parking_demand_data_2024_ver0!Q1182</f>
        <v>0</v>
      </c>
      <c r="S1182" s="3">
        <f>parking_demand_data_2024_ver0!R1182</f>
        <v>0</v>
      </c>
      <c r="T1182" s="3">
        <f>parking_demand_data_2024_ver0!S1182</f>
        <v>0</v>
      </c>
    </row>
    <row r="1183" spans="1:20" x14ac:dyDescent="0.25">
      <c r="A1183">
        <v>18099</v>
      </c>
      <c r="B1183" t="s">
        <v>78</v>
      </c>
      <c r="C1183">
        <v>5</v>
      </c>
      <c r="D1183" s="3">
        <f>parking_demand_data_2024_ver0!D1183*calibration!$I$31</f>
        <v>100.301659803929</v>
      </c>
      <c r="E1183" s="3">
        <f>parking_demand_data_2024_ver0!E1183*calibration!$I$31</f>
        <v>3.0115219389931598</v>
      </c>
      <c r="F1183" s="3">
        <f t="shared" si="18"/>
        <v>103.31318174292215</v>
      </c>
      <c r="G1183" s="3">
        <f>parking_demand_data_2024_ver0!F1183</f>
        <v>4</v>
      </c>
      <c r="H1183" s="3">
        <f>parking_demand_data_2024_ver0!G1183</f>
        <v>0</v>
      </c>
      <c r="I1183" s="3">
        <f>parking_demand_data_2024_ver0!H1183</f>
        <v>1</v>
      </c>
      <c r="J1183" s="3">
        <f>parking_demand_data_2024_ver0!I1183</f>
        <v>3</v>
      </c>
      <c r="K1183" s="3">
        <f>parking_demand_data_2024_ver0!J1183</f>
        <v>0</v>
      </c>
      <c r="L1183" s="3">
        <f>parking_demand_data_2024_ver0!K1183</f>
        <v>0</v>
      </c>
      <c r="M1183" s="3">
        <f>parking_demand_data_2024_ver0!L1183</f>
        <v>0</v>
      </c>
      <c r="N1183" s="3">
        <f>parking_demand_data_2024_ver0!M1183</f>
        <v>135</v>
      </c>
      <c r="O1183" s="3">
        <f>parking_demand_data_2024_ver0!N1183</f>
        <v>0</v>
      </c>
      <c r="P1183" s="3">
        <f>parking_demand_data_2024_ver0!O1183</f>
        <v>59</v>
      </c>
      <c r="Q1183" s="3">
        <f>parking_demand_data_2024_ver0!P1183</f>
        <v>76</v>
      </c>
      <c r="R1183" s="3">
        <f>parking_demand_data_2024_ver0!Q1183</f>
        <v>0</v>
      </c>
      <c r="S1183" s="3">
        <f>parking_demand_data_2024_ver0!R1183</f>
        <v>0</v>
      </c>
      <c r="T1183" s="3">
        <f>parking_demand_data_2024_ver0!S1183</f>
        <v>0</v>
      </c>
    </row>
    <row r="1184" spans="1:20" x14ac:dyDescent="0.25">
      <c r="A1184">
        <v>18099</v>
      </c>
      <c r="B1184" t="s">
        <v>78</v>
      </c>
      <c r="C1184">
        <v>6</v>
      </c>
      <c r="D1184" s="3">
        <f>parking_demand_data_2024_ver0!D1184*calibration!$I$31</f>
        <v>90.997405455099397</v>
      </c>
      <c r="E1184" s="3">
        <f>parking_demand_data_2024_ver0!E1184*calibration!$I$31</f>
        <v>1.8878197229509299</v>
      </c>
      <c r="F1184" s="3">
        <f t="shared" si="18"/>
        <v>92.885225178050334</v>
      </c>
      <c r="G1184" s="3">
        <f>parking_demand_data_2024_ver0!F1184</f>
        <v>4</v>
      </c>
      <c r="H1184" s="3">
        <f>parking_demand_data_2024_ver0!G1184</f>
        <v>0</v>
      </c>
      <c r="I1184" s="3">
        <f>parking_demand_data_2024_ver0!H1184</f>
        <v>1</v>
      </c>
      <c r="J1184" s="3">
        <f>parking_demand_data_2024_ver0!I1184</f>
        <v>3</v>
      </c>
      <c r="K1184" s="3">
        <f>parking_demand_data_2024_ver0!J1184</f>
        <v>0</v>
      </c>
      <c r="L1184" s="3">
        <f>parking_demand_data_2024_ver0!K1184</f>
        <v>0</v>
      </c>
      <c r="M1184" s="3">
        <f>parking_demand_data_2024_ver0!L1184</f>
        <v>0</v>
      </c>
      <c r="N1184" s="3">
        <f>parking_demand_data_2024_ver0!M1184</f>
        <v>135</v>
      </c>
      <c r="O1184" s="3">
        <f>parking_demand_data_2024_ver0!N1184</f>
        <v>0</v>
      </c>
      <c r="P1184" s="3">
        <f>parking_demand_data_2024_ver0!O1184</f>
        <v>59</v>
      </c>
      <c r="Q1184" s="3">
        <f>parking_demand_data_2024_ver0!P1184</f>
        <v>76</v>
      </c>
      <c r="R1184" s="3">
        <f>parking_demand_data_2024_ver0!Q1184</f>
        <v>0</v>
      </c>
      <c r="S1184" s="3">
        <f>parking_demand_data_2024_ver0!R1184</f>
        <v>0</v>
      </c>
      <c r="T1184" s="3">
        <f>parking_demand_data_2024_ver0!S1184</f>
        <v>0</v>
      </c>
    </row>
    <row r="1185" spans="1:20" x14ac:dyDescent="0.25">
      <c r="A1185">
        <v>18099</v>
      </c>
      <c r="B1185" t="s">
        <v>78</v>
      </c>
      <c r="C1185">
        <v>7</v>
      </c>
      <c r="D1185" s="3">
        <f>parking_demand_data_2024_ver0!D1185*calibration!$I$31</f>
        <v>72.411370801760995</v>
      </c>
      <c r="E1185" s="3">
        <f>parking_demand_data_2024_ver0!E1185*calibration!$I$31</f>
        <v>2.0001899445551601</v>
      </c>
      <c r="F1185" s="3">
        <f t="shared" si="18"/>
        <v>74.411560746316155</v>
      </c>
      <c r="G1185" s="3">
        <f>parking_demand_data_2024_ver0!F1185</f>
        <v>4</v>
      </c>
      <c r="H1185" s="3">
        <f>parking_demand_data_2024_ver0!G1185</f>
        <v>0</v>
      </c>
      <c r="I1185" s="3">
        <f>parking_demand_data_2024_ver0!H1185</f>
        <v>1</v>
      </c>
      <c r="J1185" s="3">
        <f>parking_demand_data_2024_ver0!I1185</f>
        <v>3</v>
      </c>
      <c r="K1185" s="3">
        <f>parking_demand_data_2024_ver0!J1185</f>
        <v>0</v>
      </c>
      <c r="L1185" s="3">
        <f>parking_demand_data_2024_ver0!K1185</f>
        <v>0</v>
      </c>
      <c r="M1185" s="3">
        <f>parking_demand_data_2024_ver0!L1185</f>
        <v>0</v>
      </c>
      <c r="N1185" s="3">
        <f>parking_demand_data_2024_ver0!M1185</f>
        <v>135</v>
      </c>
      <c r="O1185" s="3">
        <f>parking_demand_data_2024_ver0!N1185</f>
        <v>0</v>
      </c>
      <c r="P1185" s="3">
        <f>parking_demand_data_2024_ver0!O1185</f>
        <v>59</v>
      </c>
      <c r="Q1185" s="3">
        <f>parking_demand_data_2024_ver0!P1185</f>
        <v>76</v>
      </c>
      <c r="R1185" s="3">
        <f>parking_demand_data_2024_ver0!Q1185</f>
        <v>0</v>
      </c>
      <c r="S1185" s="3">
        <f>parking_demand_data_2024_ver0!R1185</f>
        <v>0</v>
      </c>
      <c r="T1185" s="3">
        <f>parking_demand_data_2024_ver0!S1185</f>
        <v>0</v>
      </c>
    </row>
    <row r="1186" spans="1:20" x14ac:dyDescent="0.25">
      <c r="A1186">
        <v>18099</v>
      </c>
      <c r="B1186" t="s">
        <v>78</v>
      </c>
      <c r="C1186">
        <v>8</v>
      </c>
      <c r="D1186" s="3">
        <f>parking_demand_data_2024_ver0!D1186*calibration!$I$31</f>
        <v>59.331477007029399</v>
      </c>
      <c r="E1186" s="3">
        <f>parking_demand_data_2024_ver0!E1186*calibration!$I$31</f>
        <v>1.4158647922131999</v>
      </c>
      <c r="F1186" s="3">
        <f t="shared" si="18"/>
        <v>60.747341799242598</v>
      </c>
      <c r="G1186" s="3">
        <f>parking_demand_data_2024_ver0!F1186</f>
        <v>4</v>
      </c>
      <c r="H1186" s="3">
        <f>parking_demand_data_2024_ver0!G1186</f>
        <v>0</v>
      </c>
      <c r="I1186" s="3">
        <f>parking_demand_data_2024_ver0!H1186</f>
        <v>1</v>
      </c>
      <c r="J1186" s="3">
        <f>parking_demand_data_2024_ver0!I1186</f>
        <v>3</v>
      </c>
      <c r="K1186" s="3">
        <f>parking_demand_data_2024_ver0!J1186</f>
        <v>0</v>
      </c>
      <c r="L1186" s="3">
        <f>parking_demand_data_2024_ver0!K1186</f>
        <v>0</v>
      </c>
      <c r="M1186" s="3">
        <f>parking_demand_data_2024_ver0!L1186</f>
        <v>0</v>
      </c>
      <c r="N1186" s="3">
        <f>parking_demand_data_2024_ver0!M1186</f>
        <v>135</v>
      </c>
      <c r="O1186" s="3">
        <f>parking_demand_data_2024_ver0!N1186</f>
        <v>0</v>
      </c>
      <c r="P1186" s="3">
        <f>parking_demand_data_2024_ver0!O1186</f>
        <v>59</v>
      </c>
      <c r="Q1186" s="3">
        <f>parking_demand_data_2024_ver0!P1186</f>
        <v>76</v>
      </c>
      <c r="R1186" s="3">
        <f>parking_demand_data_2024_ver0!Q1186</f>
        <v>0</v>
      </c>
      <c r="S1186" s="3">
        <f>parking_demand_data_2024_ver0!R1186</f>
        <v>0</v>
      </c>
      <c r="T1186" s="3">
        <f>parking_demand_data_2024_ver0!S1186</f>
        <v>0</v>
      </c>
    </row>
    <row r="1187" spans="1:20" x14ac:dyDescent="0.25">
      <c r="A1187">
        <v>18099</v>
      </c>
      <c r="B1187" t="s">
        <v>78</v>
      </c>
      <c r="C1187">
        <v>9</v>
      </c>
      <c r="D1187" s="3">
        <f>parking_demand_data_2024_ver0!D1187*calibration!$I$31</f>
        <v>46.948278586244101</v>
      </c>
      <c r="E1187" s="3">
        <f>parking_demand_data_2024_ver0!E1187*calibration!$I$31</f>
        <v>1.4158647922131999</v>
      </c>
      <c r="F1187" s="3">
        <f t="shared" si="18"/>
        <v>48.3641433784573</v>
      </c>
      <c r="G1187" s="3">
        <f>parking_demand_data_2024_ver0!F1187</f>
        <v>4</v>
      </c>
      <c r="H1187" s="3">
        <f>parking_demand_data_2024_ver0!G1187</f>
        <v>0</v>
      </c>
      <c r="I1187" s="3">
        <f>parking_demand_data_2024_ver0!H1187</f>
        <v>1</v>
      </c>
      <c r="J1187" s="3">
        <f>parking_demand_data_2024_ver0!I1187</f>
        <v>3</v>
      </c>
      <c r="K1187" s="3">
        <f>parking_demand_data_2024_ver0!J1187</f>
        <v>0</v>
      </c>
      <c r="L1187" s="3">
        <f>parking_demand_data_2024_ver0!K1187</f>
        <v>0</v>
      </c>
      <c r="M1187" s="3">
        <f>parking_demand_data_2024_ver0!L1187</f>
        <v>0</v>
      </c>
      <c r="N1187" s="3">
        <f>parking_demand_data_2024_ver0!M1187</f>
        <v>135</v>
      </c>
      <c r="O1187" s="3">
        <f>parking_demand_data_2024_ver0!N1187</f>
        <v>0</v>
      </c>
      <c r="P1187" s="3">
        <f>parking_demand_data_2024_ver0!O1187</f>
        <v>59</v>
      </c>
      <c r="Q1187" s="3">
        <f>parking_demand_data_2024_ver0!P1187</f>
        <v>76</v>
      </c>
      <c r="R1187" s="3">
        <f>parking_demand_data_2024_ver0!Q1187</f>
        <v>0</v>
      </c>
      <c r="S1187" s="3">
        <f>parking_demand_data_2024_ver0!R1187</f>
        <v>0</v>
      </c>
      <c r="T1187" s="3">
        <f>parking_demand_data_2024_ver0!S1187</f>
        <v>0</v>
      </c>
    </row>
    <row r="1188" spans="1:20" x14ac:dyDescent="0.25">
      <c r="A1188">
        <v>18099</v>
      </c>
      <c r="B1188" t="s">
        <v>78</v>
      </c>
      <c r="C1188">
        <v>10</v>
      </c>
      <c r="D1188" s="3">
        <f>parking_demand_data_2024_ver0!D1188*calibration!$I$31</f>
        <v>43.2850093619465</v>
      </c>
      <c r="E1188" s="3">
        <f>parking_demand_data_2024_ver0!E1188*calibration!$I$31</f>
        <v>1.4832869251757299</v>
      </c>
      <c r="F1188" s="3">
        <f t="shared" si="18"/>
        <v>44.768296287122233</v>
      </c>
      <c r="G1188" s="3">
        <f>parking_demand_data_2024_ver0!F1188</f>
        <v>4</v>
      </c>
      <c r="H1188" s="3">
        <f>parking_demand_data_2024_ver0!G1188</f>
        <v>0</v>
      </c>
      <c r="I1188" s="3">
        <f>parking_demand_data_2024_ver0!H1188</f>
        <v>1</v>
      </c>
      <c r="J1188" s="3">
        <f>parking_demand_data_2024_ver0!I1188</f>
        <v>3</v>
      </c>
      <c r="K1188" s="3">
        <f>parking_demand_data_2024_ver0!J1188</f>
        <v>0</v>
      </c>
      <c r="L1188" s="3">
        <f>parking_demand_data_2024_ver0!K1188</f>
        <v>0</v>
      </c>
      <c r="M1188" s="3">
        <f>parking_demand_data_2024_ver0!L1188</f>
        <v>0</v>
      </c>
      <c r="N1188" s="3">
        <f>parking_demand_data_2024_ver0!M1188</f>
        <v>135</v>
      </c>
      <c r="O1188" s="3">
        <f>parking_demand_data_2024_ver0!N1188</f>
        <v>0</v>
      </c>
      <c r="P1188" s="3">
        <f>parking_demand_data_2024_ver0!O1188</f>
        <v>59</v>
      </c>
      <c r="Q1188" s="3">
        <f>parking_demand_data_2024_ver0!P1188</f>
        <v>76</v>
      </c>
      <c r="R1188" s="3">
        <f>parking_demand_data_2024_ver0!Q1188</f>
        <v>0</v>
      </c>
      <c r="S1188" s="3">
        <f>parking_demand_data_2024_ver0!R1188</f>
        <v>0</v>
      </c>
      <c r="T1188" s="3">
        <f>parking_demand_data_2024_ver0!S1188</f>
        <v>0</v>
      </c>
    </row>
    <row r="1189" spans="1:20" x14ac:dyDescent="0.25">
      <c r="A1189">
        <v>18099</v>
      </c>
      <c r="B1189" t="s">
        <v>78</v>
      </c>
      <c r="C1189">
        <v>11</v>
      </c>
      <c r="D1189" s="3">
        <f>parking_demand_data_2024_ver0!D1189*calibration!$I$31</f>
        <v>47.173019029452597</v>
      </c>
      <c r="E1189" s="3">
        <f>parking_demand_data_2024_ver0!E1189*calibration!$I$31</f>
        <v>1.4608128808548899</v>
      </c>
      <c r="F1189" s="3">
        <f t="shared" si="18"/>
        <v>48.633831910307485</v>
      </c>
      <c r="G1189" s="3">
        <f>parking_demand_data_2024_ver0!F1189</f>
        <v>4</v>
      </c>
      <c r="H1189" s="3">
        <f>parking_demand_data_2024_ver0!G1189</f>
        <v>0</v>
      </c>
      <c r="I1189" s="3">
        <f>parking_demand_data_2024_ver0!H1189</f>
        <v>1</v>
      </c>
      <c r="J1189" s="3">
        <f>parking_demand_data_2024_ver0!I1189</f>
        <v>3</v>
      </c>
      <c r="K1189" s="3">
        <f>parking_demand_data_2024_ver0!J1189</f>
        <v>0</v>
      </c>
      <c r="L1189" s="3">
        <f>parking_demand_data_2024_ver0!K1189</f>
        <v>0</v>
      </c>
      <c r="M1189" s="3">
        <f>parking_demand_data_2024_ver0!L1189</f>
        <v>0</v>
      </c>
      <c r="N1189" s="3">
        <f>parking_demand_data_2024_ver0!M1189</f>
        <v>135</v>
      </c>
      <c r="O1189" s="3">
        <f>parking_demand_data_2024_ver0!N1189</f>
        <v>0</v>
      </c>
      <c r="P1189" s="3">
        <f>parking_demand_data_2024_ver0!O1189</f>
        <v>59</v>
      </c>
      <c r="Q1189" s="3">
        <f>parking_demand_data_2024_ver0!P1189</f>
        <v>76</v>
      </c>
      <c r="R1189" s="3">
        <f>parking_demand_data_2024_ver0!Q1189</f>
        <v>0</v>
      </c>
      <c r="S1189" s="3">
        <f>parking_demand_data_2024_ver0!R1189</f>
        <v>0</v>
      </c>
      <c r="T1189" s="3">
        <f>parking_demand_data_2024_ver0!S1189</f>
        <v>0</v>
      </c>
    </row>
    <row r="1190" spans="1:20" x14ac:dyDescent="0.25">
      <c r="A1190">
        <v>18099</v>
      </c>
      <c r="B1190" t="s">
        <v>78</v>
      </c>
      <c r="C1190">
        <v>12</v>
      </c>
      <c r="D1190" s="3">
        <f>parking_demand_data_2024_ver0!D1190*calibration!$I$31</f>
        <v>51.016080608316997</v>
      </c>
      <c r="E1190" s="3">
        <f>parking_demand_data_2024_ver0!E1190*calibration!$I$31</f>
        <v>1.75297545702587</v>
      </c>
      <c r="F1190" s="3">
        <f t="shared" si="18"/>
        <v>52.769056065342866</v>
      </c>
      <c r="G1190" s="3">
        <f>parking_demand_data_2024_ver0!F1190</f>
        <v>4</v>
      </c>
      <c r="H1190" s="3">
        <f>parking_demand_data_2024_ver0!G1190</f>
        <v>0</v>
      </c>
      <c r="I1190" s="3">
        <f>parking_demand_data_2024_ver0!H1190</f>
        <v>1</v>
      </c>
      <c r="J1190" s="3">
        <f>parking_demand_data_2024_ver0!I1190</f>
        <v>3</v>
      </c>
      <c r="K1190" s="3">
        <f>parking_demand_data_2024_ver0!J1190</f>
        <v>0</v>
      </c>
      <c r="L1190" s="3">
        <f>parking_demand_data_2024_ver0!K1190</f>
        <v>0</v>
      </c>
      <c r="M1190" s="3">
        <f>parking_demand_data_2024_ver0!L1190</f>
        <v>0</v>
      </c>
      <c r="N1190" s="3">
        <f>parking_demand_data_2024_ver0!M1190</f>
        <v>135</v>
      </c>
      <c r="O1190" s="3">
        <f>parking_demand_data_2024_ver0!N1190</f>
        <v>0</v>
      </c>
      <c r="P1190" s="3">
        <f>parking_demand_data_2024_ver0!O1190</f>
        <v>59</v>
      </c>
      <c r="Q1190" s="3">
        <f>parking_demand_data_2024_ver0!P1190</f>
        <v>76</v>
      </c>
      <c r="R1190" s="3">
        <f>parking_demand_data_2024_ver0!Q1190</f>
        <v>0</v>
      </c>
      <c r="S1190" s="3">
        <f>parking_demand_data_2024_ver0!R1190</f>
        <v>0</v>
      </c>
      <c r="T1190" s="3">
        <f>parking_demand_data_2024_ver0!S1190</f>
        <v>0</v>
      </c>
    </row>
    <row r="1191" spans="1:20" x14ac:dyDescent="0.25">
      <c r="A1191">
        <v>18099</v>
      </c>
      <c r="B1191" t="s">
        <v>78</v>
      </c>
      <c r="C1191">
        <v>13</v>
      </c>
      <c r="D1191" s="3">
        <f>parking_demand_data_2024_ver0!D1191*calibration!$I$31</f>
        <v>54.139972768914397</v>
      </c>
      <c r="E1191" s="3">
        <f>parking_demand_data_2024_ver0!E1191*calibration!$I$31</f>
        <v>1.6406052354216401</v>
      </c>
      <c r="F1191" s="3">
        <f t="shared" si="18"/>
        <v>55.780578004336036</v>
      </c>
      <c r="G1191" s="3">
        <f>parking_demand_data_2024_ver0!F1191</f>
        <v>4</v>
      </c>
      <c r="H1191" s="3">
        <f>parking_demand_data_2024_ver0!G1191</f>
        <v>0</v>
      </c>
      <c r="I1191" s="3">
        <f>parking_demand_data_2024_ver0!H1191</f>
        <v>1</v>
      </c>
      <c r="J1191" s="3">
        <f>parking_demand_data_2024_ver0!I1191</f>
        <v>3</v>
      </c>
      <c r="K1191" s="3">
        <f>parking_demand_data_2024_ver0!J1191</f>
        <v>0</v>
      </c>
      <c r="L1191" s="3">
        <f>parking_demand_data_2024_ver0!K1191</f>
        <v>0</v>
      </c>
      <c r="M1191" s="3">
        <f>parking_demand_data_2024_ver0!L1191</f>
        <v>0</v>
      </c>
      <c r="N1191" s="3">
        <f>parking_demand_data_2024_ver0!M1191</f>
        <v>135</v>
      </c>
      <c r="O1191" s="3">
        <f>parking_demand_data_2024_ver0!N1191</f>
        <v>0</v>
      </c>
      <c r="P1191" s="3">
        <f>parking_demand_data_2024_ver0!O1191</f>
        <v>59</v>
      </c>
      <c r="Q1191" s="3">
        <f>parking_demand_data_2024_ver0!P1191</f>
        <v>76</v>
      </c>
      <c r="R1191" s="3">
        <f>parking_demand_data_2024_ver0!Q1191</f>
        <v>0</v>
      </c>
      <c r="S1191" s="3">
        <f>parking_demand_data_2024_ver0!R1191</f>
        <v>0</v>
      </c>
      <c r="T1191" s="3">
        <f>parking_demand_data_2024_ver0!S1191</f>
        <v>0</v>
      </c>
    </row>
    <row r="1192" spans="1:20" x14ac:dyDescent="0.25">
      <c r="A1192">
        <v>18099</v>
      </c>
      <c r="B1192" t="s">
        <v>78</v>
      </c>
      <c r="C1192">
        <v>14</v>
      </c>
      <c r="D1192" s="3">
        <f>parking_demand_data_2024_ver0!D1192*calibration!$I$31</f>
        <v>58.7246778103666</v>
      </c>
      <c r="E1192" s="3">
        <f>parking_demand_data_2024_ver0!E1192*calibration!$I$31</f>
        <v>2.0451380331968498</v>
      </c>
      <c r="F1192" s="3">
        <f t="shared" si="18"/>
        <v>60.76981584356345</v>
      </c>
      <c r="G1192" s="3">
        <f>parking_demand_data_2024_ver0!F1192</f>
        <v>4</v>
      </c>
      <c r="H1192" s="3">
        <f>parking_demand_data_2024_ver0!G1192</f>
        <v>0</v>
      </c>
      <c r="I1192" s="3">
        <f>parking_demand_data_2024_ver0!H1192</f>
        <v>1</v>
      </c>
      <c r="J1192" s="3">
        <f>parking_demand_data_2024_ver0!I1192</f>
        <v>3</v>
      </c>
      <c r="K1192" s="3">
        <f>parking_demand_data_2024_ver0!J1192</f>
        <v>0</v>
      </c>
      <c r="L1192" s="3">
        <f>parking_demand_data_2024_ver0!K1192</f>
        <v>0</v>
      </c>
      <c r="M1192" s="3">
        <f>parking_demand_data_2024_ver0!L1192</f>
        <v>0</v>
      </c>
      <c r="N1192" s="3">
        <f>parking_demand_data_2024_ver0!M1192</f>
        <v>135</v>
      </c>
      <c r="O1192" s="3">
        <f>parking_demand_data_2024_ver0!N1192</f>
        <v>0</v>
      </c>
      <c r="P1192" s="3">
        <f>parking_demand_data_2024_ver0!O1192</f>
        <v>59</v>
      </c>
      <c r="Q1192" s="3">
        <f>parking_demand_data_2024_ver0!P1192</f>
        <v>76</v>
      </c>
      <c r="R1192" s="3">
        <f>parking_demand_data_2024_ver0!Q1192</f>
        <v>0</v>
      </c>
      <c r="S1192" s="3">
        <f>parking_demand_data_2024_ver0!R1192</f>
        <v>0</v>
      </c>
      <c r="T1192" s="3">
        <f>parking_demand_data_2024_ver0!S1192</f>
        <v>0</v>
      </c>
    </row>
    <row r="1193" spans="1:20" x14ac:dyDescent="0.25">
      <c r="A1193">
        <v>18099</v>
      </c>
      <c r="B1193" t="s">
        <v>78</v>
      </c>
      <c r="C1193">
        <v>15</v>
      </c>
      <c r="D1193" s="3">
        <f>parking_demand_data_2024_ver0!D1193*calibration!$I$31</f>
        <v>67.332236785250103</v>
      </c>
      <c r="E1193" s="3">
        <f>parking_demand_data_2024_ver0!E1193*calibration!$I$31</f>
        <v>2.0001899445551601</v>
      </c>
      <c r="F1193" s="3">
        <f t="shared" si="18"/>
        <v>69.332426729805263</v>
      </c>
      <c r="G1193" s="3">
        <f>parking_demand_data_2024_ver0!F1193</f>
        <v>4</v>
      </c>
      <c r="H1193" s="3">
        <f>parking_demand_data_2024_ver0!G1193</f>
        <v>0</v>
      </c>
      <c r="I1193" s="3">
        <f>parking_demand_data_2024_ver0!H1193</f>
        <v>1</v>
      </c>
      <c r="J1193" s="3">
        <f>parking_demand_data_2024_ver0!I1193</f>
        <v>3</v>
      </c>
      <c r="K1193" s="3">
        <f>parking_demand_data_2024_ver0!J1193</f>
        <v>0</v>
      </c>
      <c r="L1193" s="3">
        <f>parking_demand_data_2024_ver0!K1193</f>
        <v>0</v>
      </c>
      <c r="M1193" s="3">
        <f>parking_demand_data_2024_ver0!L1193</f>
        <v>0</v>
      </c>
      <c r="N1193" s="3">
        <f>parking_demand_data_2024_ver0!M1193</f>
        <v>135</v>
      </c>
      <c r="O1193" s="3">
        <f>parking_demand_data_2024_ver0!N1193</f>
        <v>0</v>
      </c>
      <c r="P1193" s="3">
        <f>parking_demand_data_2024_ver0!O1193</f>
        <v>59</v>
      </c>
      <c r="Q1193" s="3">
        <f>parking_demand_data_2024_ver0!P1193</f>
        <v>76</v>
      </c>
      <c r="R1193" s="3">
        <f>parking_demand_data_2024_ver0!Q1193</f>
        <v>0</v>
      </c>
      <c r="S1193" s="3">
        <f>parking_demand_data_2024_ver0!R1193</f>
        <v>0</v>
      </c>
      <c r="T1193" s="3">
        <f>parking_demand_data_2024_ver0!S1193</f>
        <v>0</v>
      </c>
    </row>
    <row r="1194" spans="1:20" x14ac:dyDescent="0.25">
      <c r="A1194">
        <v>18099</v>
      </c>
      <c r="B1194" t="s">
        <v>78</v>
      </c>
      <c r="C1194">
        <v>16</v>
      </c>
      <c r="D1194" s="3">
        <f>parking_demand_data_2024_ver0!D1194*calibration!$I$31</f>
        <v>75.108256120262297</v>
      </c>
      <c r="E1194" s="3">
        <f>parking_demand_data_2024_ver0!E1194*calibration!$I$31</f>
        <v>2.3373006093678201</v>
      </c>
      <c r="F1194" s="3">
        <f t="shared" si="18"/>
        <v>77.445556729630113</v>
      </c>
      <c r="G1194" s="3">
        <f>parking_demand_data_2024_ver0!F1194</f>
        <v>4</v>
      </c>
      <c r="H1194" s="3">
        <f>parking_demand_data_2024_ver0!G1194</f>
        <v>0</v>
      </c>
      <c r="I1194" s="3">
        <f>parking_demand_data_2024_ver0!H1194</f>
        <v>1</v>
      </c>
      <c r="J1194" s="3">
        <f>parking_demand_data_2024_ver0!I1194</f>
        <v>3</v>
      </c>
      <c r="K1194" s="3">
        <f>parking_demand_data_2024_ver0!J1194</f>
        <v>0</v>
      </c>
      <c r="L1194" s="3">
        <f>parking_demand_data_2024_ver0!K1194</f>
        <v>0</v>
      </c>
      <c r="M1194" s="3">
        <f>parking_demand_data_2024_ver0!L1194</f>
        <v>0</v>
      </c>
      <c r="N1194" s="3">
        <f>parking_demand_data_2024_ver0!M1194</f>
        <v>135</v>
      </c>
      <c r="O1194" s="3">
        <f>parking_demand_data_2024_ver0!N1194</f>
        <v>0</v>
      </c>
      <c r="P1194" s="3">
        <f>parking_demand_data_2024_ver0!O1194</f>
        <v>59</v>
      </c>
      <c r="Q1194" s="3">
        <f>parking_demand_data_2024_ver0!P1194</f>
        <v>76</v>
      </c>
      <c r="R1194" s="3">
        <f>parking_demand_data_2024_ver0!Q1194</f>
        <v>0</v>
      </c>
      <c r="S1194" s="3">
        <f>parking_demand_data_2024_ver0!R1194</f>
        <v>0</v>
      </c>
      <c r="T1194" s="3">
        <f>parking_demand_data_2024_ver0!S1194</f>
        <v>0</v>
      </c>
    </row>
    <row r="1195" spans="1:20" x14ac:dyDescent="0.25">
      <c r="A1195">
        <v>18099</v>
      </c>
      <c r="B1195" t="s">
        <v>78</v>
      </c>
      <c r="C1195">
        <v>17</v>
      </c>
      <c r="D1195" s="3">
        <f>parking_demand_data_2024_ver0!D1195*calibration!$I$31</f>
        <v>83.3562303860122</v>
      </c>
      <c r="E1195" s="3">
        <f>parking_demand_data_2024_ver0!E1195*calibration!$I$31</f>
        <v>2.24740443208445</v>
      </c>
      <c r="F1195" s="3">
        <f t="shared" si="18"/>
        <v>85.603634818096651</v>
      </c>
      <c r="G1195" s="3">
        <f>parking_demand_data_2024_ver0!F1195</f>
        <v>4</v>
      </c>
      <c r="H1195" s="3">
        <f>parking_demand_data_2024_ver0!G1195</f>
        <v>0</v>
      </c>
      <c r="I1195" s="3">
        <f>parking_demand_data_2024_ver0!H1195</f>
        <v>1</v>
      </c>
      <c r="J1195" s="3">
        <f>parking_demand_data_2024_ver0!I1195</f>
        <v>3</v>
      </c>
      <c r="K1195" s="3">
        <f>parking_demand_data_2024_ver0!J1195</f>
        <v>0</v>
      </c>
      <c r="L1195" s="3">
        <f>parking_demand_data_2024_ver0!K1195</f>
        <v>0</v>
      </c>
      <c r="M1195" s="3">
        <f>parking_demand_data_2024_ver0!L1195</f>
        <v>0</v>
      </c>
      <c r="N1195" s="3">
        <f>parking_demand_data_2024_ver0!M1195</f>
        <v>135</v>
      </c>
      <c r="O1195" s="3">
        <f>parking_demand_data_2024_ver0!N1195</f>
        <v>0</v>
      </c>
      <c r="P1195" s="3">
        <f>parking_demand_data_2024_ver0!O1195</f>
        <v>59</v>
      </c>
      <c r="Q1195" s="3">
        <f>parking_demand_data_2024_ver0!P1195</f>
        <v>76</v>
      </c>
      <c r="R1195" s="3">
        <f>parking_demand_data_2024_ver0!Q1195</f>
        <v>0</v>
      </c>
      <c r="S1195" s="3">
        <f>parking_demand_data_2024_ver0!R1195</f>
        <v>0</v>
      </c>
      <c r="T1195" s="3">
        <f>parking_demand_data_2024_ver0!S1195</f>
        <v>0</v>
      </c>
    </row>
    <row r="1196" spans="1:20" x14ac:dyDescent="0.25">
      <c r="A1196">
        <v>18099</v>
      </c>
      <c r="B1196" t="s">
        <v>78</v>
      </c>
      <c r="C1196">
        <v>18</v>
      </c>
      <c r="D1196" s="3">
        <f>parking_demand_data_2024_ver0!D1196*calibration!$I$31</f>
        <v>90.345658169794902</v>
      </c>
      <c r="E1196" s="3">
        <f>parking_demand_data_2024_ver0!E1196*calibration!$I$31</f>
        <v>1.5057609694965799</v>
      </c>
      <c r="F1196" s="3">
        <f t="shared" si="18"/>
        <v>91.85141913929148</v>
      </c>
      <c r="G1196" s="3">
        <f>parking_demand_data_2024_ver0!F1196</f>
        <v>4</v>
      </c>
      <c r="H1196" s="3">
        <f>parking_demand_data_2024_ver0!G1196</f>
        <v>0</v>
      </c>
      <c r="I1196" s="3">
        <f>parking_demand_data_2024_ver0!H1196</f>
        <v>1</v>
      </c>
      <c r="J1196" s="3">
        <f>parking_demand_data_2024_ver0!I1196</f>
        <v>3</v>
      </c>
      <c r="K1196" s="3">
        <f>parking_demand_data_2024_ver0!J1196</f>
        <v>0</v>
      </c>
      <c r="L1196" s="3">
        <f>parking_demand_data_2024_ver0!K1196</f>
        <v>0</v>
      </c>
      <c r="M1196" s="3">
        <f>parking_demand_data_2024_ver0!L1196</f>
        <v>0</v>
      </c>
      <c r="N1196" s="3">
        <f>parking_demand_data_2024_ver0!M1196</f>
        <v>135</v>
      </c>
      <c r="O1196" s="3">
        <f>parking_demand_data_2024_ver0!N1196</f>
        <v>0</v>
      </c>
      <c r="P1196" s="3">
        <f>parking_demand_data_2024_ver0!O1196</f>
        <v>59</v>
      </c>
      <c r="Q1196" s="3">
        <f>parking_demand_data_2024_ver0!P1196</f>
        <v>76</v>
      </c>
      <c r="R1196" s="3">
        <f>parking_demand_data_2024_ver0!Q1196</f>
        <v>0</v>
      </c>
      <c r="S1196" s="3">
        <f>parking_demand_data_2024_ver0!R1196</f>
        <v>0</v>
      </c>
      <c r="T1196" s="3">
        <f>parking_demand_data_2024_ver0!S1196</f>
        <v>0</v>
      </c>
    </row>
    <row r="1197" spans="1:20" x14ac:dyDescent="0.25">
      <c r="A1197">
        <v>18099</v>
      </c>
      <c r="B1197" t="s">
        <v>78</v>
      </c>
      <c r="C1197">
        <v>19</v>
      </c>
      <c r="D1197" s="3">
        <f>parking_demand_data_2024_ver0!D1197*calibration!$I$31</f>
        <v>99.020639277640896</v>
      </c>
      <c r="E1197" s="3">
        <f>parking_demand_data_2024_ver0!E1197*calibration!$I$31</f>
        <v>1.5956571467799501</v>
      </c>
      <c r="F1197" s="3">
        <f t="shared" si="18"/>
        <v>100.61629642442085</v>
      </c>
      <c r="G1197" s="3">
        <f>parking_demand_data_2024_ver0!F1197</f>
        <v>4</v>
      </c>
      <c r="H1197" s="3">
        <f>parking_demand_data_2024_ver0!G1197</f>
        <v>0</v>
      </c>
      <c r="I1197" s="3">
        <f>parking_demand_data_2024_ver0!H1197</f>
        <v>1</v>
      </c>
      <c r="J1197" s="3">
        <f>parking_demand_data_2024_ver0!I1197</f>
        <v>3</v>
      </c>
      <c r="K1197" s="3">
        <f>parking_demand_data_2024_ver0!J1197</f>
        <v>0</v>
      </c>
      <c r="L1197" s="3">
        <f>parking_demand_data_2024_ver0!K1197</f>
        <v>0</v>
      </c>
      <c r="M1197" s="3">
        <f>parking_demand_data_2024_ver0!L1197</f>
        <v>0</v>
      </c>
      <c r="N1197" s="3">
        <f>parking_demand_data_2024_ver0!M1197</f>
        <v>135</v>
      </c>
      <c r="O1197" s="3">
        <f>parking_demand_data_2024_ver0!N1197</f>
        <v>0</v>
      </c>
      <c r="P1197" s="3">
        <f>parking_demand_data_2024_ver0!O1197</f>
        <v>59</v>
      </c>
      <c r="Q1197" s="3">
        <f>parking_demand_data_2024_ver0!P1197</f>
        <v>76</v>
      </c>
      <c r="R1197" s="3">
        <f>parking_demand_data_2024_ver0!Q1197</f>
        <v>0</v>
      </c>
      <c r="S1197" s="3">
        <f>parking_demand_data_2024_ver0!R1197</f>
        <v>0</v>
      </c>
      <c r="T1197" s="3">
        <f>parking_demand_data_2024_ver0!S1197</f>
        <v>0</v>
      </c>
    </row>
    <row r="1198" spans="1:20" x14ac:dyDescent="0.25">
      <c r="A1198">
        <v>18099</v>
      </c>
      <c r="B1198" t="s">
        <v>78</v>
      </c>
      <c r="C1198">
        <v>20</v>
      </c>
      <c r="D1198" s="3">
        <f>parking_demand_data_2024_ver0!D1198*calibration!$I$31</f>
        <v>106.010067061423</v>
      </c>
      <c r="E1198" s="3">
        <f>parking_demand_data_2024_ver0!E1198*calibration!$I$31</f>
        <v>1.5282350138174201</v>
      </c>
      <c r="F1198" s="3">
        <f t="shared" si="18"/>
        <v>107.53830207524042</v>
      </c>
      <c r="G1198" s="3">
        <f>parking_demand_data_2024_ver0!F1198</f>
        <v>4</v>
      </c>
      <c r="H1198" s="3">
        <f>parking_demand_data_2024_ver0!G1198</f>
        <v>0</v>
      </c>
      <c r="I1198" s="3">
        <f>parking_demand_data_2024_ver0!H1198</f>
        <v>1</v>
      </c>
      <c r="J1198" s="3">
        <f>parking_demand_data_2024_ver0!I1198</f>
        <v>3</v>
      </c>
      <c r="K1198" s="3">
        <f>parking_demand_data_2024_ver0!J1198</f>
        <v>0</v>
      </c>
      <c r="L1198" s="3">
        <f>parking_demand_data_2024_ver0!K1198</f>
        <v>0</v>
      </c>
      <c r="M1198" s="3">
        <f>parking_demand_data_2024_ver0!L1198</f>
        <v>0</v>
      </c>
      <c r="N1198" s="3">
        <f>parking_demand_data_2024_ver0!M1198</f>
        <v>135</v>
      </c>
      <c r="O1198" s="3">
        <f>parking_demand_data_2024_ver0!N1198</f>
        <v>0</v>
      </c>
      <c r="P1198" s="3">
        <f>parking_demand_data_2024_ver0!O1198</f>
        <v>59</v>
      </c>
      <c r="Q1198" s="3">
        <f>parking_demand_data_2024_ver0!P1198</f>
        <v>76</v>
      </c>
      <c r="R1198" s="3">
        <f>parking_demand_data_2024_ver0!Q1198</f>
        <v>0</v>
      </c>
      <c r="S1198" s="3">
        <f>parking_demand_data_2024_ver0!R1198</f>
        <v>0</v>
      </c>
      <c r="T1198" s="3">
        <f>parking_demand_data_2024_ver0!S1198</f>
        <v>0</v>
      </c>
    </row>
    <row r="1199" spans="1:20" x14ac:dyDescent="0.25">
      <c r="A1199">
        <v>18099</v>
      </c>
      <c r="B1199" t="s">
        <v>78</v>
      </c>
      <c r="C1199">
        <v>21</v>
      </c>
      <c r="D1199" s="3">
        <f>parking_demand_data_2024_ver0!D1199*calibration!$I$31</f>
        <v>110.86446063472501</v>
      </c>
      <c r="E1199" s="3">
        <f>parking_demand_data_2024_ver0!E1199*calibration!$I$31</f>
        <v>1.5507090581382701</v>
      </c>
      <c r="F1199" s="3">
        <f t="shared" si="18"/>
        <v>112.41516969286327</v>
      </c>
      <c r="G1199" s="3">
        <f>parking_demand_data_2024_ver0!F1199</f>
        <v>4</v>
      </c>
      <c r="H1199" s="3">
        <f>parking_demand_data_2024_ver0!G1199</f>
        <v>0</v>
      </c>
      <c r="I1199" s="3">
        <f>parking_demand_data_2024_ver0!H1199</f>
        <v>1</v>
      </c>
      <c r="J1199" s="3">
        <f>parking_demand_data_2024_ver0!I1199</f>
        <v>3</v>
      </c>
      <c r="K1199" s="3">
        <f>parking_demand_data_2024_ver0!J1199</f>
        <v>0</v>
      </c>
      <c r="L1199" s="3">
        <f>parking_demand_data_2024_ver0!K1199</f>
        <v>0</v>
      </c>
      <c r="M1199" s="3">
        <f>parking_demand_data_2024_ver0!L1199</f>
        <v>0</v>
      </c>
      <c r="N1199" s="3">
        <f>parking_demand_data_2024_ver0!M1199</f>
        <v>135</v>
      </c>
      <c r="O1199" s="3">
        <f>parking_demand_data_2024_ver0!N1199</f>
        <v>0</v>
      </c>
      <c r="P1199" s="3">
        <f>parking_demand_data_2024_ver0!O1199</f>
        <v>59</v>
      </c>
      <c r="Q1199" s="3">
        <f>parking_demand_data_2024_ver0!P1199</f>
        <v>76</v>
      </c>
      <c r="R1199" s="3">
        <f>parking_demand_data_2024_ver0!Q1199</f>
        <v>0</v>
      </c>
      <c r="S1199" s="3">
        <f>parking_demand_data_2024_ver0!R1199</f>
        <v>0</v>
      </c>
      <c r="T1199" s="3">
        <f>parking_demand_data_2024_ver0!S1199</f>
        <v>0</v>
      </c>
    </row>
    <row r="1200" spans="1:20" x14ac:dyDescent="0.25">
      <c r="A1200">
        <v>18099</v>
      </c>
      <c r="B1200" t="s">
        <v>78</v>
      </c>
      <c r="C1200">
        <v>22</v>
      </c>
      <c r="D1200" s="3">
        <f>parking_demand_data_2024_ver0!D1200*calibration!$I$31</f>
        <v>114.32546346013601</v>
      </c>
      <c r="E1200" s="3">
        <f>parking_demand_data_2024_ver0!E1200*calibration!$I$31</f>
        <v>1.70802736838418</v>
      </c>
      <c r="F1200" s="3">
        <f t="shared" si="18"/>
        <v>116.03349082852019</v>
      </c>
      <c r="G1200" s="3">
        <f>parking_demand_data_2024_ver0!F1200</f>
        <v>4</v>
      </c>
      <c r="H1200" s="3">
        <f>parking_demand_data_2024_ver0!G1200</f>
        <v>0</v>
      </c>
      <c r="I1200" s="3">
        <f>parking_demand_data_2024_ver0!H1200</f>
        <v>1</v>
      </c>
      <c r="J1200" s="3">
        <f>parking_demand_data_2024_ver0!I1200</f>
        <v>3</v>
      </c>
      <c r="K1200" s="3">
        <f>parking_demand_data_2024_ver0!J1200</f>
        <v>0</v>
      </c>
      <c r="L1200" s="3">
        <f>parking_demand_data_2024_ver0!K1200</f>
        <v>0</v>
      </c>
      <c r="M1200" s="3">
        <f>parking_demand_data_2024_ver0!L1200</f>
        <v>0</v>
      </c>
      <c r="N1200" s="3">
        <f>parking_demand_data_2024_ver0!M1200</f>
        <v>135</v>
      </c>
      <c r="O1200" s="3">
        <f>parking_demand_data_2024_ver0!N1200</f>
        <v>0</v>
      </c>
      <c r="P1200" s="3">
        <f>parking_demand_data_2024_ver0!O1200</f>
        <v>59</v>
      </c>
      <c r="Q1200" s="3">
        <f>parking_demand_data_2024_ver0!P1200</f>
        <v>76</v>
      </c>
      <c r="R1200" s="3">
        <f>parking_demand_data_2024_ver0!Q1200</f>
        <v>0</v>
      </c>
      <c r="S1200" s="3">
        <f>parking_demand_data_2024_ver0!R1200</f>
        <v>0</v>
      </c>
      <c r="T1200" s="3">
        <f>parking_demand_data_2024_ver0!S1200</f>
        <v>0</v>
      </c>
    </row>
    <row r="1201" spans="1:20" x14ac:dyDescent="0.25">
      <c r="A1201">
        <v>18099</v>
      </c>
      <c r="B1201" t="s">
        <v>78</v>
      </c>
      <c r="C1201">
        <v>23</v>
      </c>
      <c r="D1201" s="3">
        <f>parking_demand_data_2024_ver0!D1201*calibration!$I$31</f>
        <v>115.988542739878</v>
      </c>
      <c r="E1201" s="3">
        <f>parking_demand_data_2024_ver0!E1201*calibration!$I$31</f>
        <v>1.8653456786300899</v>
      </c>
      <c r="F1201" s="3">
        <f t="shared" si="18"/>
        <v>117.85388841850809</v>
      </c>
      <c r="G1201" s="3">
        <f>parking_demand_data_2024_ver0!F1201</f>
        <v>4</v>
      </c>
      <c r="H1201" s="3">
        <f>parking_demand_data_2024_ver0!G1201</f>
        <v>0</v>
      </c>
      <c r="I1201" s="3">
        <f>parking_demand_data_2024_ver0!H1201</f>
        <v>1</v>
      </c>
      <c r="J1201" s="3">
        <f>parking_demand_data_2024_ver0!I1201</f>
        <v>3</v>
      </c>
      <c r="K1201" s="3">
        <f>parking_demand_data_2024_ver0!J1201</f>
        <v>0</v>
      </c>
      <c r="L1201" s="3">
        <f>parking_demand_data_2024_ver0!K1201</f>
        <v>0</v>
      </c>
      <c r="M1201" s="3">
        <f>parking_demand_data_2024_ver0!L1201</f>
        <v>0</v>
      </c>
      <c r="N1201" s="3">
        <f>parking_demand_data_2024_ver0!M1201</f>
        <v>135</v>
      </c>
      <c r="O1201" s="3">
        <f>parking_demand_data_2024_ver0!N1201</f>
        <v>0</v>
      </c>
      <c r="P1201" s="3">
        <f>parking_demand_data_2024_ver0!O1201</f>
        <v>59</v>
      </c>
      <c r="Q1201" s="3">
        <f>parking_demand_data_2024_ver0!P1201</f>
        <v>76</v>
      </c>
      <c r="R1201" s="3">
        <f>parking_demand_data_2024_ver0!Q1201</f>
        <v>0</v>
      </c>
      <c r="S1201" s="3">
        <f>parking_demand_data_2024_ver0!R1201</f>
        <v>0</v>
      </c>
      <c r="T1201" s="3">
        <f>parking_demand_data_2024_ver0!S1201</f>
        <v>0</v>
      </c>
    </row>
    <row r="1202" spans="1:20" x14ac:dyDescent="0.25">
      <c r="A1202">
        <v>18101</v>
      </c>
      <c r="B1202" t="s">
        <v>79</v>
      </c>
      <c r="C1202">
        <v>0</v>
      </c>
      <c r="D1202" s="3">
        <f>parking_demand_data_2024_ver0!D1202*calibration!$I$31</f>
        <v>0</v>
      </c>
      <c r="E1202" s="3">
        <f>parking_demand_data_2024_ver0!E1202*calibration!$I$31</f>
        <v>0.15471531873003699</v>
      </c>
      <c r="F1202" s="3">
        <f t="shared" si="18"/>
        <v>0.15471531873003699</v>
      </c>
      <c r="G1202" s="3">
        <f>parking_demand_data_2024_ver0!F1202</f>
        <v>0</v>
      </c>
      <c r="H1202" s="3">
        <f>parking_demand_data_2024_ver0!G1202</f>
        <v>0</v>
      </c>
      <c r="I1202" s="3">
        <f>parking_demand_data_2024_ver0!H1202</f>
        <v>0</v>
      </c>
      <c r="J1202" s="3">
        <f>parking_demand_data_2024_ver0!I1202</f>
        <v>0</v>
      </c>
      <c r="K1202" s="3">
        <f>parking_demand_data_2024_ver0!J1202</f>
        <v>0</v>
      </c>
      <c r="L1202" s="3">
        <f>parking_demand_data_2024_ver0!K1202</f>
        <v>0</v>
      </c>
      <c r="M1202" s="3">
        <f>parking_demand_data_2024_ver0!L1202</f>
        <v>0</v>
      </c>
      <c r="N1202" s="3">
        <f>parking_demand_data_2024_ver0!M1202</f>
        <v>0</v>
      </c>
      <c r="O1202" s="3">
        <f>parking_demand_data_2024_ver0!N1202</f>
        <v>0</v>
      </c>
      <c r="P1202" s="3">
        <f>parking_demand_data_2024_ver0!O1202</f>
        <v>0</v>
      </c>
      <c r="Q1202" s="3">
        <f>parking_demand_data_2024_ver0!P1202</f>
        <v>0</v>
      </c>
      <c r="R1202" s="3">
        <f>parking_demand_data_2024_ver0!Q1202</f>
        <v>0</v>
      </c>
      <c r="S1202" s="3">
        <f>parking_demand_data_2024_ver0!R1202</f>
        <v>0</v>
      </c>
      <c r="T1202" s="3">
        <f>parking_demand_data_2024_ver0!S1202</f>
        <v>0</v>
      </c>
    </row>
    <row r="1203" spans="1:20" x14ac:dyDescent="0.25">
      <c r="A1203">
        <v>18101</v>
      </c>
      <c r="B1203" t="s">
        <v>79</v>
      </c>
      <c r="C1203">
        <v>1</v>
      </c>
      <c r="D1203" s="3">
        <f>parking_demand_data_2024_ver0!D1203*calibration!$I$31</f>
        <v>0</v>
      </c>
      <c r="E1203" s="3">
        <f>parking_demand_data_2024_ver0!E1203*calibration!$I$31</f>
        <v>0.15471531873003699</v>
      </c>
      <c r="F1203" s="3">
        <f t="shared" si="18"/>
        <v>0.15471531873003699</v>
      </c>
      <c r="G1203" s="3">
        <f>parking_demand_data_2024_ver0!F1203</f>
        <v>0</v>
      </c>
      <c r="H1203" s="3">
        <f>parking_demand_data_2024_ver0!G1203</f>
        <v>0</v>
      </c>
      <c r="I1203" s="3">
        <f>parking_demand_data_2024_ver0!H1203</f>
        <v>0</v>
      </c>
      <c r="J1203" s="3">
        <f>parking_demand_data_2024_ver0!I1203</f>
        <v>0</v>
      </c>
      <c r="K1203" s="3">
        <f>parking_demand_data_2024_ver0!J1203</f>
        <v>0</v>
      </c>
      <c r="L1203" s="3">
        <f>parking_demand_data_2024_ver0!K1203</f>
        <v>0</v>
      </c>
      <c r="M1203" s="3">
        <f>parking_demand_data_2024_ver0!L1203</f>
        <v>0</v>
      </c>
      <c r="N1203" s="3">
        <f>parking_demand_data_2024_ver0!M1203</f>
        <v>0</v>
      </c>
      <c r="O1203" s="3">
        <f>parking_demand_data_2024_ver0!N1203</f>
        <v>0</v>
      </c>
      <c r="P1203" s="3">
        <f>parking_demand_data_2024_ver0!O1203</f>
        <v>0</v>
      </c>
      <c r="Q1203" s="3">
        <f>parking_demand_data_2024_ver0!P1203</f>
        <v>0</v>
      </c>
      <c r="R1203" s="3">
        <f>parking_demand_data_2024_ver0!Q1203</f>
        <v>0</v>
      </c>
      <c r="S1203" s="3">
        <f>parking_demand_data_2024_ver0!R1203</f>
        <v>0</v>
      </c>
      <c r="T1203" s="3">
        <f>parking_demand_data_2024_ver0!S1203</f>
        <v>0</v>
      </c>
    </row>
    <row r="1204" spans="1:20" x14ac:dyDescent="0.25">
      <c r="A1204">
        <v>18101</v>
      </c>
      <c r="B1204" t="s">
        <v>79</v>
      </c>
      <c r="C1204">
        <v>2</v>
      </c>
      <c r="D1204" s="3">
        <f>parking_demand_data_2024_ver0!D1204*calibration!$I$31</f>
        <v>0</v>
      </c>
      <c r="E1204" s="3">
        <f>parking_demand_data_2024_ver0!E1204*calibration!$I$31</f>
        <v>0.30943063746007399</v>
      </c>
      <c r="F1204" s="3">
        <f t="shared" si="18"/>
        <v>0.30943063746007399</v>
      </c>
      <c r="G1204" s="3">
        <f>parking_demand_data_2024_ver0!F1204</f>
        <v>0</v>
      </c>
      <c r="H1204" s="3">
        <f>parking_demand_data_2024_ver0!G1204</f>
        <v>0</v>
      </c>
      <c r="I1204" s="3">
        <f>parking_demand_data_2024_ver0!H1204</f>
        <v>0</v>
      </c>
      <c r="J1204" s="3">
        <f>parking_demand_data_2024_ver0!I1204</f>
        <v>0</v>
      </c>
      <c r="K1204" s="3">
        <f>parking_demand_data_2024_ver0!J1204</f>
        <v>0</v>
      </c>
      <c r="L1204" s="3">
        <f>parking_demand_data_2024_ver0!K1204</f>
        <v>0</v>
      </c>
      <c r="M1204" s="3">
        <f>parking_demand_data_2024_ver0!L1204</f>
        <v>0</v>
      </c>
      <c r="N1204" s="3">
        <f>parking_demand_data_2024_ver0!M1204</f>
        <v>0</v>
      </c>
      <c r="O1204" s="3">
        <f>parking_demand_data_2024_ver0!N1204</f>
        <v>0</v>
      </c>
      <c r="P1204" s="3">
        <f>parking_demand_data_2024_ver0!O1204</f>
        <v>0</v>
      </c>
      <c r="Q1204" s="3">
        <f>parking_demand_data_2024_ver0!P1204</f>
        <v>0</v>
      </c>
      <c r="R1204" s="3">
        <f>parking_demand_data_2024_ver0!Q1204</f>
        <v>0</v>
      </c>
      <c r="S1204" s="3">
        <f>parking_demand_data_2024_ver0!R1204</f>
        <v>0</v>
      </c>
      <c r="T1204" s="3">
        <f>parking_demand_data_2024_ver0!S1204</f>
        <v>0</v>
      </c>
    </row>
    <row r="1205" spans="1:20" x14ac:dyDescent="0.25">
      <c r="A1205">
        <v>18101</v>
      </c>
      <c r="B1205" t="s">
        <v>79</v>
      </c>
      <c r="C1205">
        <v>3</v>
      </c>
      <c r="D1205" s="3">
        <f>parking_demand_data_2024_ver0!D1205*calibration!$I$31</f>
        <v>0</v>
      </c>
      <c r="E1205" s="3">
        <f>parking_demand_data_2024_ver0!E1205*calibration!$I$31</f>
        <v>0.30943063746007399</v>
      </c>
      <c r="F1205" s="3">
        <f t="shared" si="18"/>
        <v>0.30943063746007399</v>
      </c>
      <c r="G1205" s="3">
        <f>parking_demand_data_2024_ver0!F1205</f>
        <v>0</v>
      </c>
      <c r="H1205" s="3">
        <f>parking_demand_data_2024_ver0!G1205</f>
        <v>0</v>
      </c>
      <c r="I1205" s="3">
        <f>parking_demand_data_2024_ver0!H1205</f>
        <v>0</v>
      </c>
      <c r="J1205" s="3">
        <f>parking_demand_data_2024_ver0!I1205</f>
        <v>0</v>
      </c>
      <c r="K1205" s="3">
        <f>parking_demand_data_2024_ver0!J1205</f>
        <v>0</v>
      </c>
      <c r="L1205" s="3">
        <f>parking_demand_data_2024_ver0!K1205</f>
        <v>0</v>
      </c>
      <c r="M1205" s="3">
        <f>parking_demand_data_2024_ver0!L1205</f>
        <v>0</v>
      </c>
      <c r="N1205" s="3">
        <f>parking_demand_data_2024_ver0!M1205</f>
        <v>0</v>
      </c>
      <c r="O1205" s="3">
        <f>parking_demand_data_2024_ver0!N1205</f>
        <v>0</v>
      </c>
      <c r="P1205" s="3">
        <f>parking_demand_data_2024_ver0!O1205</f>
        <v>0</v>
      </c>
      <c r="Q1205" s="3">
        <f>parking_demand_data_2024_ver0!P1205</f>
        <v>0</v>
      </c>
      <c r="R1205" s="3">
        <f>parking_demand_data_2024_ver0!Q1205</f>
        <v>0</v>
      </c>
      <c r="S1205" s="3">
        <f>parking_demand_data_2024_ver0!R1205</f>
        <v>0</v>
      </c>
      <c r="T1205" s="3">
        <f>parking_demand_data_2024_ver0!S1205</f>
        <v>0</v>
      </c>
    </row>
    <row r="1206" spans="1:20" x14ac:dyDescent="0.25">
      <c r="A1206">
        <v>18101</v>
      </c>
      <c r="B1206" t="s">
        <v>79</v>
      </c>
      <c r="C1206">
        <v>4</v>
      </c>
      <c r="D1206" s="3">
        <f>parking_demand_data_2024_ver0!D1206*calibration!$I$31</f>
        <v>0</v>
      </c>
      <c r="E1206" s="3">
        <f>parking_demand_data_2024_ver0!E1206*calibration!$I$31</f>
        <v>0.30943063746007399</v>
      </c>
      <c r="F1206" s="3">
        <f t="shared" si="18"/>
        <v>0.30943063746007399</v>
      </c>
      <c r="G1206" s="3">
        <f>parking_demand_data_2024_ver0!F1206</f>
        <v>0</v>
      </c>
      <c r="H1206" s="3">
        <f>parking_demand_data_2024_ver0!G1206</f>
        <v>0</v>
      </c>
      <c r="I1206" s="3">
        <f>parking_demand_data_2024_ver0!H1206</f>
        <v>0</v>
      </c>
      <c r="J1206" s="3">
        <f>parking_demand_data_2024_ver0!I1206</f>
        <v>0</v>
      </c>
      <c r="K1206" s="3">
        <f>parking_demand_data_2024_ver0!J1206</f>
        <v>0</v>
      </c>
      <c r="L1206" s="3">
        <f>parking_demand_data_2024_ver0!K1206</f>
        <v>0</v>
      </c>
      <c r="M1206" s="3">
        <f>parking_demand_data_2024_ver0!L1206</f>
        <v>0</v>
      </c>
      <c r="N1206" s="3">
        <f>parking_demand_data_2024_ver0!M1206</f>
        <v>0</v>
      </c>
      <c r="O1206" s="3">
        <f>parking_demand_data_2024_ver0!N1206</f>
        <v>0</v>
      </c>
      <c r="P1206" s="3">
        <f>parking_demand_data_2024_ver0!O1206</f>
        <v>0</v>
      </c>
      <c r="Q1206" s="3">
        <f>parking_demand_data_2024_ver0!P1206</f>
        <v>0</v>
      </c>
      <c r="R1206" s="3">
        <f>parking_demand_data_2024_ver0!Q1206</f>
        <v>0</v>
      </c>
      <c r="S1206" s="3">
        <f>parking_demand_data_2024_ver0!R1206</f>
        <v>0</v>
      </c>
      <c r="T1206" s="3">
        <f>parking_demand_data_2024_ver0!S1206</f>
        <v>0</v>
      </c>
    </row>
    <row r="1207" spans="1:20" x14ac:dyDescent="0.25">
      <c r="A1207">
        <v>18101</v>
      </c>
      <c r="B1207" t="s">
        <v>79</v>
      </c>
      <c r="C1207">
        <v>5</v>
      </c>
      <c r="D1207" s="3">
        <f>parking_demand_data_2024_ver0!D1207*calibration!$I$31</f>
        <v>0</v>
      </c>
      <c r="E1207" s="3">
        <f>parking_demand_data_2024_ver0!E1207*calibration!$I$31</f>
        <v>1.1603648904752699</v>
      </c>
      <c r="F1207" s="3">
        <f t="shared" si="18"/>
        <v>1.1603648904752699</v>
      </c>
      <c r="G1207" s="3">
        <f>parking_demand_data_2024_ver0!F1207</f>
        <v>0</v>
      </c>
      <c r="H1207" s="3">
        <f>parking_demand_data_2024_ver0!G1207</f>
        <v>0</v>
      </c>
      <c r="I1207" s="3">
        <f>parking_demand_data_2024_ver0!H1207</f>
        <v>0</v>
      </c>
      <c r="J1207" s="3">
        <f>parking_demand_data_2024_ver0!I1207</f>
        <v>0</v>
      </c>
      <c r="K1207" s="3">
        <f>parking_demand_data_2024_ver0!J1207</f>
        <v>0</v>
      </c>
      <c r="L1207" s="3">
        <f>parking_demand_data_2024_ver0!K1207</f>
        <v>0</v>
      </c>
      <c r="M1207" s="3">
        <f>parking_demand_data_2024_ver0!L1207</f>
        <v>0</v>
      </c>
      <c r="N1207" s="3">
        <f>parking_demand_data_2024_ver0!M1207</f>
        <v>0</v>
      </c>
      <c r="O1207" s="3">
        <f>parking_demand_data_2024_ver0!N1207</f>
        <v>0</v>
      </c>
      <c r="P1207" s="3">
        <f>parking_demand_data_2024_ver0!O1207</f>
        <v>0</v>
      </c>
      <c r="Q1207" s="3">
        <f>parking_demand_data_2024_ver0!P1207</f>
        <v>0</v>
      </c>
      <c r="R1207" s="3">
        <f>parking_demand_data_2024_ver0!Q1207</f>
        <v>0</v>
      </c>
      <c r="S1207" s="3">
        <f>parking_demand_data_2024_ver0!R1207</f>
        <v>0</v>
      </c>
      <c r="T1207" s="3">
        <f>parking_demand_data_2024_ver0!S1207</f>
        <v>0</v>
      </c>
    </row>
    <row r="1208" spans="1:20" x14ac:dyDescent="0.25">
      <c r="A1208">
        <v>18101</v>
      </c>
      <c r="B1208" t="s">
        <v>79</v>
      </c>
      <c r="C1208">
        <v>6</v>
      </c>
      <c r="D1208" s="3">
        <f>parking_demand_data_2024_ver0!D1208*calibration!$I$31</f>
        <v>0</v>
      </c>
      <c r="E1208" s="3">
        <f>parking_demand_data_2024_ver0!E1208*calibration!$I$31</f>
        <v>0.85093425301520398</v>
      </c>
      <c r="F1208" s="3">
        <f t="shared" si="18"/>
        <v>0.85093425301520398</v>
      </c>
      <c r="G1208" s="3">
        <f>parking_demand_data_2024_ver0!F1208</f>
        <v>0</v>
      </c>
      <c r="H1208" s="3">
        <f>parking_demand_data_2024_ver0!G1208</f>
        <v>0</v>
      </c>
      <c r="I1208" s="3">
        <f>parking_demand_data_2024_ver0!H1208</f>
        <v>0</v>
      </c>
      <c r="J1208" s="3">
        <f>parking_demand_data_2024_ver0!I1208</f>
        <v>0</v>
      </c>
      <c r="K1208" s="3">
        <f>parking_demand_data_2024_ver0!J1208</f>
        <v>0</v>
      </c>
      <c r="L1208" s="3">
        <f>parking_demand_data_2024_ver0!K1208</f>
        <v>0</v>
      </c>
      <c r="M1208" s="3">
        <f>parking_demand_data_2024_ver0!L1208</f>
        <v>0</v>
      </c>
      <c r="N1208" s="3">
        <f>parking_demand_data_2024_ver0!M1208</f>
        <v>0</v>
      </c>
      <c r="O1208" s="3">
        <f>parking_demand_data_2024_ver0!N1208</f>
        <v>0</v>
      </c>
      <c r="P1208" s="3">
        <f>parking_demand_data_2024_ver0!O1208</f>
        <v>0</v>
      </c>
      <c r="Q1208" s="3">
        <f>parking_demand_data_2024_ver0!P1208</f>
        <v>0</v>
      </c>
      <c r="R1208" s="3">
        <f>parking_demand_data_2024_ver0!Q1208</f>
        <v>0</v>
      </c>
      <c r="S1208" s="3">
        <f>parking_demand_data_2024_ver0!R1208</f>
        <v>0</v>
      </c>
      <c r="T1208" s="3">
        <f>parking_demand_data_2024_ver0!S1208</f>
        <v>0</v>
      </c>
    </row>
    <row r="1209" spans="1:20" x14ac:dyDescent="0.25">
      <c r="A1209">
        <v>18101</v>
      </c>
      <c r="B1209" t="s">
        <v>79</v>
      </c>
      <c r="C1209">
        <v>7</v>
      </c>
      <c r="D1209" s="3">
        <f>parking_demand_data_2024_ver0!D1209*calibration!$I$31</f>
        <v>0</v>
      </c>
      <c r="E1209" s="3">
        <f>parking_demand_data_2024_ver0!E1209*calibration!$I$31</f>
        <v>2.0112991434904801</v>
      </c>
      <c r="F1209" s="3">
        <f t="shared" si="18"/>
        <v>2.0112991434904801</v>
      </c>
      <c r="G1209" s="3">
        <f>parking_demand_data_2024_ver0!F1209</f>
        <v>0</v>
      </c>
      <c r="H1209" s="3">
        <f>parking_demand_data_2024_ver0!G1209</f>
        <v>0</v>
      </c>
      <c r="I1209" s="3">
        <f>parking_demand_data_2024_ver0!H1209</f>
        <v>0</v>
      </c>
      <c r="J1209" s="3">
        <f>parking_demand_data_2024_ver0!I1209</f>
        <v>0</v>
      </c>
      <c r="K1209" s="3">
        <f>parking_demand_data_2024_ver0!J1209</f>
        <v>0</v>
      </c>
      <c r="L1209" s="3">
        <f>parking_demand_data_2024_ver0!K1209</f>
        <v>0</v>
      </c>
      <c r="M1209" s="3">
        <f>parking_demand_data_2024_ver0!L1209</f>
        <v>0</v>
      </c>
      <c r="N1209" s="3">
        <f>parking_demand_data_2024_ver0!M1209</f>
        <v>0</v>
      </c>
      <c r="O1209" s="3">
        <f>parking_demand_data_2024_ver0!N1209</f>
        <v>0</v>
      </c>
      <c r="P1209" s="3">
        <f>parking_demand_data_2024_ver0!O1209</f>
        <v>0</v>
      </c>
      <c r="Q1209" s="3">
        <f>parking_demand_data_2024_ver0!P1209</f>
        <v>0</v>
      </c>
      <c r="R1209" s="3">
        <f>parking_demand_data_2024_ver0!Q1209</f>
        <v>0</v>
      </c>
      <c r="S1209" s="3">
        <f>parking_demand_data_2024_ver0!R1209</f>
        <v>0</v>
      </c>
      <c r="T1209" s="3">
        <f>parking_demand_data_2024_ver0!S1209</f>
        <v>0</v>
      </c>
    </row>
    <row r="1210" spans="1:20" x14ac:dyDescent="0.25">
      <c r="A1210">
        <v>18101</v>
      </c>
      <c r="B1210" t="s">
        <v>79</v>
      </c>
      <c r="C1210">
        <v>8</v>
      </c>
      <c r="D1210" s="3">
        <f>parking_demand_data_2024_ver0!D1210*calibration!$I$31</f>
        <v>0</v>
      </c>
      <c r="E1210" s="3">
        <f>parking_demand_data_2024_ver0!E1210*calibration!$I$31</f>
        <v>2.24337212158553</v>
      </c>
      <c r="F1210" s="3">
        <f t="shared" si="18"/>
        <v>2.24337212158553</v>
      </c>
      <c r="G1210" s="3">
        <f>parking_demand_data_2024_ver0!F1210</f>
        <v>0</v>
      </c>
      <c r="H1210" s="3">
        <f>parking_demand_data_2024_ver0!G1210</f>
        <v>0</v>
      </c>
      <c r="I1210" s="3">
        <f>parking_demand_data_2024_ver0!H1210</f>
        <v>0</v>
      </c>
      <c r="J1210" s="3">
        <f>parking_demand_data_2024_ver0!I1210</f>
        <v>0</v>
      </c>
      <c r="K1210" s="3">
        <f>parking_demand_data_2024_ver0!J1210</f>
        <v>0</v>
      </c>
      <c r="L1210" s="3">
        <f>parking_demand_data_2024_ver0!K1210</f>
        <v>0</v>
      </c>
      <c r="M1210" s="3">
        <f>parking_demand_data_2024_ver0!L1210</f>
        <v>0</v>
      </c>
      <c r="N1210" s="3">
        <f>parking_demand_data_2024_ver0!M1210</f>
        <v>0</v>
      </c>
      <c r="O1210" s="3">
        <f>parking_demand_data_2024_ver0!N1210</f>
        <v>0</v>
      </c>
      <c r="P1210" s="3">
        <f>parking_demand_data_2024_ver0!O1210</f>
        <v>0</v>
      </c>
      <c r="Q1210" s="3">
        <f>parking_demand_data_2024_ver0!P1210</f>
        <v>0</v>
      </c>
      <c r="R1210" s="3">
        <f>parking_demand_data_2024_ver0!Q1210</f>
        <v>0</v>
      </c>
      <c r="S1210" s="3">
        <f>parking_demand_data_2024_ver0!R1210</f>
        <v>0</v>
      </c>
      <c r="T1210" s="3">
        <f>parking_demand_data_2024_ver0!S1210</f>
        <v>0</v>
      </c>
    </row>
    <row r="1211" spans="1:20" x14ac:dyDescent="0.25">
      <c r="A1211">
        <v>18101</v>
      </c>
      <c r="B1211" t="s">
        <v>79</v>
      </c>
      <c r="C1211">
        <v>9</v>
      </c>
      <c r="D1211" s="3">
        <f>parking_demand_data_2024_ver0!D1211*calibration!$I$31</f>
        <v>0</v>
      </c>
      <c r="E1211" s="3">
        <f>parking_demand_data_2024_ver0!E1211*calibration!$I$31</f>
        <v>2.24337212158553</v>
      </c>
      <c r="F1211" s="3">
        <f t="shared" si="18"/>
        <v>2.24337212158553</v>
      </c>
      <c r="G1211" s="3">
        <f>parking_demand_data_2024_ver0!F1211</f>
        <v>0</v>
      </c>
      <c r="H1211" s="3">
        <f>parking_demand_data_2024_ver0!G1211</f>
        <v>0</v>
      </c>
      <c r="I1211" s="3">
        <f>parking_demand_data_2024_ver0!H1211</f>
        <v>0</v>
      </c>
      <c r="J1211" s="3">
        <f>parking_demand_data_2024_ver0!I1211</f>
        <v>0</v>
      </c>
      <c r="K1211" s="3">
        <f>parking_demand_data_2024_ver0!J1211</f>
        <v>0</v>
      </c>
      <c r="L1211" s="3">
        <f>parking_demand_data_2024_ver0!K1211</f>
        <v>0</v>
      </c>
      <c r="M1211" s="3">
        <f>parking_demand_data_2024_ver0!L1211</f>
        <v>0</v>
      </c>
      <c r="N1211" s="3">
        <f>parking_demand_data_2024_ver0!M1211</f>
        <v>0</v>
      </c>
      <c r="O1211" s="3">
        <f>parking_demand_data_2024_ver0!N1211</f>
        <v>0</v>
      </c>
      <c r="P1211" s="3">
        <f>parking_demand_data_2024_ver0!O1211</f>
        <v>0</v>
      </c>
      <c r="Q1211" s="3">
        <f>parking_demand_data_2024_ver0!P1211</f>
        <v>0</v>
      </c>
      <c r="R1211" s="3">
        <f>parking_demand_data_2024_ver0!Q1211</f>
        <v>0</v>
      </c>
      <c r="S1211" s="3">
        <f>parking_demand_data_2024_ver0!R1211</f>
        <v>0</v>
      </c>
      <c r="T1211" s="3">
        <f>parking_demand_data_2024_ver0!S1211</f>
        <v>0</v>
      </c>
    </row>
    <row r="1212" spans="1:20" x14ac:dyDescent="0.25">
      <c r="A1212">
        <v>18101</v>
      </c>
      <c r="B1212" t="s">
        <v>79</v>
      </c>
      <c r="C1212">
        <v>10</v>
      </c>
      <c r="D1212" s="3">
        <f>parking_demand_data_2024_ver0!D1212*calibration!$I$31</f>
        <v>0</v>
      </c>
      <c r="E1212" s="3">
        <f>parking_demand_data_2024_ver0!E1212*calibration!$I$31</f>
        <v>4.6414595619011099</v>
      </c>
      <c r="F1212" s="3">
        <f t="shared" si="18"/>
        <v>4.6414595619011099</v>
      </c>
      <c r="G1212" s="3">
        <f>parking_demand_data_2024_ver0!F1212</f>
        <v>0</v>
      </c>
      <c r="H1212" s="3">
        <f>parking_demand_data_2024_ver0!G1212</f>
        <v>0</v>
      </c>
      <c r="I1212" s="3">
        <f>parking_demand_data_2024_ver0!H1212</f>
        <v>0</v>
      </c>
      <c r="J1212" s="3">
        <f>parking_demand_data_2024_ver0!I1212</f>
        <v>0</v>
      </c>
      <c r="K1212" s="3">
        <f>parking_demand_data_2024_ver0!J1212</f>
        <v>0</v>
      </c>
      <c r="L1212" s="3">
        <f>parking_demand_data_2024_ver0!K1212</f>
        <v>0</v>
      </c>
      <c r="M1212" s="3">
        <f>parking_demand_data_2024_ver0!L1212</f>
        <v>0</v>
      </c>
      <c r="N1212" s="3">
        <f>parking_demand_data_2024_ver0!M1212</f>
        <v>0</v>
      </c>
      <c r="O1212" s="3">
        <f>parking_demand_data_2024_ver0!N1212</f>
        <v>0</v>
      </c>
      <c r="P1212" s="3">
        <f>parking_demand_data_2024_ver0!O1212</f>
        <v>0</v>
      </c>
      <c r="Q1212" s="3">
        <f>parking_demand_data_2024_ver0!P1212</f>
        <v>0</v>
      </c>
      <c r="R1212" s="3">
        <f>parking_demand_data_2024_ver0!Q1212</f>
        <v>0</v>
      </c>
      <c r="S1212" s="3">
        <f>parking_demand_data_2024_ver0!R1212</f>
        <v>0</v>
      </c>
      <c r="T1212" s="3">
        <f>parking_demand_data_2024_ver0!S1212</f>
        <v>0</v>
      </c>
    </row>
    <row r="1213" spans="1:20" x14ac:dyDescent="0.25">
      <c r="A1213">
        <v>18101</v>
      </c>
      <c r="B1213" t="s">
        <v>79</v>
      </c>
      <c r="C1213">
        <v>11</v>
      </c>
      <c r="D1213" s="3">
        <f>parking_demand_data_2024_ver0!D1213*calibration!$I$31</f>
        <v>0</v>
      </c>
      <c r="E1213" s="3">
        <f>parking_demand_data_2024_ver0!E1213*calibration!$I$31</f>
        <v>4.2546712650760101</v>
      </c>
      <c r="F1213" s="3">
        <f t="shared" si="18"/>
        <v>4.2546712650760101</v>
      </c>
      <c r="G1213" s="3">
        <f>parking_demand_data_2024_ver0!F1213</f>
        <v>0</v>
      </c>
      <c r="H1213" s="3">
        <f>parking_demand_data_2024_ver0!G1213</f>
        <v>0</v>
      </c>
      <c r="I1213" s="3">
        <f>parking_demand_data_2024_ver0!H1213</f>
        <v>0</v>
      </c>
      <c r="J1213" s="3">
        <f>parking_demand_data_2024_ver0!I1213</f>
        <v>0</v>
      </c>
      <c r="K1213" s="3">
        <f>parking_demand_data_2024_ver0!J1213</f>
        <v>0</v>
      </c>
      <c r="L1213" s="3">
        <f>parking_demand_data_2024_ver0!K1213</f>
        <v>0</v>
      </c>
      <c r="M1213" s="3">
        <f>parking_demand_data_2024_ver0!L1213</f>
        <v>0</v>
      </c>
      <c r="N1213" s="3">
        <f>parking_demand_data_2024_ver0!M1213</f>
        <v>0</v>
      </c>
      <c r="O1213" s="3">
        <f>parking_demand_data_2024_ver0!N1213</f>
        <v>0</v>
      </c>
      <c r="P1213" s="3">
        <f>parking_demand_data_2024_ver0!O1213</f>
        <v>0</v>
      </c>
      <c r="Q1213" s="3">
        <f>parking_demand_data_2024_ver0!P1213</f>
        <v>0</v>
      </c>
      <c r="R1213" s="3">
        <f>parking_demand_data_2024_ver0!Q1213</f>
        <v>0</v>
      </c>
      <c r="S1213" s="3">
        <f>parking_demand_data_2024_ver0!R1213</f>
        <v>0</v>
      </c>
      <c r="T1213" s="3">
        <f>parking_demand_data_2024_ver0!S1213</f>
        <v>0</v>
      </c>
    </row>
    <row r="1214" spans="1:20" x14ac:dyDescent="0.25">
      <c r="A1214">
        <v>18101</v>
      </c>
      <c r="B1214" t="s">
        <v>79</v>
      </c>
      <c r="C1214">
        <v>12</v>
      </c>
      <c r="D1214" s="3">
        <f>parking_demand_data_2024_ver0!D1214*calibration!$I$31</f>
        <v>0</v>
      </c>
      <c r="E1214" s="3">
        <f>parking_demand_data_2024_ver0!E1214*calibration!$I$31</f>
        <v>2.7848757371406601</v>
      </c>
      <c r="F1214" s="3">
        <f t="shared" si="18"/>
        <v>2.7848757371406601</v>
      </c>
      <c r="G1214" s="3">
        <f>parking_demand_data_2024_ver0!F1214</f>
        <v>0</v>
      </c>
      <c r="H1214" s="3">
        <f>parking_demand_data_2024_ver0!G1214</f>
        <v>0</v>
      </c>
      <c r="I1214" s="3">
        <f>parking_demand_data_2024_ver0!H1214</f>
        <v>0</v>
      </c>
      <c r="J1214" s="3">
        <f>parking_demand_data_2024_ver0!I1214</f>
        <v>0</v>
      </c>
      <c r="K1214" s="3">
        <f>parking_demand_data_2024_ver0!J1214</f>
        <v>0</v>
      </c>
      <c r="L1214" s="3">
        <f>parking_demand_data_2024_ver0!K1214</f>
        <v>0</v>
      </c>
      <c r="M1214" s="3">
        <f>parking_demand_data_2024_ver0!L1214</f>
        <v>0</v>
      </c>
      <c r="N1214" s="3">
        <f>parking_demand_data_2024_ver0!M1214</f>
        <v>0</v>
      </c>
      <c r="O1214" s="3">
        <f>parking_demand_data_2024_ver0!N1214</f>
        <v>0</v>
      </c>
      <c r="P1214" s="3">
        <f>parking_demand_data_2024_ver0!O1214</f>
        <v>0</v>
      </c>
      <c r="Q1214" s="3">
        <f>parking_demand_data_2024_ver0!P1214</f>
        <v>0</v>
      </c>
      <c r="R1214" s="3">
        <f>parking_demand_data_2024_ver0!Q1214</f>
        <v>0</v>
      </c>
      <c r="S1214" s="3">
        <f>parking_demand_data_2024_ver0!R1214</f>
        <v>0</v>
      </c>
      <c r="T1214" s="3">
        <f>parking_demand_data_2024_ver0!S1214</f>
        <v>0</v>
      </c>
    </row>
    <row r="1215" spans="1:20" x14ac:dyDescent="0.25">
      <c r="A1215">
        <v>18101</v>
      </c>
      <c r="B1215" t="s">
        <v>79</v>
      </c>
      <c r="C1215">
        <v>13</v>
      </c>
      <c r="D1215" s="3">
        <f>parking_demand_data_2024_ver0!D1215*calibration!$I$31</f>
        <v>0</v>
      </c>
      <c r="E1215" s="3">
        <f>parking_demand_data_2024_ver0!E1215*calibration!$I$31</f>
        <v>1.5471531873003701</v>
      </c>
      <c r="F1215" s="3">
        <f t="shared" si="18"/>
        <v>1.5471531873003701</v>
      </c>
      <c r="G1215" s="3">
        <f>parking_demand_data_2024_ver0!F1215</f>
        <v>0</v>
      </c>
      <c r="H1215" s="3">
        <f>parking_demand_data_2024_ver0!G1215</f>
        <v>0</v>
      </c>
      <c r="I1215" s="3">
        <f>parking_demand_data_2024_ver0!H1215</f>
        <v>0</v>
      </c>
      <c r="J1215" s="3">
        <f>parking_demand_data_2024_ver0!I1215</f>
        <v>0</v>
      </c>
      <c r="K1215" s="3">
        <f>parking_demand_data_2024_ver0!J1215</f>
        <v>0</v>
      </c>
      <c r="L1215" s="3">
        <f>parking_demand_data_2024_ver0!K1215</f>
        <v>0</v>
      </c>
      <c r="M1215" s="3">
        <f>parking_demand_data_2024_ver0!L1215</f>
        <v>0</v>
      </c>
      <c r="N1215" s="3">
        <f>parking_demand_data_2024_ver0!M1215</f>
        <v>0</v>
      </c>
      <c r="O1215" s="3">
        <f>parking_demand_data_2024_ver0!N1215</f>
        <v>0</v>
      </c>
      <c r="P1215" s="3">
        <f>parking_demand_data_2024_ver0!O1215</f>
        <v>0</v>
      </c>
      <c r="Q1215" s="3">
        <f>parking_demand_data_2024_ver0!P1215</f>
        <v>0</v>
      </c>
      <c r="R1215" s="3">
        <f>parking_demand_data_2024_ver0!Q1215</f>
        <v>0</v>
      </c>
      <c r="S1215" s="3">
        <f>parking_demand_data_2024_ver0!R1215</f>
        <v>0</v>
      </c>
      <c r="T1215" s="3">
        <f>parking_demand_data_2024_ver0!S1215</f>
        <v>0</v>
      </c>
    </row>
    <row r="1216" spans="1:20" x14ac:dyDescent="0.25">
      <c r="A1216">
        <v>18101</v>
      </c>
      <c r="B1216" t="s">
        <v>79</v>
      </c>
      <c r="C1216">
        <v>14</v>
      </c>
      <c r="D1216" s="3">
        <f>parking_demand_data_2024_ver0!D1216*calibration!$I$31</f>
        <v>0</v>
      </c>
      <c r="E1216" s="3">
        <f>parking_demand_data_2024_ver0!E1216*calibration!$I$31</f>
        <v>0.85093425301520398</v>
      </c>
      <c r="F1216" s="3">
        <f t="shared" si="18"/>
        <v>0.85093425301520398</v>
      </c>
      <c r="G1216" s="3">
        <f>parking_demand_data_2024_ver0!F1216</f>
        <v>0</v>
      </c>
      <c r="H1216" s="3">
        <f>parking_demand_data_2024_ver0!G1216</f>
        <v>0</v>
      </c>
      <c r="I1216" s="3">
        <f>parking_demand_data_2024_ver0!H1216</f>
        <v>0</v>
      </c>
      <c r="J1216" s="3">
        <f>parking_demand_data_2024_ver0!I1216</f>
        <v>0</v>
      </c>
      <c r="K1216" s="3">
        <f>parking_demand_data_2024_ver0!J1216</f>
        <v>0</v>
      </c>
      <c r="L1216" s="3">
        <f>parking_demand_data_2024_ver0!K1216</f>
        <v>0</v>
      </c>
      <c r="M1216" s="3">
        <f>parking_demand_data_2024_ver0!L1216</f>
        <v>0</v>
      </c>
      <c r="N1216" s="3">
        <f>parking_demand_data_2024_ver0!M1216</f>
        <v>0</v>
      </c>
      <c r="O1216" s="3">
        <f>parking_demand_data_2024_ver0!N1216</f>
        <v>0</v>
      </c>
      <c r="P1216" s="3">
        <f>parking_demand_data_2024_ver0!O1216</f>
        <v>0</v>
      </c>
      <c r="Q1216" s="3">
        <f>parking_demand_data_2024_ver0!P1216</f>
        <v>0</v>
      </c>
      <c r="R1216" s="3">
        <f>parking_demand_data_2024_ver0!Q1216</f>
        <v>0</v>
      </c>
      <c r="S1216" s="3">
        <f>parking_demand_data_2024_ver0!R1216</f>
        <v>0</v>
      </c>
      <c r="T1216" s="3">
        <f>parking_demand_data_2024_ver0!S1216</f>
        <v>0</v>
      </c>
    </row>
    <row r="1217" spans="1:20" x14ac:dyDescent="0.25">
      <c r="A1217">
        <v>18101</v>
      </c>
      <c r="B1217" t="s">
        <v>79</v>
      </c>
      <c r="C1217">
        <v>15</v>
      </c>
      <c r="D1217" s="3">
        <f>parking_demand_data_2024_ver0!D1217*calibration!$I$31</f>
        <v>0</v>
      </c>
      <c r="E1217" s="3">
        <f>parking_demand_data_2024_ver0!E1217*calibration!$I$31</f>
        <v>0.30943063746007399</v>
      </c>
      <c r="F1217" s="3">
        <f t="shared" si="18"/>
        <v>0.30943063746007399</v>
      </c>
      <c r="G1217" s="3">
        <f>parking_demand_data_2024_ver0!F1217</f>
        <v>0</v>
      </c>
      <c r="H1217" s="3">
        <f>parking_demand_data_2024_ver0!G1217</f>
        <v>0</v>
      </c>
      <c r="I1217" s="3">
        <f>parking_demand_data_2024_ver0!H1217</f>
        <v>0</v>
      </c>
      <c r="J1217" s="3">
        <f>parking_demand_data_2024_ver0!I1217</f>
        <v>0</v>
      </c>
      <c r="K1217" s="3">
        <f>parking_demand_data_2024_ver0!J1217</f>
        <v>0</v>
      </c>
      <c r="L1217" s="3">
        <f>parking_demand_data_2024_ver0!K1217</f>
        <v>0</v>
      </c>
      <c r="M1217" s="3">
        <f>parking_demand_data_2024_ver0!L1217</f>
        <v>0</v>
      </c>
      <c r="N1217" s="3">
        <f>parking_demand_data_2024_ver0!M1217</f>
        <v>0</v>
      </c>
      <c r="O1217" s="3">
        <f>parking_demand_data_2024_ver0!N1217</f>
        <v>0</v>
      </c>
      <c r="P1217" s="3">
        <f>parking_demand_data_2024_ver0!O1217</f>
        <v>0</v>
      </c>
      <c r="Q1217" s="3">
        <f>parking_demand_data_2024_ver0!P1217</f>
        <v>0</v>
      </c>
      <c r="R1217" s="3">
        <f>parking_demand_data_2024_ver0!Q1217</f>
        <v>0</v>
      </c>
      <c r="S1217" s="3">
        <f>parking_demand_data_2024_ver0!R1217</f>
        <v>0</v>
      </c>
      <c r="T1217" s="3">
        <f>parking_demand_data_2024_ver0!S1217</f>
        <v>0</v>
      </c>
    </row>
    <row r="1218" spans="1:20" x14ac:dyDescent="0.25">
      <c r="A1218">
        <v>18101</v>
      </c>
      <c r="B1218" t="s">
        <v>79</v>
      </c>
      <c r="C1218">
        <v>16</v>
      </c>
      <c r="D1218" s="3">
        <f>parking_demand_data_2024_ver0!D1218*calibration!$I$31</f>
        <v>0</v>
      </c>
      <c r="E1218" s="3">
        <f>parking_demand_data_2024_ver0!E1218*calibration!$I$31</f>
        <v>0.15471531873003699</v>
      </c>
      <c r="F1218" s="3">
        <f t="shared" si="18"/>
        <v>0.15471531873003699</v>
      </c>
      <c r="G1218" s="3">
        <f>parking_demand_data_2024_ver0!F1218</f>
        <v>0</v>
      </c>
      <c r="H1218" s="3">
        <f>parking_demand_data_2024_ver0!G1218</f>
        <v>0</v>
      </c>
      <c r="I1218" s="3">
        <f>parking_demand_data_2024_ver0!H1218</f>
        <v>0</v>
      </c>
      <c r="J1218" s="3">
        <f>parking_demand_data_2024_ver0!I1218</f>
        <v>0</v>
      </c>
      <c r="K1218" s="3">
        <f>parking_demand_data_2024_ver0!J1218</f>
        <v>0</v>
      </c>
      <c r="L1218" s="3">
        <f>parking_demand_data_2024_ver0!K1218</f>
        <v>0</v>
      </c>
      <c r="M1218" s="3">
        <f>parking_demand_data_2024_ver0!L1218</f>
        <v>0</v>
      </c>
      <c r="N1218" s="3">
        <f>parking_demand_data_2024_ver0!M1218</f>
        <v>0</v>
      </c>
      <c r="O1218" s="3">
        <f>parking_demand_data_2024_ver0!N1218</f>
        <v>0</v>
      </c>
      <c r="P1218" s="3">
        <f>parking_demand_data_2024_ver0!O1218</f>
        <v>0</v>
      </c>
      <c r="Q1218" s="3">
        <f>parking_demand_data_2024_ver0!P1218</f>
        <v>0</v>
      </c>
      <c r="R1218" s="3">
        <f>parking_demand_data_2024_ver0!Q1218</f>
        <v>0</v>
      </c>
      <c r="S1218" s="3">
        <f>parking_demand_data_2024_ver0!R1218</f>
        <v>0</v>
      </c>
      <c r="T1218" s="3">
        <f>parking_demand_data_2024_ver0!S1218</f>
        <v>0</v>
      </c>
    </row>
    <row r="1219" spans="1:20" x14ac:dyDescent="0.25">
      <c r="A1219">
        <v>18101</v>
      </c>
      <c r="B1219" t="s">
        <v>79</v>
      </c>
      <c r="C1219">
        <v>17</v>
      </c>
      <c r="D1219" s="3">
        <f>parking_demand_data_2024_ver0!D1219*calibration!$I$31</f>
        <v>0</v>
      </c>
      <c r="E1219" s="3">
        <f>parking_demand_data_2024_ver0!E1219*calibration!$I$31</f>
        <v>0.15471531873003699</v>
      </c>
      <c r="F1219" s="3">
        <f t="shared" ref="F1219:F1282" si="19">SUM(D1219:E1219)</f>
        <v>0.15471531873003699</v>
      </c>
      <c r="G1219" s="3">
        <f>parking_demand_data_2024_ver0!F1219</f>
        <v>0</v>
      </c>
      <c r="H1219" s="3">
        <f>parking_demand_data_2024_ver0!G1219</f>
        <v>0</v>
      </c>
      <c r="I1219" s="3">
        <f>parking_demand_data_2024_ver0!H1219</f>
        <v>0</v>
      </c>
      <c r="J1219" s="3">
        <f>parking_demand_data_2024_ver0!I1219</f>
        <v>0</v>
      </c>
      <c r="K1219" s="3">
        <f>parking_demand_data_2024_ver0!J1219</f>
        <v>0</v>
      </c>
      <c r="L1219" s="3">
        <f>parking_demand_data_2024_ver0!K1219</f>
        <v>0</v>
      </c>
      <c r="M1219" s="3">
        <f>parking_demand_data_2024_ver0!L1219</f>
        <v>0</v>
      </c>
      <c r="N1219" s="3">
        <f>parking_demand_data_2024_ver0!M1219</f>
        <v>0</v>
      </c>
      <c r="O1219" s="3">
        <f>parking_demand_data_2024_ver0!N1219</f>
        <v>0</v>
      </c>
      <c r="P1219" s="3">
        <f>parking_demand_data_2024_ver0!O1219</f>
        <v>0</v>
      </c>
      <c r="Q1219" s="3">
        <f>parking_demand_data_2024_ver0!P1219</f>
        <v>0</v>
      </c>
      <c r="R1219" s="3">
        <f>parking_demand_data_2024_ver0!Q1219</f>
        <v>0</v>
      </c>
      <c r="S1219" s="3">
        <f>parking_demand_data_2024_ver0!R1219</f>
        <v>0</v>
      </c>
      <c r="T1219" s="3">
        <f>parking_demand_data_2024_ver0!S1219</f>
        <v>0</v>
      </c>
    </row>
    <row r="1220" spans="1:20" x14ac:dyDescent="0.25">
      <c r="A1220">
        <v>18101</v>
      </c>
      <c r="B1220" t="s">
        <v>79</v>
      </c>
      <c r="C1220">
        <v>18</v>
      </c>
      <c r="D1220" s="3">
        <f>parking_demand_data_2024_ver0!D1220*calibration!$I$31</f>
        <v>0</v>
      </c>
      <c r="E1220" s="3">
        <f>parking_demand_data_2024_ver0!E1220*calibration!$I$31</f>
        <v>0.15471531873003699</v>
      </c>
      <c r="F1220" s="3">
        <f t="shared" si="19"/>
        <v>0.15471531873003699</v>
      </c>
      <c r="G1220" s="3">
        <f>parking_demand_data_2024_ver0!F1220</f>
        <v>0</v>
      </c>
      <c r="H1220" s="3">
        <f>parking_demand_data_2024_ver0!G1220</f>
        <v>0</v>
      </c>
      <c r="I1220" s="3">
        <f>parking_demand_data_2024_ver0!H1220</f>
        <v>0</v>
      </c>
      <c r="J1220" s="3">
        <f>parking_demand_data_2024_ver0!I1220</f>
        <v>0</v>
      </c>
      <c r="K1220" s="3">
        <f>parking_demand_data_2024_ver0!J1220</f>
        <v>0</v>
      </c>
      <c r="L1220" s="3">
        <f>parking_demand_data_2024_ver0!K1220</f>
        <v>0</v>
      </c>
      <c r="M1220" s="3">
        <f>parking_demand_data_2024_ver0!L1220</f>
        <v>0</v>
      </c>
      <c r="N1220" s="3">
        <f>parking_demand_data_2024_ver0!M1220</f>
        <v>0</v>
      </c>
      <c r="O1220" s="3">
        <f>parking_demand_data_2024_ver0!N1220</f>
        <v>0</v>
      </c>
      <c r="P1220" s="3">
        <f>parking_demand_data_2024_ver0!O1220</f>
        <v>0</v>
      </c>
      <c r="Q1220" s="3">
        <f>parking_demand_data_2024_ver0!P1220</f>
        <v>0</v>
      </c>
      <c r="R1220" s="3">
        <f>parking_demand_data_2024_ver0!Q1220</f>
        <v>0</v>
      </c>
      <c r="S1220" s="3">
        <f>parking_demand_data_2024_ver0!R1220</f>
        <v>0</v>
      </c>
      <c r="T1220" s="3">
        <f>parking_demand_data_2024_ver0!S1220</f>
        <v>0</v>
      </c>
    </row>
    <row r="1221" spans="1:20" x14ac:dyDescent="0.25">
      <c r="A1221">
        <v>18101</v>
      </c>
      <c r="B1221" t="s">
        <v>79</v>
      </c>
      <c r="C1221">
        <v>19</v>
      </c>
      <c r="D1221" s="3">
        <f>parking_demand_data_2024_ver0!D1221*calibration!$I$31</f>
        <v>0</v>
      </c>
      <c r="E1221" s="3">
        <f>parking_demand_data_2024_ver0!E1221*calibration!$I$31</f>
        <v>0.54150361555512905</v>
      </c>
      <c r="F1221" s="3">
        <f t="shared" si="19"/>
        <v>0.54150361555512905</v>
      </c>
      <c r="G1221" s="3">
        <f>parking_demand_data_2024_ver0!F1221</f>
        <v>0</v>
      </c>
      <c r="H1221" s="3">
        <f>parking_demand_data_2024_ver0!G1221</f>
        <v>0</v>
      </c>
      <c r="I1221" s="3">
        <f>parking_demand_data_2024_ver0!H1221</f>
        <v>0</v>
      </c>
      <c r="J1221" s="3">
        <f>parking_demand_data_2024_ver0!I1221</f>
        <v>0</v>
      </c>
      <c r="K1221" s="3">
        <f>parking_demand_data_2024_ver0!J1221</f>
        <v>0</v>
      </c>
      <c r="L1221" s="3">
        <f>parking_demand_data_2024_ver0!K1221</f>
        <v>0</v>
      </c>
      <c r="M1221" s="3">
        <f>parking_demand_data_2024_ver0!L1221</f>
        <v>0</v>
      </c>
      <c r="N1221" s="3">
        <f>parking_demand_data_2024_ver0!M1221</f>
        <v>0</v>
      </c>
      <c r="O1221" s="3">
        <f>parking_demand_data_2024_ver0!N1221</f>
        <v>0</v>
      </c>
      <c r="P1221" s="3">
        <f>parking_demand_data_2024_ver0!O1221</f>
        <v>0</v>
      </c>
      <c r="Q1221" s="3">
        <f>parking_demand_data_2024_ver0!P1221</f>
        <v>0</v>
      </c>
      <c r="R1221" s="3">
        <f>parking_demand_data_2024_ver0!Q1221</f>
        <v>0</v>
      </c>
      <c r="S1221" s="3">
        <f>parking_demand_data_2024_ver0!R1221</f>
        <v>0</v>
      </c>
      <c r="T1221" s="3">
        <f>parking_demand_data_2024_ver0!S1221</f>
        <v>0</v>
      </c>
    </row>
    <row r="1222" spans="1:20" x14ac:dyDescent="0.25">
      <c r="A1222">
        <v>18101</v>
      </c>
      <c r="B1222" t="s">
        <v>79</v>
      </c>
      <c r="C1222">
        <v>20</v>
      </c>
      <c r="D1222" s="3">
        <f>parking_demand_data_2024_ver0!D1222*calibration!$I$31</f>
        <v>0</v>
      </c>
      <c r="E1222" s="3">
        <f>parking_demand_data_2024_ver0!E1222*calibration!$I$31</f>
        <v>0.38678829682509203</v>
      </c>
      <c r="F1222" s="3">
        <f t="shared" si="19"/>
        <v>0.38678829682509203</v>
      </c>
      <c r="G1222" s="3">
        <f>parking_demand_data_2024_ver0!F1222</f>
        <v>0</v>
      </c>
      <c r="H1222" s="3">
        <f>parking_demand_data_2024_ver0!G1222</f>
        <v>0</v>
      </c>
      <c r="I1222" s="3">
        <f>parking_demand_data_2024_ver0!H1222</f>
        <v>0</v>
      </c>
      <c r="J1222" s="3">
        <f>parking_demand_data_2024_ver0!I1222</f>
        <v>0</v>
      </c>
      <c r="K1222" s="3">
        <f>parking_demand_data_2024_ver0!J1222</f>
        <v>0</v>
      </c>
      <c r="L1222" s="3">
        <f>parking_demand_data_2024_ver0!K1222</f>
        <v>0</v>
      </c>
      <c r="M1222" s="3">
        <f>parking_demand_data_2024_ver0!L1222</f>
        <v>0</v>
      </c>
      <c r="N1222" s="3">
        <f>parking_demand_data_2024_ver0!M1222</f>
        <v>0</v>
      </c>
      <c r="O1222" s="3">
        <f>parking_demand_data_2024_ver0!N1222</f>
        <v>0</v>
      </c>
      <c r="P1222" s="3">
        <f>parking_demand_data_2024_ver0!O1222</f>
        <v>0</v>
      </c>
      <c r="Q1222" s="3">
        <f>parking_demand_data_2024_ver0!P1222</f>
        <v>0</v>
      </c>
      <c r="R1222" s="3">
        <f>parking_demand_data_2024_ver0!Q1222</f>
        <v>0</v>
      </c>
      <c r="S1222" s="3">
        <f>parking_demand_data_2024_ver0!R1222</f>
        <v>0</v>
      </c>
      <c r="T1222" s="3">
        <f>parking_demand_data_2024_ver0!S1222</f>
        <v>0</v>
      </c>
    </row>
    <row r="1223" spans="1:20" x14ac:dyDescent="0.25">
      <c r="A1223">
        <v>18101</v>
      </c>
      <c r="B1223" t="s">
        <v>79</v>
      </c>
      <c r="C1223">
        <v>21</v>
      </c>
      <c r="D1223" s="3">
        <f>parking_demand_data_2024_ver0!D1223*calibration!$I$31</f>
        <v>0</v>
      </c>
      <c r="E1223" s="3">
        <f>parking_demand_data_2024_ver0!E1223*calibration!$I$31</f>
        <v>0.15471531873003699</v>
      </c>
      <c r="F1223" s="3">
        <f t="shared" si="19"/>
        <v>0.15471531873003699</v>
      </c>
      <c r="G1223" s="3">
        <f>parking_demand_data_2024_ver0!F1223</f>
        <v>0</v>
      </c>
      <c r="H1223" s="3">
        <f>parking_demand_data_2024_ver0!G1223</f>
        <v>0</v>
      </c>
      <c r="I1223" s="3">
        <f>parking_demand_data_2024_ver0!H1223</f>
        <v>0</v>
      </c>
      <c r="J1223" s="3">
        <f>parking_demand_data_2024_ver0!I1223</f>
        <v>0</v>
      </c>
      <c r="K1223" s="3">
        <f>parking_demand_data_2024_ver0!J1223</f>
        <v>0</v>
      </c>
      <c r="L1223" s="3">
        <f>parking_demand_data_2024_ver0!K1223</f>
        <v>0</v>
      </c>
      <c r="M1223" s="3">
        <f>parking_demand_data_2024_ver0!L1223</f>
        <v>0</v>
      </c>
      <c r="N1223" s="3">
        <f>parking_demand_data_2024_ver0!M1223</f>
        <v>0</v>
      </c>
      <c r="O1223" s="3">
        <f>parking_demand_data_2024_ver0!N1223</f>
        <v>0</v>
      </c>
      <c r="P1223" s="3">
        <f>parking_demand_data_2024_ver0!O1223</f>
        <v>0</v>
      </c>
      <c r="Q1223" s="3">
        <f>parking_demand_data_2024_ver0!P1223</f>
        <v>0</v>
      </c>
      <c r="R1223" s="3">
        <f>parking_demand_data_2024_ver0!Q1223</f>
        <v>0</v>
      </c>
      <c r="S1223" s="3">
        <f>parking_demand_data_2024_ver0!R1223</f>
        <v>0</v>
      </c>
      <c r="T1223" s="3">
        <f>parking_demand_data_2024_ver0!S1223</f>
        <v>0</v>
      </c>
    </row>
    <row r="1224" spans="1:20" x14ac:dyDescent="0.25">
      <c r="A1224">
        <v>18101</v>
      </c>
      <c r="B1224" t="s">
        <v>79</v>
      </c>
      <c r="C1224">
        <v>22</v>
      </c>
      <c r="D1224" s="3">
        <f>parking_demand_data_2024_ver0!D1224*calibration!$I$31</f>
        <v>0</v>
      </c>
      <c r="E1224" s="3">
        <f>parking_demand_data_2024_ver0!E1224*calibration!$I$31</f>
        <v>0.15471531873003699</v>
      </c>
      <c r="F1224" s="3">
        <f t="shared" si="19"/>
        <v>0.15471531873003699</v>
      </c>
      <c r="G1224" s="3">
        <f>parking_demand_data_2024_ver0!F1224</f>
        <v>0</v>
      </c>
      <c r="H1224" s="3">
        <f>parking_demand_data_2024_ver0!G1224</f>
        <v>0</v>
      </c>
      <c r="I1224" s="3">
        <f>parking_demand_data_2024_ver0!H1224</f>
        <v>0</v>
      </c>
      <c r="J1224" s="3">
        <f>parking_demand_data_2024_ver0!I1224</f>
        <v>0</v>
      </c>
      <c r="K1224" s="3">
        <f>parking_demand_data_2024_ver0!J1224</f>
        <v>0</v>
      </c>
      <c r="L1224" s="3">
        <f>parking_demand_data_2024_ver0!K1224</f>
        <v>0</v>
      </c>
      <c r="M1224" s="3">
        <f>parking_demand_data_2024_ver0!L1224</f>
        <v>0</v>
      </c>
      <c r="N1224" s="3">
        <f>parking_demand_data_2024_ver0!M1224</f>
        <v>0</v>
      </c>
      <c r="O1224" s="3">
        <f>parking_demand_data_2024_ver0!N1224</f>
        <v>0</v>
      </c>
      <c r="P1224" s="3">
        <f>parking_demand_data_2024_ver0!O1224</f>
        <v>0</v>
      </c>
      <c r="Q1224" s="3">
        <f>parking_demand_data_2024_ver0!P1224</f>
        <v>0</v>
      </c>
      <c r="R1224" s="3">
        <f>parking_demand_data_2024_ver0!Q1224</f>
        <v>0</v>
      </c>
      <c r="S1224" s="3">
        <f>parking_demand_data_2024_ver0!R1224</f>
        <v>0</v>
      </c>
      <c r="T1224" s="3">
        <f>parking_demand_data_2024_ver0!S1224</f>
        <v>0</v>
      </c>
    </row>
    <row r="1225" spans="1:20" x14ac:dyDescent="0.25">
      <c r="A1225">
        <v>18101</v>
      </c>
      <c r="B1225" t="s">
        <v>79</v>
      </c>
      <c r="C1225">
        <v>23</v>
      </c>
      <c r="D1225" s="3">
        <f>parking_demand_data_2024_ver0!D1225*calibration!$I$31</f>
        <v>0</v>
      </c>
      <c r="E1225" s="3">
        <f>parking_demand_data_2024_ver0!E1225*calibration!$I$31</f>
        <v>0.15471531873003699</v>
      </c>
      <c r="F1225" s="3">
        <f t="shared" si="19"/>
        <v>0.15471531873003699</v>
      </c>
      <c r="G1225" s="3">
        <f>parking_demand_data_2024_ver0!F1225</f>
        <v>0</v>
      </c>
      <c r="H1225" s="3">
        <f>parking_demand_data_2024_ver0!G1225</f>
        <v>0</v>
      </c>
      <c r="I1225" s="3">
        <f>parking_demand_data_2024_ver0!H1225</f>
        <v>0</v>
      </c>
      <c r="J1225" s="3">
        <f>parking_demand_data_2024_ver0!I1225</f>
        <v>0</v>
      </c>
      <c r="K1225" s="3">
        <f>parking_demand_data_2024_ver0!J1225</f>
        <v>0</v>
      </c>
      <c r="L1225" s="3">
        <f>parking_demand_data_2024_ver0!K1225</f>
        <v>0</v>
      </c>
      <c r="M1225" s="3">
        <f>parking_demand_data_2024_ver0!L1225</f>
        <v>0</v>
      </c>
      <c r="N1225" s="3">
        <f>parking_demand_data_2024_ver0!M1225</f>
        <v>0</v>
      </c>
      <c r="O1225" s="3">
        <f>parking_demand_data_2024_ver0!N1225</f>
        <v>0</v>
      </c>
      <c r="P1225" s="3">
        <f>parking_demand_data_2024_ver0!O1225</f>
        <v>0</v>
      </c>
      <c r="Q1225" s="3">
        <f>parking_demand_data_2024_ver0!P1225</f>
        <v>0</v>
      </c>
      <c r="R1225" s="3">
        <f>parking_demand_data_2024_ver0!Q1225</f>
        <v>0</v>
      </c>
      <c r="S1225" s="3">
        <f>parking_demand_data_2024_ver0!R1225</f>
        <v>0</v>
      </c>
      <c r="T1225" s="3">
        <f>parking_demand_data_2024_ver0!S1225</f>
        <v>0</v>
      </c>
    </row>
    <row r="1226" spans="1:20" x14ac:dyDescent="0.25">
      <c r="A1226">
        <v>18103</v>
      </c>
      <c r="B1226" t="s">
        <v>80</v>
      </c>
      <c r="C1226">
        <v>0</v>
      </c>
      <c r="D1226" s="3">
        <f>parking_demand_data_2024_ver0!D1226*calibration!$I$31</f>
        <v>81.736107436601102</v>
      </c>
      <c r="E1226" s="3">
        <f>parking_demand_data_2024_ver0!E1226*calibration!$I$31</f>
        <v>0</v>
      </c>
      <c r="F1226" s="3">
        <f t="shared" si="19"/>
        <v>81.736107436601102</v>
      </c>
      <c r="G1226" s="3">
        <f>parking_demand_data_2024_ver0!F1226</f>
        <v>2</v>
      </c>
      <c r="H1226" s="3">
        <f>parking_demand_data_2024_ver0!G1226</f>
        <v>0</v>
      </c>
      <c r="I1226" s="3">
        <f>parking_demand_data_2024_ver0!H1226</f>
        <v>1</v>
      </c>
      <c r="J1226" s="3">
        <f>parking_demand_data_2024_ver0!I1226</f>
        <v>1</v>
      </c>
      <c r="K1226" s="3">
        <f>parking_demand_data_2024_ver0!J1226</f>
        <v>0</v>
      </c>
      <c r="L1226" s="3">
        <f>parking_demand_data_2024_ver0!K1226</f>
        <v>0</v>
      </c>
      <c r="M1226" s="3">
        <f>parking_demand_data_2024_ver0!L1226</f>
        <v>0</v>
      </c>
      <c r="N1226" s="3">
        <f>parking_demand_data_2024_ver0!M1226</f>
        <v>97</v>
      </c>
      <c r="O1226" s="3">
        <f>parking_demand_data_2024_ver0!N1226</f>
        <v>0</v>
      </c>
      <c r="P1226" s="3">
        <f>parking_demand_data_2024_ver0!O1226</f>
        <v>80</v>
      </c>
      <c r="Q1226" s="3">
        <f>parking_demand_data_2024_ver0!P1226</f>
        <v>17</v>
      </c>
      <c r="R1226" s="3">
        <f>parking_demand_data_2024_ver0!Q1226</f>
        <v>0</v>
      </c>
      <c r="S1226" s="3">
        <f>parking_demand_data_2024_ver0!R1226</f>
        <v>0</v>
      </c>
      <c r="T1226" s="3">
        <f>parking_demand_data_2024_ver0!S1226</f>
        <v>0</v>
      </c>
    </row>
    <row r="1227" spans="1:20" x14ac:dyDescent="0.25">
      <c r="A1227">
        <v>18103</v>
      </c>
      <c r="B1227" t="s">
        <v>80</v>
      </c>
      <c r="C1227">
        <v>1</v>
      </c>
      <c r="D1227" s="3">
        <f>parking_demand_data_2024_ver0!D1227*calibration!$I$31</f>
        <v>83.605332346793702</v>
      </c>
      <c r="E1227" s="3">
        <f>parking_demand_data_2024_ver0!E1227*calibration!$I$31</f>
        <v>0</v>
      </c>
      <c r="F1227" s="3">
        <f t="shared" si="19"/>
        <v>83.605332346793702</v>
      </c>
      <c r="G1227" s="3">
        <f>parking_demand_data_2024_ver0!F1227</f>
        <v>2</v>
      </c>
      <c r="H1227" s="3">
        <f>parking_demand_data_2024_ver0!G1227</f>
        <v>0</v>
      </c>
      <c r="I1227" s="3">
        <f>parking_demand_data_2024_ver0!H1227</f>
        <v>1</v>
      </c>
      <c r="J1227" s="3">
        <f>parking_demand_data_2024_ver0!I1227</f>
        <v>1</v>
      </c>
      <c r="K1227" s="3">
        <f>parking_demand_data_2024_ver0!J1227</f>
        <v>0</v>
      </c>
      <c r="L1227" s="3">
        <f>parking_demand_data_2024_ver0!K1227</f>
        <v>0</v>
      </c>
      <c r="M1227" s="3">
        <f>parking_demand_data_2024_ver0!L1227</f>
        <v>0</v>
      </c>
      <c r="N1227" s="3">
        <f>parking_demand_data_2024_ver0!M1227</f>
        <v>97</v>
      </c>
      <c r="O1227" s="3">
        <f>parking_demand_data_2024_ver0!N1227</f>
        <v>0</v>
      </c>
      <c r="P1227" s="3">
        <f>parking_demand_data_2024_ver0!O1227</f>
        <v>80</v>
      </c>
      <c r="Q1227" s="3">
        <f>parking_demand_data_2024_ver0!P1227</f>
        <v>17</v>
      </c>
      <c r="R1227" s="3">
        <f>parking_demand_data_2024_ver0!Q1227</f>
        <v>0</v>
      </c>
      <c r="S1227" s="3">
        <f>parking_demand_data_2024_ver0!R1227</f>
        <v>0</v>
      </c>
      <c r="T1227" s="3">
        <f>parking_demand_data_2024_ver0!S1227</f>
        <v>0</v>
      </c>
    </row>
    <row r="1228" spans="1:20" x14ac:dyDescent="0.25">
      <c r="A1228">
        <v>18103</v>
      </c>
      <c r="B1228" t="s">
        <v>80</v>
      </c>
      <c r="C1228">
        <v>2</v>
      </c>
      <c r="D1228" s="3">
        <f>parking_demand_data_2024_ver0!D1228*calibration!$I$31</f>
        <v>84.030156190019198</v>
      </c>
      <c r="E1228" s="3">
        <f>parking_demand_data_2024_ver0!E1228*calibration!$I$31</f>
        <v>0</v>
      </c>
      <c r="F1228" s="3">
        <f t="shared" si="19"/>
        <v>84.030156190019198</v>
      </c>
      <c r="G1228" s="3">
        <f>parking_demand_data_2024_ver0!F1228</f>
        <v>2</v>
      </c>
      <c r="H1228" s="3">
        <f>parking_demand_data_2024_ver0!G1228</f>
        <v>0</v>
      </c>
      <c r="I1228" s="3">
        <f>parking_demand_data_2024_ver0!H1228</f>
        <v>1</v>
      </c>
      <c r="J1228" s="3">
        <f>parking_demand_data_2024_ver0!I1228</f>
        <v>1</v>
      </c>
      <c r="K1228" s="3">
        <f>parking_demand_data_2024_ver0!J1228</f>
        <v>0</v>
      </c>
      <c r="L1228" s="3">
        <f>parking_demand_data_2024_ver0!K1228</f>
        <v>0</v>
      </c>
      <c r="M1228" s="3">
        <f>parking_demand_data_2024_ver0!L1228</f>
        <v>0</v>
      </c>
      <c r="N1228" s="3">
        <f>parking_demand_data_2024_ver0!M1228</f>
        <v>97</v>
      </c>
      <c r="O1228" s="3">
        <f>parking_demand_data_2024_ver0!N1228</f>
        <v>0</v>
      </c>
      <c r="P1228" s="3">
        <f>parking_demand_data_2024_ver0!O1228</f>
        <v>80</v>
      </c>
      <c r="Q1228" s="3">
        <f>parking_demand_data_2024_ver0!P1228</f>
        <v>17</v>
      </c>
      <c r="R1228" s="3">
        <f>parking_demand_data_2024_ver0!Q1228</f>
        <v>0</v>
      </c>
      <c r="S1228" s="3">
        <f>parking_demand_data_2024_ver0!R1228</f>
        <v>0</v>
      </c>
      <c r="T1228" s="3">
        <f>parking_demand_data_2024_ver0!S1228</f>
        <v>0</v>
      </c>
    </row>
    <row r="1229" spans="1:20" x14ac:dyDescent="0.25">
      <c r="A1229">
        <v>18103</v>
      </c>
      <c r="B1229" t="s">
        <v>80</v>
      </c>
      <c r="C1229">
        <v>3</v>
      </c>
      <c r="D1229" s="3">
        <f>parking_demand_data_2024_ver0!D1229*calibration!$I$31</f>
        <v>83.945191421374105</v>
      </c>
      <c r="E1229" s="3">
        <f>parking_demand_data_2024_ver0!E1229*calibration!$I$31</f>
        <v>0.25489430593534601</v>
      </c>
      <c r="F1229" s="3">
        <f t="shared" si="19"/>
        <v>84.200085727309457</v>
      </c>
      <c r="G1229" s="3">
        <f>parking_demand_data_2024_ver0!F1229</f>
        <v>2</v>
      </c>
      <c r="H1229" s="3">
        <f>parking_demand_data_2024_ver0!G1229</f>
        <v>0</v>
      </c>
      <c r="I1229" s="3">
        <f>parking_demand_data_2024_ver0!H1229</f>
        <v>1</v>
      </c>
      <c r="J1229" s="3">
        <f>parking_demand_data_2024_ver0!I1229</f>
        <v>1</v>
      </c>
      <c r="K1229" s="3">
        <f>parking_demand_data_2024_ver0!J1229</f>
        <v>0</v>
      </c>
      <c r="L1229" s="3">
        <f>parking_demand_data_2024_ver0!K1229</f>
        <v>0</v>
      </c>
      <c r="M1229" s="3">
        <f>parking_demand_data_2024_ver0!L1229</f>
        <v>0</v>
      </c>
      <c r="N1229" s="3">
        <f>parking_demand_data_2024_ver0!M1229</f>
        <v>97</v>
      </c>
      <c r="O1229" s="3">
        <f>parking_demand_data_2024_ver0!N1229</f>
        <v>0</v>
      </c>
      <c r="P1229" s="3">
        <f>parking_demand_data_2024_ver0!O1229</f>
        <v>80</v>
      </c>
      <c r="Q1229" s="3">
        <f>parking_demand_data_2024_ver0!P1229</f>
        <v>17</v>
      </c>
      <c r="R1229" s="3">
        <f>parking_demand_data_2024_ver0!Q1229</f>
        <v>0</v>
      </c>
      <c r="S1229" s="3">
        <f>parking_demand_data_2024_ver0!R1229</f>
        <v>0</v>
      </c>
      <c r="T1229" s="3">
        <f>parking_demand_data_2024_ver0!S1229</f>
        <v>0</v>
      </c>
    </row>
    <row r="1230" spans="1:20" x14ac:dyDescent="0.25">
      <c r="A1230">
        <v>18103</v>
      </c>
      <c r="B1230" t="s">
        <v>80</v>
      </c>
      <c r="C1230">
        <v>4</v>
      </c>
      <c r="D1230" s="3">
        <f>parking_demand_data_2024_ver0!D1230*calibration!$I$31</f>
        <v>79.781917757763495</v>
      </c>
      <c r="E1230" s="3">
        <f>parking_demand_data_2024_ver0!E1230*calibration!$I$31</f>
        <v>0.339859074580462</v>
      </c>
      <c r="F1230" s="3">
        <f t="shared" si="19"/>
        <v>80.121776832343954</v>
      </c>
      <c r="G1230" s="3">
        <f>parking_demand_data_2024_ver0!F1230</f>
        <v>2</v>
      </c>
      <c r="H1230" s="3">
        <f>parking_demand_data_2024_ver0!G1230</f>
        <v>0</v>
      </c>
      <c r="I1230" s="3">
        <f>parking_demand_data_2024_ver0!H1230</f>
        <v>1</v>
      </c>
      <c r="J1230" s="3">
        <f>parking_demand_data_2024_ver0!I1230</f>
        <v>1</v>
      </c>
      <c r="K1230" s="3">
        <f>parking_demand_data_2024_ver0!J1230</f>
        <v>0</v>
      </c>
      <c r="L1230" s="3">
        <f>parking_demand_data_2024_ver0!K1230</f>
        <v>0</v>
      </c>
      <c r="M1230" s="3">
        <f>parking_demand_data_2024_ver0!L1230</f>
        <v>0</v>
      </c>
      <c r="N1230" s="3">
        <f>parking_demand_data_2024_ver0!M1230</f>
        <v>97</v>
      </c>
      <c r="O1230" s="3">
        <f>parking_demand_data_2024_ver0!N1230</f>
        <v>0</v>
      </c>
      <c r="P1230" s="3">
        <f>parking_demand_data_2024_ver0!O1230</f>
        <v>80</v>
      </c>
      <c r="Q1230" s="3">
        <f>parking_demand_data_2024_ver0!P1230</f>
        <v>17</v>
      </c>
      <c r="R1230" s="3">
        <f>parking_demand_data_2024_ver0!Q1230</f>
        <v>0</v>
      </c>
      <c r="S1230" s="3">
        <f>parking_demand_data_2024_ver0!R1230</f>
        <v>0</v>
      </c>
      <c r="T1230" s="3">
        <f>parking_demand_data_2024_ver0!S1230</f>
        <v>0</v>
      </c>
    </row>
    <row r="1231" spans="1:20" x14ac:dyDescent="0.25">
      <c r="A1231">
        <v>18103</v>
      </c>
      <c r="B1231" t="s">
        <v>80</v>
      </c>
      <c r="C1231">
        <v>5</v>
      </c>
      <c r="D1231" s="3">
        <f>parking_demand_data_2024_ver0!D1231*calibration!$I$31</f>
        <v>79.102199608602504</v>
      </c>
      <c r="E1231" s="3">
        <f>parking_demand_data_2024_ver0!E1231*calibration!$I$31</f>
        <v>0.339859074580462</v>
      </c>
      <c r="F1231" s="3">
        <f t="shared" si="19"/>
        <v>79.442058683182964</v>
      </c>
      <c r="G1231" s="3">
        <f>parking_demand_data_2024_ver0!F1231</f>
        <v>2</v>
      </c>
      <c r="H1231" s="3">
        <f>parking_demand_data_2024_ver0!G1231</f>
        <v>0</v>
      </c>
      <c r="I1231" s="3">
        <f>parking_demand_data_2024_ver0!H1231</f>
        <v>1</v>
      </c>
      <c r="J1231" s="3">
        <f>parking_demand_data_2024_ver0!I1231</f>
        <v>1</v>
      </c>
      <c r="K1231" s="3">
        <f>parking_demand_data_2024_ver0!J1231</f>
        <v>0</v>
      </c>
      <c r="L1231" s="3">
        <f>parking_demand_data_2024_ver0!K1231</f>
        <v>0</v>
      </c>
      <c r="M1231" s="3">
        <f>parking_demand_data_2024_ver0!L1231</f>
        <v>0</v>
      </c>
      <c r="N1231" s="3">
        <f>parking_demand_data_2024_ver0!M1231</f>
        <v>97</v>
      </c>
      <c r="O1231" s="3">
        <f>parking_demand_data_2024_ver0!N1231</f>
        <v>0</v>
      </c>
      <c r="P1231" s="3">
        <f>parking_demand_data_2024_ver0!O1231</f>
        <v>80</v>
      </c>
      <c r="Q1231" s="3">
        <f>parking_demand_data_2024_ver0!P1231</f>
        <v>17</v>
      </c>
      <c r="R1231" s="3">
        <f>parking_demand_data_2024_ver0!Q1231</f>
        <v>0</v>
      </c>
      <c r="S1231" s="3">
        <f>parking_demand_data_2024_ver0!R1231</f>
        <v>0</v>
      </c>
      <c r="T1231" s="3">
        <f>parking_demand_data_2024_ver0!S1231</f>
        <v>0</v>
      </c>
    </row>
    <row r="1232" spans="1:20" x14ac:dyDescent="0.25">
      <c r="A1232">
        <v>18103</v>
      </c>
      <c r="B1232" t="s">
        <v>80</v>
      </c>
      <c r="C1232">
        <v>6</v>
      </c>
      <c r="D1232" s="3">
        <f>parking_demand_data_2024_ver0!D1232*calibration!$I$31</f>
        <v>79.357093914537899</v>
      </c>
      <c r="E1232" s="3">
        <f>parking_demand_data_2024_ver0!E1232*calibration!$I$31</f>
        <v>0.934612455096271</v>
      </c>
      <c r="F1232" s="3">
        <f t="shared" si="19"/>
        <v>80.29170636963417</v>
      </c>
      <c r="G1232" s="3">
        <f>parking_demand_data_2024_ver0!F1232</f>
        <v>2</v>
      </c>
      <c r="H1232" s="3">
        <f>parking_demand_data_2024_ver0!G1232</f>
        <v>0</v>
      </c>
      <c r="I1232" s="3">
        <f>parking_demand_data_2024_ver0!H1232</f>
        <v>1</v>
      </c>
      <c r="J1232" s="3">
        <f>parking_demand_data_2024_ver0!I1232</f>
        <v>1</v>
      </c>
      <c r="K1232" s="3">
        <f>parking_demand_data_2024_ver0!J1232</f>
        <v>0</v>
      </c>
      <c r="L1232" s="3">
        <f>parking_demand_data_2024_ver0!K1232</f>
        <v>0</v>
      </c>
      <c r="M1232" s="3">
        <f>parking_demand_data_2024_ver0!L1232</f>
        <v>0</v>
      </c>
      <c r="N1232" s="3">
        <f>parking_demand_data_2024_ver0!M1232</f>
        <v>97</v>
      </c>
      <c r="O1232" s="3">
        <f>parking_demand_data_2024_ver0!N1232</f>
        <v>0</v>
      </c>
      <c r="P1232" s="3">
        <f>parking_demand_data_2024_ver0!O1232</f>
        <v>80</v>
      </c>
      <c r="Q1232" s="3">
        <f>parking_demand_data_2024_ver0!P1232</f>
        <v>17</v>
      </c>
      <c r="R1232" s="3">
        <f>parking_demand_data_2024_ver0!Q1232</f>
        <v>0</v>
      </c>
      <c r="S1232" s="3">
        <f>parking_demand_data_2024_ver0!R1232</f>
        <v>0</v>
      </c>
      <c r="T1232" s="3">
        <f>parking_demand_data_2024_ver0!S1232</f>
        <v>0</v>
      </c>
    </row>
    <row r="1233" spans="1:20" x14ac:dyDescent="0.25">
      <c r="A1233">
        <v>18103</v>
      </c>
      <c r="B1233" t="s">
        <v>80</v>
      </c>
      <c r="C1233">
        <v>7</v>
      </c>
      <c r="D1233" s="3">
        <f>parking_demand_data_2024_ver0!D1233*calibration!$I$31</f>
        <v>72.389982885638403</v>
      </c>
      <c r="E1233" s="3">
        <f>parking_demand_data_2024_ver0!E1233*calibration!$I$31</f>
        <v>1.01957722374138</v>
      </c>
      <c r="F1233" s="3">
        <f t="shared" si="19"/>
        <v>73.409560109379782</v>
      </c>
      <c r="G1233" s="3">
        <f>parking_demand_data_2024_ver0!F1233</f>
        <v>2</v>
      </c>
      <c r="H1233" s="3">
        <f>parking_demand_data_2024_ver0!G1233</f>
        <v>0</v>
      </c>
      <c r="I1233" s="3">
        <f>parking_demand_data_2024_ver0!H1233</f>
        <v>1</v>
      </c>
      <c r="J1233" s="3">
        <f>parking_demand_data_2024_ver0!I1233</f>
        <v>1</v>
      </c>
      <c r="K1233" s="3">
        <f>parking_demand_data_2024_ver0!J1233</f>
        <v>0</v>
      </c>
      <c r="L1233" s="3">
        <f>parking_demand_data_2024_ver0!K1233</f>
        <v>0</v>
      </c>
      <c r="M1233" s="3">
        <f>parking_demand_data_2024_ver0!L1233</f>
        <v>0</v>
      </c>
      <c r="N1233" s="3">
        <f>parking_demand_data_2024_ver0!M1233</f>
        <v>97</v>
      </c>
      <c r="O1233" s="3">
        <f>parking_demand_data_2024_ver0!N1233</f>
        <v>0</v>
      </c>
      <c r="P1233" s="3">
        <f>parking_demand_data_2024_ver0!O1233</f>
        <v>80</v>
      </c>
      <c r="Q1233" s="3">
        <f>parking_demand_data_2024_ver0!P1233</f>
        <v>17</v>
      </c>
      <c r="R1233" s="3">
        <f>parking_demand_data_2024_ver0!Q1233</f>
        <v>0</v>
      </c>
      <c r="S1233" s="3">
        <f>parking_demand_data_2024_ver0!R1233</f>
        <v>0</v>
      </c>
      <c r="T1233" s="3">
        <f>parking_demand_data_2024_ver0!S1233</f>
        <v>0</v>
      </c>
    </row>
    <row r="1234" spans="1:20" x14ac:dyDescent="0.25">
      <c r="A1234">
        <v>18103</v>
      </c>
      <c r="B1234" t="s">
        <v>80</v>
      </c>
      <c r="C1234">
        <v>8</v>
      </c>
      <c r="D1234" s="3">
        <f>parking_demand_data_2024_ver0!D1234*calibration!$I$31</f>
        <v>55.566958693905498</v>
      </c>
      <c r="E1234" s="3">
        <f>parking_demand_data_2024_ver0!E1234*calibration!$I$31</f>
        <v>1.1895067610316099</v>
      </c>
      <c r="F1234" s="3">
        <f t="shared" si="19"/>
        <v>56.756465454937107</v>
      </c>
      <c r="G1234" s="3">
        <f>parking_demand_data_2024_ver0!F1234</f>
        <v>2</v>
      </c>
      <c r="H1234" s="3">
        <f>parking_demand_data_2024_ver0!G1234</f>
        <v>0</v>
      </c>
      <c r="I1234" s="3">
        <f>parking_demand_data_2024_ver0!H1234</f>
        <v>1</v>
      </c>
      <c r="J1234" s="3">
        <f>parking_demand_data_2024_ver0!I1234</f>
        <v>1</v>
      </c>
      <c r="K1234" s="3">
        <f>parking_demand_data_2024_ver0!J1234</f>
        <v>0</v>
      </c>
      <c r="L1234" s="3">
        <f>parking_demand_data_2024_ver0!K1234</f>
        <v>0</v>
      </c>
      <c r="M1234" s="3">
        <f>parking_demand_data_2024_ver0!L1234</f>
        <v>0</v>
      </c>
      <c r="N1234" s="3">
        <f>parking_demand_data_2024_ver0!M1234</f>
        <v>97</v>
      </c>
      <c r="O1234" s="3">
        <f>parking_demand_data_2024_ver0!N1234</f>
        <v>0</v>
      </c>
      <c r="P1234" s="3">
        <f>parking_demand_data_2024_ver0!O1234</f>
        <v>80</v>
      </c>
      <c r="Q1234" s="3">
        <f>parking_demand_data_2024_ver0!P1234</f>
        <v>17</v>
      </c>
      <c r="R1234" s="3">
        <f>parking_demand_data_2024_ver0!Q1234</f>
        <v>0</v>
      </c>
      <c r="S1234" s="3">
        <f>parking_demand_data_2024_ver0!R1234</f>
        <v>0</v>
      </c>
      <c r="T1234" s="3">
        <f>parking_demand_data_2024_ver0!S1234</f>
        <v>0</v>
      </c>
    </row>
    <row r="1235" spans="1:20" x14ac:dyDescent="0.25">
      <c r="A1235">
        <v>18103</v>
      </c>
      <c r="B1235" t="s">
        <v>80</v>
      </c>
      <c r="C1235">
        <v>9</v>
      </c>
      <c r="D1235" s="3">
        <f>parking_demand_data_2024_ver0!D1235*calibration!$I$31</f>
        <v>42.312454785267498</v>
      </c>
      <c r="E1235" s="3">
        <f>parking_demand_data_2024_ver0!E1235*calibration!$I$31</f>
        <v>0.67971814916092399</v>
      </c>
      <c r="F1235" s="3">
        <f t="shared" si="19"/>
        <v>42.992172934428424</v>
      </c>
      <c r="G1235" s="3">
        <f>parking_demand_data_2024_ver0!F1235</f>
        <v>2</v>
      </c>
      <c r="H1235" s="3">
        <f>parking_demand_data_2024_ver0!G1235</f>
        <v>0</v>
      </c>
      <c r="I1235" s="3">
        <f>parking_demand_data_2024_ver0!H1235</f>
        <v>1</v>
      </c>
      <c r="J1235" s="3">
        <f>parking_demand_data_2024_ver0!I1235</f>
        <v>1</v>
      </c>
      <c r="K1235" s="3">
        <f>parking_demand_data_2024_ver0!J1235</f>
        <v>0</v>
      </c>
      <c r="L1235" s="3">
        <f>parking_demand_data_2024_ver0!K1235</f>
        <v>0</v>
      </c>
      <c r="M1235" s="3">
        <f>parking_demand_data_2024_ver0!L1235</f>
        <v>0</v>
      </c>
      <c r="N1235" s="3">
        <f>parking_demand_data_2024_ver0!M1235</f>
        <v>97</v>
      </c>
      <c r="O1235" s="3">
        <f>parking_demand_data_2024_ver0!N1235</f>
        <v>0</v>
      </c>
      <c r="P1235" s="3">
        <f>parking_demand_data_2024_ver0!O1235</f>
        <v>80</v>
      </c>
      <c r="Q1235" s="3">
        <f>parking_demand_data_2024_ver0!P1235</f>
        <v>17</v>
      </c>
      <c r="R1235" s="3">
        <f>parking_demand_data_2024_ver0!Q1235</f>
        <v>0</v>
      </c>
      <c r="S1235" s="3">
        <f>parking_demand_data_2024_ver0!R1235</f>
        <v>0</v>
      </c>
      <c r="T1235" s="3">
        <f>parking_demand_data_2024_ver0!S1235</f>
        <v>0</v>
      </c>
    </row>
    <row r="1236" spans="1:20" x14ac:dyDescent="0.25">
      <c r="A1236">
        <v>18103</v>
      </c>
      <c r="B1236" t="s">
        <v>80</v>
      </c>
      <c r="C1236">
        <v>10</v>
      </c>
      <c r="D1236" s="3">
        <f>parking_demand_data_2024_ver0!D1236*calibration!$I$31</f>
        <v>33.391154077530402</v>
      </c>
      <c r="E1236" s="3">
        <f>parking_demand_data_2024_ver0!E1236*calibration!$I$31</f>
        <v>2.1241192161278799</v>
      </c>
      <c r="F1236" s="3">
        <f t="shared" si="19"/>
        <v>35.515273293658282</v>
      </c>
      <c r="G1236" s="3">
        <f>parking_demand_data_2024_ver0!F1236</f>
        <v>2</v>
      </c>
      <c r="H1236" s="3">
        <f>parking_demand_data_2024_ver0!G1236</f>
        <v>0</v>
      </c>
      <c r="I1236" s="3">
        <f>parking_demand_data_2024_ver0!H1236</f>
        <v>1</v>
      </c>
      <c r="J1236" s="3">
        <f>parking_demand_data_2024_ver0!I1236</f>
        <v>1</v>
      </c>
      <c r="K1236" s="3">
        <f>parking_demand_data_2024_ver0!J1236</f>
        <v>0</v>
      </c>
      <c r="L1236" s="3">
        <f>parking_demand_data_2024_ver0!K1236</f>
        <v>0</v>
      </c>
      <c r="M1236" s="3">
        <f>parking_demand_data_2024_ver0!L1236</f>
        <v>0</v>
      </c>
      <c r="N1236" s="3">
        <f>parking_demand_data_2024_ver0!M1236</f>
        <v>97</v>
      </c>
      <c r="O1236" s="3">
        <f>parking_demand_data_2024_ver0!N1236</f>
        <v>0</v>
      </c>
      <c r="P1236" s="3">
        <f>parking_demand_data_2024_ver0!O1236</f>
        <v>80</v>
      </c>
      <c r="Q1236" s="3">
        <f>parking_demand_data_2024_ver0!P1236</f>
        <v>17</v>
      </c>
      <c r="R1236" s="3">
        <f>parking_demand_data_2024_ver0!Q1236</f>
        <v>0</v>
      </c>
      <c r="S1236" s="3">
        <f>parking_demand_data_2024_ver0!R1236</f>
        <v>0</v>
      </c>
      <c r="T1236" s="3">
        <f>parking_demand_data_2024_ver0!S1236</f>
        <v>0</v>
      </c>
    </row>
    <row r="1237" spans="1:20" x14ac:dyDescent="0.25">
      <c r="A1237">
        <v>18103</v>
      </c>
      <c r="B1237" t="s">
        <v>80</v>
      </c>
      <c r="C1237">
        <v>11</v>
      </c>
      <c r="D1237" s="3">
        <f>parking_demand_data_2024_ver0!D1237*calibration!$I$31</f>
        <v>28.972986107984401</v>
      </c>
      <c r="E1237" s="3">
        <f>parking_demand_data_2024_ver0!E1237*calibration!$I$31</f>
        <v>0</v>
      </c>
      <c r="F1237" s="3">
        <f t="shared" si="19"/>
        <v>28.972986107984401</v>
      </c>
      <c r="G1237" s="3">
        <f>parking_demand_data_2024_ver0!F1237</f>
        <v>2</v>
      </c>
      <c r="H1237" s="3">
        <f>parking_demand_data_2024_ver0!G1237</f>
        <v>0</v>
      </c>
      <c r="I1237" s="3">
        <f>parking_demand_data_2024_ver0!H1237</f>
        <v>1</v>
      </c>
      <c r="J1237" s="3">
        <f>parking_demand_data_2024_ver0!I1237</f>
        <v>1</v>
      </c>
      <c r="K1237" s="3">
        <f>parking_demand_data_2024_ver0!J1237</f>
        <v>0</v>
      </c>
      <c r="L1237" s="3">
        <f>parking_demand_data_2024_ver0!K1237</f>
        <v>0</v>
      </c>
      <c r="M1237" s="3">
        <f>parking_demand_data_2024_ver0!L1237</f>
        <v>0</v>
      </c>
      <c r="N1237" s="3">
        <f>parking_demand_data_2024_ver0!M1237</f>
        <v>97</v>
      </c>
      <c r="O1237" s="3">
        <f>parking_demand_data_2024_ver0!N1237</f>
        <v>0</v>
      </c>
      <c r="P1237" s="3">
        <f>parking_demand_data_2024_ver0!O1237</f>
        <v>80</v>
      </c>
      <c r="Q1237" s="3">
        <f>parking_demand_data_2024_ver0!P1237</f>
        <v>17</v>
      </c>
      <c r="R1237" s="3">
        <f>parking_demand_data_2024_ver0!Q1237</f>
        <v>0</v>
      </c>
      <c r="S1237" s="3">
        <f>parking_demand_data_2024_ver0!R1237</f>
        <v>0</v>
      </c>
      <c r="T1237" s="3">
        <f>parking_demand_data_2024_ver0!S1237</f>
        <v>0</v>
      </c>
    </row>
    <row r="1238" spans="1:20" x14ac:dyDescent="0.25">
      <c r="A1238">
        <v>18103</v>
      </c>
      <c r="B1238" t="s">
        <v>80</v>
      </c>
      <c r="C1238">
        <v>12</v>
      </c>
      <c r="D1238" s="3">
        <f>parking_demand_data_2024_ver0!D1238*calibration!$I$31</f>
        <v>31.182070092757399</v>
      </c>
      <c r="E1238" s="3">
        <f>parking_demand_data_2024_ver0!E1238*calibration!$I$31</f>
        <v>0.169929537290231</v>
      </c>
      <c r="F1238" s="3">
        <f t="shared" si="19"/>
        <v>31.351999630047629</v>
      </c>
      <c r="G1238" s="3">
        <f>parking_demand_data_2024_ver0!F1238</f>
        <v>2</v>
      </c>
      <c r="H1238" s="3">
        <f>parking_demand_data_2024_ver0!G1238</f>
        <v>0</v>
      </c>
      <c r="I1238" s="3">
        <f>parking_demand_data_2024_ver0!H1238</f>
        <v>1</v>
      </c>
      <c r="J1238" s="3">
        <f>parking_demand_data_2024_ver0!I1238</f>
        <v>1</v>
      </c>
      <c r="K1238" s="3">
        <f>parking_demand_data_2024_ver0!J1238</f>
        <v>0</v>
      </c>
      <c r="L1238" s="3">
        <f>parking_demand_data_2024_ver0!K1238</f>
        <v>0</v>
      </c>
      <c r="M1238" s="3">
        <f>parking_demand_data_2024_ver0!L1238</f>
        <v>0</v>
      </c>
      <c r="N1238" s="3">
        <f>parking_demand_data_2024_ver0!M1238</f>
        <v>97</v>
      </c>
      <c r="O1238" s="3">
        <f>parking_demand_data_2024_ver0!N1238</f>
        <v>0</v>
      </c>
      <c r="P1238" s="3">
        <f>parking_demand_data_2024_ver0!O1238</f>
        <v>80</v>
      </c>
      <c r="Q1238" s="3">
        <f>parking_demand_data_2024_ver0!P1238</f>
        <v>17</v>
      </c>
      <c r="R1238" s="3">
        <f>parking_demand_data_2024_ver0!Q1238</f>
        <v>0</v>
      </c>
      <c r="S1238" s="3">
        <f>parking_demand_data_2024_ver0!R1238</f>
        <v>0</v>
      </c>
      <c r="T1238" s="3">
        <f>parking_demand_data_2024_ver0!S1238</f>
        <v>0</v>
      </c>
    </row>
    <row r="1239" spans="1:20" x14ac:dyDescent="0.25">
      <c r="A1239">
        <v>18103</v>
      </c>
      <c r="B1239" t="s">
        <v>80</v>
      </c>
      <c r="C1239">
        <v>13</v>
      </c>
      <c r="D1239" s="3">
        <f>parking_demand_data_2024_ver0!D1239*calibration!$I$31</f>
        <v>41.292877561526097</v>
      </c>
      <c r="E1239" s="3">
        <f>parking_demand_data_2024_ver0!E1239*calibration!$I$31</f>
        <v>0.339859074580462</v>
      </c>
      <c r="F1239" s="3">
        <f t="shared" si="19"/>
        <v>41.632736636106557</v>
      </c>
      <c r="G1239" s="3">
        <f>parking_demand_data_2024_ver0!F1239</f>
        <v>2</v>
      </c>
      <c r="H1239" s="3">
        <f>parking_demand_data_2024_ver0!G1239</f>
        <v>0</v>
      </c>
      <c r="I1239" s="3">
        <f>parking_demand_data_2024_ver0!H1239</f>
        <v>1</v>
      </c>
      <c r="J1239" s="3">
        <f>parking_demand_data_2024_ver0!I1239</f>
        <v>1</v>
      </c>
      <c r="K1239" s="3">
        <f>parking_demand_data_2024_ver0!J1239</f>
        <v>0</v>
      </c>
      <c r="L1239" s="3">
        <f>parking_demand_data_2024_ver0!K1239</f>
        <v>0</v>
      </c>
      <c r="M1239" s="3">
        <f>parking_demand_data_2024_ver0!L1239</f>
        <v>0</v>
      </c>
      <c r="N1239" s="3">
        <f>parking_demand_data_2024_ver0!M1239</f>
        <v>97</v>
      </c>
      <c r="O1239" s="3">
        <f>parking_demand_data_2024_ver0!N1239</f>
        <v>0</v>
      </c>
      <c r="P1239" s="3">
        <f>parking_demand_data_2024_ver0!O1239</f>
        <v>80</v>
      </c>
      <c r="Q1239" s="3">
        <f>parking_demand_data_2024_ver0!P1239</f>
        <v>17</v>
      </c>
      <c r="R1239" s="3">
        <f>parking_demand_data_2024_ver0!Q1239</f>
        <v>0</v>
      </c>
      <c r="S1239" s="3">
        <f>parking_demand_data_2024_ver0!R1239</f>
        <v>0</v>
      </c>
      <c r="T1239" s="3">
        <f>parking_demand_data_2024_ver0!S1239</f>
        <v>0</v>
      </c>
    </row>
    <row r="1240" spans="1:20" x14ac:dyDescent="0.25">
      <c r="A1240">
        <v>18103</v>
      </c>
      <c r="B1240" t="s">
        <v>80</v>
      </c>
      <c r="C1240">
        <v>14</v>
      </c>
      <c r="D1240" s="3">
        <f>parking_demand_data_2024_ver0!D1240*calibration!$I$31</f>
        <v>48.090059053135398</v>
      </c>
      <c r="E1240" s="3">
        <f>parking_demand_data_2024_ver0!E1240*calibration!$I$31</f>
        <v>0.67971814916092399</v>
      </c>
      <c r="F1240" s="3">
        <f t="shared" si="19"/>
        <v>48.769777202296325</v>
      </c>
      <c r="G1240" s="3">
        <f>parking_demand_data_2024_ver0!F1240</f>
        <v>2</v>
      </c>
      <c r="H1240" s="3">
        <f>parking_demand_data_2024_ver0!G1240</f>
        <v>0</v>
      </c>
      <c r="I1240" s="3">
        <f>parking_demand_data_2024_ver0!H1240</f>
        <v>1</v>
      </c>
      <c r="J1240" s="3">
        <f>parking_demand_data_2024_ver0!I1240</f>
        <v>1</v>
      </c>
      <c r="K1240" s="3">
        <f>parking_demand_data_2024_ver0!J1240</f>
        <v>0</v>
      </c>
      <c r="L1240" s="3">
        <f>parking_demand_data_2024_ver0!K1240</f>
        <v>0</v>
      </c>
      <c r="M1240" s="3">
        <f>parking_demand_data_2024_ver0!L1240</f>
        <v>0</v>
      </c>
      <c r="N1240" s="3">
        <f>parking_demand_data_2024_ver0!M1240</f>
        <v>97</v>
      </c>
      <c r="O1240" s="3">
        <f>parking_demand_data_2024_ver0!N1240</f>
        <v>0</v>
      </c>
      <c r="P1240" s="3">
        <f>parking_demand_data_2024_ver0!O1240</f>
        <v>80</v>
      </c>
      <c r="Q1240" s="3">
        <f>parking_demand_data_2024_ver0!P1240</f>
        <v>17</v>
      </c>
      <c r="R1240" s="3">
        <f>parking_demand_data_2024_ver0!Q1240</f>
        <v>0</v>
      </c>
      <c r="S1240" s="3">
        <f>parking_demand_data_2024_ver0!R1240</f>
        <v>0</v>
      </c>
      <c r="T1240" s="3">
        <f>parking_demand_data_2024_ver0!S1240</f>
        <v>0</v>
      </c>
    </row>
    <row r="1241" spans="1:20" x14ac:dyDescent="0.25">
      <c r="A1241">
        <v>18103</v>
      </c>
      <c r="B1241" t="s">
        <v>80</v>
      </c>
      <c r="C1241">
        <v>15</v>
      </c>
      <c r="D1241" s="3">
        <f>parking_demand_data_2024_ver0!D1241*calibration!$I$31</f>
        <v>37.044639129270301</v>
      </c>
      <c r="E1241" s="3">
        <f>parking_demand_data_2024_ver0!E1241*calibration!$I$31</f>
        <v>0.42482384322557698</v>
      </c>
      <c r="F1241" s="3">
        <f t="shared" si="19"/>
        <v>37.469462972495876</v>
      </c>
      <c r="G1241" s="3">
        <f>parking_demand_data_2024_ver0!F1241</f>
        <v>2</v>
      </c>
      <c r="H1241" s="3">
        <f>parking_demand_data_2024_ver0!G1241</f>
        <v>0</v>
      </c>
      <c r="I1241" s="3">
        <f>parking_demand_data_2024_ver0!H1241</f>
        <v>1</v>
      </c>
      <c r="J1241" s="3">
        <f>parking_demand_data_2024_ver0!I1241</f>
        <v>1</v>
      </c>
      <c r="K1241" s="3">
        <f>parking_demand_data_2024_ver0!J1241</f>
        <v>0</v>
      </c>
      <c r="L1241" s="3">
        <f>parking_demand_data_2024_ver0!K1241</f>
        <v>0</v>
      </c>
      <c r="M1241" s="3">
        <f>parking_demand_data_2024_ver0!L1241</f>
        <v>0</v>
      </c>
      <c r="N1241" s="3">
        <f>parking_demand_data_2024_ver0!M1241</f>
        <v>97</v>
      </c>
      <c r="O1241" s="3">
        <f>parking_demand_data_2024_ver0!N1241</f>
        <v>0</v>
      </c>
      <c r="P1241" s="3">
        <f>parking_demand_data_2024_ver0!O1241</f>
        <v>80</v>
      </c>
      <c r="Q1241" s="3">
        <f>parking_demand_data_2024_ver0!P1241</f>
        <v>17</v>
      </c>
      <c r="R1241" s="3">
        <f>parking_demand_data_2024_ver0!Q1241</f>
        <v>0</v>
      </c>
      <c r="S1241" s="3">
        <f>parking_demand_data_2024_ver0!R1241</f>
        <v>0</v>
      </c>
      <c r="T1241" s="3">
        <f>parking_demand_data_2024_ver0!S1241</f>
        <v>0</v>
      </c>
    </row>
    <row r="1242" spans="1:20" x14ac:dyDescent="0.25">
      <c r="A1242">
        <v>18103</v>
      </c>
      <c r="B1242" t="s">
        <v>80</v>
      </c>
      <c r="C1242">
        <v>16</v>
      </c>
      <c r="D1242" s="3">
        <f>parking_demand_data_2024_ver0!D1242*calibration!$I$31</f>
        <v>37.639392509786099</v>
      </c>
      <c r="E1242" s="3">
        <f>parking_demand_data_2024_ver0!E1242*calibration!$I$31</f>
        <v>0.42482384322557698</v>
      </c>
      <c r="F1242" s="3">
        <f t="shared" si="19"/>
        <v>38.064216353011673</v>
      </c>
      <c r="G1242" s="3">
        <f>parking_demand_data_2024_ver0!F1242</f>
        <v>2</v>
      </c>
      <c r="H1242" s="3">
        <f>parking_demand_data_2024_ver0!G1242</f>
        <v>0</v>
      </c>
      <c r="I1242" s="3">
        <f>parking_demand_data_2024_ver0!H1242</f>
        <v>1</v>
      </c>
      <c r="J1242" s="3">
        <f>parking_demand_data_2024_ver0!I1242</f>
        <v>1</v>
      </c>
      <c r="K1242" s="3">
        <f>parking_demand_data_2024_ver0!J1242</f>
        <v>0</v>
      </c>
      <c r="L1242" s="3">
        <f>parking_demand_data_2024_ver0!K1242</f>
        <v>0</v>
      </c>
      <c r="M1242" s="3">
        <f>parking_demand_data_2024_ver0!L1242</f>
        <v>0</v>
      </c>
      <c r="N1242" s="3">
        <f>parking_demand_data_2024_ver0!M1242</f>
        <v>97</v>
      </c>
      <c r="O1242" s="3">
        <f>parking_demand_data_2024_ver0!N1242</f>
        <v>0</v>
      </c>
      <c r="P1242" s="3">
        <f>parking_demand_data_2024_ver0!O1242</f>
        <v>80</v>
      </c>
      <c r="Q1242" s="3">
        <f>parking_demand_data_2024_ver0!P1242</f>
        <v>17</v>
      </c>
      <c r="R1242" s="3">
        <f>parking_demand_data_2024_ver0!Q1242</f>
        <v>0</v>
      </c>
      <c r="S1242" s="3">
        <f>parking_demand_data_2024_ver0!R1242</f>
        <v>0</v>
      </c>
      <c r="T1242" s="3">
        <f>parking_demand_data_2024_ver0!S1242</f>
        <v>0</v>
      </c>
    </row>
    <row r="1243" spans="1:20" x14ac:dyDescent="0.25">
      <c r="A1243">
        <v>18103</v>
      </c>
      <c r="B1243" t="s">
        <v>80</v>
      </c>
      <c r="C1243">
        <v>17</v>
      </c>
      <c r="D1243" s="3">
        <f>parking_demand_data_2024_ver0!D1243*calibration!$I$31</f>
        <v>43.077137703073497</v>
      </c>
      <c r="E1243" s="3">
        <f>parking_demand_data_2024_ver0!E1243*calibration!$I$31</f>
        <v>0</v>
      </c>
      <c r="F1243" s="3">
        <f t="shared" si="19"/>
        <v>43.077137703073497</v>
      </c>
      <c r="G1243" s="3">
        <f>parking_demand_data_2024_ver0!F1243</f>
        <v>2</v>
      </c>
      <c r="H1243" s="3">
        <f>parking_demand_data_2024_ver0!G1243</f>
        <v>0</v>
      </c>
      <c r="I1243" s="3">
        <f>parking_demand_data_2024_ver0!H1243</f>
        <v>1</v>
      </c>
      <c r="J1243" s="3">
        <f>parking_demand_data_2024_ver0!I1243</f>
        <v>1</v>
      </c>
      <c r="K1243" s="3">
        <f>parking_demand_data_2024_ver0!J1243</f>
        <v>0</v>
      </c>
      <c r="L1243" s="3">
        <f>parking_demand_data_2024_ver0!K1243</f>
        <v>0</v>
      </c>
      <c r="M1243" s="3">
        <f>parking_demand_data_2024_ver0!L1243</f>
        <v>0</v>
      </c>
      <c r="N1243" s="3">
        <f>parking_demand_data_2024_ver0!M1243</f>
        <v>97</v>
      </c>
      <c r="O1243" s="3">
        <f>parking_demand_data_2024_ver0!N1243</f>
        <v>0</v>
      </c>
      <c r="P1243" s="3">
        <f>parking_demand_data_2024_ver0!O1243</f>
        <v>80</v>
      </c>
      <c r="Q1243" s="3">
        <f>parking_demand_data_2024_ver0!P1243</f>
        <v>17</v>
      </c>
      <c r="R1243" s="3">
        <f>parking_demand_data_2024_ver0!Q1243</f>
        <v>0</v>
      </c>
      <c r="S1243" s="3">
        <f>parking_demand_data_2024_ver0!R1243</f>
        <v>0</v>
      </c>
      <c r="T1243" s="3">
        <f>parking_demand_data_2024_ver0!S1243</f>
        <v>0</v>
      </c>
    </row>
    <row r="1244" spans="1:20" x14ac:dyDescent="0.25">
      <c r="A1244">
        <v>18103</v>
      </c>
      <c r="B1244" t="s">
        <v>80</v>
      </c>
      <c r="C1244">
        <v>18</v>
      </c>
      <c r="D1244" s="3">
        <f>parking_demand_data_2024_ver0!D1244*calibration!$I$31</f>
        <v>50.214178269263201</v>
      </c>
      <c r="E1244" s="3">
        <f>parking_demand_data_2024_ver0!E1244*calibration!$I$31</f>
        <v>0</v>
      </c>
      <c r="F1244" s="3">
        <f t="shared" si="19"/>
        <v>50.214178269263201</v>
      </c>
      <c r="G1244" s="3">
        <f>parking_demand_data_2024_ver0!F1244</f>
        <v>2</v>
      </c>
      <c r="H1244" s="3">
        <f>parking_demand_data_2024_ver0!G1244</f>
        <v>0</v>
      </c>
      <c r="I1244" s="3">
        <f>parking_demand_data_2024_ver0!H1244</f>
        <v>1</v>
      </c>
      <c r="J1244" s="3">
        <f>parking_demand_data_2024_ver0!I1244</f>
        <v>1</v>
      </c>
      <c r="K1244" s="3">
        <f>parking_demand_data_2024_ver0!J1244</f>
        <v>0</v>
      </c>
      <c r="L1244" s="3">
        <f>parking_demand_data_2024_ver0!K1244</f>
        <v>0</v>
      </c>
      <c r="M1244" s="3">
        <f>parking_demand_data_2024_ver0!L1244</f>
        <v>0</v>
      </c>
      <c r="N1244" s="3">
        <f>parking_demand_data_2024_ver0!M1244</f>
        <v>97</v>
      </c>
      <c r="O1244" s="3">
        <f>parking_demand_data_2024_ver0!N1244</f>
        <v>0</v>
      </c>
      <c r="P1244" s="3">
        <f>parking_demand_data_2024_ver0!O1244</f>
        <v>80</v>
      </c>
      <c r="Q1244" s="3">
        <f>parking_demand_data_2024_ver0!P1244</f>
        <v>17</v>
      </c>
      <c r="R1244" s="3">
        <f>parking_demand_data_2024_ver0!Q1244</f>
        <v>0</v>
      </c>
      <c r="S1244" s="3">
        <f>parking_demand_data_2024_ver0!R1244</f>
        <v>0</v>
      </c>
      <c r="T1244" s="3">
        <f>parking_demand_data_2024_ver0!S1244</f>
        <v>0</v>
      </c>
    </row>
    <row r="1245" spans="1:20" x14ac:dyDescent="0.25">
      <c r="A1245">
        <v>18103</v>
      </c>
      <c r="B1245" t="s">
        <v>80</v>
      </c>
      <c r="C1245">
        <v>19</v>
      </c>
      <c r="D1245" s="3">
        <f>parking_demand_data_2024_ver0!D1245*calibration!$I$31</f>
        <v>59.305408514290598</v>
      </c>
      <c r="E1245" s="3">
        <f>parking_demand_data_2024_ver0!E1245*calibration!$I$31</f>
        <v>0</v>
      </c>
      <c r="F1245" s="3">
        <f t="shared" si="19"/>
        <v>59.305408514290598</v>
      </c>
      <c r="G1245" s="3">
        <f>parking_demand_data_2024_ver0!F1245</f>
        <v>2</v>
      </c>
      <c r="H1245" s="3">
        <f>parking_demand_data_2024_ver0!G1245</f>
        <v>0</v>
      </c>
      <c r="I1245" s="3">
        <f>parking_demand_data_2024_ver0!H1245</f>
        <v>1</v>
      </c>
      <c r="J1245" s="3">
        <f>parking_demand_data_2024_ver0!I1245</f>
        <v>1</v>
      </c>
      <c r="K1245" s="3">
        <f>parking_demand_data_2024_ver0!J1245</f>
        <v>0</v>
      </c>
      <c r="L1245" s="3">
        <f>parking_demand_data_2024_ver0!K1245</f>
        <v>0</v>
      </c>
      <c r="M1245" s="3">
        <f>parking_demand_data_2024_ver0!L1245</f>
        <v>0</v>
      </c>
      <c r="N1245" s="3">
        <f>parking_demand_data_2024_ver0!M1245</f>
        <v>97</v>
      </c>
      <c r="O1245" s="3">
        <f>parking_demand_data_2024_ver0!N1245</f>
        <v>0</v>
      </c>
      <c r="P1245" s="3">
        <f>parking_demand_data_2024_ver0!O1245</f>
        <v>80</v>
      </c>
      <c r="Q1245" s="3">
        <f>parking_demand_data_2024_ver0!P1245</f>
        <v>17</v>
      </c>
      <c r="R1245" s="3">
        <f>parking_demand_data_2024_ver0!Q1245</f>
        <v>0</v>
      </c>
      <c r="S1245" s="3">
        <f>parking_demand_data_2024_ver0!R1245</f>
        <v>0</v>
      </c>
      <c r="T1245" s="3">
        <f>parking_demand_data_2024_ver0!S1245</f>
        <v>0</v>
      </c>
    </row>
    <row r="1246" spans="1:20" x14ac:dyDescent="0.25">
      <c r="A1246">
        <v>18103</v>
      </c>
      <c r="B1246" t="s">
        <v>80</v>
      </c>
      <c r="C1246">
        <v>20</v>
      </c>
      <c r="D1246" s="3">
        <f>parking_demand_data_2024_ver0!D1246*calibration!$I$31</f>
        <v>68.056779684737506</v>
      </c>
      <c r="E1246" s="3">
        <f>parking_demand_data_2024_ver0!E1246*calibration!$I$31</f>
        <v>0</v>
      </c>
      <c r="F1246" s="3">
        <f t="shared" si="19"/>
        <v>68.056779684737506</v>
      </c>
      <c r="G1246" s="3">
        <f>parking_demand_data_2024_ver0!F1246</f>
        <v>2</v>
      </c>
      <c r="H1246" s="3">
        <f>parking_demand_data_2024_ver0!G1246</f>
        <v>0</v>
      </c>
      <c r="I1246" s="3">
        <f>parking_demand_data_2024_ver0!H1246</f>
        <v>1</v>
      </c>
      <c r="J1246" s="3">
        <f>parking_demand_data_2024_ver0!I1246</f>
        <v>1</v>
      </c>
      <c r="K1246" s="3">
        <f>parking_demand_data_2024_ver0!J1246</f>
        <v>0</v>
      </c>
      <c r="L1246" s="3">
        <f>parking_demand_data_2024_ver0!K1246</f>
        <v>0</v>
      </c>
      <c r="M1246" s="3">
        <f>parking_demand_data_2024_ver0!L1246</f>
        <v>0</v>
      </c>
      <c r="N1246" s="3">
        <f>parking_demand_data_2024_ver0!M1246</f>
        <v>97</v>
      </c>
      <c r="O1246" s="3">
        <f>parking_demand_data_2024_ver0!N1246</f>
        <v>0</v>
      </c>
      <c r="P1246" s="3">
        <f>parking_demand_data_2024_ver0!O1246</f>
        <v>80</v>
      </c>
      <c r="Q1246" s="3">
        <f>parking_demand_data_2024_ver0!P1246</f>
        <v>17</v>
      </c>
      <c r="R1246" s="3">
        <f>parking_demand_data_2024_ver0!Q1246</f>
        <v>0</v>
      </c>
      <c r="S1246" s="3">
        <f>parking_demand_data_2024_ver0!R1246</f>
        <v>0</v>
      </c>
      <c r="T1246" s="3">
        <f>parking_demand_data_2024_ver0!S1246</f>
        <v>0</v>
      </c>
    </row>
    <row r="1247" spans="1:20" x14ac:dyDescent="0.25">
      <c r="A1247">
        <v>18103</v>
      </c>
      <c r="B1247" t="s">
        <v>80</v>
      </c>
      <c r="C1247">
        <v>21</v>
      </c>
      <c r="D1247" s="3">
        <f>parking_demand_data_2024_ver0!D1247*calibration!$I$31</f>
        <v>72.899771497509093</v>
      </c>
      <c r="E1247" s="3">
        <f>parking_demand_data_2024_ver0!E1247*calibration!$I$31</f>
        <v>0</v>
      </c>
      <c r="F1247" s="3">
        <f t="shared" si="19"/>
        <v>72.899771497509093</v>
      </c>
      <c r="G1247" s="3">
        <f>parking_demand_data_2024_ver0!F1247</f>
        <v>2</v>
      </c>
      <c r="H1247" s="3">
        <f>parking_demand_data_2024_ver0!G1247</f>
        <v>0</v>
      </c>
      <c r="I1247" s="3">
        <f>parking_demand_data_2024_ver0!H1247</f>
        <v>1</v>
      </c>
      <c r="J1247" s="3">
        <f>parking_demand_data_2024_ver0!I1247</f>
        <v>1</v>
      </c>
      <c r="K1247" s="3">
        <f>parking_demand_data_2024_ver0!J1247</f>
        <v>0</v>
      </c>
      <c r="L1247" s="3">
        <f>parking_demand_data_2024_ver0!K1247</f>
        <v>0</v>
      </c>
      <c r="M1247" s="3">
        <f>parking_demand_data_2024_ver0!L1247</f>
        <v>0</v>
      </c>
      <c r="N1247" s="3">
        <f>parking_demand_data_2024_ver0!M1247</f>
        <v>97</v>
      </c>
      <c r="O1247" s="3">
        <f>parking_demand_data_2024_ver0!N1247</f>
        <v>0</v>
      </c>
      <c r="P1247" s="3">
        <f>parking_demand_data_2024_ver0!O1247</f>
        <v>80</v>
      </c>
      <c r="Q1247" s="3">
        <f>parking_demand_data_2024_ver0!P1247</f>
        <v>17</v>
      </c>
      <c r="R1247" s="3">
        <f>parking_demand_data_2024_ver0!Q1247</f>
        <v>0</v>
      </c>
      <c r="S1247" s="3">
        <f>parking_demand_data_2024_ver0!R1247</f>
        <v>0</v>
      </c>
      <c r="T1247" s="3">
        <f>parking_demand_data_2024_ver0!S1247</f>
        <v>0</v>
      </c>
    </row>
    <row r="1248" spans="1:20" x14ac:dyDescent="0.25">
      <c r="A1248">
        <v>18103</v>
      </c>
      <c r="B1248" t="s">
        <v>80</v>
      </c>
      <c r="C1248">
        <v>22</v>
      </c>
      <c r="D1248" s="3">
        <f>parking_demand_data_2024_ver0!D1248*calibration!$I$31</f>
        <v>75.873538400088094</v>
      </c>
      <c r="E1248" s="3">
        <f>parking_demand_data_2024_ver0!E1248*calibration!$I$31</f>
        <v>0</v>
      </c>
      <c r="F1248" s="3">
        <f t="shared" si="19"/>
        <v>75.873538400088094</v>
      </c>
      <c r="G1248" s="3">
        <f>parking_demand_data_2024_ver0!F1248</f>
        <v>2</v>
      </c>
      <c r="H1248" s="3">
        <f>parking_demand_data_2024_ver0!G1248</f>
        <v>0</v>
      </c>
      <c r="I1248" s="3">
        <f>parking_demand_data_2024_ver0!H1248</f>
        <v>1</v>
      </c>
      <c r="J1248" s="3">
        <f>parking_demand_data_2024_ver0!I1248</f>
        <v>1</v>
      </c>
      <c r="K1248" s="3">
        <f>parking_demand_data_2024_ver0!J1248</f>
        <v>0</v>
      </c>
      <c r="L1248" s="3">
        <f>parking_demand_data_2024_ver0!K1248</f>
        <v>0</v>
      </c>
      <c r="M1248" s="3">
        <f>parking_demand_data_2024_ver0!L1248</f>
        <v>0</v>
      </c>
      <c r="N1248" s="3">
        <f>parking_demand_data_2024_ver0!M1248</f>
        <v>97</v>
      </c>
      <c r="O1248" s="3">
        <f>parking_demand_data_2024_ver0!N1248</f>
        <v>0</v>
      </c>
      <c r="P1248" s="3">
        <f>parking_demand_data_2024_ver0!O1248</f>
        <v>80</v>
      </c>
      <c r="Q1248" s="3">
        <f>parking_demand_data_2024_ver0!P1248</f>
        <v>17</v>
      </c>
      <c r="R1248" s="3">
        <f>parking_demand_data_2024_ver0!Q1248</f>
        <v>0</v>
      </c>
      <c r="S1248" s="3">
        <f>parking_demand_data_2024_ver0!R1248</f>
        <v>0</v>
      </c>
      <c r="T1248" s="3">
        <f>parking_demand_data_2024_ver0!S1248</f>
        <v>0</v>
      </c>
    </row>
    <row r="1249" spans="1:20" x14ac:dyDescent="0.25">
      <c r="A1249">
        <v>18103</v>
      </c>
      <c r="B1249" t="s">
        <v>80</v>
      </c>
      <c r="C1249">
        <v>23</v>
      </c>
      <c r="D1249" s="3">
        <f>parking_demand_data_2024_ver0!D1249*calibration!$I$31</f>
        <v>79.696952989118302</v>
      </c>
      <c r="E1249" s="3">
        <f>parking_demand_data_2024_ver0!E1249*calibration!$I$31</f>
        <v>0</v>
      </c>
      <c r="F1249" s="3">
        <f t="shared" si="19"/>
        <v>79.696952989118302</v>
      </c>
      <c r="G1249" s="3">
        <f>parking_demand_data_2024_ver0!F1249</f>
        <v>2</v>
      </c>
      <c r="H1249" s="3">
        <f>parking_demand_data_2024_ver0!G1249</f>
        <v>0</v>
      </c>
      <c r="I1249" s="3">
        <f>parking_demand_data_2024_ver0!H1249</f>
        <v>1</v>
      </c>
      <c r="J1249" s="3">
        <f>parking_demand_data_2024_ver0!I1249</f>
        <v>1</v>
      </c>
      <c r="K1249" s="3">
        <f>parking_demand_data_2024_ver0!J1249</f>
        <v>0</v>
      </c>
      <c r="L1249" s="3">
        <f>parking_demand_data_2024_ver0!K1249</f>
        <v>0</v>
      </c>
      <c r="M1249" s="3">
        <f>parking_demand_data_2024_ver0!L1249</f>
        <v>0</v>
      </c>
      <c r="N1249" s="3">
        <f>parking_demand_data_2024_ver0!M1249</f>
        <v>97</v>
      </c>
      <c r="O1249" s="3">
        <f>parking_demand_data_2024_ver0!N1249</f>
        <v>0</v>
      </c>
      <c r="P1249" s="3">
        <f>parking_demand_data_2024_ver0!O1249</f>
        <v>80</v>
      </c>
      <c r="Q1249" s="3">
        <f>parking_demand_data_2024_ver0!P1249</f>
        <v>17</v>
      </c>
      <c r="R1249" s="3">
        <f>parking_demand_data_2024_ver0!Q1249</f>
        <v>0</v>
      </c>
      <c r="S1249" s="3">
        <f>parking_demand_data_2024_ver0!R1249</f>
        <v>0</v>
      </c>
      <c r="T1249" s="3">
        <f>parking_demand_data_2024_ver0!S1249</f>
        <v>0</v>
      </c>
    </row>
    <row r="1250" spans="1:20" x14ac:dyDescent="0.25">
      <c r="A1250">
        <v>18105</v>
      </c>
      <c r="B1250" t="s">
        <v>81</v>
      </c>
      <c r="C1250">
        <v>0</v>
      </c>
      <c r="D1250" s="3">
        <f>parking_demand_data_2024_ver0!D1250*calibration!$I$31</f>
        <v>2.9624658880317898</v>
      </c>
      <c r="E1250" s="3">
        <f>parking_demand_data_2024_ver0!E1250*calibration!$I$31</f>
        <v>1.54856171419843</v>
      </c>
      <c r="F1250" s="3">
        <f t="shared" si="19"/>
        <v>4.5110276022302198</v>
      </c>
      <c r="G1250" s="3">
        <f>parking_demand_data_2024_ver0!F1250</f>
        <v>1</v>
      </c>
      <c r="H1250" s="3">
        <f>parking_demand_data_2024_ver0!G1250</f>
        <v>0</v>
      </c>
      <c r="I1250" s="3">
        <f>parking_demand_data_2024_ver0!H1250</f>
        <v>0</v>
      </c>
      <c r="J1250" s="3">
        <f>parking_demand_data_2024_ver0!I1250</f>
        <v>1</v>
      </c>
      <c r="K1250" s="3">
        <f>parking_demand_data_2024_ver0!J1250</f>
        <v>0</v>
      </c>
      <c r="L1250" s="3">
        <f>parking_demand_data_2024_ver0!K1250</f>
        <v>0</v>
      </c>
      <c r="M1250" s="3">
        <f>parking_demand_data_2024_ver0!L1250</f>
        <v>0</v>
      </c>
      <c r="N1250" s="3">
        <f>parking_demand_data_2024_ver0!M1250</f>
        <v>18</v>
      </c>
      <c r="O1250" s="3">
        <f>parking_demand_data_2024_ver0!N1250</f>
        <v>0</v>
      </c>
      <c r="P1250" s="3">
        <f>parking_demand_data_2024_ver0!O1250</f>
        <v>0</v>
      </c>
      <c r="Q1250" s="3">
        <f>parking_demand_data_2024_ver0!P1250</f>
        <v>18</v>
      </c>
      <c r="R1250" s="3">
        <f>parking_demand_data_2024_ver0!Q1250</f>
        <v>0</v>
      </c>
      <c r="S1250" s="3">
        <f>parking_demand_data_2024_ver0!R1250</f>
        <v>0</v>
      </c>
      <c r="T1250" s="3">
        <f>parking_demand_data_2024_ver0!S1250</f>
        <v>0</v>
      </c>
    </row>
    <row r="1251" spans="1:20" x14ac:dyDescent="0.25">
      <c r="A1251">
        <v>18105</v>
      </c>
      <c r="B1251" t="s">
        <v>81</v>
      </c>
      <c r="C1251">
        <v>1</v>
      </c>
      <c r="D1251" s="3">
        <f>parking_demand_data_2024_ver0!D1251*calibration!$I$31</f>
        <v>3.1644521985794101</v>
      </c>
      <c r="E1251" s="3">
        <f>parking_demand_data_2024_ver0!E1251*calibration!$I$31</f>
        <v>1.7505480247460501</v>
      </c>
      <c r="F1251" s="3">
        <f t="shared" si="19"/>
        <v>4.9150002233254604</v>
      </c>
      <c r="G1251" s="3">
        <f>parking_demand_data_2024_ver0!F1251</f>
        <v>1</v>
      </c>
      <c r="H1251" s="3">
        <f>parking_demand_data_2024_ver0!G1251</f>
        <v>0</v>
      </c>
      <c r="I1251" s="3">
        <f>parking_demand_data_2024_ver0!H1251</f>
        <v>0</v>
      </c>
      <c r="J1251" s="3">
        <f>parking_demand_data_2024_ver0!I1251</f>
        <v>1</v>
      </c>
      <c r="K1251" s="3">
        <f>parking_demand_data_2024_ver0!J1251</f>
        <v>0</v>
      </c>
      <c r="L1251" s="3">
        <f>parking_demand_data_2024_ver0!K1251</f>
        <v>0</v>
      </c>
      <c r="M1251" s="3">
        <f>parking_demand_data_2024_ver0!L1251</f>
        <v>0</v>
      </c>
      <c r="N1251" s="3">
        <f>parking_demand_data_2024_ver0!M1251</f>
        <v>18</v>
      </c>
      <c r="O1251" s="3">
        <f>parking_demand_data_2024_ver0!N1251</f>
        <v>0</v>
      </c>
      <c r="P1251" s="3">
        <f>parking_demand_data_2024_ver0!O1251</f>
        <v>0</v>
      </c>
      <c r="Q1251" s="3">
        <f>parking_demand_data_2024_ver0!P1251</f>
        <v>18</v>
      </c>
      <c r="R1251" s="3">
        <f>parking_demand_data_2024_ver0!Q1251</f>
        <v>0</v>
      </c>
      <c r="S1251" s="3">
        <f>parking_demand_data_2024_ver0!R1251</f>
        <v>0</v>
      </c>
      <c r="T1251" s="3">
        <f>parking_demand_data_2024_ver0!S1251</f>
        <v>0</v>
      </c>
    </row>
    <row r="1252" spans="1:20" x14ac:dyDescent="0.25">
      <c r="A1252">
        <v>18105</v>
      </c>
      <c r="B1252" t="s">
        <v>81</v>
      </c>
      <c r="C1252">
        <v>2</v>
      </c>
      <c r="D1252" s="3">
        <f>parking_demand_data_2024_ver0!D1252*calibration!$I$31</f>
        <v>3.83773990040482</v>
      </c>
      <c r="E1252" s="3">
        <f>parking_demand_data_2024_ver0!E1252*calibration!$I$31</f>
        <v>2.1545206458413002</v>
      </c>
      <c r="F1252" s="3">
        <f t="shared" si="19"/>
        <v>5.9922605462461203</v>
      </c>
      <c r="G1252" s="3">
        <f>parking_demand_data_2024_ver0!F1252</f>
        <v>1</v>
      </c>
      <c r="H1252" s="3">
        <f>parking_demand_data_2024_ver0!G1252</f>
        <v>0</v>
      </c>
      <c r="I1252" s="3">
        <f>parking_demand_data_2024_ver0!H1252</f>
        <v>0</v>
      </c>
      <c r="J1252" s="3">
        <f>parking_demand_data_2024_ver0!I1252</f>
        <v>1</v>
      </c>
      <c r="K1252" s="3">
        <f>parking_demand_data_2024_ver0!J1252</f>
        <v>0</v>
      </c>
      <c r="L1252" s="3">
        <f>parking_demand_data_2024_ver0!K1252</f>
        <v>0</v>
      </c>
      <c r="M1252" s="3">
        <f>parking_demand_data_2024_ver0!L1252</f>
        <v>0</v>
      </c>
      <c r="N1252" s="3">
        <f>parking_demand_data_2024_ver0!M1252</f>
        <v>18</v>
      </c>
      <c r="O1252" s="3">
        <f>parking_demand_data_2024_ver0!N1252</f>
        <v>0</v>
      </c>
      <c r="P1252" s="3">
        <f>parking_demand_data_2024_ver0!O1252</f>
        <v>0</v>
      </c>
      <c r="Q1252" s="3">
        <f>parking_demand_data_2024_ver0!P1252</f>
        <v>18</v>
      </c>
      <c r="R1252" s="3">
        <f>parking_demand_data_2024_ver0!Q1252</f>
        <v>0</v>
      </c>
      <c r="S1252" s="3">
        <f>parking_demand_data_2024_ver0!R1252</f>
        <v>0</v>
      </c>
      <c r="T1252" s="3">
        <f>parking_demand_data_2024_ver0!S1252</f>
        <v>0</v>
      </c>
    </row>
    <row r="1253" spans="1:20" x14ac:dyDescent="0.25">
      <c r="A1253">
        <v>18105</v>
      </c>
      <c r="B1253" t="s">
        <v>81</v>
      </c>
      <c r="C1253">
        <v>3</v>
      </c>
      <c r="D1253" s="3">
        <f>parking_demand_data_2024_ver0!D1253*calibration!$I$31</f>
        <v>3.56842481967466</v>
      </c>
      <c r="E1253" s="3">
        <f>parking_demand_data_2024_ver0!E1253*calibration!$I$31</f>
        <v>1.6832192545635101</v>
      </c>
      <c r="F1253" s="3">
        <f t="shared" si="19"/>
        <v>5.25164407423817</v>
      </c>
      <c r="G1253" s="3">
        <f>parking_demand_data_2024_ver0!F1253</f>
        <v>1</v>
      </c>
      <c r="H1253" s="3">
        <f>parking_demand_data_2024_ver0!G1253</f>
        <v>0</v>
      </c>
      <c r="I1253" s="3">
        <f>parking_demand_data_2024_ver0!H1253</f>
        <v>0</v>
      </c>
      <c r="J1253" s="3">
        <f>parking_demand_data_2024_ver0!I1253</f>
        <v>1</v>
      </c>
      <c r="K1253" s="3">
        <f>parking_demand_data_2024_ver0!J1253</f>
        <v>0</v>
      </c>
      <c r="L1253" s="3">
        <f>parking_demand_data_2024_ver0!K1253</f>
        <v>0</v>
      </c>
      <c r="M1253" s="3">
        <f>parking_demand_data_2024_ver0!L1253</f>
        <v>0</v>
      </c>
      <c r="N1253" s="3">
        <f>parking_demand_data_2024_ver0!M1253</f>
        <v>18</v>
      </c>
      <c r="O1253" s="3">
        <f>parking_demand_data_2024_ver0!N1253</f>
        <v>0</v>
      </c>
      <c r="P1253" s="3">
        <f>parking_demand_data_2024_ver0!O1253</f>
        <v>0</v>
      </c>
      <c r="Q1253" s="3">
        <f>parking_demand_data_2024_ver0!P1253</f>
        <v>18</v>
      </c>
      <c r="R1253" s="3">
        <f>parking_demand_data_2024_ver0!Q1253</f>
        <v>0</v>
      </c>
      <c r="S1253" s="3">
        <f>parking_demand_data_2024_ver0!R1253</f>
        <v>0</v>
      </c>
      <c r="T1253" s="3">
        <f>parking_demand_data_2024_ver0!S1253</f>
        <v>0</v>
      </c>
    </row>
    <row r="1254" spans="1:20" x14ac:dyDescent="0.25">
      <c r="A1254">
        <v>18105</v>
      </c>
      <c r="B1254" t="s">
        <v>81</v>
      </c>
      <c r="C1254">
        <v>4</v>
      </c>
      <c r="D1254" s="3">
        <f>parking_demand_data_2024_ver0!D1254*calibration!$I$31</f>
        <v>4.1743837513175199</v>
      </c>
      <c r="E1254" s="3">
        <f>parking_demand_data_2024_ver0!E1254*calibration!$I$31</f>
        <v>2.2891781862063798</v>
      </c>
      <c r="F1254" s="3">
        <f t="shared" si="19"/>
        <v>6.4635619375238997</v>
      </c>
      <c r="G1254" s="3">
        <f>parking_demand_data_2024_ver0!F1254</f>
        <v>1</v>
      </c>
      <c r="H1254" s="3">
        <f>parking_demand_data_2024_ver0!G1254</f>
        <v>0</v>
      </c>
      <c r="I1254" s="3">
        <f>parking_demand_data_2024_ver0!H1254</f>
        <v>0</v>
      </c>
      <c r="J1254" s="3">
        <f>parking_demand_data_2024_ver0!I1254</f>
        <v>1</v>
      </c>
      <c r="K1254" s="3">
        <f>parking_demand_data_2024_ver0!J1254</f>
        <v>0</v>
      </c>
      <c r="L1254" s="3">
        <f>parking_demand_data_2024_ver0!K1254</f>
        <v>0</v>
      </c>
      <c r="M1254" s="3">
        <f>parking_demand_data_2024_ver0!L1254</f>
        <v>0</v>
      </c>
      <c r="N1254" s="3">
        <f>parking_demand_data_2024_ver0!M1254</f>
        <v>18</v>
      </c>
      <c r="O1254" s="3">
        <f>parking_demand_data_2024_ver0!N1254</f>
        <v>0</v>
      </c>
      <c r="P1254" s="3">
        <f>parking_demand_data_2024_ver0!O1254</f>
        <v>0</v>
      </c>
      <c r="Q1254" s="3">
        <f>parking_demand_data_2024_ver0!P1254</f>
        <v>18</v>
      </c>
      <c r="R1254" s="3">
        <f>parking_demand_data_2024_ver0!Q1254</f>
        <v>0</v>
      </c>
      <c r="S1254" s="3">
        <f>parking_demand_data_2024_ver0!R1254</f>
        <v>0</v>
      </c>
      <c r="T1254" s="3">
        <f>parking_demand_data_2024_ver0!S1254</f>
        <v>0</v>
      </c>
    </row>
    <row r="1255" spans="1:20" x14ac:dyDescent="0.25">
      <c r="A1255">
        <v>18105</v>
      </c>
      <c r="B1255" t="s">
        <v>81</v>
      </c>
      <c r="C1255">
        <v>5</v>
      </c>
      <c r="D1255" s="3">
        <f>parking_demand_data_2024_ver0!D1255*calibration!$I$31</f>
        <v>6.1269180866112096</v>
      </c>
      <c r="E1255" s="3">
        <f>parking_demand_data_2024_ver0!E1255*calibration!$I$31</f>
        <v>2.22184941602384</v>
      </c>
      <c r="F1255" s="3">
        <f t="shared" si="19"/>
        <v>8.3487675026350487</v>
      </c>
      <c r="G1255" s="3">
        <f>parking_demand_data_2024_ver0!F1255</f>
        <v>1</v>
      </c>
      <c r="H1255" s="3">
        <f>parking_demand_data_2024_ver0!G1255</f>
        <v>0</v>
      </c>
      <c r="I1255" s="3">
        <f>parking_demand_data_2024_ver0!H1255</f>
        <v>0</v>
      </c>
      <c r="J1255" s="3">
        <f>parking_demand_data_2024_ver0!I1255</f>
        <v>1</v>
      </c>
      <c r="K1255" s="3">
        <f>parking_demand_data_2024_ver0!J1255</f>
        <v>0</v>
      </c>
      <c r="L1255" s="3">
        <f>parking_demand_data_2024_ver0!K1255</f>
        <v>0</v>
      </c>
      <c r="M1255" s="3">
        <f>parking_demand_data_2024_ver0!L1255</f>
        <v>0</v>
      </c>
      <c r="N1255" s="3">
        <f>parking_demand_data_2024_ver0!M1255</f>
        <v>18</v>
      </c>
      <c r="O1255" s="3">
        <f>parking_demand_data_2024_ver0!N1255</f>
        <v>0</v>
      </c>
      <c r="P1255" s="3">
        <f>parking_demand_data_2024_ver0!O1255</f>
        <v>0</v>
      </c>
      <c r="Q1255" s="3">
        <f>parking_demand_data_2024_ver0!P1255</f>
        <v>18</v>
      </c>
      <c r="R1255" s="3">
        <f>parking_demand_data_2024_ver0!Q1255</f>
        <v>0</v>
      </c>
      <c r="S1255" s="3">
        <f>parking_demand_data_2024_ver0!R1255</f>
        <v>0</v>
      </c>
      <c r="T1255" s="3">
        <f>parking_demand_data_2024_ver0!S1255</f>
        <v>0</v>
      </c>
    </row>
    <row r="1256" spans="1:20" x14ac:dyDescent="0.25">
      <c r="A1256">
        <v>18105</v>
      </c>
      <c r="B1256" t="s">
        <v>81</v>
      </c>
      <c r="C1256">
        <v>6</v>
      </c>
      <c r="D1256" s="3">
        <f>parking_demand_data_2024_ver0!D1256*calibration!$I$31</f>
        <v>6.1269180866112096</v>
      </c>
      <c r="E1256" s="3">
        <f>parking_demand_data_2024_ver0!E1256*calibration!$I$31</f>
        <v>7.2041784095318597</v>
      </c>
      <c r="F1256" s="3">
        <f t="shared" si="19"/>
        <v>13.331096496143068</v>
      </c>
      <c r="G1256" s="3">
        <f>parking_demand_data_2024_ver0!F1256</f>
        <v>1</v>
      </c>
      <c r="H1256" s="3">
        <f>parking_demand_data_2024_ver0!G1256</f>
        <v>0</v>
      </c>
      <c r="I1256" s="3">
        <f>parking_demand_data_2024_ver0!H1256</f>
        <v>0</v>
      </c>
      <c r="J1256" s="3">
        <f>parking_demand_data_2024_ver0!I1256</f>
        <v>1</v>
      </c>
      <c r="K1256" s="3">
        <f>parking_demand_data_2024_ver0!J1256</f>
        <v>0</v>
      </c>
      <c r="L1256" s="3">
        <f>parking_demand_data_2024_ver0!K1256</f>
        <v>0</v>
      </c>
      <c r="M1256" s="3">
        <f>parking_demand_data_2024_ver0!L1256</f>
        <v>0</v>
      </c>
      <c r="N1256" s="3">
        <f>parking_demand_data_2024_ver0!M1256</f>
        <v>18</v>
      </c>
      <c r="O1256" s="3">
        <f>parking_demand_data_2024_ver0!N1256</f>
        <v>0</v>
      </c>
      <c r="P1256" s="3">
        <f>parking_demand_data_2024_ver0!O1256</f>
        <v>0</v>
      </c>
      <c r="Q1256" s="3">
        <f>parking_demand_data_2024_ver0!P1256</f>
        <v>18</v>
      </c>
      <c r="R1256" s="3">
        <f>parking_demand_data_2024_ver0!Q1256</f>
        <v>0</v>
      </c>
      <c r="S1256" s="3">
        <f>parking_demand_data_2024_ver0!R1256</f>
        <v>0</v>
      </c>
      <c r="T1256" s="3">
        <f>parking_demand_data_2024_ver0!S1256</f>
        <v>0</v>
      </c>
    </row>
    <row r="1257" spans="1:20" x14ac:dyDescent="0.25">
      <c r="A1257">
        <v>18105</v>
      </c>
      <c r="B1257" t="s">
        <v>81</v>
      </c>
      <c r="C1257">
        <v>7</v>
      </c>
      <c r="D1257" s="3">
        <f>parking_demand_data_2024_ver0!D1257*calibration!$I$31</f>
        <v>7.40616472007948</v>
      </c>
      <c r="E1257" s="3">
        <f>parking_demand_data_2024_ver0!E1257*calibration!$I$31</f>
        <v>14.8796582103415</v>
      </c>
      <c r="F1257" s="3">
        <f t="shared" si="19"/>
        <v>22.285822930420981</v>
      </c>
      <c r="G1257" s="3">
        <f>parking_demand_data_2024_ver0!F1257</f>
        <v>1</v>
      </c>
      <c r="H1257" s="3">
        <f>parking_demand_data_2024_ver0!G1257</f>
        <v>0</v>
      </c>
      <c r="I1257" s="3">
        <f>parking_demand_data_2024_ver0!H1257</f>
        <v>0</v>
      </c>
      <c r="J1257" s="3">
        <f>parking_demand_data_2024_ver0!I1257</f>
        <v>1</v>
      </c>
      <c r="K1257" s="3">
        <f>parking_demand_data_2024_ver0!J1257</f>
        <v>0</v>
      </c>
      <c r="L1257" s="3">
        <f>parking_demand_data_2024_ver0!K1257</f>
        <v>0</v>
      </c>
      <c r="M1257" s="3">
        <f>parking_demand_data_2024_ver0!L1257</f>
        <v>0</v>
      </c>
      <c r="N1257" s="3">
        <f>parking_demand_data_2024_ver0!M1257</f>
        <v>18</v>
      </c>
      <c r="O1257" s="3">
        <f>parking_demand_data_2024_ver0!N1257</f>
        <v>0</v>
      </c>
      <c r="P1257" s="3">
        <f>parking_demand_data_2024_ver0!O1257</f>
        <v>0</v>
      </c>
      <c r="Q1257" s="3">
        <f>parking_demand_data_2024_ver0!P1257</f>
        <v>18</v>
      </c>
      <c r="R1257" s="3">
        <f>parking_demand_data_2024_ver0!Q1257</f>
        <v>0</v>
      </c>
      <c r="S1257" s="3">
        <f>parking_demand_data_2024_ver0!R1257</f>
        <v>0</v>
      </c>
      <c r="T1257" s="3">
        <f>parking_demand_data_2024_ver0!S1257</f>
        <v>0</v>
      </c>
    </row>
    <row r="1258" spans="1:20" x14ac:dyDescent="0.25">
      <c r="A1258">
        <v>18105</v>
      </c>
      <c r="B1258" t="s">
        <v>81</v>
      </c>
      <c r="C1258">
        <v>8</v>
      </c>
      <c r="D1258" s="3">
        <f>parking_demand_data_2024_ver0!D1258*calibration!$I$31</f>
        <v>9.2240415150080803</v>
      </c>
      <c r="E1258" s="3">
        <f>parking_demand_data_2024_ver0!E1258*calibration!$I$31</f>
        <v>18.044110408920901</v>
      </c>
      <c r="F1258" s="3">
        <f t="shared" si="19"/>
        <v>27.268151923928983</v>
      </c>
      <c r="G1258" s="3">
        <f>parking_demand_data_2024_ver0!F1258</f>
        <v>1</v>
      </c>
      <c r="H1258" s="3">
        <f>parking_demand_data_2024_ver0!G1258</f>
        <v>0</v>
      </c>
      <c r="I1258" s="3">
        <f>parking_demand_data_2024_ver0!H1258</f>
        <v>0</v>
      </c>
      <c r="J1258" s="3">
        <f>parking_demand_data_2024_ver0!I1258</f>
        <v>1</v>
      </c>
      <c r="K1258" s="3">
        <f>parking_demand_data_2024_ver0!J1258</f>
        <v>0</v>
      </c>
      <c r="L1258" s="3">
        <f>parking_demand_data_2024_ver0!K1258</f>
        <v>0</v>
      </c>
      <c r="M1258" s="3">
        <f>parking_demand_data_2024_ver0!L1258</f>
        <v>0</v>
      </c>
      <c r="N1258" s="3">
        <f>parking_demand_data_2024_ver0!M1258</f>
        <v>18</v>
      </c>
      <c r="O1258" s="3">
        <f>parking_demand_data_2024_ver0!N1258</f>
        <v>0</v>
      </c>
      <c r="P1258" s="3">
        <f>parking_demand_data_2024_ver0!O1258</f>
        <v>0</v>
      </c>
      <c r="Q1258" s="3">
        <f>parking_demand_data_2024_ver0!P1258</f>
        <v>18</v>
      </c>
      <c r="R1258" s="3">
        <f>parking_demand_data_2024_ver0!Q1258</f>
        <v>0</v>
      </c>
      <c r="S1258" s="3">
        <f>parking_demand_data_2024_ver0!R1258</f>
        <v>0</v>
      </c>
      <c r="T1258" s="3">
        <f>parking_demand_data_2024_ver0!S1258</f>
        <v>0</v>
      </c>
    </row>
    <row r="1259" spans="1:20" x14ac:dyDescent="0.25">
      <c r="A1259">
        <v>18105</v>
      </c>
      <c r="B1259" t="s">
        <v>81</v>
      </c>
      <c r="C1259">
        <v>9</v>
      </c>
      <c r="D1259" s="3">
        <f>parking_demand_data_2024_ver0!D1259*calibration!$I$31</f>
        <v>8.7527401237303</v>
      </c>
      <c r="E1259" s="3">
        <f>parking_demand_data_2024_ver0!E1259*calibration!$I$31</f>
        <v>15.0816445208891</v>
      </c>
      <c r="F1259" s="3">
        <f t="shared" si="19"/>
        <v>23.834384644619398</v>
      </c>
      <c r="G1259" s="3">
        <f>parking_demand_data_2024_ver0!F1259</f>
        <v>1</v>
      </c>
      <c r="H1259" s="3">
        <f>parking_demand_data_2024_ver0!G1259</f>
        <v>0</v>
      </c>
      <c r="I1259" s="3">
        <f>parking_demand_data_2024_ver0!H1259</f>
        <v>0</v>
      </c>
      <c r="J1259" s="3">
        <f>parking_demand_data_2024_ver0!I1259</f>
        <v>1</v>
      </c>
      <c r="K1259" s="3">
        <f>parking_demand_data_2024_ver0!J1259</f>
        <v>0</v>
      </c>
      <c r="L1259" s="3">
        <f>parking_demand_data_2024_ver0!K1259</f>
        <v>0</v>
      </c>
      <c r="M1259" s="3">
        <f>parking_demand_data_2024_ver0!L1259</f>
        <v>0</v>
      </c>
      <c r="N1259" s="3">
        <f>parking_demand_data_2024_ver0!M1259</f>
        <v>18</v>
      </c>
      <c r="O1259" s="3">
        <f>parking_demand_data_2024_ver0!N1259</f>
        <v>0</v>
      </c>
      <c r="P1259" s="3">
        <f>parking_demand_data_2024_ver0!O1259</f>
        <v>0</v>
      </c>
      <c r="Q1259" s="3">
        <f>parking_demand_data_2024_ver0!P1259</f>
        <v>18</v>
      </c>
      <c r="R1259" s="3">
        <f>parking_demand_data_2024_ver0!Q1259</f>
        <v>0</v>
      </c>
      <c r="S1259" s="3">
        <f>parking_demand_data_2024_ver0!R1259</f>
        <v>0</v>
      </c>
      <c r="T1259" s="3">
        <f>parking_demand_data_2024_ver0!S1259</f>
        <v>0</v>
      </c>
    </row>
    <row r="1260" spans="1:20" x14ac:dyDescent="0.25">
      <c r="A1260">
        <v>18105</v>
      </c>
      <c r="B1260" t="s">
        <v>81</v>
      </c>
      <c r="C1260">
        <v>10</v>
      </c>
      <c r="D1260" s="3">
        <f>parking_demand_data_2024_ver0!D1260*calibration!$I$31</f>
        <v>6.1942468567937503</v>
      </c>
      <c r="E1260" s="3">
        <f>parking_demand_data_2024_ver0!E1260*calibration!$I$31</f>
        <v>13.129110185595399</v>
      </c>
      <c r="F1260" s="3">
        <f t="shared" si="19"/>
        <v>19.323357042389148</v>
      </c>
      <c r="G1260" s="3">
        <f>parking_demand_data_2024_ver0!F1260</f>
        <v>1</v>
      </c>
      <c r="H1260" s="3">
        <f>parking_demand_data_2024_ver0!G1260</f>
        <v>0</v>
      </c>
      <c r="I1260" s="3">
        <f>parking_demand_data_2024_ver0!H1260</f>
        <v>0</v>
      </c>
      <c r="J1260" s="3">
        <f>parking_demand_data_2024_ver0!I1260</f>
        <v>1</v>
      </c>
      <c r="K1260" s="3">
        <f>parking_demand_data_2024_ver0!J1260</f>
        <v>0</v>
      </c>
      <c r="L1260" s="3">
        <f>parking_demand_data_2024_ver0!K1260</f>
        <v>0</v>
      </c>
      <c r="M1260" s="3">
        <f>parking_demand_data_2024_ver0!L1260</f>
        <v>0</v>
      </c>
      <c r="N1260" s="3">
        <f>parking_demand_data_2024_ver0!M1260</f>
        <v>18</v>
      </c>
      <c r="O1260" s="3">
        <f>parking_demand_data_2024_ver0!N1260</f>
        <v>0</v>
      </c>
      <c r="P1260" s="3">
        <f>parking_demand_data_2024_ver0!O1260</f>
        <v>0</v>
      </c>
      <c r="Q1260" s="3">
        <f>parking_demand_data_2024_ver0!P1260</f>
        <v>18</v>
      </c>
      <c r="R1260" s="3">
        <f>parking_demand_data_2024_ver0!Q1260</f>
        <v>0</v>
      </c>
      <c r="S1260" s="3">
        <f>parking_demand_data_2024_ver0!R1260</f>
        <v>0</v>
      </c>
      <c r="T1260" s="3">
        <f>parking_demand_data_2024_ver0!S1260</f>
        <v>0</v>
      </c>
    </row>
    <row r="1261" spans="1:20" x14ac:dyDescent="0.25">
      <c r="A1261">
        <v>18105</v>
      </c>
      <c r="B1261" t="s">
        <v>81</v>
      </c>
      <c r="C1261">
        <v>11</v>
      </c>
      <c r="D1261" s="3">
        <f>parking_demand_data_2024_ver0!D1261*calibration!$I$31</f>
        <v>5.1843153040556302</v>
      </c>
      <c r="E1261" s="3">
        <f>parking_demand_data_2024_ver0!E1261*calibration!$I$31</f>
        <v>12.7924663346827</v>
      </c>
      <c r="F1261" s="3">
        <f t="shared" si="19"/>
        <v>17.976781638738331</v>
      </c>
      <c r="G1261" s="3">
        <f>parking_demand_data_2024_ver0!F1261</f>
        <v>1</v>
      </c>
      <c r="H1261" s="3">
        <f>parking_demand_data_2024_ver0!G1261</f>
        <v>0</v>
      </c>
      <c r="I1261" s="3">
        <f>parking_demand_data_2024_ver0!H1261</f>
        <v>0</v>
      </c>
      <c r="J1261" s="3">
        <f>parking_demand_data_2024_ver0!I1261</f>
        <v>1</v>
      </c>
      <c r="K1261" s="3">
        <f>parking_demand_data_2024_ver0!J1261</f>
        <v>0</v>
      </c>
      <c r="L1261" s="3">
        <f>parking_demand_data_2024_ver0!K1261</f>
        <v>0</v>
      </c>
      <c r="M1261" s="3">
        <f>parking_demand_data_2024_ver0!L1261</f>
        <v>0</v>
      </c>
      <c r="N1261" s="3">
        <f>parking_demand_data_2024_ver0!M1261</f>
        <v>18</v>
      </c>
      <c r="O1261" s="3">
        <f>parking_demand_data_2024_ver0!N1261</f>
        <v>0</v>
      </c>
      <c r="P1261" s="3">
        <f>parking_demand_data_2024_ver0!O1261</f>
        <v>0</v>
      </c>
      <c r="Q1261" s="3">
        <f>parking_demand_data_2024_ver0!P1261</f>
        <v>18</v>
      </c>
      <c r="R1261" s="3">
        <f>parking_demand_data_2024_ver0!Q1261</f>
        <v>0</v>
      </c>
      <c r="S1261" s="3">
        <f>parking_demand_data_2024_ver0!R1261</f>
        <v>0</v>
      </c>
      <c r="T1261" s="3">
        <f>parking_demand_data_2024_ver0!S1261</f>
        <v>0</v>
      </c>
    </row>
    <row r="1262" spans="1:20" x14ac:dyDescent="0.25">
      <c r="A1262">
        <v>18105</v>
      </c>
      <c r="B1262" t="s">
        <v>81</v>
      </c>
      <c r="C1262">
        <v>12</v>
      </c>
      <c r="D1262" s="3">
        <f>parking_demand_data_2024_ver0!D1262*calibration!$I$31</f>
        <v>5.9922605462461203</v>
      </c>
      <c r="E1262" s="3">
        <f>parking_demand_data_2024_ver0!E1262*calibration!$I$31</f>
        <v>10.1666442975636</v>
      </c>
      <c r="F1262" s="3">
        <f t="shared" si="19"/>
        <v>16.158904843809722</v>
      </c>
      <c r="G1262" s="3">
        <f>parking_demand_data_2024_ver0!F1262</f>
        <v>1</v>
      </c>
      <c r="H1262" s="3">
        <f>parking_demand_data_2024_ver0!G1262</f>
        <v>0</v>
      </c>
      <c r="I1262" s="3">
        <f>parking_demand_data_2024_ver0!H1262</f>
        <v>0</v>
      </c>
      <c r="J1262" s="3">
        <f>parking_demand_data_2024_ver0!I1262</f>
        <v>1</v>
      </c>
      <c r="K1262" s="3">
        <f>parking_demand_data_2024_ver0!J1262</f>
        <v>0</v>
      </c>
      <c r="L1262" s="3">
        <f>parking_demand_data_2024_ver0!K1262</f>
        <v>0</v>
      </c>
      <c r="M1262" s="3">
        <f>parking_demand_data_2024_ver0!L1262</f>
        <v>0</v>
      </c>
      <c r="N1262" s="3">
        <f>parking_demand_data_2024_ver0!M1262</f>
        <v>18</v>
      </c>
      <c r="O1262" s="3">
        <f>parking_demand_data_2024_ver0!N1262</f>
        <v>0</v>
      </c>
      <c r="P1262" s="3">
        <f>parking_demand_data_2024_ver0!O1262</f>
        <v>0</v>
      </c>
      <c r="Q1262" s="3">
        <f>parking_demand_data_2024_ver0!P1262</f>
        <v>18</v>
      </c>
      <c r="R1262" s="3">
        <f>parking_demand_data_2024_ver0!Q1262</f>
        <v>0</v>
      </c>
      <c r="S1262" s="3">
        <f>parking_demand_data_2024_ver0!R1262</f>
        <v>0</v>
      </c>
      <c r="T1262" s="3">
        <f>parking_demand_data_2024_ver0!S1262</f>
        <v>0</v>
      </c>
    </row>
    <row r="1263" spans="1:20" x14ac:dyDescent="0.25">
      <c r="A1263">
        <v>18105</v>
      </c>
      <c r="B1263" t="s">
        <v>81</v>
      </c>
      <c r="C1263">
        <v>13</v>
      </c>
      <c r="D1263" s="3">
        <f>parking_demand_data_2024_ver0!D1263*calibration!$I$31</f>
        <v>7.8101373411747304</v>
      </c>
      <c r="E1263" s="3">
        <f>parking_demand_data_2024_ver0!E1263*calibration!$I$31</f>
        <v>6.7328770182540696</v>
      </c>
      <c r="F1263" s="3">
        <f t="shared" si="19"/>
        <v>14.543014359428799</v>
      </c>
      <c r="G1263" s="3">
        <f>parking_demand_data_2024_ver0!F1263</f>
        <v>1</v>
      </c>
      <c r="H1263" s="3">
        <f>parking_demand_data_2024_ver0!G1263</f>
        <v>0</v>
      </c>
      <c r="I1263" s="3">
        <f>parking_demand_data_2024_ver0!H1263</f>
        <v>0</v>
      </c>
      <c r="J1263" s="3">
        <f>parking_demand_data_2024_ver0!I1263</f>
        <v>1</v>
      </c>
      <c r="K1263" s="3">
        <f>parking_demand_data_2024_ver0!J1263</f>
        <v>0</v>
      </c>
      <c r="L1263" s="3">
        <f>parking_demand_data_2024_ver0!K1263</f>
        <v>0</v>
      </c>
      <c r="M1263" s="3">
        <f>parking_demand_data_2024_ver0!L1263</f>
        <v>0</v>
      </c>
      <c r="N1263" s="3">
        <f>parking_demand_data_2024_ver0!M1263</f>
        <v>18</v>
      </c>
      <c r="O1263" s="3">
        <f>parking_demand_data_2024_ver0!N1263</f>
        <v>0</v>
      </c>
      <c r="P1263" s="3">
        <f>parking_demand_data_2024_ver0!O1263</f>
        <v>0</v>
      </c>
      <c r="Q1263" s="3">
        <f>parking_demand_data_2024_ver0!P1263</f>
        <v>18</v>
      </c>
      <c r="R1263" s="3">
        <f>parking_demand_data_2024_ver0!Q1263</f>
        <v>0</v>
      </c>
      <c r="S1263" s="3">
        <f>parking_demand_data_2024_ver0!R1263</f>
        <v>0</v>
      </c>
      <c r="T1263" s="3">
        <f>parking_demand_data_2024_ver0!S1263</f>
        <v>0</v>
      </c>
    </row>
    <row r="1264" spans="1:20" x14ac:dyDescent="0.25">
      <c r="A1264">
        <v>18105</v>
      </c>
      <c r="B1264" t="s">
        <v>81</v>
      </c>
      <c r="C1264">
        <v>14</v>
      </c>
      <c r="D1264" s="3">
        <f>parking_demand_data_2024_ver0!D1264*calibration!$I$31</f>
        <v>6.1269180866112096</v>
      </c>
      <c r="E1264" s="3">
        <f>parking_demand_data_2024_ver0!E1264*calibration!$I$31</f>
        <v>3.02979465821433</v>
      </c>
      <c r="F1264" s="3">
        <f t="shared" si="19"/>
        <v>9.1567127448255405</v>
      </c>
      <c r="G1264" s="3">
        <f>parking_demand_data_2024_ver0!F1264</f>
        <v>1</v>
      </c>
      <c r="H1264" s="3">
        <f>parking_demand_data_2024_ver0!G1264</f>
        <v>0</v>
      </c>
      <c r="I1264" s="3">
        <f>parking_demand_data_2024_ver0!H1264</f>
        <v>0</v>
      </c>
      <c r="J1264" s="3">
        <f>parking_demand_data_2024_ver0!I1264</f>
        <v>1</v>
      </c>
      <c r="K1264" s="3">
        <f>parking_demand_data_2024_ver0!J1264</f>
        <v>0</v>
      </c>
      <c r="L1264" s="3">
        <f>parking_demand_data_2024_ver0!K1264</f>
        <v>0</v>
      </c>
      <c r="M1264" s="3">
        <f>parking_demand_data_2024_ver0!L1264</f>
        <v>0</v>
      </c>
      <c r="N1264" s="3">
        <f>parking_demand_data_2024_ver0!M1264</f>
        <v>18</v>
      </c>
      <c r="O1264" s="3">
        <f>parking_demand_data_2024_ver0!N1264</f>
        <v>0</v>
      </c>
      <c r="P1264" s="3">
        <f>parking_demand_data_2024_ver0!O1264</f>
        <v>0</v>
      </c>
      <c r="Q1264" s="3">
        <f>parking_demand_data_2024_ver0!P1264</f>
        <v>18</v>
      </c>
      <c r="R1264" s="3">
        <f>parking_demand_data_2024_ver0!Q1264</f>
        <v>0</v>
      </c>
      <c r="S1264" s="3">
        <f>parking_demand_data_2024_ver0!R1264</f>
        <v>0</v>
      </c>
      <c r="T1264" s="3">
        <f>parking_demand_data_2024_ver0!S1264</f>
        <v>0</v>
      </c>
    </row>
    <row r="1265" spans="1:20" x14ac:dyDescent="0.25">
      <c r="A1265">
        <v>18105</v>
      </c>
      <c r="B1265" t="s">
        <v>81</v>
      </c>
      <c r="C1265">
        <v>15</v>
      </c>
      <c r="D1265" s="3">
        <f>parking_demand_data_2024_ver0!D1265*calibration!$I$31</f>
        <v>4.4436988320476898</v>
      </c>
      <c r="E1265" s="3">
        <f>parking_demand_data_2024_ver0!E1265*calibration!$I$31</f>
        <v>0.60595893164286696</v>
      </c>
      <c r="F1265" s="3">
        <f t="shared" si="19"/>
        <v>5.0496577636905569</v>
      </c>
      <c r="G1265" s="3">
        <f>parking_demand_data_2024_ver0!F1265</f>
        <v>1</v>
      </c>
      <c r="H1265" s="3">
        <f>parking_demand_data_2024_ver0!G1265</f>
        <v>0</v>
      </c>
      <c r="I1265" s="3">
        <f>parking_demand_data_2024_ver0!H1265</f>
        <v>0</v>
      </c>
      <c r="J1265" s="3">
        <f>parking_demand_data_2024_ver0!I1265</f>
        <v>1</v>
      </c>
      <c r="K1265" s="3">
        <f>parking_demand_data_2024_ver0!J1265</f>
        <v>0</v>
      </c>
      <c r="L1265" s="3">
        <f>parking_demand_data_2024_ver0!K1265</f>
        <v>0</v>
      </c>
      <c r="M1265" s="3">
        <f>parking_demand_data_2024_ver0!L1265</f>
        <v>0</v>
      </c>
      <c r="N1265" s="3">
        <f>parking_demand_data_2024_ver0!M1265</f>
        <v>18</v>
      </c>
      <c r="O1265" s="3">
        <f>parking_demand_data_2024_ver0!N1265</f>
        <v>0</v>
      </c>
      <c r="P1265" s="3">
        <f>parking_demand_data_2024_ver0!O1265</f>
        <v>0</v>
      </c>
      <c r="Q1265" s="3">
        <f>parking_demand_data_2024_ver0!P1265</f>
        <v>18</v>
      </c>
      <c r="R1265" s="3">
        <f>parking_demand_data_2024_ver0!Q1265</f>
        <v>0</v>
      </c>
      <c r="S1265" s="3">
        <f>parking_demand_data_2024_ver0!R1265</f>
        <v>0</v>
      </c>
      <c r="T1265" s="3">
        <f>parking_demand_data_2024_ver0!S1265</f>
        <v>0</v>
      </c>
    </row>
    <row r="1266" spans="1:20" x14ac:dyDescent="0.25">
      <c r="A1266">
        <v>18105</v>
      </c>
      <c r="B1266" t="s">
        <v>81</v>
      </c>
      <c r="C1266">
        <v>16</v>
      </c>
      <c r="D1266" s="3">
        <f>parking_demand_data_2024_ver0!D1266*calibration!$I$31</f>
        <v>4.4436988320476898</v>
      </c>
      <c r="E1266" s="3">
        <f>parking_demand_data_2024_ver0!E1266*calibration!$I$31</f>
        <v>0.67328770182540698</v>
      </c>
      <c r="F1266" s="3">
        <f t="shared" si="19"/>
        <v>5.1169865338730967</v>
      </c>
      <c r="G1266" s="3">
        <f>parking_demand_data_2024_ver0!F1266</f>
        <v>1</v>
      </c>
      <c r="H1266" s="3">
        <f>parking_demand_data_2024_ver0!G1266</f>
        <v>0</v>
      </c>
      <c r="I1266" s="3">
        <f>parking_demand_data_2024_ver0!H1266</f>
        <v>0</v>
      </c>
      <c r="J1266" s="3">
        <f>parking_demand_data_2024_ver0!I1266</f>
        <v>1</v>
      </c>
      <c r="K1266" s="3">
        <f>parking_demand_data_2024_ver0!J1266</f>
        <v>0</v>
      </c>
      <c r="L1266" s="3">
        <f>parking_demand_data_2024_ver0!K1266</f>
        <v>0</v>
      </c>
      <c r="M1266" s="3">
        <f>parking_demand_data_2024_ver0!L1266</f>
        <v>0</v>
      </c>
      <c r="N1266" s="3">
        <f>parking_demand_data_2024_ver0!M1266</f>
        <v>18</v>
      </c>
      <c r="O1266" s="3">
        <f>parking_demand_data_2024_ver0!N1266</f>
        <v>0</v>
      </c>
      <c r="P1266" s="3">
        <f>parking_demand_data_2024_ver0!O1266</f>
        <v>0</v>
      </c>
      <c r="Q1266" s="3">
        <f>parking_demand_data_2024_ver0!P1266</f>
        <v>18</v>
      </c>
      <c r="R1266" s="3">
        <f>parking_demand_data_2024_ver0!Q1266</f>
        <v>0</v>
      </c>
      <c r="S1266" s="3">
        <f>parking_demand_data_2024_ver0!R1266</f>
        <v>0</v>
      </c>
      <c r="T1266" s="3">
        <f>parking_demand_data_2024_ver0!S1266</f>
        <v>0</v>
      </c>
    </row>
    <row r="1267" spans="1:20" x14ac:dyDescent="0.25">
      <c r="A1267">
        <v>18105</v>
      </c>
      <c r="B1267" t="s">
        <v>81</v>
      </c>
      <c r="C1267">
        <v>17</v>
      </c>
      <c r="D1267" s="3">
        <f>parking_demand_data_2024_ver0!D1267*calibration!$I$31</f>
        <v>4.8476714531429304</v>
      </c>
      <c r="E1267" s="3">
        <f>parking_demand_data_2024_ver0!E1267*calibration!$I$31</f>
        <v>0.60595893164286696</v>
      </c>
      <c r="F1267" s="3">
        <f t="shared" si="19"/>
        <v>5.4536303847857974</v>
      </c>
      <c r="G1267" s="3">
        <f>parking_demand_data_2024_ver0!F1267</f>
        <v>1</v>
      </c>
      <c r="H1267" s="3">
        <f>parking_demand_data_2024_ver0!G1267</f>
        <v>0</v>
      </c>
      <c r="I1267" s="3">
        <f>parking_demand_data_2024_ver0!H1267</f>
        <v>0</v>
      </c>
      <c r="J1267" s="3">
        <f>parking_demand_data_2024_ver0!I1267</f>
        <v>1</v>
      </c>
      <c r="K1267" s="3">
        <f>parking_demand_data_2024_ver0!J1267</f>
        <v>0</v>
      </c>
      <c r="L1267" s="3">
        <f>parking_demand_data_2024_ver0!K1267</f>
        <v>0</v>
      </c>
      <c r="M1267" s="3">
        <f>parking_demand_data_2024_ver0!L1267</f>
        <v>0</v>
      </c>
      <c r="N1267" s="3">
        <f>parking_demand_data_2024_ver0!M1267</f>
        <v>18</v>
      </c>
      <c r="O1267" s="3">
        <f>parking_demand_data_2024_ver0!N1267</f>
        <v>0</v>
      </c>
      <c r="P1267" s="3">
        <f>parking_demand_data_2024_ver0!O1267</f>
        <v>0</v>
      </c>
      <c r="Q1267" s="3">
        <f>parking_demand_data_2024_ver0!P1267</f>
        <v>18</v>
      </c>
      <c r="R1267" s="3">
        <f>parking_demand_data_2024_ver0!Q1267</f>
        <v>0</v>
      </c>
      <c r="S1267" s="3">
        <f>parking_demand_data_2024_ver0!R1267</f>
        <v>0</v>
      </c>
      <c r="T1267" s="3">
        <f>parking_demand_data_2024_ver0!S1267</f>
        <v>0</v>
      </c>
    </row>
    <row r="1268" spans="1:20" x14ac:dyDescent="0.25">
      <c r="A1268">
        <v>18105</v>
      </c>
      <c r="B1268" t="s">
        <v>81</v>
      </c>
      <c r="C1268">
        <v>18</v>
      </c>
      <c r="D1268" s="3">
        <f>parking_demand_data_2024_ver0!D1268*calibration!$I$31</f>
        <v>4.9150002233254702</v>
      </c>
      <c r="E1268" s="3">
        <f>parking_demand_data_2024_ver0!E1268*calibration!$I$31</f>
        <v>0.67328770182540698</v>
      </c>
      <c r="F1268" s="3">
        <f t="shared" si="19"/>
        <v>5.588287925150877</v>
      </c>
      <c r="G1268" s="3">
        <f>parking_demand_data_2024_ver0!F1268</f>
        <v>1</v>
      </c>
      <c r="H1268" s="3">
        <f>parking_demand_data_2024_ver0!G1268</f>
        <v>0</v>
      </c>
      <c r="I1268" s="3">
        <f>parking_demand_data_2024_ver0!H1268</f>
        <v>0</v>
      </c>
      <c r="J1268" s="3">
        <f>parking_demand_data_2024_ver0!I1268</f>
        <v>1</v>
      </c>
      <c r="K1268" s="3">
        <f>parking_demand_data_2024_ver0!J1268</f>
        <v>0</v>
      </c>
      <c r="L1268" s="3">
        <f>parking_demand_data_2024_ver0!K1268</f>
        <v>0</v>
      </c>
      <c r="M1268" s="3">
        <f>parking_demand_data_2024_ver0!L1268</f>
        <v>0</v>
      </c>
      <c r="N1268" s="3">
        <f>parking_demand_data_2024_ver0!M1268</f>
        <v>18</v>
      </c>
      <c r="O1268" s="3">
        <f>parking_demand_data_2024_ver0!N1268</f>
        <v>0</v>
      </c>
      <c r="P1268" s="3">
        <f>parking_demand_data_2024_ver0!O1268</f>
        <v>0</v>
      </c>
      <c r="Q1268" s="3">
        <f>parking_demand_data_2024_ver0!P1268</f>
        <v>18</v>
      </c>
      <c r="R1268" s="3">
        <f>parking_demand_data_2024_ver0!Q1268</f>
        <v>0</v>
      </c>
      <c r="S1268" s="3">
        <f>parking_demand_data_2024_ver0!R1268</f>
        <v>0</v>
      </c>
      <c r="T1268" s="3">
        <f>parking_demand_data_2024_ver0!S1268</f>
        <v>0</v>
      </c>
    </row>
    <row r="1269" spans="1:20" x14ac:dyDescent="0.25">
      <c r="A1269">
        <v>18105</v>
      </c>
      <c r="B1269" t="s">
        <v>81</v>
      </c>
      <c r="C1269">
        <v>19</v>
      </c>
      <c r="D1269" s="3">
        <f>parking_demand_data_2024_ver0!D1269*calibration!$I$31</f>
        <v>4.4436988320476898</v>
      </c>
      <c r="E1269" s="3">
        <f>parking_demand_data_2024_ver0!E1269*calibration!$I$31</f>
        <v>0.80794524219048902</v>
      </c>
      <c r="F1269" s="3">
        <f t="shared" si="19"/>
        <v>5.2516440742381789</v>
      </c>
      <c r="G1269" s="3">
        <f>parking_demand_data_2024_ver0!F1269</f>
        <v>1</v>
      </c>
      <c r="H1269" s="3">
        <f>parking_demand_data_2024_ver0!G1269</f>
        <v>0</v>
      </c>
      <c r="I1269" s="3">
        <f>parking_demand_data_2024_ver0!H1269</f>
        <v>0</v>
      </c>
      <c r="J1269" s="3">
        <f>parking_demand_data_2024_ver0!I1269</f>
        <v>1</v>
      </c>
      <c r="K1269" s="3">
        <f>parking_demand_data_2024_ver0!J1269</f>
        <v>0</v>
      </c>
      <c r="L1269" s="3">
        <f>parking_demand_data_2024_ver0!K1269</f>
        <v>0</v>
      </c>
      <c r="M1269" s="3">
        <f>parking_demand_data_2024_ver0!L1269</f>
        <v>0</v>
      </c>
      <c r="N1269" s="3">
        <f>parking_demand_data_2024_ver0!M1269</f>
        <v>18</v>
      </c>
      <c r="O1269" s="3">
        <f>parking_demand_data_2024_ver0!N1269</f>
        <v>0</v>
      </c>
      <c r="P1269" s="3">
        <f>parking_demand_data_2024_ver0!O1269</f>
        <v>0</v>
      </c>
      <c r="Q1269" s="3">
        <f>parking_demand_data_2024_ver0!P1269</f>
        <v>18</v>
      </c>
      <c r="R1269" s="3">
        <f>parking_demand_data_2024_ver0!Q1269</f>
        <v>0</v>
      </c>
      <c r="S1269" s="3">
        <f>parking_demand_data_2024_ver0!R1269</f>
        <v>0</v>
      </c>
      <c r="T1269" s="3">
        <f>parking_demand_data_2024_ver0!S1269</f>
        <v>0</v>
      </c>
    </row>
    <row r="1270" spans="1:20" x14ac:dyDescent="0.25">
      <c r="A1270">
        <v>18105</v>
      </c>
      <c r="B1270" t="s">
        <v>81</v>
      </c>
      <c r="C1270">
        <v>20</v>
      </c>
      <c r="D1270" s="3">
        <f>parking_demand_data_2024_ver0!D1270*calibration!$I$31</f>
        <v>3.7704111302222798</v>
      </c>
      <c r="E1270" s="3">
        <f>parking_demand_data_2024_ver0!E1270*calibration!$I$31</f>
        <v>1.2792466334682699</v>
      </c>
      <c r="F1270" s="3">
        <f t="shared" si="19"/>
        <v>5.0496577636905497</v>
      </c>
      <c r="G1270" s="3">
        <f>parking_demand_data_2024_ver0!F1270</f>
        <v>1</v>
      </c>
      <c r="H1270" s="3">
        <f>parking_demand_data_2024_ver0!G1270</f>
        <v>0</v>
      </c>
      <c r="I1270" s="3">
        <f>parking_demand_data_2024_ver0!H1270</f>
        <v>0</v>
      </c>
      <c r="J1270" s="3">
        <f>parking_demand_data_2024_ver0!I1270</f>
        <v>1</v>
      </c>
      <c r="K1270" s="3">
        <f>parking_demand_data_2024_ver0!J1270</f>
        <v>0</v>
      </c>
      <c r="L1270" s="3">
        <f>parking_demand_data_2024_ver0!K1270</f>
        <v>0</v>
      </c>
      <c r="M1270" s="3">
        <f>parking_demand_data_2024_ver0!L1270</f>
        <v>0</v>
      </c>
      <c r="N1270" s="3">
        <f>parking_demand_data_2024_ver0!M1270</f>
        <v>18</v>
      </c>
      <c r="O1270" s="3">
        <f>parking_demand_data_2024_ver0!N1270</f>
        <v>0</v>
      </c>
      <c r="P1270" s="3">
        <f>parking_demand_data_2024_ver0!O1270</f>
        <v>0</v>
      </c>
      <c r="Q1270" s="3">
        <f>parking_demand_data_2024_ver0!P1270</f>
        <v>18</v>
      </c>
      <c r="R1270" s="3">
        <f>parking_demand_data_2024_ver0!Q1270</f>
        <v>0</v>
      </c>
      <c r="S1270" s="3">
        <f>parking_demand_data_2024_ver0!R1270</f>
        <v>0</v>
      </c>
      <c r="T1270" s="3">
        <f>parking_demand_data_2024_ver0!S1270</f>
        <v>0</v>
      </c>
    </row>
    <row r="1271" spans="1:20" x14ac:dyDescent="0.25">
      <c r="A1271">
        <v>18105</v>
      </c>
      <c r="B1271" t="s">
        <v>81</v>
      </c>
      <c r="C1271">
        <v>21</v>
      </c>
      <c r="D1271" s="3">
        <f>parking_demand_data_2024_ver0!D1271*calibration!$I$31</f>
        <v>3.0971234283968698</v>
      </c>
      <c r="E1271" s="3">
        <f>parking_demand_data_2024_ver0!E1271*calibration!$I$31</f>
        <v>1.54856171419843</v>
      </c>
      <c r="F1271" s="3">
        <f t="shared" si="19"/>
        <v>4.6456851425952994</v>
      </c>
      <c r="G1271" s="3">
        <f>parking_demand_data_2024_ver0!F1271</f>
        <v>1</v>
      </c>
      <c r="H1271" s="3">
        <f>parking_demand_data_2024_ver0!G1271</f>
        <v>0</v>
      </c>
      <c r="I1271" s="3">
        <f>parking_demand_data_2024_ver0!H1271</f>
        <v>0</v>
      </c>
      <c r="J1271" s="3">
        <f>parking_demand_data_2024_ver0!I1271</f>
        <v>1</v>
      </c>
      <c r="K1271" s="3">
        <f>parking_demand_data_2024_ver0!J1271</f>
        <v>0</v>
      </c>
      <c r="L1271" s="3">
        <f>parking_demand_data_2024_ver0!K1271</f>
        <v>0</v>
      </c>
      <c r="M1271" s="3">
        <f>parking_demand_data_2024_ver0!L1271</f>
        <v>0</v>
      </c>
      <c r="N1271" s="3">
        <f>parking_demand_data_2024_ver0!M1271</f>
        <v>18</v>
      </c>
      <c r="O1271" s="3">
        <f>parking_demand_data_2024_ver0!N1271</f>
        <v>0</v>
      </c>
      <c r="P1271" s="3">
        <f>parking_demand_data_2024_ver0!O1271</f>
        <v>0</v>
      </c>
      <c r="Q1271" s="3">
        <f>parking_demand_data_2024_ver0!P1271</f>
        <v>18</v>
      </c>
      <c r="R1271" s="3">
        <f>parking_demand_data_2024_ver0!Q1271</f>
        <v>0</v>
      </c>
      <c r="S1271" s="3">
        <f>parking_demand_data_2024_ver0!R1271</f>
        <v>0</v>
      </c>
      <c r="T1271" s="3">
        <f>parking_demand_data_2024_ver0!S1271</f>
        <v>0</v>
      </c>
    </row>
    <row r="1272" spans="1:20" x14ac:dyDescent="0.25">
      <c r="A1272">
        <v>18105</v>
      </c>
      <c r="B1272" t="s">
        <v>81</v>
      </c>
      <c r="C1272">
        <v>22</v>
      </c>
      <c r="D1272" s="3">
        <f>parking_demand_data_2024_ver0!D1272*calibration!$I$31</f>
        <v>2.9624658880317898</v>
      </c>
      <c r="E1272" s="3">
        <f>parking_demand_data_2024_ver0!E1272*calibration!$I$31</f>
        <v>1.6832192545635101</v>
      </c>
      <c r="F1272" s="3">
        <f t="shared" si="19"/>
        <v>4.6456851425952994</v>
      </c>
      <c r="G1272" s="3">
        <f>parking_demand_data_2024_ver0!F1272</f>
        <v>1</v>
      </c>
      <c r="H1272" s="3">
        <f>parking_demand_data_2024_ver0!G1272</f>
        <v>0</v>
      </c>
      <c r="I1272" s="3">
        <f>parking_demand_data_2024_ver0!H1272</f>
        <v>0</v>
      </c>
      <c r="J1272" s="3">
        <f>parking_demand_data_2024_ver0!I1272</f>
        <v>1</v>
      </c>
      <c r="K1272" s="3">
        <f>parking_demand_data_2024_ver0!J1272</f>
        <v>0</v>
      </c>
      <c r="L1272" s="3">
        <f>parking_demand_data_2024_ver0!K1272</f>
        <v>0</v>
      </c>
      <c r="M1272" s="3">
        <f>parking_demand_data_2024_ver0!L1272</f>
        <v>0</v>
      </c>
      <c r="N1272" s="3">
        <f>parking_demand_data_2024_ver0!M1272</f>
        <v>18</v>
      </c>
      <c r="O1272" s="3">
        <f>parking_demand_data_2024_ver0!N1272</f>
        <v>0</v>
      </c>
      <c r="P1272" s="3">
        <f>parking_demand_data_2024_ver0!O1272</f>
        <v>0</v>
      </c>
      <c r="Q1272" s="3">
        <f>parking_demand_data_2024_ver0!P1272</f>
        <v>18</v>
      </c>
      <c r="R1272" s="3">
        <f>parking_demand_data_2024_ver0!Q1272</f>
        <v>0</v>
      </c>
      <c r="S1272" s="3">
        <f>parking_demand_data_2024_ver0!R1272</f>
        <v>0</v>
      </c>
      <c r="T1272" s="3">
        <f>parking_demand_data_2024_ver0!S1272</f>
        <v>0</v>
      </c>
    </row>
    <row r="1273" spans="1:20" x14ac:dyDescent="0.25">
      <c r="A1273">
        <v>18105</v>
      </c>
      <c r="B1273" t="s">
        <v>81</v>
      </c>
      <c r="C1273">
        <v>23</v>
      </c>
      <c r="D1273" s="3">
        <f>parking_demand_data_2024_ver0!D1273*calibration!$I$31</f>
        <v>3.0971234283968698</v>
      </c>
      <c r="E1273" s="3">
        <f>parking_demand_data_2024_ver0!E1273*calibration!$I$31</f>
        <v>1.8852055651111399</v>
      </c>
      <c r="F1273" s="3">
        <f t="shared" si="19"/>
        <v>4.98232899350801</v>
      </c>
      <c r="G1273" s="3">
        <f>parking_demand_data_2024_ver0!F1273</f>
        <v>1</v>
      </c>
      <c r="H1273" s="3">
        <f>parking_demand_data_2024_ver0!G1273</f>
        <v>0</v>
      </c>
      <c r="I1273" s="3">
        <f>parking_demand_data_2024_ver0!H1273</f>
        <v>0</v>
      </c>
      <c r="J1273" s="3">
        <f>parking_demand_data_2024_ver0!I1273</f>
        <v>1</v>
      </c>
      <c r="K1273" s="3">
        <f>parking_demand_data_2024_ver0!J1273</f>
        <v>0</v>
      </c>
      <c r="L1273" s="3">
        <f>parking_demand_data_2024_ver0!K1273</f>
        <v>0</v>
      </c>
      <c r="M1273" s="3">
        <f>parking_demand_data_2024_ver0!L1273</f>
        <v>0</v>
      </c>
      <c r="N1273" s="3">
        <f>parking_demand_data_2024_ver0!M1273</f>
        <v>18</v>
      </c>
      <c r="O1273" s="3">
        <f>parking_demand_data_2024_ver0!N1273</f>
        <v>0</v>
      </c>
      <c r="P1273" s="3">
        <f>parking_demand_data_2024_ver0!O1273</f>
        <v>0</v>
      </c>
      <c r="Q1273" s="3">
        <f>parking_demand_data_2024_ver0!P1273</f>
        <v>18</v>
      </c>
      <c r="R1273" s="3">
        <f>parking_demand_data_2024_ver0!Q1273</f>
        <v>0</v>
      </c>
      <c r="S1273" s="3">
        <f>parking_demand_data_2024_ver0!R1273</f>
        <v>0</v>
      </c>
      <c r="T1273" s="3">
        <f>parking_demand_data_2024_ver0!S1273</f>
        <v>0</v>
      </c>
    </row>
    <row r="1274" spans="1:20" x14ac:dyDescent="0.25">
      <c r="A1274">
        <v>18107</v>
      </c>
      <c r="B1274" t="s">
        <v>82</v>
      </c>
      <c r="C1274">
        <v>0</v>
      </c>
      <c r="D1274" s="3">
        <f>parking_demand_data_2024_ver0!D1274*calibration!$I$31</f>
        <v>118.44999999999899</v>
      </c>
      <c r="E1274" s="3">
        <f>parking_demand_data_2024_ver0!E1274*calibration!$I$31</f>
        <v>4.2150482509047</v>
      </c>
      <c r="F1274" s="3">
        <f t="shared" si="19"/>
        <v>122.66504825090369</v>
      </c>
      <c r="G1274" s="3">
        <f>parking_demand_data_2024_ver0!F1274</f>
        <v>2</v>
      </c>
      <c r="H1274" s="3">
        <f>parking_demand_data_2024_ver0!G1274</f>
        <v>0</v>
      </c>
      <c r="I1274" s="3">
        <f>parking_demand_data_2024_ver0!H1274</f>
        <v>1</v>
      </c>
      <c r="J1274" s="3">
        <f>parking_demand_data_2024_ver0!I1274</f>
        <v>1</v>
      </c>
      <c r="K1274" s="3">
        <f>parking_demand_data_2024_ver0!J1274</f>
        <v>0</v>
      </c>
      <c r="L1274" s="3">
        <f>parking_demand_data_2024_ver0!K1274</f>
        <v>0</v>
      </c>
      <c r="M1274" s="3">
        <f>parking_demand_data_2024_ver0!L1274</f>
        <v>0</v>
      </c>
      <c r="N1274" s="3">
        <f>parking_demand_data_2024_ver0!M1274</f>
        <v>103</v>
      </c>
      <c r="O1274" s="3">
        <f>parking_demand_data_2024_ver0!N1274</f>
        <v>0</v>
      </c>
      <c r="P1274" s="3">
        <f>parking_demand_data_2024_ver0!O1274</f>
        <v>65</v>
      </c>
      <c r="Q1274" s="3">
        <f>parking_demand_data_2024_ver0!P1274</f>
        <v>38</v>
      </c>
      <c r="R1274" s="3">
        <f>parking_demand_data_2024_ver0!Q1274</f>
        <v>0</v>
      </c>
      <c r="S1274" s="3">
        <f>parking_demand_data_2024_ver0!R1274</f>
        <v>0</v>
      </c>
      <c r="T1274" s="3">
        <f>parking_demand_data_2024_ver0!S1274</f>
        <v>0</v>
      </c>
    </row>
    <row r="1275" spans="1:20" x14ac:dyDescent="0.25">
      <c r="A1275">
        <v>18107</v>
      </c>
      <c r="B1275" t="s">
        <v>82</v>
      </c>
      <c r="C1275">
        <v>1</v>
      </c>
      <c r="D1275" s="3">
        <f>parking_demand_data_2024_ver0!D1275*calibration!$I$31</f>
        <v>118.271396260554</v>
      </c>
      <c r="E1275" s="3">
        <f>parking_demand_data_2024_ver0!E1275*calibration!$I$31</f>
        <v>4.4650934861278602</v>
      </c>
      <c r="F1275" s="3">
        <f t="shared" si="19"/>
        <v>122.73648974668185</v>
      </c>
      <c r="G1275" s="3">
        <f>parking_demand_data_2024_ver0!F1275</f>
        <v>2</v>
      </c>
      <c r="H1275" s="3">
        <f>parking_demand_data_2024_ver0!G1275</f>
        <v>0</v>
      </c>
      <c r="I1275" s="3">
        <f>parking_demand_data_2024_ver0!H1275</f>
        <v>1</v>
      </c>
      <c r="J1275" s="3">
        <f>parking_demand_data_2024_ver0!I1275</f>
        <v>1</v>
      </c>
      <c r="K1275" s="3">
        <f>parking_demand_data_2024_ver0!J1275</f>
        <v>0</v>
      </c>
      <c r="L1275" s="3">
        <f>parking_demand_data_2024_ver0!K1275</f>
        <v>0</v>
      </c>
      <c r="M1275" s="3">
        <f>parking_demand_data_2024_ver0!L1275</f>
        <v>0</v>
      </c>
      <c r="N1275" s="3">
        <f>parking_demand_data_2024_ver0!M1275</f>
        <v>103</v>
      </c>
      <c r="O1275" s="3">
        <f>parking_demand_data_2024_ver0!N1275</f>
        <v>0</v>
      </c>
      <c r="P1275" s="3">
        <f>parking_demand_data_2024_ver0!O1275</f>
        <v>65</v>
      </c>
      <c r="Q1275" s="3">
        <f>parking_demand_data_2024_ver0!P1275</f>
        <v>38</v>
      </c>
      <c r="R1275" s="3">
        <f>parking_demand_data_2024_ver0!Q1275</f>
        <v>0</v>
      </c>
      <c r="S1275" s="3">
        <f>parking_demand_data_2024_ver0!R1275</f>
        <v>0</v>
      </c>
      <c r="T1275" s="3">
        <f>parking_demand_data_2024_ver0!S1275</f>
        <v>0</v>
      </c>
    </row>
    <row r="1276" spans="1:20" x14ac:dyDescent="0.25">
      <c r="A1276">
        <v>18107</v>
      </c>
      <c r="B1276" t="s">
        <v>82</v>
      </c>
      <c r="C1276">
        <v>2</v>
      </c>
      <c r="D1276" s="3">
        <f>parking_demand_data_2024_ver0!D1276*calibration!$I$31</f>
        <v>117.128332328106</v>
      </c>
      <c r="E1276" s="3">
        <f>parking_demand_data_2024_ver0!E1276*calibration!$I$31</f>
        <v>5.0009047044632</v>
      </c>
      <c r="F1276" s="3">
        <f t="shared" si="19"/>
        <v>122.12923703256919</v>
      </c>
      <c r="G1276" s="3">
        <f>parking_demand_data_2024_ver0!F1276</f>
        <v>2</v>
      </c>
      <c r="H1276" s="3">
        <f>parking_demand_data_2024_ver0!G1276</f>
        <v>0</v>
      </c>
      <c r="I1276" s="3">
        <f>parking_demand_data_2024_ver0!H1276</f>
        <v>1</v>
      </c>
      <c r="J1276" s="3">
        <f>parking_demand_data_2024_ver0!I1276</f>
        <v>1</v>
      </c>
      <c r="K1276" s="3">
        <f>parking_demand_data_2024_ver0!J1276</f>
        <v>0</v>
      </c>
      <c r="L1276" s="3">
        <f>parking_demand_data_2024_ver0!K1276</f>
        <v>0</v>
      </c>
      <c r="M1276" s="3">
        <f>parking_demand_data_2024_ver0!L1276</f>
        <v>0</v>
      </c>
      <c r="N1276" s="3">
        <f>parking_demand_data_2024_ver0!M1276</f>
        <v>103</v>
      </c>
      <c r="O1276" s="3">
        <f>parking_demand_data_2024_ver0!N1276</f>
        <v>0</v>
      </c>
      <c r="P1276" s="3">
        <f>parking_demand_data_2024_ver0!O1276</f>
        <v>65</v>
      </c>
      <c r="Q1276" s="3">
        <f>parking_demand_data_2024_ver0!P1276</f>
        <v>38</v>
      </c>
      <c r="R1276" s="3">
        <f>parking_demand_data_2024_ver0!Q1276</f>
        <v>0</v>
      </c>
      <c r="S1276" s="3">
        <f>parking_demand_data_2024_ver0!R1276</f>
        <v>0</v>
      </c>
      <c r="T1276" s="3">
        <f>parking_demand_data_2024_ver0!S1276</f>
        <v>0</v>
      </c>
    </row>
    <row r="1277" spans="1:20" x14ac:dyDescent="0.25">
      <c r="A1277">
        <v>18107</v>
      </c>
      <c r="B1277" t="s">
        <v>82</v>
      </c>
      <c r="C1277">
        <v>3</v>
      </c>
      <c r="D1277" s="3">
        <f>parking_demand_data_2024_ver0!D1277*calibration!$I$31</f>
        <v>114.84220446320801</v>
      </c>
      <c r="E1277" s="3">
        <f>parking_demand_data_2024_ver0!E1277*calibration!$I$31</f>
        <v>6.0368063932448699</v>
      </c>
      <c r="F1277" s="3">
        <f t="shared" si="19"/>
        <v>120.87901085645288</v>
      </c>
      <c r="G1277" s="3">
        <f>parking_demand_data_2024_ver0!F1277</f>
        <v>2</v>
      </c>
      <c r="H1277" s="3">
        <f>parking_demand_data_2024_ver0!G1277</f>
        <v>0</v>
      </c>
      <c r="I1277" s="3">
        <f>parking_demand_data_2024_ver0!H1277</f>
        <v>1</v>
      </c>
      <c r="J1277" s="3">
        <f>parking_demand_data_2024_ver0!I1277</f>
        <v>1</v>
      </c>
      <c r="K1277" s="3">
        <f>parking_demand_data_2024_ver0!J1277</f>
        <v>0</v>
      </c>
      <c r="L1277" s="3">
        <f>parking_demand_data_2024_ver0!K1277</f>
        <v>0</v>
      </c>
      <c r="M1277" s="3">
        <f>parking_demand_data_2024_ver0!L1277</f>
        <v>0</v>
      </c>
      <c r="N1277" s="3">
        <f>parking_demand_data_2024_ver0!M1277</f>
        <v>103</v>
      </c>
      <c r="O1277" s="3">
        <f>parking_demand_data_2024_ver0!N1277</f>
        <v>0</v>
      </c>
      <c r="P1277" s="3">
        <f>parking_demand_data_2024_ver0!O1277</f>
        <v>65</v>
      </c>
      <c r="Q1277" s="3">
        <f>parking_demand_data_2024_ver0!P1277</f>
        <v>38</v>
      </c>
      <c r="R1277" s="3">
        <f>parking_demand_data_2024_ver0!Q1277</f>
        <v>0</v>
      </c>
      <c r="S1277" s="3">
        <f>parking_demand_data_2024_ver0!R1277</f>
        <v>0</v>
      </c>
      <c r="T1277" s="3">
        <f>parking_demand_data_2024_ver0!S1277</f>
        <v>0</v>
      </c>
    </row>
    <row r="1278" spans="1:20" x14ac:dyDescent="0.25">
      <c r="A1278">
        <v>18107</v>
      </c>
      <c r="B1278" t="s">
        <v>82</v>
      </c>
      <c r="C1278">
        <v>4</v>
      </c>
      <c r="D1278" s="3">
        <f>parking_demand_data_2024_ver0!D1278*calibration!$I$31</f>
        <v>111.12724668275</v>
      </c>
      <c r="E1278" s="3">
        <f>parking_demand_data_2024_ver0!E1278*calibration!$I$31</f>
        <v>6.5011761158021697</v>
      </c>
      <c r="F1278" s="3">
        <f t="shared" si="19"/>
        <v>117.62842279855217</v>
      </c>
      <c r="G1278" s="3">
        <f>parking_demand_data_2024_ver0!F1278</f>
        <v>2</v>
      </c>
      <c r="H1278" s="3">
        <f>parking_demand_data_2024_ver0!G1278</f>
        <v>0</v>
      </c>
      <c r="I1278" s="3">
        <f>parking_demand_data_2024_ver0!H1278</f>
        <v>1</v>
      </c>
      <c r="J1278" s="3">
        <f>parking_demand_data_2024_ver0!I1278</f>
        <v>1</v>
      </c>
      <c r="K1278" s="3">
        <f>parking_demand_data_2024_ver0!J1278</f>
        <v>0</v>
      </c>
      <c r="L1278" s="3">
        <f>parking_demand_data_2024_ver0!K1278</f>
        <v>0</v>
      </c>
      <c r="M1278" s="3">
        <f>parking_demand_data_2024_ver0!L1278</f>
        <v>0</v>
      </c>
      <c r="N1278" s="3">
        <f>parking_demand_data_2024_ver0!M1278</f>
        <v>103</v>
      </c>
      <c r="O1278" s="3">
        <f>parking_demand_data_2024_ver0!N1278</f>
        <v>0</v>
      </c>
      <c r="P1278" s="3">
        <f>parking_demand_data_2024_ver0!O1278</f>
        <v>65</v>
      </c>
      <c r="Q1278" s="3">
        <f>parking_demand_data_2024_ver0!P1278</f>
        <v>38</v>
      </c>
      <c r="R1278" s="3">
        <f>parking_demand_data_2024_ver0!Q1278</f>
        <v>0</v>
      </c>
      <c r="S1278" s="3">
        <f>parking_demand_data_2024_ver0!R1278</f>
        <v>0</v>
      </c>
      <c r="T1278" s="3">
        <f>parking_demand_data_2024_ver0!S1278</f>
        <v>0</v>
      </c>
    </row>
    <row r="1279" spans="1:20" x14ac:dyDescent="0.25">
      <c r="A1279">
        <v>18107</v>
      </c>
      <c r="B1279" t="s">
        <v>82</v>
      </c>
      <c r="C1279">
        <v>5</v>
      </c>
      <c r="D1279" s="3">
        <f>parking_demand_data_2024_ver0!D1279*calibration!$I$31</f>
        <v>106.19778347406501</v>
      </c>
      <c r="E1279" s="3">
        <f>parking_demand_data_2024_ver0!E1279*calibration!$I$31</f>
        <v>6.6440591073582604</v>
      </c>
      <c r="F1279" s="3">
        <f t="shared" si="19"/>
        <v>112.84184258142326</v>
      </c>
      <c r="G1279" s="3">
        <f>parking_demand_data_2024_ver0!F1279</f>
        <v>2</v>
      </c>
      <c r="H1279" s="3">
        <f>parking_demand_data_2024_ver0!G1279</f>
        <v>0</v>
      </c>
      <c r="I1279" s="3">
        <f>parking_demand_data_2024_ver0!H1279</f>
        <v>1</v>
      </c>
      <c r="J1279" s="3">
        <f>parking_demand_data_2024_ver0!I1279</f>
        <v>1</v>
      </c>
      <c r="K1279" s="3">
        <f>parking_demand_data_2024_ver0!J1279</f>
        <v>0</v>
      </c>
      <c r="L1279" s="3">
        <f>parking_demand_data_2024_ver0!K1279</f>
        <v>0</v>
      </c>
      <c r="M1279" s="3">
        <f>parking_demand_data_2024_ver0!L1279</f>
        <v>0</v>
      </c>
      <c r="N1279" s="3">
        <f>parking_demand_data_2024_ver0!M1279</f>
        <v>103</v>
      </c>
      <c r="O1279" s="3">
        <f>parking_demand_data_2024_ver0!N1279</f>
        <v>0</v>
      </c>
      <c r="P1279" s="3">
        <f>parking_demand_data_2024_ver0!O1279</f>
        <v>65</v>
      </c>
      <c r="Q1279" s="3">
        <f>parking_demand_data_2024_ver0!P1279</f>
        <v>38</v>
      </c>
      <c r="R1279" s="3">
        <f>parking_demand_data_2024_ver0!Q1279</f>
        <v>0</v>
      </c>
      <c r="S1279" s="3">
        <f>parking_demand_data_2024_ver0!R1279</f>
        <v>0</v>
      </c>
      <c r="T1279" s="3">
        <f>parking_demand_data_2024_ver0!S1279</f>
        <v>0</v>
      </c>
    </row>
    <row r="1280" spans="1:20" x14ac:dyDescent="0.25">
      <c r="A1280">
        <v>18107</v>
      </c>
      <c r="B1280" t="s">
        <v>82</v>
      </c>
      <c r="C1280">
        <v>6</v>
      </c>
      <c r="D1280" s="3">
        <f>parking_demand_data_2024_ver0!D1280*calibration!$I$31</f>
        <v>96.303136308805705</v>
      </c>
      <c r="E1280" s="3">
        <f>parking_demand_data_2024_ver0!E1280*calibration!$I$31</f>
        <v>7.39419481302774</v>
      </c>
      <c r="F1280" s="3">
        <f t="shared" si="19"/>
        <v>103.69733112183344</v>
      </c>
      <c r="G1280" s="3">
        <f>parking_demand_data_2024_ver0!F1280</f>
        <v>2</v>
      </c>
      <c r="H1280" s="3">
        <f>parking_demand_data_2024_ver0!G1280</f>
        <v>0</v>
      </c>
      <c r="I1280" s="3">
        <f>parking_demand_data_2024_ver0!H1280</f>
        <v>1</v>
      </c>
      <c r="J1280" s="3">
        <f>parking_demand_data_2024_ver0!I1280</f>
        <v>1</v>
      </c>
      <c r="K1280" s="3">
        <f>parking_demand_data_2024_ver0!J1280</f>
        <v>0</v>
      </c>
      <c r="L1280" s="3">
        <f>parking_demand_data_2024_ver0!K1280</f>
        <v>0</v>
      </c>
      <c r="M1280" s="3">
        <f>parking_demand_data_2024_ver0!L1280</f>
        <v>0</v>
      </c>
      <c r="N1280" s="3">
        <f>parking_demand_data_2024_ver0!M1280</f>
        <v>103</v>
      </c>
      <c r="O1280" s="3">
        <f>parking_demand_data_2024_ver0!N1280</f>
        <v>0</v>
      </c>
      <c r="P1280" s="3">
        <f>parking_demand_data_2024_ver0!O1280</f>
        <v>65</v>
      </c>
      <c r="Q1280" s="3">
        <f>parking_demand_data_2024_ver0!P1280</f>
        <v>38</v>
      </c>
      <c r="R1280" s="3">
        <f>parking_demand_data_2024_ver0!Q1280</f>
        <v>0</v>
      </c>
      <c r="S1280" s="3">
        <f>parking_demand_data_2024_ver0!R1280</f>
        <v>0</v>
      </c>
      <c r="T1280" s="3">
        <f>parking_demand_data_2024_ver0!S1280</f>
        <v>0</v>
      </c>
    </row>
    <row r="1281" spans="1:20" x14ac:dyDescent="0.25">
      <c r="A1281">
        <v>18107</v>
      </c>
      <c r="B1281" t="s">
        <v>82</v>
      </c>
      <c r="C1281">
        <v>7</v>
      </c>
      <c r="D1281" s="3">
        <f>parking_demand_data_2024_ver0!D1281*calibration!$I$31</f>
        <v>80.443124246079506</v>
      </c>
      <c r="E1281" s="3">
        <f>parking_demand_data_2024_ver0!E1281*calibration!$I$31</f>
        <v>7.5013570566948102</v>
      </c>
      <c r="F1281" s="3">
        <f t="shared" si="19"/>
        <v>87.944481302774321</v>
      </c>
      <c r="G1281" s="3">
        <f>parking_demand_data_2024_ver0!F1281</f>
        <v>2</v>
      </c>
      <c r="H1281" s="3">
        <f>parking_demand_data_2024_ver0!G1281</f>
        <v>0</v>
      </c>
      <c r="I1281" s="3">
        <f>parking_demand_data_2024_ver0!H1281</f>
        <v>1</v>
      </c>
      <c r="J1281" s="3">
        <f>parking_demand_data_2024_ver0!I1281</f>
        <v>1</v>
      </c>
      <c r="K1281" s="3">
        <f>parking_demand_data_2024_ver0!J1281</f>
        <v>0</v>
      </c>
      <c r="L1281" s="3">
        <f>parking_demand_data_2024_ver0!K1281</f>
        <v>0</v>
      </c>
      <c r="M1281" s="3">
        <f>parking_demand_data_2024_ver0!L1281</f>
        <v>0</v>
      </c>
      <c r="N1281" s="3">
        <f>parking_demand_data_2024_ver0!M1281</f>
        <v>103</v>
      </c>
      <c r="O1281" s="3">
        <f>parking_demand_data_2024_ver0!N1281</f>
        <v>0</v>
      </c>
      <c r="P1281" s="3">
        <f>parking_demand_data_2024_ver0!O1281</f>
        <v>65</v>
      </c>
      <c r="Q1281" s="3">
        <f>parking_demand_data_2024_ver0!P1281</f>
        <v>38</v>
      </c>
      <c r="R1281" s="3">
        <f>parking_demand_data_2024_ver0!Q1281</f>
        <v>0</v>
      </c>
      <c r="S1281" s="3">
        <f>parking_demand_data_2024_ver0!R1281</f>
        <v>0</v>
      </c>
      <c r="T1281" s="3">
        <f>parking_demand_data_2024_ver0!S1281</f>
        <v>0</v>
      </c>
    </row>
    <row r="1282" spans="1:20" x14ac:dyDescent="0.25">
      <c r="A1282">
        <v>18107</v>
      </c>
      <c r="B1282" t="s">
        <v>82</v>
      </c>
      <c r="C1282">
        <v>8</v>
      </c>
      <c r="D1282" s="3">
        <f>parking_demand_data_2024_ver0!D1282*calibration!$I$31</f>
        <v>63.940138721350998</v>
      </c>
      <c r="E1282" s="3">
        <f>parking_demand_data_2024_ver0!E1282*calibration!$I$31</f>
        <v>6.8583835946924001</v>
      </c>
      <c r="F1282" s="3">
        <f t="shared" si="19"/>
        <v>70.798522316043403</v>
      </c>
      <c r="G1282" s="3">
        <f>parking_demand_data_2024_ver0!F1282</f>
        <v>2</v>
      </c>
      <c r="H1282" s="3">
        <f>parking_demand_data_2024_ver0!G1282</f>
        <v>0</v>
      </c>
      <c r="I1282" s="3">
        <f>parking_demand_data_2024_ver0!H1282</f>
        <v>1</v>
      </c>
      <c r="J1282" s="3">
        <f>parking_demand_data_2024_ver0!I1282</f>
        <v>1</v>
      </c>
      <c r="K1282" s="3">
        <f>parking_demand_data_2024_ver0!J1282</f>
        <v>0</v>
      </c>
      <c r="L1282" s="3">
        <f>parking_demand_data_2024_ver0!K1282</f>
        <v>0</v>
      </c>
      <c r="M1282" s="3">
        <f>parking_demand_data_2024_ver0!L1282</f>
        <v>0</v>
      </c>
      <c r="N1282" s="3">
        <f>parking_demand_data_2024_ver0!M1282</f>
        <v>103</v>
      </c>
      <c r="O1282" s="3">
        <f>parking_demand_data_2024_ver0!N1282</f>
        <v>0</v>
      </c>
      <c r="P1282" s="3">
        <f>parking_demand_data_2024_ver0!O1282</f>
        <v>65</v>
      </c>
      <c r="Q1282" s="3">
        <f>parking_demand_data_2024_ver0!P1282</f>
        <v>38</v>
      </c>
      <c r="R1282" s="3">
        <f>parking_demand_data_2024_ver0!Q1282</f>
        <v>0</v>
      </c>
      <c r="S1282" s="3">
        <f>parking_demand_data_2024_ver0!R1282</f>
        <v>0</v>
      </c>
      <c r="T1282" s="3">
        <f>parking_demand_data_2024_ver0!S1282</f>
        <v>0</v>
      </c>
    </row>
    <row r="1283" spans="1:20" x14ac:dyDescent="0.25">
      <c r="A1283">
        <v>18107</v>
      </c>
      <c r="B1283" t="s">
        <v>82</v>
      </c>
      <c r="C1283">
        <v>9</v>
      </c>
      <c r="D1283" s="3">
        <f>parking_demand_data_2024_ver0!D1283*calibration!$I$31</f>
        <v>53.616842581423299</v>
      </c>
      <c r="E1283" s="3">
        <f>parking_demand_data_2024_ver0!E1283*calibration!$I$31</f>
        <v>5.0366254523522302</v>
      </c>
      <c r="F1283" s="3">
        <f t="shared" ref="F1283:F1346" si="20">SUM(D1283:E1283)</f>
        <v>58.653468033775532</v>
      </c>
      <c r="G1283" s="3">
        <f>parking_demand_data_2024_ver0!F1283</f>
        <v>2</v>
      </c>
      <c r="H1283" s="3">
        <f>parking_demand_data_2024_ver0!G1283</f>
        <v>0</v>
      </c>
      <c r="I1283" s="3">
        <f>parking_demand_data_2024_ver0!H1283</f>
        <v>1</v>
      </c>
      <c r="J1283" s="3">
        <f>parking_demand_data_2024_ver0!I1283</f>
        <v>1</v>
      </c>
      <c r="K1283" s="3">
        <f>parking_demand_data_2024_ver0!J1283</f>
        <v>0</v>
      </c>
      <c r="L1283" s="3">
        <f>parking_demand_data_2024_ver0!K1283</f>
        <v>0</v>
      </c>
      <c r="M1283" s="3">
        <f>parking_demand_data_2024_ver0!L1283</f>
        <v>0</v>
      </c>
      <c r="N1283" s="3">
        <f>parking_demand_data_2024_ver0!M1283</f>
        <v>103</v>
      </c>
      <c r="O1283" s="3">
        <f>parking_demand_data_2024_ver0!N1283</f>
        <v>0</v>
      </c>
      <c r="P1283" s="3">
        <f>parking_demand_data_2024_ver0!O1283</f>
        <v>65</v>
      </c>
      <c r="Q1283" s="3">
        <f>parking_demand_data_2024_ver0!P1283</f>
        <v>38</v>
      </c>
      <c r="R1283" s="3">
        <f>parking_demand_data_2024_ver0!Q1283</f>
        <v>0</v>
      </c>
      <c r="S1283" s="3">
        <f>parking_demand_data_2024_ver0!R1283</f>
        <v>0</v>
      </c>
      <c r="T1283" s="3">
        <f>parking_demand_data_2024_ver0!S1283</f>
        <v>0</v>
      </c>
    </row>
    <row r="1284" spans="1:20" x14ac:dyDescent="0.25">
      <c r="A1284">
        <v>18107</v>
      </c>
      <c r="B1284" t="s">
        <v>82</v>
      </c>
      <c r="C1284">
        <v>10</v>
      </c>
      <c r="D1284" s="3">
        <f>parking_demand_data_2024_ver0!D1284*calibration!$I$31</f>
        <v>46.401251507840698</v>
      </c>
      <c r="E1284" s="3">
        <f>parking_demand_data_2024_ver0!E1284*calibration!$I$31</f>
        <v>3.8578407720144701</v>
      </c>
      <c r="F1284" s="3">
        <f t="shared" si="20"/>
        <v>50.259092279855167</v>
      </c>
      <c r="G1284" s="3">
        <f>parking_demand_data_2024_ver0!F1284</f>
        <v>2</v>
      </c>
      <c r="H1284" s="3">
        <f>parking_demand_data_2024_ver0!G1284</f>
        <v>0</v>
      </c>
      <c r="I1284" s="3">
        <f>parking_demand_data_2024_ver0!H1284</f>
        <v>1</v>
      </c>
      <c r="J1284" s="3">
        <f>parking_demand_data_2024_ver0!I1284</f>
        <v>1</v>
      </c>
      <c r="K1284" s="3">
        <f>parking_demand_data_2024_ver0!J1284</f>
        <v>0</v>
      </c>
      <c r="L1284" s="3">
        <f>parking_demand_data_2024_ver0!K1284</f>
        <v>0</v>
      </c>
      <c r="M1284" s="3">
        <f>parking_demand_data_2024_ver0!L1284</f>
        <v>0</v>
      </c>
      <c r="N1284" s="3">
        <f>parking_demand_data_2024_ver0!M1284</f>
        <v>103</v>
      </c>
      <c r="O1284" s="3">
        <f>parking_demand_data_2024_ver0!N1284</f>
        <v>0</v>
      </c>
      <c r="P1284" s="3">
        <f>parking_demand_data_2024_ver0!O1284</f>
        <v>65</v>
      </c>
      <c r="Q1284" s="3">
        <f>parking_demand_data_2024_ver0!P1284</f>
        <v>38</v>
      </c>
      <c r="R1284" s="3">
        <f>parking_demand_data_2024_ver0!Q1284</f>
        <v>0</v>
      </c>
      <c r="S1284" s="3">
        <f>parking_demand_data_2024_ver0!R1284</f>
        <v>0</v>
      </c>
      <c r="T1284" s="3">
        <f>parking_demand_data_2024_ver0!S1284</f>
        <v>0</v>
      </c>
    </row>
    <row r="1285" spans="1:20" x14ac:dyDescent="0.25">
      <c r="A1285">
        <v>18107</v>
      </c>
      <c r="B1285" t="s">
        <v>82</v>
      </c>
      <c r="C1285">
        <v>11</v>
      </c>
      <c r="D1285" s="3">
        <f>parking_demand_data_2024_ver0!D1285*calibration!$I$31</f>
        <v>47.187107961399199</v>
      </c>
      <c r="E1285" s="3">
        <f>parking_demand_data_2024_ver0!E1285*calibration!$I$31</f>
        <v>3.6077955367913099</v>
      </c>
      <c r="F1285" s="3">
        <f t="shared" si="20"/>
        <v>50.794903498190507</v>
      </c>
      <c r="G1285" s="3">
        <f>parking_demand_data_2024_ver0!F1285</f>
        <v>2</v>
      </c>
      <c r="H1285" s="3">
        <f>parking_demand_data_2024_ver0!G1285</f>
        <v>0</v>
      </c>
      <c r="I1285" s="3">
        <f>parking_demand_data_2024_ver0!H1285</f>
        <v>1</v>
      </c>
      <c r="J1285" s="3">
        <f>parking_demand_data_2024_ver0!I1285</f>
        <v>1</v>
      </c>
      <c r="K1285" s="3">
        <f>parking_demand_data_2024_ver0!J1285</f>
        <v>0</v>
      </c>
      <c r="L1285" s="3">
        <f>parking_demand_data_2024_ver0!K1285</f>
        <v>0</v>
      </c>
      <c r="M1285" s="3">
        <f>parking_demand_data_2024_ver0!L1285</f>
        <v>0</v>
      </c>
      <c r="N1285" s="3">
        <f>parking_demand_data_2024_ver0!M1285</f>
        <v>103</v>
      </c>
      <c r="O1285" s="3">
        <f>parking_demand_data_2024_ver0!N1285</f>
        <v>0</v>
      </c>
      <c r="P1285" s="3">
        <f>parking_demand_data_2024_ver0!O1285</f>
        <v>65</v>
      </c>
      <c r="Q1285" s="3">
        <f>parking_demand_data_2024_ver0!P1285</f>
        <v>38</v>
      </c>
      <c r="R1285" s="3">
        <f>parking_demand_data_2024_ver0!Q1285</f>
        <v>0</v>
      </c>
      <c r="S1285" s="3">
        <f>parking_demand_data_2024_ver0!R1285</f>
        <v>0</v>
      </c>
      <c r="T1285" s="3">
        <f>parking_demand_data_2024_ver0!S1285</f>
        <v>0</v>
      </c>
    </row>
    <row r="1286" spans="1:20" x14ac:dyDescent="0.25">
      <c r="A1286">
        <v>18107</v>
      </c>
      <c r="B1286" t="s">
        <v>82</v>
      </c>
      <c r="C1286">
        <v>12</v>
      </c>
      <c r="D1286" s="3">
        <f>parking_demand_data_2024_ver0!D1286*calibration!$I$31</f>
        <v>48.294451145958902</v>
      </c>
      <c r="E1286" s="3">
        <f>parking_demand_data_2024_ver0!E1286*calibration!$I$31</f>
        <v>3.4291917973462001</v>
      </c>
      <c r="F1286" s="3">
        <f t="shared" si="20"/>
        <v>51.723642943305101</v>
      </c>
      <c r="G1286" s="3">
        <f>parking_demand_data_2024_ver0!F1286</f>
        <v>2</v>
      </c>
      <c r="H1286" s="3">
        <f>parking_demand_data_2024_ver0!G1286</f>
        <v>0</v>
      </c>
      <c r="I1286" s="3">
        <f>parking_demand_data_2024_ver0!H1286</f>
        <v>1</v>
      </c>
      <c r="J1286" s="3">
        <f>parking_demand_data_2024_ver0!I1286</f>
        <v>1</v>
      </c>
      <c r="K1286" s="3">
        <f>parking_demand_data_2024_ver0!J1286</f>
        <v>0</v>
      </c>
      <c r="L1286" s="3">
        <f>parking_demand_data_2024_ver0!K1286</f>
        <v>0</v>
      </c>
      <c r="M1286" s="3">
        <f>parking_demand_data_2024_ver0!L1286</f>
        <v>0</v>
      </c>
      <c r="N1286" s="3">
        <f>parking_demand_data_2024_ver0!M1286</f>
        <v>103</v>
      </c>
      <c r="O1286" s="3">
        <f>parking_demand_data_2024_ver0!N1286</f>
        <v>0</v>
      </c>
      <c r="P1286" s="3">
        <f>parking_demand_data_2024_ver0!O1286</f>
        <v>65</v>
      </c>
      <c r="Q1286" s="3">
        <f>parking_demand_data_2024_ver0!P1286</f>
        <v>38</v>
      </c>
      <c r="R1286" s="3">
        <f>parking_demand_data_2024_ver0!Q1286</f>
        <v>0</v>
      </c>
      <c r="S1286" s="3">
        <f>parking_demand_data_2024_ver0!R1286</f>
        <v>0</v>
      </c>
      <c r="T1286" s="3">
        <f>parking_demand_data_2024_ver0!S1286</f>
        <v>0</v>
      </c>
    </row>
    <row r="1287" spans="1:20" x14ac:dyDescent="0.25">
      <c r="A1287">
        <v>18107</v>
      </c>
      <c r="B1287" t="s">
        <v>82</v>
      </c>
      <c r="C1287">
        <v>13</v>
      </c>
      <c r="D1287" s="3">
        <f>parking_demand_data_2024_ver0!D1287*calibration!$I$31</f>
        <v>49.544677322074698</v>
      </c>
      <c r="E1287" s="3">
        <f>parking_demand_data_2024_ver0!E1287*calibration!$I$31</f>
        <v>3.1077050663449901</v>
      </c>
      <c r="F1287" s="3">
        <f t="shared" si="20"/>
        <v>52.652382388419689</v>
      </c>
      <c r="G1287" s="3">
        <f>parking_demand_data_2024_ver0!F1287</f>
        <v>2</v>
      </c>
      <c r="H1287" s="3">
        <f>parking_demand_data_2024_ver0!G1287</f>
        <v>0</v>
      </c>
      <c r="I1287" s="3">
        <f>parking_demand_data_2024_ver0!H1287</f>
        <v>1</v>
      </c>
      <c r="J1287" s="3">
        <f>parking_demand_data_2024_ver0!I1287</f>
        <v>1</v>
      </c>
      <c r="K1287" s="3">
        <f>parking_demand_data_2024_ver0!J1287</f>
        <v>0</v>
      </c>
      <c r="L1287" s="3">
        <f>parking_demand_data_2024_ver0!K1287</f>
        <v>0</v>
      </c>
      <c r="M1287" s="3">
        <f>parking_demand_data_2024_ver0!L1287</f>
        <v>0</v>
      </c>
      <c r="N1287" s="3">
        <f>parking_demand_data_2024_ver0!M1287</f>
        <v>103</v>
      </c>
      <c r="O1287" s="3">
        <f>parking_demand_data_2024_ver0!N1287</f>
        <v>0</v>
      </c>
      <c r="P1287" s="3">
        <f>parking_demand_data_2024_ver0!O1287</f>
        <v>65</v>
      </c>
      <c r="Q1287" s="3">
        <f>parking_demand_data_2024_ver0!P1287</f>
        <v>38</v>
      </c>
      <c r="R1287" s="3">
        <f>parking_demand_data_2024_ver0!Q1287</f>
        <v>0</v>
      </c>
      <c r="S1287" s="3">
        <f>parking_demand_data_2024_ver0!R1287</f>
        <v>0</v>
      </c>
      <c r="T1287" s="3">
        <f>parking_demand_data_2024_ver0!S1287</f>
        <v>0</v>
      </c>
    </row>
    <row r="1288" spans="1:20" x14ac:dyDescent="0.25">
      <c r="A1288">
        <v>18107</v>
      </c>
      <c r="B1288" t="s">
        <v>82</v>
      </c>
      <c r="C1288">
        <v>14</v>
      </c>
      <c r="D1288" s="3">
        <f>parking_demand_data_2024_ver0!D1288*calibration!$I$31</f>
        <v>50.687741254523502</v>
      </c>
      <c r="E1288" s="3">
        <f>parking_demand_data_2024_ver0!E1288*calibration!$I$31</f>
        <v>2.4290108564535502</v>
      </c>
      <c r="F1288" s="3">
        <f t="shared" si="20"/>
        <v>53.116752110977053</v>
      </c>
      <c r="G1288" s="3">
        <f>parking_demand_data_2024_ver0!F1288</f>
        <v>2</v>
      </c>
      <c r="H1288" s="3">
        <f>parking_demand_data_2024_ver0!G1288</f>
        <v>0</v>
      </c>
      <c r="I1288" s="3">
        <f>parking_demand_data_2024_ver0!H1288</f>
        <v>1</v>
      </c>
      <c r="J1288" s="3">
        <f>parking_demand_data_2024_ver0!I1288</f>
        <v>1</v>
      </c>
      <c r="K1288" s="3">
        <f>parking_demand_data_2024_ver0!J1288</f>
        <v>0</v>
      </c>
      <c r="L1288" s="3">
        <f>parking_demand_data_2024_ver0!K1288</f>
        <v>0</v>
      </c>
      <c r="M1288" s="3">
        <f>parking_demand_data_2024_ver0!L1288</f>
        <v>0</v>
      </c>
      <c r="N1288" s="3">
        <f>parking_demand_data_2024_ver0!M1288</f>
        <v>103</v>
      </c>
      <c r="O1288" s="3">
        <f>parking_demand_data_2024_ver0!N1288</f>
        <v>0</v>
      </c>
      <c r="P1288" s="3">
        <f>parking_demand_data_2024_ver0!O1288</f>
        <v>65</v>
      </c>
      <c r="Q1288" s="3">
        <f>parking_demand_data_2024_ver0!P1288</f>
        <v>38</v>
      </c>
      <c r="R1288" s="3">
        <f>parking_demand_data_2024_ver0!Q1288</f>
        <v>0</v>
      </c>
      <c r="S1288" s="3">
        <f>parking_demand_data_2024_ver0!R1288</f>
        <v>0</v>
      </c>
      <c r="T1288" s="3">
        <f>parking_demand_data_2024_ver0!S1288</f>
        <v>0</v>
      </c>
    </row>
    <row r="1289" spans="1:20" x14ac:dyDescent="0.25">
      <c r="A1289">
        <v>18107</v>
      </c>
      <c r="B1289" t="s">
        <v>82</v>
      </c>
      <c r="C1289">
        <v>15</v>
      </c>
      <c r="D1289" s="3">
        <f>parking_demand_data_2024_ver0!D1289*calibration!$I$31</f>
        <v>55.724366706875699</v>
      </c>
      <c r="E1289" s="3">
        <f>parking_demand_data_2024_ver0!E1289*calibration!$I$31</f>
        <v>1.5359921592279799</v>
      </c>
      <c r="F1289" s="3">
        <f t="shared" si="20"/>
        <v>57.26035886610368</v>
      </c>
      <c r="G1289" s="3">
        <f>parking_demand_data_2024_ver0!F1289</f>
        <v>2</v>
      </c>
      <c r="H1289" s="3">
        <f>parking_demand_data_2024_ver0!G1289</f>
        <v>0</v>
      </c>
      <c r="I1289" s="3">
        <f>parking_demand_data_2024_ver0!H1289</f>
        <v>1</v>
      </c>
      <c r="J1289" s="3">
        <f>parking_demand_data_2024_ver0!I1289</f>
        <v>1</v>
      </c>
      <c r="K1289" s="3">
        <f>parking_demand_data_2024_ver0!J1289</f>
        <v>0</v>
      </c>
      <c r="L1289" s="3">
        <f>parking_demand_data_2024_ver0!K1289</f>
        <v>0</v>
      </c>
      <c r="M1289" s="3">
        <f>parking_demand_data_2024_ver0!L1289</f>
        <v>0</v>
      </c>
      <c r="N1289" s="3">
        <f>parking_demand_data_2024_ver0!M1289</f>
        <v>103</v>
      </c>
      <c r="O1289" s="3">
        <f>parking_demand_data_2024_ver0!N1289</f>
        <v>0</v>
      </c>
      <c r="P1289" s="3">
        <f>parking_demand_data_2024_ver0!O1289</f>
        <v>65</v>
      </c>
      <c r="Q1289" s="3">
        <f>parking_demand_data_2024_ver0!P1289</f>
        <v>38</v>
      </c>
      <c r="R1289" s="3">
        <f>parking_demand_data_2024_ver0!Q1289</f>
        <v>0</v>
      </c>
      <c r="S1289" s="3">
        <f>parking_demand_data_2024_ver0!R1289</f>
        <v>0</v>
      </c>
      <c r="T1289" s="3">
        <f>parking_demand_data_2024_ver0!S1289</f>
        <v>0</v>
      </c>
    </row>
    <row r="1290" spans="1:20" x14ac:dyDescent="0.25">
      <c r="A1290">
        <v>18107</v>
      </c>
      <c r="B1290" t="s">
        <v>82</v>
      </c>
      <c r="C1290">
        <v>16</v>
      </c>
      <c r="D1290" s="3">
        <f>parking_demand_data_2024_ver0!D1290*calibration!$I$31</f>
        <v>62.797074788902201</v>
      </c>
      <c r="E1290" s="3">
        <f>parking_demand_data_2024_ver0!E1290*calibration!$I$31</f>
        <v>1.1073431845597099</v>
      </c>
      <c r="F1290" s="3">
        <f t="shared" si="20"/>
        <v>63.904417973461911</v>
      </c>
      <c r="G1290" s="3">
        <f>parking_demand_data_2024_ver0!F1290</f>
        <v>2</v>
      </c>
      <c r="H1290" s="3">
        <f>parking_demand_data_2024_ver0!G1290</f>
        <v>0</v>
      </c>
      <c r="I1290" s="3">
        <f>parking_demand_data_2024_ver0!H1290</f>
        <v>1</v>
      </c>
      <c r="J1290" s="3">
        <f>parking_demand_data_2024_ver0!I1290</f>
        <v>1</v>
      </c>
      <c r="K1290" s="3">
        <f>parking_demand_data_2024_ver0!J1290</f>
        <v>0</v>
      </c>
      <c r="L1290" s="3">
        <f>parking_demand_data_2024_ver0!K1290</f>
        <v>0</v>
      </c>
      <c r="M1290" s="3">
        <f>parking_demand_data_2024_ver0!L1290</f>
        <v>0</v>
      </c>
      <c r="N1290" s="3">
        <f>parking_demand_data_2024_ver0!M1290</f>
        <v>103</v>
      </c>
      <c r="O1290" s="3">
        <f>parking_demand_data_2024_ver0!N1290</f>
        <v>0</v>
      </c>
      <c r="P1290" s="3">
        <f>parking_demand_data_2024_ver0!O1290</f>
        <v>65</v>
      </c>
      <c r="Q1290" s="3">
        <f>parking_demand_data_2024_ver0!P1290</f>
        <v>38</v>
      </c>
      <c r="R1290" s="3">
        <f>parking_demand_data_2024_ver0!Q1290</f>
        <v>0</v>
      </c>
      <c r="S1290" s="3">
        <f>parking_demand_data_2024_ver0!R1290</f>
        <v>0</v>
      </c>
      <c r="T1290" s="3">
        <f>parking_demand_data_2024_ver0!S1290</f>
        <v>0</v>
      </c>
    </row>
    <row r="1291" spans="1:20" x14ac:dyDescent="0.25">
      <c r="A1291">
        <v>18107</v>
      </c>
      <c r="B1291" t="s">
        <v>82</v>
      </c>
      <c r="C1291">
        <v>17</v>
      </c>
      <c r="D1291" s="3">
        <f>parking_demand_data_2024_ver0!D1291*calibration!$I$31</f>
        <v>70.655639324487296</v>
      </c>
      <c r="E1291" s="3">
        <f>parking_demand_data_2024_ver0!E1291*calibration!$I$31</f>
        <v>1.5359921592279799</v>
      </c>
      <c r="F1291" s="3">
        <f t="shared" si="20"/>
        <v>72.19163148371527</v>
      </c>
      <c r="G1291" s="3">
        <f>parking_demand_data_2024_ver0!F1291</f>
        <v>2</v>
      </c>
      <c r="H1291" s="3">
        <f>parking_demand_data_2024_ver0!G1291</f>
        <v>0</v>
      </c>
      <c r="I1291" s="3">
        <f>parking_demand_data_2024_ver0!H1291</f>
        <v>1</v>
      </c>
      <c r="J1291" s="3">
        <f>parking_demand_data_2024_ver0!I1291</f>
        <v>1</v>
      </c>
      <c r="K1291" s="3">
        <f>parking_demand_data_2024_ver0!J1291</f>
        <v>0</v>
      </c>
      <c r="L1291" s="3">
        <f>parking_demand_data_2024_ver0!K1291</f>
        <v>0</v>
      </c>
      <c r="M1291" s="3">
        <f>parking_demand_data_2024_ver0!L1291</f>
        <v>0</v>
      </c>
      <c r="N1291" s="3">
        <f>parking_demand_data_2024_ver0!M1291</f>
        <v>103</v>
      </c>
      <c r="O1291" s="3">
        <f>parking_demand_data_2024_ver0!N1291</f>
        <v>0</v>
      </c>
      <c r="P1291" s="3">
        <f>parking_demand_data_2024_ver0!O1291</f>
        <v>65</v>
      </c>
      <c r="Q1291" s="3">
        <f>parking_demand_data_2024_ver0!P1291</f>
        <v>38</v>
      </c>
      <c r="R1291" s="3">
        <f>parking_demand_data_2024_ver0!Q1291</f>
        <v>0</v>
      </c>
      <c r="S1291" s="3">
        <f>parking_demand_data_2024_ver0!R1291</f>
        <v>0</v>
      </c>
      <c r="T1291" s="3">
        <f>parking_demand_data_2024_ver0!S1291</f>
        <v>0</v>
      </c>
    </row>
    <row r="1292" spans="1:20" x14ac:dyDescent="0.25">
      <c r="A1292">
        <v>18107</v>
      </c>
      <c r="B1292" t="s">
        <v>82</v>
      </c>
      <c r="C1292">
        <v>18</v>
      </c>
      <c r="D1292" s="3">
        <f>parking_demand_data_2024_ver0!D1292*calibration!$I$31</f>
        <v>78.799969843184499</v>
      </c>
      <c r="E1292" s="3">
        <f>parking_demand_data_2024_ver0!E1292*calibration!$I$31</f>
        <v>2.2861278648974599</v>
      </c>
      <c r="F1292" s="3">
        <f t="shared" si="20"/>
        <v>81.086097708081965</v>
      </c>
      <c r="G1292" s="3">
        <f>parking_demand_data_2024_ver0!F1292</f>
        <v>2</v>
      </c>
      <c r="H1292" s="3">
        <f>parking_demand_data_2024_ver0!G1292</f>
        <v>0</v>
      </c>
      <c r="I1292" s="3">
        <f>parking_demand_data_2024_ver0!H1292</f>
        <v>1</v>
      </c>
      <c r="J1292" s="3">
        <f>parking_demand_data_2024_ver0!I1292</f>
        <v>1</v>
      </c>
      <c r="K1292" s="3">
        <f>parking_demand_data_2024_ver0!J1292</f>
        <v>0</v>
      </c>
      <c r="L1292" s="3">
        <f>parking_demand_data_2024_ver0!K1292</f>
        <v>0</v>
      </c>
      <c r="M1292" s="3">
        <f>parking_demand_data_2024_ver0!L1292</f>
        <v>0</v>
      </c>
      <c r="N1292" s="3">
        <f>parking_demand_data_2024_ver0!M1292</f>
        <v>103</v>
      </c>
      <c r="O1292" s="3">
        <f>parking_demand_data_2024_ver0!N1292</f>
        <v>0</v>
      </c>
      <c r="P1292" s="3">
        <f>parking_demand_data_2024_ver0!O1292</f>
        <v>65</v>
      </c>
      <c r="Q1292" s="3">
        <f>parking_demand_data_2024_ver0!P1292</f>
        <v>38</v>
      </c>
      <c r="R1292" s="3">
        <f>parking_demand_data_2024_ver0!Q1292</f>
        <v>0</v>
      </c>
      <c r="S1292" s="3">
        <f>parking_demand_data_2024_ver0!R1292</f>
        <v>0</v>
      </c>
      <c r="T1292" s="3">
        <f>parking_demand_data_2024_ver0!S1292</f>
        <v>0</v>
      </c>
    </row>
    <row r="1293" spans="1:20" x14ac:dyDescent="0.25">
      <c r="A1293">
        <v>18107</v>
      </c>
      <c r="B1293" t="s">
        <v>82</v>
      </c>
      <c r="C1293">
        <v>19</v>
      </c>
      <c r="D1293" s="3">
        <f>parking_demand_data_2024_ver0!D1293*calibration!$I$31</f>
        <v>92.159529553679107</v>
      </c>
      <c r="E1293" s="3">
        <f>parking_demand_data_2024_ver0!E1293*calibration!$I$31</f>
        <v>2.46473160434258</v>
      </c>
      <c r="F1293" s="3">
        <f t="shared" si="20"/>
        <v>94.624261158021682</v>
      </c>
      <c r="G1293" s="3">
        <f>parking_demand_data_2024_ver0!F1293</f>
        <v>2</v>
      </c>
      <c r="H1293" s="3">
        <f>parking_demand_data_2024_ver0!G1293</f>
        <v>0</v>
      </c>
      <c r="I1293" s="3">
        <f>parking_demand_data_2024_ver0!H1293</f>
        <v>1</v>
      </c>
      <c r="J1293" s="3">
        <f>parking_demand_data_2024_ver0!I1293</f>
        <v>1</v>
      </c>
      <c r="K1293" s="3">
        <f>parking_demand_data_2024_ver0!J1293</f>
        <v>0</v>
      </c>
      <c r="L1293" s="3">
        <f>parking_demand_data_2024_ver0!K1293</f>
        <v>0</v>
      </c>
      <c r="M1293" s="3">
        <f>parking_demand_data_2024_ver0!L1293</f>
        <v>0</v>
      </c>
      <c r="N1293" s="3">
        <f>parking_demand_data_2024_ver0!M1293</f>
        <v>103</v>
      </c>
      <c r="O1293" s="3">
        <f>parking_demand_data_2024_ver0!N1293</f>
        <v>0</v>
      </c>
      <c r="P1293" s="3">
        <f>parking_demand_data_2024_ver0!O1293</f>
        <v>65</v>
      </c>
      <c r="Q1293" s="3">
        <f>parking_demand_data_2024_ver0!P1293</f>
        <v>38</v>
      </c>
      <c r="R1293" s="3">
        <f>parking_demand_data_2024_ver0!Q1293</f>
        <v>0</v>
      </c>
      <c r="S1293" s="3">
        <f>parking_demand_data_2024_ver0!R1293</f>
        <v>0</v>
      </c>
      <c r="T1293" s="3">
        <f>parking_demand_data_2024_ver0!S1293</f>
        <v>0</v>
      </c>
    </row>
    <row r="1294" spans="1:20" x14ac:dyDescent="0.25">
      <c r="A1294">
        <v>18107</v>
      </c>
      <c r="B1294" t="s">
        <v>82</v>
      </c>
      <c r="C1294">
        <v>20</v>
      </c>
      <c r="D1294" s="3">
        <f>parking_demand_data_2024_ver0!D1294*calibration!$I$31</f>
        <v>104.91183655006</v>
      </c>
      <c r="E1294" s="3">
        <f>parking_demand_data_2024_ver0!E1294*calibration!$I$31</f>
        <v>2.7504975874547601</v>
      </c>
      <c r="F1294" s="3">
        <f t="shared" si="20"/>
        <v>107.66233413751476</v>
      </c>
      <c r="G1294" s="3">
        <f>parking_demand_data_2024_ver0!F1294</f>
        <v>2</v>
      </c>
      <c r="H1294" s="3">
        <f>parking_demand_data_2024_ver0!G1294</f>
        <v>0</v>
      </c>
      <c r="I1294" s="3">
        <f>parking_demand_data_2024_ver0!H1294</f>
        <v>1</v>
      </c>
      <c r="J1294" s="3">
        <f>parking_demand_data_2024_ver0!I1294</f>
        <v>1</v>
      </c>
      <c r="K1294" s="3">
        <f>parking_demand_data_2024_ver0!J1294</f>
        <v>0</v>
      </c>
      <c r="L1294" s="3">
        <f>parking_demand_data_2024_ver0!K1294</f>
        <v>0</v>
      </c>
      <c r="M1294" s="3">
        <f>parking_demand_data_2024_ver0!L1294</f>
        <v>0</v>
      </c>
      <c r="N1294" s="3">
        <f>parking_demand_data_2024_ver0!M1294</f>
        <v>103</v>
      </c>
      <c r="O1294" s="3">
        <f>parking_demand_data_2024_ver0!N1294</f>
        <v>0</v>
      </c>
      <c r="P1294" s="3">
        <f>parking_demand_data_2024_ver0!O1294</f>
        <v>65</v>
      </c>
      <c r="Q1294" s="3">
        <f>parking_demand_data_2024_ver0!P1294</f>
        <v>38</v>
      </c>
      <c r="R1294" s="3">
        <f>parking_demand_data_2024_ver0!Q1294</f>
        <v>0</v>
      </c>
      <c r="S1294" s="3">
        <f>parking_demand_data_2024_ver0!R1294</f>
        <v>0</v>
      </c>
      <c r="T1294" s="3">
        <f>parking_demand_data_2024_ver0!S1294</f>
        <v>0</v>
      </c>
    </row>
    <row r="1295" spans="1:20" x14ac:dyDescent="0.25">
      <c r="A1295">
        <v>18107</v>
      </c>
      <c r="B1295" t="s">
        <v>82</v>
      </c>
      <c r="C1295">
        <v>21</v>
      </c>
      <c r="D1295" s="3">
        <f>parking_demand_data_2024_ver0!D1295*calibration!$I$31</f>
        <v>111.663057901085</v>
      </c>
      <c r="E1295" s="3">
        <f>parking_demand_data_2024_ver0!E1295*calibration!$I$31</f>
        <v>2.85765983112183</v>
      </c>
      <c r="F1295" s="3">
        <f t="shared" si="20"/>
        <v>114.52071773220683</v>
      </c>
      <c r="G1295" s="3">
        <f>parking_demand_data_2024_ver0!F1295</f>
        <v>2</v>
      </c>
      <c r="H1295" s="3">
        <f>parking_demand_data_2024_ver0!G1295</f>
        <v>0</v>
      </c>
      <c r="I1295" s="3">
        <f>parking_demand_data_2024_ver0!H1295</f>
        <v>1</v>
      </c>
      <c r="J1295" s="3">
        <f>parking_demand_data_2024_ver0!I1295</f>
        <v>1</v>
      </c>
      <c r="K1295" s="3">
        <f>parking_demand_data_2024_ver0!J1295</f>
        <v>0</v>
      </c>
      <c r="L1295" s="3">
        <f>parking_demand_data_2024_ver0!K1295</f>
        <v>0</v>
      </c>
      <c r="M1295" s="3">
        <f>parking_demand_data_2024_ver0!L1295</f>
        <v>0</v>
      </c>
      <c r="N1295" s="3">
        <f>parking_demand_data_2024_ver0!M1295</f>
        <v>103</v>
      </c>
      <c r="O1295" s="3">
        <f>parking_demand_data_2024_ver0!N1295</f>
        <v>0</v>
      </c>
      <c r="P1295" s="3">
        <f>parking_demand_data_2024_ver0!O1295</f>
        <v>65</v>
      </c>
      <c r="Q1295" s="3">
        <f>parking_demand_data_2024_ver0!P1295</f>
        <v>38</v>
      </c>
      <c r="R1295" s="3">
        <f>parking_demand_data_2024_ver0!Q1295</f>
        <v>0</v>
      </c>
      <c r="S1295" s="3">
        <f>parking_demand_data_2024_ver0!R1295</f>
        <v>0</v>
      </c>
      <c r="T1295" s="3">
        <f>parking_demand_data_2024_ver0!S1295</f>
        <v>0</v>
      </c>
    </row>
    <row r="1296" spans="1:20" x14ac:dyDescent="0.25">
      <c r="A1296">
        <v>18107</v>
      </c>
      <c r="B1296" t="s">
        <v>82</v>
      </c>
      <c r="C1296">
        <v>22</v>
      </c>
      <c r="D1296" s="3">
        <f>parking_demand_data_2024_ver0!D1296*calibration!$I$31</f>
        <v>115.270853437876</v>
      </c>
      <c r="E1296" s="3">
        <f>parking_demand_data_2024_ver0!E1296*calibration!$I$31</f>
        <v>3.2148673100120599</v>
      </c>
      <c r="F1296" s="3">
        <f t="shared" si="20"/>
        <v>118.48572074788805</v>
      </c>
      <c r="G1296" s="3">
        <f>parking_demand_data_2024_ver0!F1296</f>
        <v>2</v>
      </c>
      <c r="H1296" s="3">
        <f>parking_demand_data_2024_ver0!G1296</f>
        <v>0</v>
      </c>
      <c r="I1296" s="3">
        <f>parking_demand_data_2024_ver0!H1296</f>
        <v>1</v>
      </c>
      <c r="J1296" s="3">
        <f>parking_demand_data_2024_ver0!I1296</f>
        <v>1</v>
      </c>
      <c r="K1296" s="3">
        <f>parking_demand_data_2024_ver0!J1296</f>
        <v>0</v>
      </c>
      <c r="L1296" s="3">
        <f>parking_demand_data_2024_ver0!K1296</f>
        <v>0</v>
      </c>
      <c r="M1296" s="3">
        <f>parking_demand_data_2024_ver0!L1296</f>
        <v>0</v>
      </c>
      <c r="N1296" s="3">
        <f>parking_demand_data_2024_ver0!M1296</f>
        <v>103</v>
      </c>
      <c r="O1296" s="3">
        <f>parking_demand_data_2024_ver0!N1296</f>
        <v>0</v>
      </c>
      <c r="P1296" s="3">
        <f>parking_demand_data_2024_ver0!O1296</f>
        <v>65</v>
      </c>
      <c r="Q1296" s="3">
        <f>parking_demand_data_2024_ver0!P1296</f>
        <v>38</v>
      </c>
      <c r="R1296" s="3">
        <f>parking_demand_data_2024_ver0!Q1296</f>
        <v>0</v>
      </c>
      <c r="S1296" s="3">
        <f>parking_demand_data_2024_ver0!R1296</f>
        <v>0</v>
      </c>
      <c r="T1296" s="3">
        <f>parking_demand_data_2024_ver0!S1296</f>
        <v>0</v>
      </c>
    </row>
    <row r="1297" spans="1:20" x14ac:dyDescent="0.25">
      <c r="A1297">
        <v>18107</v>
      </c>
      <c r="B1297" t="s">
        <v>82</v>
      </c>
      <c r="C1297">
        <v>23</v>
      </c>
      <c r="D1297" s="3">
        <f>parking_demand_data_2024_ver0!D1297*calibration!$I$31</f>
        <v>117.235494571773</v>
      </c>
      <c r="E1297" s="3">
        <f>parking_demand_data_2024_ver0!E1297*calibration!$I$31</f>
        <v>3.7506785283473998</v>
      </c>
      <c r="F1297" s="3">
        <f t="shared" si="20"/>
        <v>120.9861731001204</v>
      </c>
      <c r="G1297" s="3">
        <f>parking_demand_data_2024_ver0!F1297</f>
        <v>2</v>
      </c>
      <c r="H1297" s="3">
        <f>parking_demand_data_2024_ver0!G1297</f>
        <v>0</v>
      </c>
      <c r="I1297" s="3">
        <f>parking_demand_data_2024_ver0!H1297</f>
        <v>1</v>
      </c>
      <c r="J1297" s="3">
        <f>parking_demand_data_2024_ver0!I1297</f>
        <v>1</v>
      </c>
      <c r="K1297" s="3">
        <f>parking_demand_data_2024_ver0!J1297</f>
        <v>0</v>
      </c>
      <c r="L1297" s="3">
        <f>parking_demand_data_2024_ver0!K1297</f>
        <v>0</v>
      </c>
      <c r="M1297" s="3">
        <f>parking_demand_data_2024_ver0!L1297</f>
        <v>0</v>
      </c>
      <c r="N1297" s="3">
        <f>parking_demand_data_2024_ver0!M1297</f>
        <v>103</v>
      </c>
      <c r="O1297" s="3">
        <f>parking_demand_data_2024_ver0!N1297</f>
        <v>0</v>
      </c>
      <c r="P1297" s="3">
        <f>parking_demand_data_2024_ver0!O1297</f>
        <v>65</v>
      </c>
      <c r="Q1297" s="3">
        <f>parking_demand_data_2024_ver0!P1297</f>
        <v>38</v>
      </c>
      <c r="R1297" s="3">
        <f>parking_demand_data_2024_ver0!Q1297</f>
        <v>0</v>
      </c>
      <c r="S1297" s="3">
        <f>parking_demand_data_2024_ver0!R1297</f>
        <v>0</v>
      </c>
      <c r="T1297" s="3">
        <f>parking_demand_data_2024_ver0!S1297</f>
        <v>0</v>
      </c>
    </row>
    <row r="1298" spans="1:20" x14ac:dyDescent="0.25">
      <c r="A1298">
        <v>18109</v>
      </c>
      <c r="B1298" t="s">
        <v>83</v>
      </c>
      <c r="C1298">
        <v>0</v>
      </c>
      <c r="D1298" s="3">
        <f>parking_demand_data_2024_ver0!D1298*calibration!$I$31</f>
        <v>18.549379306359299</v>
      </c>
      <c r="E1298" s="3">
        <f>parking_demand_data_2024_ver0!E1298*calibration!$I$31</f>
        <v>7.0739158371709197</v>
      </c>
      <c r="F1298" s="3">
        <f t="shared" si="20"/>
        <v>25.623295143530218</v>
      </c>
      <c r="G1298" s="3">
        <f>parking_demand_data_2024_ver0!F1298</f>
        <v>1</v>
      </c>
      <c r="H1298" s="3">
        <f>parking_demand_data_2024_ver0!G1298</f>
        <v>0</v>
      </c>
      <c r="I1298" s="3">
        <f>parking_demand_data_2024_ver0!H1298</f>
        <v>1</v>
      </c>
      <c r="J1298" s="3">
        <f>parking_demand_data_2024_ver0!I1298</f>
        <v>0</v>
      </c>
      <c r="K1298" s="3">
        <f>parking_demand_data_2024_ver0!J1298</f>
        <v>0</v>
      </c>
      <c r="L1298" s="3">
        <f>parking_demand_data_2024_ver0!K1298</f>
        <v>0</v>
      </c>
      <c r="M1298" s="3">
        <f>parking_demand_data_2024_ver0!L1298</f>
        <v>0</v>
      </c>
      <c r="N1298" s="3">
        <f>parking_demand_data_2024_ver0!M1298</f>
        <v>50</v>
      </c>
      <c r="O1298" s="3">
        <f>parking_demand_data_2024_ver0!N1298</f>
        <v>0</v>
      </c>
      <c r="P1298" s="3">
        <f>parking_demand_data_2024_ver0!O1298</f>
        <v>50</v>
      </c>
      <c r="Q1298" s="3">
        <f>parking_demand_data_2024_ver0!P1298</f>
        <v>0</v>
      </c>
      <c r="R1298" s="3">
        <f>parking_demand_data_2024_ver0!Q1298</f>
        <v>0</v>
      </c>
      <c r="S1298" s="3">
        <f>parking_demand_data_2024_ver0!R1298</f>
        <v>0</v>
      </c>
      <c r="T1298" s="3">
        <f>parking_demand_data_2024_ver0!S1298</f>
        <v>0</v>
      </c>
    </row>
    <row r="1299" spans="1:20" x14ac:dyDescent="0.25">
      <c r="A1299">
        <v>18109</v>
      </c>
      <c r="B1299" t="s">
        <v>83</v>
      </c>
      <c r="C1299">
        <v>1</v>
      </c>
      <c r="D1299" s="3">
        <f>parking_demand_data_2024_ver0!D1299*calibration!$I$31</f>
        <v>18.811376189217501</v>
      </c>
      <c r="E1299" s="3">
        <f>parking_demand_data_2024_ver0!E1299*calibration!$I$31</f>
        <v>9.0126927703214701</v>
      </c>
      <c r="F1299" s="3">
        <f t="shared" si="20"/>
        <v>27.82406895953897</v>
      </c>
      <c r="G1299" s="3">
        <f>parking_demand_data_2024_ver0!F1299</f>
        <v>1</v>
      </c>
      <c r="H1299" s="3">
        <f>parking_demand_data_2024_ver0!G1299</f>
        <v>0</v>
      </c>
      <c r="I1299" s="3">
        <f>parking_demand_data_2024_ver0!H1299</f>
        <v>1</v>
      </c>
      <c r="J1299" s="3">
        <f>parking_demand_data_2024_ver0!I1299</f>
        <v>0</v>
      </c>
      <c r="K1299" s="3">
        <f>parking_demand_data_2024_ver0!J1299</f>
        <v>0</v>
      </c>
      <c r="L1299" s="3">
        <f>parking_demand_data_2024_ver0!K1299</f>
        <v>0</v>
      </c>
      <c r="M1299" s="3">
        <f>parking_demand_data_2024_ver0!L1299</f>
        <v>0</v>
      </c>
      <c r="N1299" s="3">
        <f>parking_demand_data_2024_ver0!M1299</f>
        <v>50</v>
      </c>
      <c r="O1299" s="3">
        <f>parking_demand_data_2024_ver0!N1299</f>
        <v>0</v>
      </c>
      <c r="P1299" s="3">
        <f>parking_demand_data_2024_ver0!O1299</f>
        <v>50</v>
      </c>
      <c r="Q1299" s="3">
        <f>parking_demand_data_2024_ver0!P1299</f>
        <v>0</v>
      </c>
      <c r="R1299" s="3">
        <f>parking_demand_data_2024_ver0!Q1299</f>
        <v>0</v>
      </c>
      <c r="S1299" s="3">
        <f>parking_demand_data_2024_ver0!R1299</f>
        <v>0</v>
      </c>
      <c r="T1299" s="3">
        <f>parking_demand_data_2024_ver0!S1299</f>
        <v>0</v>
      </c>
    </row>
    <row r="1300" spans="1:20" x14ac:dyDescent="0.25">
      <c r="A1300">
        <v>18109</v>
      </c>
      <c r="B1300" t="s">
        <v>83</v>
      </c>
      <c r="C1300">
        <v>2</v>
      </c>
      <c r="D1300" s="3">
        <f>parking_demand_data_2024_ver0!D1300*calibration!$I$31</f>
        <v>19.2305712017905</v>
      </c>
      <c r="E1300" s="3">
        <f>parking_demand_data_2024_ver0!E1300*calibration!$I$31</f>
        <v>9.9034821720392898</v>
      </c>
      <c r="F1300" s="3">
        <f t="shared" si="20"/>
        <v>29.13405337382979</v>
      </c>
      <c r="G1300" s="3">
        <f>parking_demand_data_2024_ver0!F1300</f>
        <v>1</v>
      </c>
      <c r="H1300" s="3">
        <f>parking_demand_data_2024_ver0!G1300</f>
        <v>0</v>
      </c>
      <c r="I1300" s="3">
        <f>parking_demand_data_2024_ver0!H1300</f>
        <v>1</v>
      </c>
      <c r="J1300" s="3">
        <f>parking_demand_data_2024_ver0!I1300</f>
        <v>0</v>
      </c>
      <c r="K1300" s="3">
        <f>parking_demand_data_2024_ver0!J1300</f>
        <v>0</v>
      </c>
      <c r="L1300" s="3">
        <f>parking_demand_data_2024_ver0!K1300</f>
        <v>0</v>
      </c>
      <c r="M1300" s="3">
        <f>parking_demand_data_2024_ver0!L1300</f>
        <v>0</v>
      </c>
      <c r="N1300" s="3">
        <f>parking_demand_data_2024_ver0!M1300</f>
        <v>50</v>
      </c>
      <c r="O1300" s="3">
        <f>parking_demand_data_2024_ver0!N1300</f>
        <v>0</v>
      </c>
      <c r="P1300" s="3">
        <f>parking_demand_data_2024_ver0!O1300</f>
        <v>50</v>
      </c>
      <c r="Q1300" s="3">
        <f>parking_demand_data_2024_ver0!P1300</f>
        <v>0</v>
      </c>
      <c r="R1300" s="3">
        <f>parking_demand_data_2024_ver0!Q1300</f>
        <v>0</v>
      </c>
      <c r="S1300" s="3">
        <f>parking_demand_data_2024_ver0!R1300</f>
        <v>0</v>
      </c>
      <c r="T1300" s="3">
        <f>parking_demand_data_2024_ver0!S1300</f>
        <v>0</v>
      </c>
    </row>
    <row r="1301" spans="1:20" x14ac:dyDescent="0.25">
      <c r="A1301">
        <v>18109</v>
      </c>
      <c r="B1301" t="s">
        <v>83</v>
      </c>
      <c r="C1301">
        <v>3</v>
      </c>
      <c r="D1301" s="3">
        <f>parking_demand_data_2024_ver0!D1301*calibration!$I$31</f>
        <v>19.2305712017905</v>
      </c>
      <c r="E1301" s="3">
        <f>parking_demand_data_2024_ver0!E1301*calibration!$I$31</f>
        <v>9.6938846657527495</v>
      </c>
      <c r="F1301" s="3">
        <f t="shared" si="20"/>
        <v>28.924455867543251</v>
      </c>
      <c r="G1301" s="3">
        <f>parking_demand_data_2024_ver0!F1301</f>
        <v>1</v>
      </c>
      <c r="H1301" s="3">
        <f>parking_demand_data_2024_ver0!G1301</f>
        <v>0</v>
      </c>
      <c r="I1301" s="3">
        <f>parking_demand_data_2024_ver0!H1301</f>
        <v>1</v>
      </c>
      <c r="J1301" s="3">
        <f>parking_demand_data_2024_ver0!I1301</f>
        <v>0</v>
      </c>
      <c r="K1301" s="3">
        <f>parking_demand_data_2024_ver0!J1301</f>
        <v>0</v>
      </c>
      <c r="L1301" s="3">
        <f>parking_demand_data_2024_ver0!K1301</f>
        <v>0</v>
      </c>
      <c r="M1301" s="3">
        <f>parking_demand_data_2024_ver0!L1301</f>
        <v>0</v>
      </c>
      <c r="N1301" s="3">
        <f>parking_demand_data_2024_ver0!M1301</f>
        <v>50</v>
      </c>
      <c r="O1301" s="3">
        <f>parking_demand_data_2024_ver0!N1301</f>
        <v>0</v>
      </c>
      <c r="P1301" s="3">
        <f>parking_demand_data_2024_ver0!O1301</f>
        <v>50</v>
      </c>
      <c r="Q1301" s="3">
        <f>parking_demand_data_2024_ver0!P1301</f>
        <v>0</v>
      </c>
      <c r="R1301" s="3">
        <f>parking_demand_data_2024_ver0!Q1301</f>
        <v>0</v>
      </c>
      <c r="S1301" s="3">
        <f>parking_demand_data_2024_ver0!R1301</f>
        <v>0</v>
      </c>
      <c r="T1301" s="3">
        <f>parking_demand_data_2024_ver0!S1301</f>
        <v>0</v>
      </c>
    </row>
    <row r="1302" spans="1:20" x14ac:dyDescent="0.25">
      <c r="A1302">
        <v>18109</v>
      </c>
      <c r="B1302" t="s">
        <v>83</v>
      </c>
      <c r="C1302">
        <v>4</v>
      </c>
      <c r="D1302" s="3">
        <f>parking_demand_data_2024_ver0!D1302*calibration!$I$31</f>
        <v>19.1781718252189</v>
      </c>
      <c r="E1302" s="3">
        <f>parking_demand_data_2024_ver0!E1302*calibration!$I$31</f>
        <v>11.0038690800436</v>
      </c>
      <c r="F1302" s="3">
        <f t="shared" si="20"/>
        <v>30.1820409052625</v>
      </c>
      <c r="G1302" s="3">
        <f>parking_demand_data_2024_ver0!F1302</f>
        <v>1</v>
      </c>
      <c r="H1302" s="3">
        <f>parking_demand_data_2024_ver0!G1302</f>
        <v>0</v>
      </c>
      <c r="I1302" s="3">
        <f>parking_demand_data_2024_ver0!H1302</f>
        <v>1</v>
      </c>
      <c r="J1302" s="3">
        <f>parking_demand_data_2024_ver0!I1302</f>
        <v>0</v>
      </c>
      <c r="K1302" s="3">
        <f>parking_demand_data_2024_ver0!J1302</f>
        <v>0</v>
      </c>
      <c r="L1302" s="3">
        <f>parking_demand_data_2024_ver0!K1302</f>
        <v>0</v>
      </c>
      <c r="M1302" s="3">
        <f>parking_demand_data_2024_ver0!L1302</f>
        <v>0</v>
      </c>
      <c r="N1302" s="3">
        <f>parking_demand_data_2024_ver0!M1302</f>
        <v>50</v>
      </c>
      <c r="O1302" s="3">
        <f>parking_demand_data_2024_ver0!N1302</f>
        <v>0</v>
      </c>
      <c r="P1302" s="3">
        <f>parking_demand_data_2024_ver0!O1302</f>
        <v>50</v>
      </c>
      <c r="Q1302" s="3">
        <f>parking_demand_data_2024_ver0!P1302</f>
        <v>0</v>
      </c>
      <c r="R1302" s="3">
        <f>parking_demand_data_2024_ver0!Q1302</f>
        <v>0</v>
      </c>
      <c r="S1302" s="3">
        <f>parking_demand_data_2024_ver0!R1302</f>
        <v>0</v>
      </c>
      <c r="T1302" s="3">
        <f>parking_demand_data_2024_ver0!S1302</f>
        <v>0</v>
      </c>
    </row>
    <row r="1303" spans="1:20" x14ac:dyDescent="0.25">
      <c r="A1303">
        <v>18109</v>
      </c>
      <c r="B1303" t="s">
        <v>83</v>
      </c>
      <c r="C1303">
        <v>5</v>
      </c>
      <c r="D1303" s="3">
        <f>parking_demand_data_2024_ver0!D1303*calibration!$I$31</f>
        <v>18.549379306359299</v>
      </c>
      <c r="E1303" s="3">
        <f>parking_demand_data_2024_ver0!E1303*calibration!$I$31</f>
        <v>11.4230640926167</v>
      </c>
      <c r="F1303" s="3">
        <f t="shared" si="20"/>
        <v>29.972443398975997</v>
      </c>
      <c r="G1303" s="3">
        <f>parking_demand_data_2024_ver0!F1303</f>
        <v>1</v>
      </c>
      <c r="H1303" s="3">
        <f>parking_demand_data_2024_ver0!G1303</f>
        <v>0</v>
      </c>
      <c r="I1303" s="3">
        <f>parking_demand_data_2024_ver0!H1303</f>
        <v>1</v>
      </c>
      <c r="J1303" s="3">
        <f>parking_demand_data_2024_ver0!I1303</f>
        <v>0</v>
      </c>
      <c r="K1303" s="3">
        <f>parking_demand_data_2024_ver0!J1303</f>
        <v>0</v>
      </c>
      <c r="L1303" s="3">
        <f>parking_demand_data_2024_ver0!K1303</f>
        <v>0</v>
      </c>
      <c r="M1303" s="3">
        <f>parking_demand_data_2024_ver0!L1303</f>
        <v>0</v>
      </c>
      <c r="N1303" s="3">
        <f>parking_demand_data_2024_ver0!M1303</f>
        <v>50</v>
      </c>
      <c r="O1303" s="3">
        <f>parking_demand_data_2024_ver0!N1303</f>
        <v>0</v>
      </c>
      <c r="P1303" s="3">
        <f>parking_demand_data_2024_ver0!O1303</f>
        <v>50</v>
      </c>
      <c r="Q1303" s="3">
        <f>parking_demand_data_2024_ver0!P1303</f>
        <v>0</v>
      </c>
      <c r="R1303" s="3">
        <f>parking_demand_data_2024_ver0!Q1303</f>
        <v>0</v>
      </c>
      <c r="S1303" s="3">
        <f>parking_demand_data_2024_ver0!R1303</f>
        <v>0</v>
      </c>
      <c r="T1303" s="3">
        <f>parking_demand_data_2024_ver0!S1303</f>
        <v>0</v>
      </c>
    </row>
    <row r="1304" spans="1:20" x14ac:dyDescent="0.25">
      <c r="A1304">
        <v>18109</v>
      </c>
      <c r="B1304" t="s">
        <v>83</v>
      </c>
      <c r="C1304">
        <v>6</v>
      </c>
      <c r="D1304" s="3">
        <f>parking_demand_data_2024_ver0!D1304*calibration!$I$31</f>
        <v>16.4534042434938</v>
      </c>
      <c r="E1304" s="3">
        <f>parking_demand_data_2024_ver0!E1304*calibration!$I$31</f>
        <v>16.6106023732087</v>
      </c>
      <c r="F1304" s="3">
        <f t="shared" si="20"/>
        <v>33.0640066167025</v>
      </c>
      <c r="G1304" s="3">
        <f>parking_demand_data_2024_ver0!F1304</f>
        <v>1</v>
      </c>
      <c r="H1304" s="3">
        <f>parking_demand_data_2024_ver0!G1304</f>
        <v>0</v>
      </c>
      <c r="I1304" s="3">
        <f>parking_demand_data_2024_ver0!H1304</f>
        <v>1</v>
      </c>
      <c r="J1304" s="3">
        <f>parking_demand_data_2024_ver0!I1304</f>
        <v>0</v>
      </c>
      <c r="K1304" s="3">
        <f>parking_demand_data_2024_ver0!J1304</f>
        <v>0</v>
      </c>
      <c r="L1304" s="3">
        <f>parking_demand_data_2024_ver0!K1304</f>
        <v>0</v>
      </c>
      <c r="M1304" s="3">
        <f>parking_demand_data_2024_ver0!L1304</f>
        <v>0</v>
      </c>
      <c r="N1304" s="3">
        <f>parking_demand_data_2024_ver0!M1304</f>
        <v>50</v>
      </c>
      <c r="O1304" s="3">
        <f>parking_demand_data_2024_ver0!N1304</f>
        <v>0</v>
      </c>
      <c r="P1304" s="3">
        <f>parking_demand_data_2024_ver0!O1304</f>
        <v>50</v>
      </c>
      <c r="Q1304" s="3">
        <f>parking_demand_data_2024_ver0!P1304</f>
        <v>0</v>
      </c>
      <c r="R1304" s="3">
        <f>parking_demand_data_2024_ver0!Q1304</f>
        <v>0</v>
      </c>
      <c r="S1304" s="3">
        <f>parking_demand_data_2024_ver0!R1304</f>
        <v>0</v>
      </c>
      <c r="T1304" s="3">
        <f>parking_demand_data_2024_ver0!S1304</f>
        <v>0</v>
      </c>
    </row>
    <row r="1305" spans="1:20" x14ac:dyDescent="0.25">
      <c r="A1305">
        <v>18109</v>
      </c>
      <c r="B1305" t="s">
        <v>83</v>
      </c>
      <c r="C1305">
        <v>7</v>
      </c>
      <c r="D1305" s="3">
        <f>parking_demand_data_2024_ver0!D1305*calibration!$I$31</f>
        <v>13.466639778910499</v>
      </c>
      <c r="E1305" s="3">
        <f>parking_demand_data_2024_ver0!E1305*calibration!$I$31</f>
        <v>20.0689612269367</v>
      </c>
      <c r="F1305" s="3">
        <f t="shared" si="20"/>
        <v>33.535601005847198</v>
      </c>
      <c r="G1305" s="3">
        <f>parking_demand_data_2024_ver0!F1305</f>
        <v>1</v>
      </c>
      <c r="H1305" s="3">
        <f>parking_demand_data_2024_ver0!G1305</f>
        <v>0</v>
      </c>
      <c r="I1305" s="3">
        <f>parking_demand_data_2024_ver0!H1305</f>
        <v>1</v>
      </c>
      <c r="J1305" s="3">
        <f>parking_demand_data_2024_ver0!I1305</f>
        <v>0</v>
      </c>
      <c r="K1305" s="3">
        <f>parking_demand_data_2024_ver0!J1305</f>
        <v>0</v>
      </c>
      <c r="L1305" s="3">
        <f>parking_demand_data_2024_ver0!K1305</f>
        <v>0</v>
      </c>
      <c r="M1305" s="3">
        <f>parking_demand_data_2024_ver0!L1305</f>
        <v>0</v>
      </c>
      <c r="N1305" s="3">
        <f>parking_demand_data_2024_ver0!M1305</f>
        <v>50</v>
      </c>
      <c r="O1305" s="3">
        <f>parking_demand_data_2024_ver0!N1305</f>
        <v>0</v>
      </c>
      <c r="P1305" s="3">
        <f>parking_demand_data_2024_ver0!O1305</f>
        <v>50</v>
      </c>
      <c r="Q1305" s="3">
        <f>parking_demand_data_2024_ver0!P1305</f>
        <v>0</v>
      </c>
      <c r="R1305" s="3">
        <f>parking_demand_data_2024_ver0!Q1305</f>
        <v>0</v>
      </c>
      <c r="S1305" s="3">
        <f>parking_demand_data_2024_ver0!R1305</f>
        <v>0</v>
      </c>
      <c r="T1305" s="3">
        <f>parking_demand_data_2024_ver0!S1305</f>
        <v>0</v>
      </c>
    </row>
    <row r="1306" spans="1:20" x14ac:dyDescent="0.25">
      <c r="A1306">
        <v>18109</v>
      </c>
      <c r="B1306" t="s">
        <v>83</v>
      </c>
      <c r="C1306">
        <v>8</v>
      </c>
      <c r="D1306" s="3">
        <f>parking_demand_data_2024_ver0!D1306*calibration!$I$31</f>
        <v>9.6414852891811105</v>
      </c>
      <c r="E1306" s="3">
        <f>parking_demand_data_2024_ver0!E1306*calibration!$I$31</f>
        <v>20.645354369224702</v>
      </c>
      <c r="F1306" s="3">
        <f t="shared" si="20"/>
        <v>30.28683965840581</v>
      </c>
      <c r="G1306" s="3">
        <f>parking_demand_data_2024_ver0!F1306</f>
        <v>1</v>
      </c>
      <c r="H1306" s="3">
        <f>parking_demand_data_2024_ver0!G1306</f>
        <v>0</v>
      </c>
      <c r="I1306" s="3">
        <f>parking_demand_data_2024_ver0!H1306</f>
        <v>1</v>
      </c>
      <c r="J1306" s="3">
        <f>parking_demand_data_2024_ver0!I1306</f>
        <v>0</v>
      </c>
      <c r="K1306" s="3">
        <f>parking_demand_data_2024_ver0!J1306</f>
        <v>0</v>
      </c>
      <c r="L1306" s="3">
        <f>parking_demand_data_2024_ver0!K1306</f>
        <v>0</v>
      </c>
      <c r="M1306" s="3">
        <f>parking_demand_data_2024_ver0!L1306</f>
        <v>0</v>
      </c>
      <c r="N1306" s="3">
        <f>parking_demand_data_2024_ver0!M1306</f>
        <v>50</v>
      </c>
      <c r="O1306" s="3">
        <f>parking_demand_data_2024_ver0!N1306</f>
        <v>0</v>
      </c>
      <c r="P1306" s="3">
        <f>parking_demand_data_2024_ver0!O1306</f>
        <v>50</v>
      </c>
      <c r="Q1306" s="3">
        <f>parking_demand_data_2024_ver0!P1306</f>
        <v>0</v>
      </c>
      <c r="R1306" s="3">
        <f>parking_demand_data_2024_ver0!Q1306</f>
        <v>0</v>
      </c>
      <c r="S1306" s="3">
        <f>parking_demand_data_2024_ver0!R1306</f>
        <v>0</v>
      </c>
      <c r="T1306" s="3">
        <f>parking_demand_data_2024_ver0!S1306</f>
        <v>0</v>
      </c>
    </row>
    <row r="1307" spans="1:20" x14ac:dyDescent="0.25">
      <c r="A1307">
        <v>18109</v>
      </c>
      <c r="B1307" t="s">
        <v>83</v>
      </c>
      <c r="C1307">
        <v>9</v>
      </c>
      <c r="D1307" s="3">
        <f>parking_demand_data_2024_ver0!D1307*calibration!$I$31</f>
        <v>7.7551077326022</v>
      </c>
      <c r="E1307" s="3">
        <f>parking_demand_data_2024_ver0!E1307*calibration!$I$31</f>
        <v>20.383357486366499</v>
      </c>
      <c r="F1307" s="3">
        <f t="shared" si="20"/>
        <v>28.138465218968697</v>
      </c>
      <c r="G1307" s="3">
        <f>parking_demand_data_2024_ver0!F1307</f>
        <v>1</v>
      </c>
      <c r="H1307" s="3">
        <f>parking_demand_data_2024_ver0!G1307</f>
        <v>0</v>
      </c>
      <c r="I1307" s="3">
        <f>parking_demand_data_2024_ver0!H1307</f>
        <v>1</v>
      </c>
      <c r="J1307" s="3">
        <f>parking_demand_data_2024_ver0!I1307</f>
        <v>0</v>
      </c>
      <c r="K1307" s="3">
        <f>parking_demand_data_2024_ver0!J1307</f>
        <v>0</v>
      </c>
      <c r="L1307" s="3">
        <f>parking_demand_data_2024_ver0!K1307</f>
        <v>0</v>
      </c>
      <c r="M1307" s="3">
        <f>parking_demand_data_2024_ver0!L1307</f>
        <v>0</v>
      </c>
      <c r="N1307" s="3">
        <f>parking_demand_data_2024_ver0!M1307</f>
        <v>50</v>
      </c>
      <c r="O1307" s="3">
        <f>parking_demand_data_2024_ver0!N1307</f>
        <v>0</v>
      </c>
      <c r="P1307" s="3">
        <f>parking_demand_data_2024_ver0!O1307</f>
        <v>50</v>
      </c>
      <c r="Q1307" s="3">
        <f>parking_demand_data_2024_ver0!P1307</f>
        <v>0</v>
      </c>
      <c r="R1307" s="3">
        <f>parking_demand_data_2024_ver0!Q1307</f>
        <v>0</v>
      </c>
      <c r="S1307" s="3">
        <f>parking_demand_data_2024_ver0!R1307</f>
        <v>0</v>
      </c>
      <c r="T1307" s="3">
        <f>parking_demand_data_2024_ver0!S1307</f>
        <v>0</v>
      </c>
    </row>
    <row r="1308" spans="1:20" x14ac:dyDescent="0.25">
      <c r="A1308">
        <v>18109</v>
      </c>
      <c r="B1308" t="s">
        <v>83</v>
      </c>
      <c r="C1308">
        <v>10</v>
      </c>
      <c r="D1308" s="3">
        <f>parking_demand_data_2024_ver0!D1308*calibration!$I$31</f>
        <v>4.9255413977338298</v>
      </c>
      <c r="E1308" s="3">
        <f>parking_demand_data_2024_ver0!E1308*calibration!$I$31</f>
        <v>21.0645493817978</v>
      </c>
      <c r="F1308" s="3">
        <f t="shared" si="20"/>
        <v>25.990090779531631</v>
      </c>
      <c r="G1308" s="3">
        <f>parking_demand_data_2024_ver0!F1308</f>
        <v>1</v>
      </c>
      <c r="H1308" s="3">
        <f>parking_demand_data_2024_ver0!G1308</f>
        <v>0</v>
      </c>
      <c r="I1308" s="3">
        <f>parking_demand_data_2024_ver0!H1308</f>
        <v>1</v>
      </c>
      <c r="J1308" s="3">
        <f>parking_demand_data_2024_ver0!I1308</f>
        <v>0</v>
      </c>
      <c r="K1308" s="3">
        <f>parking_demand_data_2024_ver0!J1308</f>
        <v>0</v>
      </c>
      <c r="L1308" s="3">
        <f>parking_demand_data_2024_ver0!K1308</f>
        <v>0</v>
      </c>
      <c r="M1308" s="3">
        <f>parking_demand_data_2024_ver0!L1308</f>
        <v>0</v>
      </c>
      <c r="N1308" s="3">
        <f>parking_demand_data_2024_ver0!M1308</f>
        <v>50</v>
      </c>
      <c r="O1308" s="3">
        <f>parking_demand_data_2024_ver0!N1308</f>
        <v>0</v>
      </c>
      <c r="P1308" s="3">
        <f>parking_demand_data_2024_ver0!O1308</f>
        <v>50</v>
      </c>
      <c r="Q1308" s="3">
        <f>parking_demand_data_2024_ver0!P1308</f>
        <v>0</v>
      </c>
      <c r="R1308" s="3">
        <f>parking_demand_data_2024_ver0!Q1308</f>
        <v>0</v>
      </c>
      <c r="S1308" s="3">
        <f>parking_demand_data_2024_ver0!R1308</f>
        <v>0</v>
      </c>
      <c r="T1308" s="3">
        <f>parking_demand_data_2024_ver0!S1308</f>
        <v>0</v>
      </c>
    </row>
    <row r="1309" spans="1:20" x14ac:dyDescent="0.25">
      <c r="A1309">
        <v>18109</v>
      </c>
      <c r="B1309" t="s">
        <v>83</v>
      </c>
      <c r="C1309">
        <v>11</v>
      </c>
      <c r="D1309" s="3">
        <f>parking_demand_data_2024_ver0!D1309*calibration!$I$31</f>
        <v>3.5631576068712798</v>
      </c>
      <c r="E1309" s="3">
        <f>parking_demand_data_2024_ver0!E1309*calibration!$I$31</f>
        <v>24.156112599524398</v>
      </c>
      <c r="F1309" s="3">
        <f t="shared" si="20"/>
        <v>27.719270206395677</v>
      </c>
      <c r="G1309" s="3">
        <f>parking_demand_data_2024_ver0!F1309</f>
        <v>1</v>
      </c>
      <c r="H1309" s="3">
        <f>parking_demand_data_2024_ver0!G1309</f>
        <v>0</v>
      </c>
      <c r="I1309" s="3">
        <f>parking_demand_data_2024_ver0!H1309</f>
        <v>1</v>
      </c>
      <c r="J1309" s="3">
        <f>parking_demand_data_2024_ver0!I1309</f>
        <v>0</v>
      </c>
      <c r="K1309" s="3">
        <f>parking_demand_data_2024_ver0!J1309</f>
        <v>0</v>
      </c>
      <c r="L1309" s="3">
        <f>parking_demand_data_2024_ver0!K1309</f>
        <v>0</v>
      </c>
      <c r="M1309" s="3">
        <f>parking_demand_data_2024_ver0!L1309</f>
        <v>0</v>
      </c>
      <c r="N1309" s="3">
        <f>parking_demand_data_2024_ver0!M1309</f>
        <v>50</v>
      </c>
      <c r="O1309" s="3">
        <f>parking_demand_data_2024_ver0!N1309</f>
        <v>0</v>
      </c>
      <c r="P1309" s="3">
        <f>parking_demand_data_2024_ver0!O1309</f>
        <v>50</v>
      </c>
      <c r="Q1309" s="3">
        <f>parking_demand_data_2024_ver0!P1309</f>
        <v>0</v>
      </c>
      <c r="R1309" s="3">
        <f>parking_demand_data_2024_ver0!Q1309</f>
        <v>0</v>
      </c>
      <c r="S1309" s="3">
        <f>parking_demand_data_2024_ver0!R1309</f>
        <v>0</v>
      </c>
      <c r="T1309" s="3">
        <f>parking_demand_data_2024_ver0!S1309</f>
        <v>0</v>
      </c>
    </row>
    <row r="1310" spans="1:20" x14ac:dyDescent="0.25">
      <c r="A1310">
        <v>18109</v>
      </c>
      <c r="B1310" t="s">
        <v>83</v>
      </c>
      <c r="C1310">
        <v>12</v>
      </c>
      <c r="D1310" s="3">
        <f>parking_demand_data_2024_ver0!D1310*calibration!$I$31</f>
        <v>2.8295663348683702</v>
      </c>
      <c r="E1310" s="3">
        <f>parking_demand_data_2024_ver0!E1310*calibration!$I$31</f>
        <v>17.5013917749265</v>
      </c>
      <c r="F1310" s="3">
        <f t="shared" si="20"/>
        <v>20.330958109794871</v>
      </c>
      <c r="G1310" s="3">
        <f>parking_demand_data_2024_ver0!F1310</f>
        <v>1</v>
      </c>
      <c r="H1310" s="3">
        <f>parking_demand_data_2024_ver0!G1310</f>
        <v>0</v>
      </c>
      <c r="I1310" s="3">
        <f>parking_demand_data_2024_ver0!H1310</f>
        <v>1</v>
      </c>
      <c r="J1310" s="3">
        <f>parking_demand_data_2024_ver0!I1310</f>
        <v>0</v>
      </c>
      <c r="K1310" s="3">
        <f>parking_demand_data_2024_ver0!J1310</f>
        <v>0</v>
      </c>
      <c r="L1310" s="3">
        <f>parking_demand_data_2024_ver0!K1310</f>
        <v>0</v>
      </c>
      <c r="M1310" s="3">
        <f>parking_demand_data_2024_ver0!L1310</f>
        <v>0</v>
      </c>
      <c r="N1310" s="3">
        <f>parking_demand_data_2024_ver0!M1310</f>
        <v>50</v>
      </c>
      <c r="O1310" s="3">
        <f>parking_demand_data_2024_ver0!N1310</f>
        <v>0</v>
      </c>
      <c r="P1310" s="3">
        <f>parking_demand_data_2024_ver0!O1310</f>
        <v>50</v>
      </c>
      <c r="Q1310" s="3">
        <f>parking_demand_data_2024_ver0!P1310</f>
        <v>0</v>
      </c>
      <c r="R1310" s="3">
        <f>parking_demand_data_2024_ver0!Q1310</f>
        <v>0</v>
      </c>
      <c r="S1310" s="3">
        <f>parking_demand_data_2024_ver0!R1310</f>
        <v>0</v>
      </c>
      <c r="T1310" s="3">
        <f>parking_demand_data_2024_ver0!S1310</f>
        <v>0</v>
      </c>
    </row>
    <row r="1311" spans="1:20" x14ac:dyDescent="0.25">
      <c r="A1311">
        <v>18109</v>
      </c>
      <c r="B1311" t="s">
        <v>83</v>
      </c>
      <c r="C1311">
        <v>13</v>
      </c>
      <c r="D1311" s="3">
        <f>parking_demand_data_2024_ver0!D1311*calibration!$I$31</f>
        <v>2.8295663348683702</v>
      </c>
      <c r="E1311" s="3">
        <f>parking_demand_data_2024_ver0!E1311*calibration!$I$31</f>
        <v>9.5366865360378394</v>
      </c>
      <c r="F1311" s="3">
        <f t="shared" si="20"/>
        <v>12.366252870906209</v>
      </c>
      <c r="G1311" s="3">
        <f>parking_demand_data_2024_ver0!F1311</f>
        <v>1</v>
      </c>
      <c r="H1311" s="3">
        <f>parking_demand_data_2024_ver0!G1311</f>
        <v>0</v>
      </c>
      <c r="I1311" s="3">
        <f>parking_demand_data_2024_ver0!H1311</f>
        <v>1</v>
      </c>
      <c r="J1311" s="3">
        <f>parking_demand_data_2024_ver0!I1311</f>
        <v>0</v>
      </c>
      <c r="K1311" s="3">
        <f>parking_demand_data_2024_ver0!J1311</f>
        <v>0</v>
      </c>
      <c r="L1311" s="3">
        <f>parking_demand_data_2024_ver0!K1311</f>
        <v>0</v>
      </c>
      <c r="M1311" s="3">
        <f>parking_demand_data_2024_ver0!L1311</f>
        <v>0</v>
      </c>
      <c r="N1311" s="3">
        <f>parking_demand_data_2024_ver0!M1311</f>
        <v>50</v>
      </c>
      <c r="O1311" s="3">
        <f>parking_demand_data_2024_ver0!N1311</f>
        <v>0</v>
      </c>
      <c r="P1311" s="3">
        <f>parking_demand_data_2024_ver0!O1311</f>
        <v>50</v>
      </c>
      <c r="Q1311" s="3">
        <f>parking_demand_data_2024_ver0!P1311</f>
        <v>0</v>
      </c>
      <c r="R1311" s="3">
        <f>parking_demand_data_2024_ver0!Q1311</f>
        <v>0</v>
      </c>
      <c r="S1311" s="3">
        <f>parking_demand_data_2024_ver0!R1311</f>
        <v>0</v>
      </c>
      <c r="T1311" s="3">
        <f>parking_demand_data_2024_ver0!S1311</f>
        <v>0</v>
      </c>
    </row>
    <row r="1312" spans="1:20" x14ac:dyDescent="0.25">
      <c r="A1312">
        <v>18109</v>
      </c>
      <c r="B1312" t="s">
        <v>83</v>
      </c>
      <c r="C1312">
        <v>14</v>
      </c>
      <c r="D1312" s="3">
        <f>parking_demand_data_2024_ver0!D1312*calibration!$I$31</f>
        <v>2.6199688285818201</v>
      </c>
      <c r="E1312" s="3">
        <f>parking_demand_data_2024_ver0!E1312*calibration!$I$31</f>
        <v>6.8643183308843803</v>
      </c>
      <c r="F1312" s="3">
        <f t="shared" si="20"/>
        <v>9.4842871594662004</v>
      </c>
      <c r="G1312" s="3">
        <f>parking_demand_data_2024_ver0!F1312</f>
        <v>1</v>
      </c>
      <c r="H1312" s="3">
        <f>parking_demand_data_2024_ver0!G1312</f>
        <v>0</v>
      </c>
      <c r="I1312" s="3">
        <f>parking_demand_data_2024_ver0!H1312</f>
        <v>1</v>
      </c>
      <c r="J1312" s="3">
        <f>parking_demand_data_2024_ver0!I1312</f>
        <v>0</v>
      </c>
      <c r="K1312" s="3">
        <f>parking_demand_data_2024_ver0!J1312</f>
        <v>0</v>
      </c>
      <c r="L1312" s="3">
        <f>parking_demand_data_2024_ver0!K1312</f>
        <v>0</v>
      </c>
      <c r="M1312" s="3">
        <f>parking_demand_data_2024_ver0!L1312</f>
        <v>0</v>
      </c>
      <c r="N1312" s="3">
        <f>parking_demand_data_2024_ver0!M1312</f>
        <v>50</v>
      </c>
      <c r="O1312" s="3">
        <f>parking_demand_data_2024_ver0!N1312</f>
        <v>0</v>
      </c>
      <c r="P1312" s="3">
        <f>parking_demand_data_2024_ver0!O1312</f>
        <v>50</v>
      </c>
      <c r="Q1312" s="3">
        <f>parking_demand_data_2024_ver0!P1312</f>
        <v>0</v>
      </c>
      <c r="R1312" s="3">
        <f>parking_demand_data_2024_ver0!Q1312</f>
        <v>0</v>
      </c>
      <c r="S1312" s="3">
        <f>parking_demand_data_2024_ver0!R1312</f>
        <v>0</v>
      </c>
      <c r="T1312" s="3">
        <f>parking_demand_data_2024_ver0!S1312</f>
        <v>0</v>
      </c>
    </row>
    <row r="1313" spans="1:20" x14ac:dyDescent="0.25">
      <c r="A1313">
        <v>18109</v>
      </c>
      <c r="B1313" t="s">
        <v>83</v>
      </c>
      <c r="C1313">
        <v>15</v>
      </c>
      <c r="D1313" s="3">
        <f>parking_demand_data_2024_ver0!D1313*calibration!$I$31</f>
        <v>2.6199688285818201</v>
      </c>
      <c r="E1313" s="3">
        <f>parking_demand_data_2024_ver0!E1313*calibration!$I$31</f>
        <v>4.1919501257309104</v>
      </c>
      <c r="F1313" s="3">
        <f t="shared" si="20"/>
        <v>6.8119189543127305</v>
      </c>
      <c r="G1313" s="3">
        <f>parking_demand_data_2024_ver0!F1313</f>
        <v>1</v>
      </c>
      <c r="H1313" s="3">
        <f>parking_demand_data_2024_ver0!G1313</f>
        <v>0</v>
      </c>
      <c r="I1313" s="3">
        <f>parking_demand_data_2024_ver0!H1313</f>
        <v>1</v>
      </c>
      <c r="J1313" s="3">
        <f>parking_demand_data_2024_ver0!I1313</f>
        <v>0</v>
      </c>
      <c r="K1313" s="3">
        <f>parking_demand_data_2024_ver0!J1313</f>
        <v>0</v>
      </c>
      <c r="L1313" s="3">
        <f>parking_demand_data_2024_ver0!K1313</f>
        <v>0</v>
      </c>
      <c r="M1313" s="3">
        <f>parking_demand_data_2024_ver0!L1313</f>
        <v>0</v>
      </c>
      <c r="N1313" s="3">
        <f>parking_demand_data_2024_ver0!M1313</f>
        <v>50</v>
      </c>
      <c r="O1313" s="3">
        <f>parking_demand_data_2024_ver0!N1313</f>
        <v>0</v>
      </c>
      <c r="P1313" s="3">
        <f>parking_demand_data_2024_ver0!O1313</f>
        <v>50</v>
      </c>
      <c r="Q1313" s="3">
        <f>parking_demand_data_2024_ver0!P1313</f>
        <v>0</v>
      </c>
      <c r="R1313" s="3">
        <f>parking_demand_data_2024_ver0!Q1313</f>
        <v>0</v>
      </c>
      <c r="S1313" s="3">
        <f>parking_demand_data_2024_ver0!R1313</f>
        <v>0</v>
      </c>
      <c r="T1313" s="3">
        <f>parking_demand_data_2024_ver0!S1313</f>
        <v>0</v>
      </c>
    </row>
    <row r="1314" spans="1:20" x14ac:dyDescent="0.25">
      <c r="A1314">
        <v>18109</v>
      </c>
      <c r="B1314" t="s">
        <v>83</v>
      </c>
      <c r="C1314">
        <v>16</v>
      </c>
      <c r="D1314" s="3">
        <f>parking_demand_data_2024_ver0!D1314*calibration!$I$31</f>
        <v>2.7247675817250898</v>
      </c>
      <c r="E1314" s="3">
        <f>parking_demand_data_2024_ver0!E1314*calibration!$I$31</f>
        <v>3.3535601005847302</v>
      </c>
      <c r="F1314" s="3">
        <f t="shared" si="20"/>
        <v>6.07832768230982</v>
      </c>
      <c r="G1314" s="3">
        <f>parking_demand_data_2024_ver0!F1314</f>
        <v>1</v>
      </c>
      <c r="H1314" s="3">
        <f>parking_demand_data_2024_ver0!G1314</f>
        <v>0</v>
      </c>
      <c r="I1314" s="3">
        <f>parking_demand_data_2024_ver0!H1314</f>
        <v>1</v>
      </c>
      <c r="J1314" s="3">
        <f>parking_demand_data_2024_ver0!I1314</f>
        <v>0</v>
      </c>
      <c r="K1314" s="3">
        <f>parking_demand_data_2024_ver0!J1314</f>
        <v>0</v>
      </c>
      <c r="L1314" s="3">
        <f>parking_demand_data_2024_ver0!K1314</f>
        <v>0</v>
      </c>
      <c r="M1314" s="3">
        <f>parking_demand_data_2024_ver0!L1314</f>
        <v>0</v>
      </c>
      <c r="N1314" s="3">
        <f>parking_demand_data_2024_ver0!M1314</f>
        <v>50</v>
      </c>
      <c r="O1314" s="3">
        <f>parking_demand_data_2024_ver0!N1314</f>
        <v>0</v>
      </c>
      <c r="P1314" s="3">
        <f>parking_demand_data_2024_ver0!O1314</f>
        <v>50</v>
      </c>
      <c r="Q1314" s="3">
        <f>parking_demand_data_2024_ver0!P1314</f>
        <v>0</v>
      </c>
      <c r="R1314" s="3">
        <f>parking_demand_data_2024_ver0!Q1314</f>
        <v>0</v>
      </c>
      <c r="S1314" s="3">
        <f>parking_demand_data_2024_ver0!R1314</f>
        <v>0</v>
      </c>
      <c r="T1314" s="3">
        <f>parking_demand_data_2024_ver0!S1314</f>
        <v>0</v>
      </c>
    </row>
    <row r="1315" spans="1:20" x14ac:dyDescent="0.25">
      <c r="A1315">
        <v>18109</v>
      </c>
      <c r="B1315" t="s">
        <v>83</v>
      </c>
      <c r="C1315">
        <v>17</v>
      </c>
      <c r="D1315" s="3">
        <f>parking_demand_data_2024_ver0!D1315*calibration!$I$31</f>
        <v>3.7203557365861899</v>
      </c>
      <c r="E1315" s="3">
        <f>parking_demand_data_2024_ver0!E1315*calibration!$I$31</f>
        <v>3.1963619708698201</v>
      </c>
      <c r="F1315" s="3">
        <f t="shared" si="20"/>
        <v>6.9167177074560104</v>
      </c>
      <c r="G1315" s="3">
        <f>parking_demand_data_2024_ver0!F1315</f>
        <v>1</v>
      </c>
      <c r="H1315" s="3">
        <f>parking_demand_data_2024_ver0!G1315</f>
        <v>0</v>
      </c>
      <c r="I1315" s="3">
        <f>parking_demand_data_2024_ver0!H1315</f>
        <v>1</v>
      </c>
      <c r="J1315" s="3">
        <f>parking_demand_data_2024_ver0!I1315</f>
        <v>0</v>
      </c>
      <c r="K1315" s="3">
        <f>parking_demand_data_2024_ver0!J1315</f>
        <v>0</v>
      </c>
      <c r="L1315" s="3">
        <f>parking_demand_data_2024_ver0!K1315</f>
        <v>0</v>
      </c>
      <c r="M1315" s="3">
        <f>parking_demand_data_2024_ver0!L1315</f>
        <v>0</v>
      </c>
      <c r="N1315" s="3">
        <f>parking_demand_data_2024_ver0!M1315</f>
        <v>50</v>
      </c>
      <c r="O1315" s="3">
        <f>parking_demand_data_2024_ver0!N1315</f>
        <v>0</v>
      </c>
      <c r="P1315" s="3">
        <f>parking_demand_data_2024_ver0!O1315</f>
        <v>50</v>
      </c>
      <c r="Q1315" s="3">
        <f>parking_demand_data_2024_ver0!P1315</f>
        <v>0</v>
      </c>
      <c r="R1315" s="3">
        <f>parking_demand_data_2024_ver0!Q1315</f>
        <v>0</v>
      </c>
      <c r="S1315" s="3">
        <f>parking_demand_data_2024_ver0!R1315</f>
        <v>0</v>
      </c>
      <c r="T1315" s="3">
        <f>parking_demand_data_2024_ver0!S1315</f>
        <v>0</v>
      </c>
    </row>
    <row r="1316" spans="1:20" x14ac:dyDescent="0.25">
      <c r="A1316">
        <v>18109</v>
      </c>
      <c r="B1316" t="s">
        <v>83</v>
      </c>
      <c r="C1316">
        <v>18</v>
      </c>
      <c r="D1316" s="3">
        <f>parking_demand_data_2024_ver0!D1316*calibration!$I$31</f>
        <v>4.7683432680189197</v>
      </c>
      <c r="E1316" s="3">
        <f>parking_demand_data_2024_ver0!E1316*calibration!$I$31</f>
        <v>2.6723682051534601</v>
      </c>
      <c r="F1316" s="3">
        <f t="shared" si="20"/>
        <v>7.4407114731723798</v>
      </c>
      <c r="G1316" s="3">
        <f>parking_demand_data_2024_ver0!F1316</f>
        <v>1</v>
      </c>
      <c r="H1316" s="3">
        <f>parking_demand_data_2024_ver0!G1316</f>
        <v>0</v>
      </c>
      <c r="I1316" s="3">
        <f>parking_demand_data_2024_ver0!H1316</f>
        <v>1</v>
      </c>
      <c r="J1316" s="3">
        <f>parking_demand_data_2024_ver0!I1316</f>
        <v>0</v>
      </c>
      <c r="K1316" s="3">
        <f>parking_demand_data_2024_ver0!J1316</f>
        <v>0</v>
      </c>
      <c r="L1316" s="3">
        <f>parking_demand_data_2024_ver0!K1316</f>
        <v>0</v>
      </c>
      <c r="M1316" s="3">
        <f>parking_demand_data_2024_ver0!L1316</f>
        <v>0</v>
      </c>
      <c r="N1316" s="3">
        <f>parking_demand_data_2024_ver0!M1316</f>
        <v>50</v>
      </c>
      <c r="O1316" s="3">
        <f>parking_demand_data_2024_ver0!N1316</f>
        <v>0</v>
      </c>
      <c r="P1316" s="3">
        <f>parking_demand_data_2024_ver0!O1316</f>
        <v>50</v>
      </c>
      <c r="Q1316" s="3">
        <f>parking_demand_data_2024_ver0!P1316</f>
        <v>0</v>
      </c>
      <c r="R1316" s="3">
        <f>parking_demand_data_2024_ver0!Q1316</f>
        <v>0</v>
      </c>
      <c r="S1316" s="3">
        <f>parking_demand_data_2024_ver0!R1316</f>
        <v>0</v>
      </c>
      <c r="T1316" s="3">
        <f>parking_demand_data_2024_ver0!S1316</f>
        <v>0</v>
      </c>
    </row>
    <row r="1317" spans="1:20" x14ac:dyDescent="0.25">
      <c r="A1317">
        <v>18109</v>
      </c>
      <c r="B1317" t="s">
        <v>83</v>
      </c>
      <c r="C1317">
        <v>19</v>
      </c>
      <c r="D1317" s="3">
        <f>parking_demand_data_2024_ver0!D1317*calibration!$I$31</f>
        <v>7.9647052388887403</v>
      </c>
      <c r="E1317" s="3">
        <f>parking_demand_data_2024_ver0!E1317*calibration!$I$31</f>
        <v>3.1963619708698201</v>
      </c>
      <c r="F1317" s="3">
        <f t="shared" si="20"/>
        <v>11.16106720975856</v>
      </c>
      <c r="G1317" s="3">
        <f>parking_demand_data_2024_ver0!F1317</f>
        <v>1</v>
      </c>
      <c r="H1317" s="3">
        <f>parking_demand_data_2024_ver0!G1317</f>
        <v>0</v>
      </c>
      <c r="I1317" s="3">
        <f>parking_demand_data_2024_ver0!H1317</f>
        <v>1</v>
      </c>
      <c r="J1317" s="3">
        <f>parking_demand_data_2024_ver0!I1317</f>
        <v>0</v>
      </c>
      <c r="K1317" s="3">
        <f>parking_demand_data_2024_ver0!J1317</f>
        <v>0</v>
      </c>
      <c r="L1317" s="3">
        <f>parking_demand_data_2024_ver0!K1317</f>
        <v>0</v>
      </c>
      <c r="M1317" s="3">
        <f>parking_demand_data_2024_ver0!L1317</f>
        <v>0</v>
      </c>
      <c r="N1317" s="3">
        <f>parking_demand_data_2024_ver0!M1317</f>
        <v>50</v>
      </c>
      <c r="O1317" s="3">
        <f>parking_demand_data_2024_ver0!N1317</f>
        <v>0</v>
      </c>
      <c r="P1317" s="3">
        <f>parking_demand_data_2024_ver0!O1317</f>
        <v>50</v>
      </c>
      <c r="Q1317" s="3">
        <f>parking_demand_data_2024_ver0!P1317</f>
        <v>0</v>
      </c>
      <c r="R1317" s="3">
        <f>parking_demand_data_2024_ver0!Q1317</f>
        <v>0</v>
      </c>
      <c r="S1317" s="3">
        <f>parking_demand_data_2024_ver0!R1317</f>
        <v>0</v>
      </c>
      <c r="T1317" s="3">
        <f>parking_demand_data_2024_ver0!S1317</f>
        <v>0</v>
      </c>
    </row>
    <row r="1318" spans="1:20" x14ac:dyDescent="0.25">
      <c r="A1318">
        <v>18109</v>
      </c>
      <c r="B1318" t="s">
        <v>83</v>
      </c>
      <c r="C1318">
        <v>20</v>
      </c>
      <c r="D1318" s="3">
        <f>parking_demand_data_2024_ver0!D1318*calibration!$I$31</f>
        <v>11.4230640926167</v>
      </c>
      <c r="E1318" s="3">
        <f>parking_demand_data_2024_ver0!E1318*calibration!$I$31</f>
        <v>3.3011607240130898</v>
      </c>
      <c r="F1318" s="3">
        <f t="shared" si="20"/>
        <v>14.724224816629789</v>
      </c>
      <c r="G1318" s="3">
        <f>parking_demand_data_2024_ver0!F1318</f>
        <v>1</v>
      </c>
      <c r="H1318" s="3">
        <f>parking_demand_data_2024_ver0!G1318</f>
        <v>0</v>
      </c>
      <c r="I1318" s="3">
        <f>parking_demand_data_2024_ver0!H1318</f>
        <v>1</v>
      </c>
      <c r="J1318" s="3">
        <f>parking_demand_data_2024_ver0!I1318</f>
        <v>0</v>
      </c>
      <c r="K1318" s="3">
        <f>parking_demand_data_2024_ver0!J1318</f>
        <v>0</v>
      </c>
      <c r="L1318" s="3">
        <f>parking_demand_data_2024_ver0!K1318</f>
        <v>0</v>
      </c>
      <c r="M1318" s="3">
        <f>parking_demand_data_2024_ver0!L1318</f>
        <v>0</v>
      </c>
      <c r="N1318" s="3">
        <f>parking_demand_data_2024_ver0!M1318</f>
        <v>50</v>
      </c>
      <c r="O1318" s="3">
        <f>parking_demand_data_2024_ver0!N1318</f>
        <v>0</v>
      </c>
      <c r="P1318" s="3">
        <f>parking_demand_data_2024_ver0!O1318</f>
        <v>50</v>
      </c>
      <c r="Q1318" s="3">
        <f>parking_demand_data_2024_ver0!P1318</f>
        <v>0</v>
      </c>
      <c r="R1318" s="3">
        <f>parking_demand_data_2024_ver0!Q1318</f>
        <v>0</v>
      </c>
      <c r="S1318" s="3">
        <f>parking_demand_data_2024_ver0!R1318</f>
        <v>0</v>
      </c>
      <c r="T1318" s="3">
        <f>parking_demand_data_2024_ver0!S1318</f>
        <v>0</v>
      </c>
    </row>
    <row r="1319" spans="1:20" x14ac:dyDescent="0.25">
      <c r="A1319">
        <v>18109</v>
      </c>
      <c r="B1319" t="s">
        <v>83</v>
      </c>
      <c r="C1319">
        <v>21</v>
      </c>
      <c r="D1319" s="3">
        <f>parking_demand_data_2024_ver0!D1319*calibration!$I$31</f>
        <v>13.257042272624</v>
      </c>
      <c r="E1319" s="3">
        <f>parking_demand_data_2024_ver0!E1319*calibration!$I$31</f>
        <v>3.1439625942981801</v>
      </c>
      <c r="F1319" s="3">
        <f t="shared" si="20"/>
        <v>16.401004866922179</v>
      </c>
      <c r="G1319" s="3">
        <f>parking_demand_data_2024_ver0!F1319</f>
        <v>1</v>
      </c>
      <c r="H1319" s="3">
        <f>parking_demand_data_2024_ver0!G1319</f>
        <v>0</v>
      </c>
      <c r="I1319" s="3">
        <f>parking_demand_data_2024_ver0!H1319</f>
        <v>1</v>
      </c>
      <c r="J1319" s="3">
        <f>parking_demand_data_2024_ver0!I1319</f>
        <v>0</v>
      </c>
      <c r="K1319" s="3">
        <f>parking_demand_data_2024_ver0!J1319</f>
        <v>0</v>
      </c>
      <c r="L1319" s="3">
        <f>parking_demand_data_2024_ver0!K1319</f>
        <v>0</v>
      </c>
      <c r="M1319" s="3">
        <f>parking_demand_data_2024_ver0!L1319</f>
        <v>0</v>
      </c>
      <c r="N1319" s="3">
        <f>parking_demand_data_2024_ver0!M1319</f>
        <v>50</v>
      </c>
      <c r="O1319" s="3">
        <f>parking_demand_data_2024_ver0!N1319</f>
        <v>0</v>
      </c>
      <c r="P1319" s="3">
        <f>parking_demand_data_2024_ver0!O1319</f>
        <v>50</v>
      </c>
      <c r="Q1319" s="3">
        <f>parking_demand_data_2024_ver0!P1319</f>
        <v>0</v>
      </c>
      <c r="R1319" s="3">
        <f>parking_demand_data_2024_ver0!Q1319</f>
        <v>0</v>
      </c>
      <c r="S1319" s="3">
        <f>parking_demand_data_2024_ver0!R1319</f>
        <v>0</v>
      </c>
      <c r="T1319" s="3">
        <f>parking_demand_data_2024_ver0!S1319</f>
        <v>0</v>
      </c>
    </row>
    <row r="1320" spans="1:20" x14ac:dyDescent="0.25">
      <c r="A1320">
        <v>18109</v>
      </c>
      <c r="B1320" t="s">
        <v>83</v>
      </c>
      <c r="C1320">
        <v>22</v>
      </c>
      <c r="D1320" s="3">
        <f>parking_demand_data_2024_ver0!D1320*calibration!$I$31</f>
        <v>15.405416712061101</v>
      </c>
      <c r="E1320" s="3">
        <f>parking_demand_data_2024_ver0!E1320*calibration!$I$31</f>
        <v>3.8775538663011</v>
      </c>
      <c r="F1320" s="3">
        <f t="shared" si="20"/>
        <v>19.2829705783622</v>
      </c>
      <c r="G1320" s="3">
        <f>parking_demand_data_2024_ver0!F1320</f>
        <v>1</v>
      </c>
      <c r="H1320" s="3">
        <f>parking_demand_data_2024_ver0!G1320</f>
        <v>0</v>
      </c>
      <c r="I1320" s="3">
        <f>parking_demand_data_2024_ver0!H1320</f>
        <v>1</v>
      </c>
      <c r="J1320" s="3">
        <f>parking_demand_data_2024_ver0!I1320</f>
        <v>0</v>
      </c>
      <c r="K1320" s="3">
        <f>parking_demand_data_2024_ver0!J1320</f>
        <v>0</v>
      </c>
      <c r="L1320" s="3">
        <f>parking_demand_data_2024_ver0!K1320</f>
        <v>0</v>
      </c>
      <c r="M1320" s="3">
        <f>parking_demand_data_2024_ver0!L1320</f>
        <v>0</v>
      </c>
      <c r="N1320" s="3">
        <f>parking_demand_data_2024_ver0!M1320</f>
        <v>50</v>
      </c>
      <c r="O1320" s="3">
        <f>parking_demand_data_2024_ver0!N1320</f>
        <v>0</v>
      </c>
      <c r="P1320" s="3">
        <f>parking_demand_data_2024_ver0!O1320</f>
        <v>50</v>
      </c>
      <c r="Q1320" s="3">
        <f>parking_demand_data_2024_ver0!P1320</f>
        <v>0</v>
      </c>
      <c r="R1320" s="3">
        <f>parking_demand_data_2024_ver0!Q1320</f>
        <v>0</v>
      </c>
      <c r="S1320" s="3">
        <f>parking_demand_data_2024_ver0!R1320</f>
        <v>0</v>
      </c>
      <c r="T1320" s="3">
        <f>parking_demand_data_2024_ver0!S1320</f>
        <v>0</v>
      </c>
    </row>
    <row r="1321" spans="1:20" x14ac:dyDescent="0.25">
      <c r="A1321">
        <v>18109</v>
      </c>
      <c r="B1321" t="s">
        <v>83</v>
      </c>
      <c r="C1321">
        <v>23</v>
      </c>
      <c r="D1321" s="3">
        <f>parking_demand_data_2024_ver0!D1321*calibration!$I$31</f>
        <v>17.920586787499602</v>
      </c>
      <c r="E1321" s="3">
        <f>parking_demand_data_2024_ver0!E1321*calibration!$I$31</f>
        <v>4.8731420211621899</v>
      </c>
      <c r="F1321" s="3">
        <f t="shared" si="20"/>
        <v>22.79372880866179</v>
      </c>
      <c r="G1321" s="3">
        <f>parking_demand_data_2024_ver0!F1321</f>
        <v>1</v>
      </c>
      <c r="H1321" s="3">
        <f>parking_demand_data_2024_ver0!G1321</f>
        <v>0</v>
      </c>
      <c r="I1321" s="3">
        <f>parking_demand_data_2024_ver0!H1321</f>
        <v>1</v>
      </c>
      <c r="J1321" s="3">
        <f>parking_demand_data_2024_ver0!I1321</f>
        <v>0</v>
      </c>
      <c r="K1321" s="3">
        <f>parking_demand_data_2024_ver0!J1321</f>
        <v>0</v>
      </c>
      <c r="L1321" s="3">
        <f>parking_demand_data_2024_ver0!K1321</f>
        <v>0</v>
      </c>
      <c r="M1321" s="3">
        <f>parking_demand_data_2024_ver0!L1321</f>
        <v>0</v>
      </c>
      <c r="N1321" s="3">
        <f>parking_demand_data_2024_ver0!M1321</f>
        <v>50</v>
      </c>
      <c r="O1321" s="3">
        <f>parking_demand_data_2024_ver0!N1321</f>
        <v>0</v>
      </c>
      <c r="P1321" s="3">
        <f>parking_demand_data_2024_ver0!O1321</f>
        <v>50</v>
      </c>
      <c r="Q1321" s="3">
        <f>parking_demand_data_2024_ver0!P1321</f>
        <v>0</v>
      </c>
      <c r="R1321" s="3">
        <f>parking_demand_data_2024_ver0!Q1321</f>
        <v>0</v>
      </c>
      <c r="S1321" s="3">
        <f>parking_demand_data_2024_ver0!R1321</f>
        <v>0</v>
      </c>
      <c r="T1321" s="3">
        <f>parking_demand_data_2024_ver0!S1321</f>
        <v>0</v>
      </c>
    </row>
    <row r="1322" spans="1:20" x14ac:dyDescent="0.25">
      <c r="A1322">
        <v>18111</v>
      </c>
      <c r="B1322" t="s">
        <v>84</v>
      </c>
      <c r="C1322">
        <v>0</v>
      </c>
      <c r="D1322" s="3">
        <f>parking_demand_data_2024_ver0!D1322*calibration!$I$31</f>
        <v>28.019911409198901</v>
      </c>
      <c r="E1322" s="3">
        <f>parking_demand_data_2024_ver0!E1322*calibration!$I$31</f>
        <v>0.70420412271796196</v>
      </c>
      <c r="F1322" s="3">
        <f t="shared" si="20"/>
        <v>28.724115531916862</v>
      </c>
      <c r="G1322" s="3">
        <f>parking_demand_data_2024_ver0!F1322</f>
        <v>2</v>
      </c>
      <c r="H1322" s="3">
        <f>parking_demand_data_2024_ver0!G1322</f>
        <v>0</v>
      </c>
      <c r="I1322" s="3">
        <f>parking_demand_data_2024_ver0!H1322</f>
        <v>0</v>
      </c>
      <c r="J1322" s="3">
        <f>parking_demand_data_2024_ver0!I1322</f>
        <v>2</v>
      </c>
      <c r="K1322" s="3">
        <f>parking_demand_data_2024_ver0!J1322</f>
        <v>0</v>
      </c>
      <c r="L1322" s="3">
        <f>parking_demand_data_2024_ver0!K1322</f>
        <v>0</v>
      </c>
      <c r="M1322" s="3">
        <f>parking_demand_data_2024_ver0!L1322</f>
        <v>0</v>
      </c>
      <c r="N1322" s="3">
        <f>parking_demand_data_2024_ver0!M1322</f>
        <v>36</v>
      </c>
      <c r="O1322" s="3">
        <f>parking_demand_data_2024_ver0!N1322</f>
        <v>0</v>
      </c>
      <c r="P1322" s="3">
        <f>parking_demand_data_2024_ver0!O1322</f>
        <v>0</v>
      </c>
      <c r="Q1322" s="3">
        <f>parking_demand_data_2024_ver0!P1322</f>
        <v>36</v>
      </c>
      <c r="R1322" s="3">
        <f>parking_demand_data_2024_ver0!Q1322</f>
        <v>0</v>
      </c>
      <c r="S1322" s="3">
        <f>parking_demand_data_2024_ver0!R1322</f>
        <v>0</v>
      </c>
      <c r="T1322" s="3">
        <f>parking_demand_data_2024_ver0!S1322</f>
        <v>0</v>
      </c>
    </row>
    <row r="1323" spans="1:20" x14ac:dyDescent="0.25">
      <c r="A1323">
        <v>18111</v>
      </c>
      <c r="B1323" t="s">
        <v>84</v>
      </c>
      <c r="C1323">
        <v>1</v>
      </c>
      <c r="D1323" s="3">
        <f>parking_demand_data_2024_ver0!D1323*calibration!$I$31</f>
        <v>28.5387986575174</v>
      </c>
      <c r="E1323" s="3">
        <f>parking_demand_data_2024_ver0!E1323*calibration!$I$31</f>
        <v>0.66714074783806898</v>
      </c>
      <c r="F1323" s="3">
        <f t="shared" si="20"/>
        <v>29.205939405355469</v>
      </c>
      <c r="G1323" s="3">
        <f>parking_demand_data_2024_ver0!F1323</f>
        <v>2</v>
      </c>
      <c r="H1323" s="3">
        <f>parking_demand_data_2024_ver0!G1323</f>
        <v>0</v>
      </c>
      <c r="I1323" s="3">
        <f>parking_demand_data_2024_ver0!H1323</f>
        <v>0</v>
      </c>
      <c r="J1323" s="3">
        <f>parking_demand_data_2024_ver0!I1323</f>
        <v>2</v>
      </c>
      <c r="K1323" s="3">
        <f>parking_demand_data_2024_ver0!J1323</f>
        <v>0</v>
      </c>
      <c r="L1323" s="3">
        <f>parking_demand_data_2024_ver0!K1323</f>
        <v>0</v>
      </c>
      <c r="M1323" s="3">
        <f>parking_demand_data_2024_ver0!L1323</f>
        <v>0</v>
      </c>
      <c r="N1323" s="3">
        <f>parking_demand_data_2024_ver0!M1323</f>
        <v>36</v>
      </c>
      <c r="O1323" s="3">
        <f>parking_demand_data_2024_ver0!N1323</f>
        <v>0</v>
      </c>
      <c r="P1323" s="3">
        <f>parking_demand_data_2024_ver0!O1323</f>
        <v>0</v>
      </c>
      <c r="Q1323" s="3">
        <f>parking_demand_data_2024_ver0!P1323</f>
        <v>36</v>
      </c>
      <c r="R1323" s="3">
        <f>parking_demand_data_2024_ver0!Q1323</f>
        <v>0</v>
      </c>
      <c r="S1323" s="3">
        <f>parking_demand_data_2024_ver0!R1323</f>
        <v>0</v>
      </c>
      <c r="T1323" s="3">
        <f>parking_demand_data_2024_ver0!S1323</f>
        <v>0</v>
      </c>
    </row>
    <row r="1324" spans="1:20" x14ac:dyDescent="0.25">
      <c r="A1324">
        <v>18111</v>
      </c>
      <c r="B1324" t="s">
        <v>84</v>
      </c>
      <c r="C1324">
        <v>2</v>
      </c>
      <c r="D1324" s="3">
        <f>parking_demand_data_2024_ver0!D1324*calibration!$I$31</f>
        <v>28.464671907757602</v>
      </c>
      <c r="E1324" s="3">
        <f>parking_demand_data_2024_ver0!E1324*calibration!$I$31</f>
        <v>0</v>
      </c>
      <c r="F1324" s="3">
        <f t="shared" si="20"/>
        <v>28.464671907757602</v>
      </c>
      <c r="G1324" s="3">
        <f>parking_demand_data_2024_ver0!F1324</f>
        <v>2</v>
      </c>
      <c r="H1324" s="3">
        <f>parking_demand_data_2024_ver0!G1324</f>
        <v>0</v>
      </c>
      <c r="I1324" s="3">
        <f>parking_demand_data_2024_ver0!H1324</f>
        <v>0</v>
      </c>
      <c r="J1324" s="3">
        <f>parking_demand_data_2024_ver0!I1324</f>
        <v>2</v>
      </c>
      <c r="K1324" s="3">
        <f>parking_demand_data_2024_ver0!J1324</f>
        <v>0</v>
      </c>
      <c r="L1324" s="3">
        <f>parking_demand_data_2024_ver0!K1324</f>
        <v>0</v>
      </c>
      <c r="M1324" s="3">
        <f>parking_demand_data_2024_ver0!L1324</f>
        <v>0</v>
      </c>
      <c r="N1324" s="3">
        <f>parking_demand_data_2024_ver0!M1324</f>
        <v>36</v>
      </c>
      <c r="O1324" s="3">
        <f>parking_demand_data_2024_ver0!N1324</f>
        <v>0</v>
      </c>
      <c r="P1324" s="3">
        <f>parking_demand_data_2024_ver0!O1324</f>
        <v>0</v>
      </c>
      <c r="Q1324" s="3">
        <f>parking_demand_data_2024_ver0!P1324</f>
        <v>36</v>
      </c>
      <c r="R1324" s="3">
        <f>parking_demand_data_2024_ver0!Q1324</f>
        <v>0</v>
      </c>
      <c r="S1324" s="3">
        <f>parking_demand_data_2024_ver0!R1324</f>
        <v>0</v>
      </c>
      <c r="T1324" s="3">
        <f>parking_demand_data_2024_ver0!S1324</f>
        <v>0</v>
      </c>
    </row>
    <row r="1325" spans="1:20" x14ac:dyDescent="0.25">
      <c r="A1325">
        <v>18111</v>
      </c>
      <c r="B1325" t="s">
        <v>84</v>
      </c>
      <c r="C1325">
        <v>3</v>
      </c>
      <c r="D1325" s="3">
        <f>parking_demand_data_2024_ver0!D1325*calibration!$I$31</f>
        <v>29.205939405355402</v>
      </c>
      <c r="E1325" s="3">
        <f>parking_demand_data_2024_ver0!E1325*calibration!$I$31</f>
        <v>0</v>
      </c>
      <c r="F1325" s="3">
        <f t="shared" si="20"/>
        <v>29.205939405355402</v>
      </c>
      <c r="G1325" s="3">
        <f>parking_demand_data_2024_ver0!F1325</f>
        <v>2</v>
      </c>
      <c r="H1325" s="3">
        <f>parking_demand_data_2024_ver0!G1325</f>
        <v>0</v>
      </c>
      <c r="I1325" s="3">
        <f>parking_demand_data_2024_ver0!H1325</f>
        <v>0</v>
      </c>
      <c r="J1325" s="3">
        <f>parking_demand_data_2024_ver0!I1325</f>
        <v>2</v>
      </c>
      <c r="K1325" s="3">
        <f>parking_demand_data_2024_ver0!J1325</f>
        <v>0</v>
      </c>
      <c r="L1325" s="3">
        <f>parking_demand_data_2024_ver0!K1325</f>
        <v>0</v>
      </c>
      <c r="M1325" s="3">
        <f>parking_demand_data_2024_ver0!L1325</f>
        <v>0</v>
      </c>
      <c r="N1325" s="3">
        <f>parking_demand_data_2024_ver0!M1325</f>
        <v>36</v>
      </c>
      <c r="O1325" s="3">
        <f>parking_demand_data_2024_ver0!N1325</f>
        <v>0</v>
      </c>
      <c r="P1325" s="3">
        <f>parking_demand_data_2024_ver0!O1325</f>
        <v>0</v>
      </c>
      <c r="Q1325" s="3">
        <f>parking_demand_data_2024_ver0!P1325</f>
        <v>36</v>
      </c>
      <c r="R1325" s="3">
        <f>parking_demand_data_2024_ver0!Q1325</f>
        <v>0</v>
      </c>
      <c r="S1325" s="3">
        <f>parking_demand_data_2024_ver0!R1325</f>
        <v>0</v>
      </c>
      <c r="T1325" s="3">
        <f>parking_demand_data_2024_ver0!S1325</f>
        <v>0</v>
      </c>
    </row>
    <row r="1326" spans="1:20" x14ac:dyDescent="0.25">
      <c r="A1326">
        <v>18111</v>
      </c>
      <c r="B1326" t="s">
        <v>84</v>
      </c>
      <c r="C1326">
        <v>4</v>
      </c>
      <c r="D1326" s="3">
        <f>parking_demand_data_2024_ver0!D1326*calibration!$I$31</f>
        <v>30.2807772768723</v>
      </c>
      <c r="E1326" s="3">
        <f>parking_demand_data_2024_ver0!E1326*calibration!$I$31</f>
        <v>0</v>
      </c>
      <c r="F1326" s="3">
        <f t="shared" si="20"/>
        <v>30.2807772768723</v>
      </c>
      <c r="G1326" s="3">
        <f>parking_demand_data_2024_ver0!F1326</f>
        <v>2</v>
      </c>
      <c r="H1326" s="3">
        <f>parking_demand_data_2024_ver0!G1326</f>
        <v>0</v>
      </c>
      <c r="I1326" s="3">
        <f>parking_demand_data_2024_ver0!H1326</f>
        <v>0</v>
      </c>
      <c r="J1326" s="3">
        <f>parking_demand_data_2024_ver0!I1326</f>
        <v>2</v>
      </c>
      <c r="K1326" s="3">
        <f>parking_demand_data_2024_ver0!J1326</f>
        <v>0</v>
      </c>
      <c r="L1326" s="3">
        <f>parking_demand_data_2024_ver0!K1326</f>
        <v>0</v>
      </c>
      <c r="M1326" s="3">
        <f>parking_demand_data_2024_ver0!L1326</f>
        <v>0</v>
      </c>
      <c r="N1326" s="3">
        <f>parking_demand_data_2024_ver0!M1326</f>
        <v>36</v>
      </c>
      <c r="O1326" s="3">
        <f>parking_demand_data_2024_ver0!N1326</f>
        <v>0</v>
      </c>
      <c r="P1326" s="3">
        <f>parking_demand_data_2024_ver0!O1326</f>
        <v>0</v>
      </c>
      <c r="Q1326" s="3">
        <f>parking_demand_data_2024_ver0!P1326</f>
        <v>36</v>
      </c>
      <c r="R1326" s="3">
        <f>parking_demand_data_2024_ver0!Q1326</f>
        <v>0</v>
      </c>
      <c r="S1326" s="3">
        <f>parking_demand_data_2024_ver0!R1326</f>
        <v>0</v>
      </c>
      <c r="T1326" s="3">
        <f>parking_demand_data_2024_ver0!S1326</f>
        <v>0</v>
      </c>
    </row>
    <row r="1327" spans="1:20" x14ac:dyDescent="0.25">
      <c r="A1327">
        <v>18111</v>
      </c>
      <c r="B1327" t="s">
        <v>84</v>
      </c>
      <c r="C1327">
        <v>5</v>
      </c>
      <c r="D1327" s="3">
        <f>parking_demand_data_2024_ver0!D1327*calibration!$I$31</f>
        <v>27.6492776603999</v>
      </c>
      <c r="E1327" s="3">
        <f>parking_demand_data_2024_ver0!E1327*calibration!$I$31</f>
        <v>7.4126749759785504E-2</v>
      </c>
      <c r="F1327" s="3">
        <f t="shared" si="20"/>
        <v>27.723404410159684</v>
      </c>
      <c r="G1327" s="3">
        <f>parking_demand_data_2024_ver0!F1327</f>
        <v>2</v>
      </c>
      <c r="H1327" s="3">
        <f>parking_demand_data_2024_ver0!G1327</f>
        <v>0</v>
      </c>
      <c r="I1327" s="3">
        <f>parking_demand_data_2024_ver0!H1327</f>
        <v>0</v>
      </c>
      <c r="J1327" s="3">
        <f>parking_demand_data_2024_ver0!I1327</f>
        <v>2</v>
      </c>
      <c r="K1327" s="3">
        <f>parking_demand_data_2024_ver0!J1327</f>
        <v>0</v>
      </c>
      <c r="L1327" s="3">
        <f>parking_demand_data_2024_ver0!K1327</f>
        <v>0</v>
      </c>
      <c r="M1327" s="3">
        <f>parking_demand_data_2024_ver0!L1327</f>
        <v>0</v>
      </c>
      <c r="N1327" s="3">
        <f>parking_demand_data_2024_ver0!M1327</f>
        <v>36</v>
      </c>
      <c r="O1327" s="3">
        <f>parking_demand_data_2024_ver0!N1327</f>
        <v>0</v>
      </c>
      <c r="P1327" s="3">
        <f>parking_demand_data_2024_ver0!O1327</f>
        <v>0</v>
      </c>
      <c r="Q1327" s="3">
        <f>parking_demand_data_2024_ver0!P1327</f>
        <v>36</v>
      </c>
      <c r="R1327" s="3">
        <f>parking_demand_data_2024_ver0!Q1327</f>
        <v>0</v>
      </c>
      <c r="S1327" s="3">
        <f>parking_demand_data_2024_ver0!R1327</f>
        <v>0</v>
      </c>
      <c r="T1327" s="3">
        <f>parking_demand_data_2024_ver0!S1327</f>
        <v>0</v>
      </c>
    </row>
    <row r="1328" spans="1:20" x14ac:dyDescent="0.25">
      <c r="A1328">
        <v>18111</v>
      </c>
      <c r="B1328" t="s">
        <v>84</v>
      </c>
      <c r="C1328">
        <v>6</v>
      </c>
      <c r="D1328" s="3">
        <f>parking_demand_data_2024_ver0!D1328*calibration!$I$31</f>
        <v>24.165320421690001</v>
      </c>
      <c r="E1328" s="3">
        <f>parking_demand_data_2024_ver0!E1328*calibration!$I$31</f>
        <v>0.11119012463967801</v>
      </c>
      <c r="F1328" s="3">
        <f t="shared" si="20"/>
        <v>24.276510546329678</v>
      </c>
      <c r="G1328" s="3">
        <f>parking_demand_data_2024_ver0!F1328</f>
        <v>2</v>
      </c>
      <c r="H1328" s="3">
        <f>parking_demand_data_2024_ver0!G1328</f>
        <v>0</v>
      </c>
      <c r="I1328" s="3">
        <f>parking_demand_data_2024_ver0!H1328</f>
        <v>0</v>
      </c>
      <c r="J1328" s="3">
        <f>parking_demand_data_2024_ver0!I1328</f>
        <v>2</v>
      </c>
      <c r="K1328" s="3">
        <f>parking_demand_data_2024_ver0!J1328</f>
        <v>0</v>
      </c>
      <c r="L1328" s="3">
        <f>parking_demand_data_2024_ver0!K1328</f>
        <v>0</v>
      </c>
      <c r="M1328" s="3">
        <f>parking_demand_data_2024_ver0!L1328</f>
        <v>0</v>
      </c>
      <c r="N1328" s="3">
        <f>parking_demand_data_2024_ver0!M1328</f>
        <v>36</v>
      </c>
      <c r="O1328" s="3">
        <f>parking_demand_data_2024_ver0!N1328</f>
        <v>0</v>
      </c>
      <c r="P1328" s="3">
        <f>parking_demand_data_2024_ver0!O1328</f>
        <v>0</v>
      </c>
      <c r="Q1328" s="3">
        <f>parking_demand_data_2024_ver0!P1328</f>
        <v>36</v>
      </c>
      <c r="R1328" s="3">
        <f>parking_demand_data_2024_ver0!Q1328</f>
        <v>0</v>
      </c>
      <c r="S1328" s="3">
        <f>parking_demand_data_2024_ver0!R1328</f>
        <v>0</v>
      </c>
      <c r="T1328" s="3">
        <f>parking_demand_data_2024_ver0!S1328</f>
        <v>0</v>
      </c>
    </row>
    <row r="1329" spans="1:20" x14ac:dyDescent="0.25">
      <c r="A1329">
        <v>18111</v>
      </c>
      <c r="B1329" t="s">
        <v>84</v>
      </c>
      <c r="C1329">
        <v>7</v>
      </c>
      <c r="D1329" s="3">
        <f>parking_demand_data_2024_ver0!D1329*calibration!$I$31</f>
        <v>18.161053691147401</v>
      </c>
      <c r="E1329" s="3">
        <f>parking_demand_data_2024_ver0!E1329*calibration!$I$31</f>
        <v>7.4126749759785504E-2</v>
      </c>
      <c r="F1329" s="3">
        <f t="shared" si="20"/>
        <v>18.235180440907186</v>
      </c>
      <c r="G1329" s="3">
        <f>parking_demand_data_2024_ver0!F1329</f>
        <v>2</v>
      </c>
      <c r="H1329" s="3">
        <f>parking_demand_data_2024_ver0!G1329</f>
        <v>0</v>
      </c>
      <c r="I1329" s="3">
        <f>parking_demand_data_2024_ver0!H1329</f>
        <v>0</v>
      </c>
      <c r="J1329" s="3">
        <f>parking_demand_data_2024_ver0!I1329</f>
        <v>2</v>
      </c>
      <c r="K1329" s="3">
        <f>parking_demand_data_2024_ver0!J1329</f>
        <v>0</v>
      </c>
      <c r="L1329" s="3">
        <f>parking_demand_data_2024_ver0!K1329</f>
        <v>0</v>
      </c>
      <c r="M1329" s="3">
        <f>parking_demand_data_2024_ver0!L1329</f>
        <v>0</v>
      </c>
      <c r="N1329" s="3">
        <f>parking_demand_data_2024_ver0!M1329</f>
        <v>36</v>
      </c>
      <c r="O1329" s="3">
        <f>parking_demand_data_2024_ver0!N1329</f>
        <v>0</v>
      </c>
      <c r="P1329" s="3">
        <f>parking_demand_data_2024_ver0!O1329</f>
        <v>0</v>
      </c>
      <c r="Q1329" s="3">
        <f>parking_demand_data_2024_ver0!P1329</f>
        <v>36</v>
      </c>
      <c r="R1329" s="3">
        <f>parking_demand_data_2024_ver0!Q1329</f>
        <v>0</v>
      </c>
      <c r="S1329" s="3">
        <f>parking_demand_data_2024_ver0!R1329</f>
        <v>0</v>
      </c>
      <c r="T1329" s="3">
        <f>parking_demand_data_2024_ver0!S1329</f>
        <v>0</v>
      </c>
    </row>
    <row r="1330" spans="1:20" x14ac:dyDescent="0.25">
      <c r="A1330">
        <v>18111</v>
      </c>
      <c r="B1330" t="s">
        <v>84</v>
      </c>
      <c r="C1330">
        <v>8</v>
      </c>
      <c r="D1330" s="3">
        <f>parking_demand_data_2024_ver0!D1330*calibration!$I$31</f>
        <v>11.749089836926</v>
      </c>
      <c r="E1330" s="3">
        <f>parking_demand_data_2024_ver0!E1330*calibration!$I$31</f>
        <v>7.4126749759785504E-2</v>
      </c>
      <c r="F1330" s="3">
        <f t="shared" si="20"/>
        <v>11.823216586685785</v>
      </c>
      <c r="G1330" s="3">
        <f>parking_demand_data_2024_ver0!F1330</f>
        <v>2</v>
      </c>
      <c r="H1330" s="3">
        <f>parking_demand_data_2024_ver0!G1330</f>
        <v>0</v>
      </c>
      <c r="I1330" s="3">
        <f>parking_demand_data_2024_ver0!H1330</f>
        <v>0</v>
      </c>
      <c r="J1330" s="3">
        <f>parking_demand_data_2024_ver0!I1330</f>
        <v>2</v>
      </c>
      <c r="K1330" s="3">
        <f>parking_demand_data_2024_ver0!J1330</f>
        <v>0</v>
      </c>
      <c r="L1330" s="3">
        <f>parking_demand_data_2024_ver0!K1330</f>
        <v>0</v>
      </c>
      <c r="M1330" s="3">
        <f>parking_demand_data_2024_ver0!L1330</f>
        <v>0</v>
      </c>
      <c r="N1330" s="3">
        <f>parking_demand_data_2024_ver0!M1330</f>
        <v>36</v>
      </c>
      <c r="O1330" s="3">
        <f>parking_demand_data_2024_ver0!N1330</f>
        <v>0</v>
      </c>
      <c r="P1330" s="3">
        <f>parking_demand_data_2024_ver0!O1330</f>
        <v>0</v>
      </c>
      <c r="Q1330" s="3">
        <f>parking_demand_data_2024_ver0!P1330</f>
        <v>36</v>
      </c>
      <c r="R1330" s="3">
        <f>parking_demand_data_2024_ver0!Q1330</f>
        <v>0</v>
      </c>
      <c r="S1330" s="3">
        <f>parking_demand_data_2024_ver0!R1330</f>
        <v>0</v>
      </c>
      <c r="T1330" s="3">
        <f>parking_demand_data_2024_ver0!S1330</f>
        <v>0</v>
      </c>
    </row>
    <row r="1331" spans="1:20" x14ac:dyDescent="0.25">
      <c r="A1331">
        <v>18111</v>
      </c>
      <c r="B1331" t="s">
        <v>84</v>
      </c>
      <c r="C1331">
        <v>9</v>
      </c>
      <c r="D1331" s="3">
        <f>parking_demand_data_2024_ver0!D1331*calibration!$I$31</f>
        <v>9.3029070948530794</v>
      </c>
      <c r="E1331" s="3">
        <f>parking_demand_data_2024_ver0!E1331*calibration!$I$31</f>
        <v>7.4126749759785504E-2</v>
      </c>
      <c r="F1331" s="3">
        <f t="shared" si="20"/>
        <v>9.377033844612864</v>
      </c>
      <c r="G1331" s="3">
        <f>parking_demand_data_2024_ver0!F1331</f>
        <v>2</v>
      </c>
      <c r="H1331" s="3">
        <f>parking_demand_data_2024_ver0!G1331</f>
        <v>0</v>
      </c>
      <c r="I1331" s="3">
        <f>parking_demand_data_2024_ver0!H1331</f>
        <v>0</v>
      </c>
      <c r="J1331" s="3">
        <f>parking_demand_data_2024_ver0!I1331</f>
        <v>2</v>
      </c>
      <c r="K1331" s="3">
        <f>parking_demand_data_2024_ver0!J1331</f>
        <v>0</v>
      </c>
      <c r="L1331" s="3">
        <f>parking_demand_data_2024_ver0!K1331</f>
        <v>0</v>
      </c>
      <c r="M1331" s="3">
        <f>parking_demand_data_2024_ver0!L1331</f>
        <v>0</v>
      </c>
      <c r="N1331" s="3">
        <f>parking_demand_data_2024_ver0!M1331</f>
        <v>36</v>
      </c>
      <c r="O1331" s="3">
        <f>parking_demand_data_2024_ver0!N1331</f>
        <v>0</v>
      </c>
      <c r="P1331" s="3">
        <f>parking_demand_data_2024_ver0!O1331</f>
        <v>0</v>
      </c>
      <c r="Q1331" s="3">
        <f>parking_demand_data_2024_ver0!P1331</f>
        <v>36</v>
      </c>
      <c r="R1331" s="3">
        <f>parking_demand_data_2024_ver0!Q1331</f>
        <v>0</v>
      </c>
      <c r="S1331" s="3">
        <f>parking_demand_data_2024_ver0!R1331</f>
        <v>0</v>
      </c>
      <c r="T1331" s="3">
        <f>parking_demand_data_2024_ver0!S1331</f>
        <v>0</v>
      </c>
    </row>
    <row r="1332" spans="1:20" x14ac:dyDescent="0.25">
      <c r="A1332">
        <v>18111</v>
      </c>
      <c r="B1332" t="s">
        <v>84</v>
      </c>
      <c r="C1332">
        <v>10</v>
      </c>
      <c r="D1332" s="3">
        <f>parking_demand_data_2024_ver0!D1332*calibration!$I$31</f>
        <v>9.8217943431715806</v>
      </c>
      <c r="E1332" s="3">
        <f>parking_demand_data_2024_ver0!E1332*calibration!$I$31</f>
        <v>7.4126749759785504E-2</v>
      </c>
      <c r="F1332" s="3">
        <f t="shared" si="20"/>
        <v>9.895921092931367</v>
      </c>
      <c r="G1332" s="3">
        <f>parking_demand_data_2024_ver0!F1332</f>
        <v>2</v>
      </c>
      <c r="H1332" s="3">
        <f>parking_demand_data_2024_ver0!G1332</f>
        <v>0</v>
      </c>
      <c r="I1332" s="3">
        <f>parking_demand_data_2024_ver0!H1332</f>
        <v>0</v>
      </c>
      <c r="J1332" s="3">
        <f>parking_demand_data_2024_ver0!I1332</f>
        <v>2</v>
      </c>
      <c r="K1332" s="3">
        <f>parking_demand_data_2024_ver0!J1332</f>
        <v>0</v>
      </c>
      <c r="L1332" s="3">
        <f>parking_demand_data_2024_ver0!K1332</f>
        <v>0</v>
      </c>
      <c r="M1332" s="3">
        <f>parking_demand_data_2024_ver0!L1332</f>
        <v>0</v>
      </c>
      <c r="N1332" s="3">
        <f>parking_demand_data_2024_ver0!M1332</f>
        <v>36</v>
      </c>
      <c r="O1332" s="3">
        <f>parking_demand_data_2024_ver0!N1332</f>
        <v>0</v>
      </c>
      <c r="P1332" s="3">
        <f>parking_demand_data_2024_ver0!O1332</f>
        <v>0</v>
      </c>
      <c r="Q1332" s="3">
        <f>parking_demand_data_2024_ver0!P1332</f>
        <v>36</v>
      </c>
      <c r="R1332" s="3">
        <f>parking_demand_data_2024_ver0!Q1332</f>
        <v>0</v>
      </c>
      <c r="S1332" s="3">
        <f>parking_demand_data_2024_ver0!R1332</f>
        <v>0</v>
      </c>
      <c r="T1332" s="3">
        <f>parking_demand_data_2024_ver0!S1332</f>
        <v>0</v>
      </c>
    </row>
    <row r="1333" spans="1:20" x14ac:dyDescent="0.25">
      <c r="A1333">
        <v>18111</v>
      </c>
      <c r="B1333" t="s">
        <v>84</v>
      </c>
      <c r="C1333">
        <v>11</v>
      </c>
      <c r="D1333" s="3">
        <f>parking_demand_data_2024_ver0!D1333*calibration!$I$31</f>
        <v>10.1924280919705</v>
      </c>
      <c r="E1333" s="3">
        <f>parking_demand_data_2024_ver0!E1333*calibration!$I$31</f>
        <v>0.40769712367881999</v>
      </c>
      <c r="F1333" s="3">
        <f t="shared" si="20"/>
        <v>10.600125215649321</v>
      </c>
      <c r="G1333" s="3">
        <f>parking_demand_data_2024_ver0!F1333</f>
        <v>2</v>
      </c>
      <c r="H1333" s="3">
        <f>parking_demand_data_2024_ver0!G1333</f>
        <v>0</v>
      </c>
      <c r="I1333" s="3">
        <f>parking_demand_data_2024_ver0!H1333</f>
        <v>0</v>
      </c>
      <c r="J1333" s="3">
        <f>parking_demand_data_2024_ver0!I1333</f>
        <v>2</v>
      </c>
      <c r="K1333" s="3">
        <f>parking_demand_data_2024_ver0!J1333</f>
        <v>0</v>
      </c>
      <c r="L1333" s="3">
        <f>parking_demand_data_2024_ver0!K1333</f>
        <v>0</v>
      </c>
      <c r="M1333" s="3">
        <f>parking_demand_data_2024_ver0!L1333</f>
        <v>0</v>
      </c>
      <c r="N1333" s="3">
        <f>parking_demand_data_2024_ver0!M1333</f>
        <v>36</v>
      </c>
      <c r="O1333" s="3">
        <f>parking_demand_data_2024_ver0!N1333</f>
        <v>0</v>
      </c>
      <c r="P1333" s="3">
        <f>parking_demand_data_2024_ver0!O1333</f>
        <v>0</v>
      </c>
      <c r="Q1333" s="3">
        <f>parking_demand_data_2024_ver0!P1333</f>
        <v>36</v>
      </c>
      <c r="R1333" s="3">
        <f>parking_demand_data_2024_ver0!Q1333</f>
        <v>0</v>
      </c>
      <c r="S1333" s="3">
        <f>parking_demand_data_2024_ver0!R1333</f>
        <v>0</v>
      </c>
      <c r="T1333" s="3">
        <f>parking_demand_data_2024_ver0!S1333</f>
        <v>0</v>
      </c>
    </row>
    <row r="1334" spans="1:20" x14ac:dyDescent="0.25">
      <c r="A1334">
        <v>18111</v>
      </c>
      <c r="B1334" t="s">
        <v>84</v>
      </c>
      <c r="C1334">
        <v>12</v>
      </c>
      <c r="D1334" s="3">
        <f>parking_demand_data_2024_ver0!D1334*calibration!$I$31</f>
        <v>9.7476675934117907</v>
      </c>
      <c r="E1334" s="3">
        <f>parking_demand_data_2024_ver0!E1334*calibration!$I$31</f>
        <v>0.59301399807828403</v>
      </c>
      <c r="F1334" s="3">
        <f t="shared" si="20"/>
        <v>10.340681591490075</v>
      </c>
      <c r="G1334" s="3">
        <f>parking_demand_data_2024_ver0!F1334</f>
        <v>2</v>
      </c>
      <c r="H1334" s="3">
        <f>parking_demand_data_2024_ver0!G1334</f>
        <v>0</v>
      </c>
      <c r="I1334" s="3">
        <f>parking_demand_data_2024_ver0!H1334</f>
        <v>0</v>
      </c>
      <c r="J1334" s="3">
        <f>parking_demand_data_2024_ver0!I1334</f>
        <v>2</v>
      </c>
      <c r="K1334" s="3">
        <f>parking_demand_data_2024_ver0!J1334</f>
        <v>0</v>
      </c>
      <c r="L1334" s="3">
        <f>parking_demand_data_2024_ver0!K1334</f>
        <v>0</v>
      </c>
      <c r="M1334" s="3">
        <f>parking_demand_data_2024_ver0!L1334</f>
        <v>0</v>
      </c>
      <c r="N1334" s="3">
        <f>parking_demand_data_2024_ver0!M1334</f>
        <v>36</v>
      </c>
      <c r="O1334" s="3">
        <f>parking_demand_data_2024_ver0!N1334</f>
        <v>0</v>
      </c>
      <c r="P1334" s="3">
        <f>parking_demand_data_2024_ver0!O1334</f>
        <v>0</v>
      </c>
      <c r="Q1334" s="3">
        <f>parking_demand_data_2024_ver0!P1334</f>
        <v>36</v>
      </c>
      <c r="R1334" s="3">
        <f>parking_demand_data_2024_ver0!Q1334</f>
        <v>0</v>
      </c>
      <c r="S1334" s="3">
        <f>parking_demand_data_2024_ver0!R1334</f>
        <v>0</v>
      </c>
      <c r="T1334" s="3">
        <f>parking_demand_data_2024_ver0!S1334</f>
        <v>0</v>
      </c>
    </row>
    <row r="1335" spans="1:20" x14ac:dyDescent="0.25">
      <c r="A1335">
        <v>18111</v>
      </c>
      <c r="B1335" t="s">
        <v>84</v>
      </c>
      <c r="C1335">
        <v>13</v>
      </c>
      <c r="D1335" s="3">
        <f>parking_demand_data_2024_ver0!D1335*calibration!$I$31</f>
        <v>9.8588577180514694</v>
      </c>
      <c r="E1335" s="3">
        <f>parking_demand_data_2024_ver0!E1335*calibration!$I$31</f>
        <v>0.66714074783806898</v>
      </c>
      <c r="F1335" s="3">
        <f t="shared" si="20"/>
        <v>10.525998465889538</v>
      </c>
      <c r="G1335" s="3">
        <f>parking_demand_data_2024_ver0!F1335</f>
        <v>2</v>
      </c>
      <c r="H1335" s="3">
        <f>parking_demand_data_2024_ver0!G1335</f>
        <v>0</v>
      </c>
      <c r="I1335" s="3">
        <f>parking_demand_data_2024_ver0!H1335</f>
        <v>0</v>
      </c>
      <c r="J1335" s="3">
        <f>parking_demand_data_2024_ver0!I1335</f>
        <v>2</v>
      </c>
      <c r="K1335" s="3">
        <f>parking_demand_data_2024_ver0!J1335</f>
        <v>0</v>
      </c>
      <c r="L1335" s="3">
        <f>parking_demand_data_2024_ver0!K1335</f>
        <v>0</v>
      </c>
      <c r="M1335" s="3">
        <f>parking_demand_data_2024_ver0!L1335</f>
        <v>0</v>
      </c>
      <c r="N1335" s="3">
        <f>parking_demand_data_2024_ver0!M1335</f>
        <v>36</v>
      </c>
      <c r="O1335" s="3">
        <f>parking_demand_data_2024_ver0!N1335</f>
        <v>0</v>
      </c>
      <c r="P1335" s="3">
        <f>parking_demand_data_2024_ver0!O1335</f>
        <v>0</v>
      </c>
      <c r="Q1335" s="3">
        <f>parking_demand_data_2024_ver0!P1335</f>
        <v>36</v>
      </c>
      <c r="R1335" s="3">
        <f>parking_demand_data_2024_ver0!Q1335</f>
        <v>0</v>
      </c>
      <c r="S1335" s="3">
        <f>parking_demand_data_2024_ver0!R1335</f>
        <v>0</v>
      </c>
      <c r="T1335" s="3">
        <f>parking_demand_data_2024_ver0!S1335</f>
        <v>0</v>
      </c>
    </row>
    <row r="1336" spans="1:20" x14ac:dyDescent="0.25">
      <c r="A1336">
        <v>18111</v>
      </c>
      <c r="B1336" t="s">
        <v>84</v>
      </c>
      <c r="C1336">
        <v>14</v>
      </c>
      <c r="D1336" s="3">
        <f>parking_demand_data_2024_ver0!D1336*calibration!$I$31</f>
        <v>9.8959210929313599</v>
      </c>
      <c r="E1336" s="3">
        <f>parking_demand_data_2024_ver0!E1336*calibration!$I$31</f>
        <v>0.40769712367881999</v>
      </c>
      <c r="F1336" s="3">
        <f t="shared" si="20"/>
        <v>10.303618216610181</v>
      </c>
      <c r="G1336" s="3">
        <f>parking_demand_data_2024_ver0!F1336</f>
        <v>2</v>
      </c>
      <c r="H1336" s="3">
        <f>parking_demand_data_2024_ver0!G1336</f>
        <v>0</v>
      </c>
      <c r="I1336" s="3">
        <f>parking_demand_data_2024_ver0!H1336</f>
        <v>0</v>
      </c>
      <c r="J1336" s="3">
        <f>parking_demand_data_2024_ver0!I1336</f>
        <v>2</v>
      </c>
      <c r="K1336" s="3">
        <f>parking_demand_data_2024_ver0!J1336</f>
        <v>0</v>
      </c>
      <c r="L1336" s="3">
        <f>parking_demand_data_2024_ver0!K1336</f>
        <v>0</v>
      </c>
      <c r="M1336" s="3">
        <f>parking_demand_data_2024_ver0!L1336</f>
        <v>0</v>
      </c>
      <c r="N1336" s="3">
        <f>parking_demand_data_2024_ver0!M1336</f>
        <v>36</v>
      </c>
      <c r="O1336" s="3">
        <f>parking_demand_data_2024_ver0!N1336</f>
        <v>0</v>
      </c>
      <c r="P1336" s="3">
        <f>parking_demand_data_2024_ver0!O1336</f>
        <v>0</v>
      </c>
      <c r="Q1336" s="3">
        <f>parking_demand_data_2024_ver0!P1336</f>
        <v>36</v>
      </c>
      <c r="R1336" s="3">
        <f>parking_demand_data_2024_ver0!Q1336</f>
        <v>0</v>
      </c>
      <c r="S1336" s="3">
        <f>parking_demand_data_2024_ver0!R1336</f>
        <v>0</v>
      </c>
      <c r="T1336" s="3">
        <f>parking_demand_data_2024_ver0!S1336</f>
        <v>0</v>
      </c>
    </row>
    <row r="1337" spans="1:20" x14ac:dyDescent="0.25">
      <c r="A1337">
        <v>18111</v>
      </c>
      <c r="B1337" t="s">
        <v>84</v>
      </c>
      <c r="C1337">
        <v>15</v>
      </c>
      <c r="D1337" s="3">
        <f>parking_demand_data_2024_ver0!D1337*calibration!$I$31</f>
        <v>10.9336955895683</v>
      </c>
      <c r="E1337" s="3">
        <f>parking_demand_data_2024_ver0!E1337*calibration!$I$31</f>
        <v>0.25944362415924899</v>
      </c>
      <c r="F1337" s="3">
        <f t="shared" si="20"/>
        <v>11.19313921372755</v>
      </c>
      <c r="G1337" s="3">
        <f>parking_demand_data_2024_ver0!F1337</f>
        <v>2</v>
      </c>
      <c r="H1337" s="3">
        <f>parking_demand_data_2024_ver0!G1337</f>
        <v>0</v>
      </c>
      <c r="I1337" s="3">
        <f>parking_demand_data_2024_ver0!H1337</f>
        <v>0</v>
      </c>
      <c r="J1337" s="3">
        <f>parking_demand_data_2024_ver0!I1337</f>
        <v>2</v>
      </c>
      <c r="K1337" s="3">
        <f>parking_demand_data_2024_ver0!J1337</f>
        <v>0</v>
      </c>
      <c r="L1337" s="3">
        <f>parking_demand_data_2024_ver0!K1337</f>
        <v>0</v>
      </c>
      <c r="M1337" s="3">
        <f>parking_demand_data_2024_ver0!L1337</f>
        <v>0</v>
      </c>
      <c r="N1337" s="3">
        <f>parking_demand_data_2024_ver0!M1337</f>
        <v>36</v>
      </c>
      <c r="O1337" s="3">
        <f>parking_demand_data_2024_ver0!N1337</f>
        <v>0</v>
      </c>
      <c r="P1337" s="3">
        <f>parking_demand_data_2024_ver0!O1337</f>
        <v>0</v>
      </c>
      <c r="Q1337" s="3">
        <f>parking_demand_data_2024_ver0!P1337</f>
        <v>36</v>
      </c>
      <c r="R1337" s="3">
        <f>parking_demand_data_2024_ver0!Q1337</f>
        <v>0</v>
      </c>
      <c r="S1337" s="3">
        <f>parking_demand_data_2024_ver0!R1337</f>
        <v>0</v>
      </c>
      <c r="T1337" s="3">
        <f>parking_demand_data_2024_ver0!S1337</f>
        <v>0</v>
      </c>
    </row>
    <row r="1338" spans="1:20" x14ac:dyDescent="0.25">
      <c r="A1338">
        <v>18111</v>
      </c>
      <c r="B1338" t="s">
        <v>84</v>
      </c>
      <c r="C1338">
        <v>16</v>
      </c>
      <c r="D1338" s="3">
        <f>parking_demand_data_2024_ver0!D1338*calibration!$I$31</f>
        <v>10.4889350910096</v>
      </c>
      <c r="E1338" s="3">
        <f>parking_demand_data_2024_ver0!E1338*calibration!$I$31</f>
        <v>0.55595062319839095</v>
      </c>
      <c r="F1338" s="3">
        <f t="shared" si="20"/>
        <v>11.044885714207991</v>
      </c>
      <c r="G1338" s="3">
        <f>parking_demand_data_2024_ver0!F1338</f>
        <v>2</v>
      </c>
      <c r="H1338" s="3">
        <f>parking_demand_data_2024_ver0!G1338</f>
        <v>0</v>
      </c>
      <c r="I1338" s="3">
        <f>parking_demand_data_2024_ver0!H1338</f>
        <v>0</v>
      </c>
      <c r="J1338" s="3">
        <f>parking_demand_data_2024_ver0!I1338</f>
        <v>2</v>
      </c>
      <c r="K1338" s="3">
        <f>parking_demand_data_2024_ver0!J1338</f>
        <v>0</v>
      </c>
      <c r="L1338" s="3">
        <f>parking_demand_data_2024_ver0!K1338</f>
        <v>0</v>
      </c>
      <c r="M1338" s="3">
        <f>parking_demand_data_2024_ver0!L1338</f>
        <v>0</v>
      </c>
      <c r="N1338" s="3">
        <f>parking_demand_data_2024_ver0!M1338</f>
        <v>36</v>
      </c>
      <c r="O1338" s="3">
        <f>parking_demand_data_2024_ver0!N1338</f>
        <v>0</v>
      </c>
      <c r="P1338" s="3">
        <f>parking_demand_data_2024_ver0!O1338</f>
        <v>0</v>
      </c>
      <c r="Q1338" s="3">
        <f>parking_demand_data_2024_ver0!P1338</f>
        <v>36</v>
      </c>
      <c r="R1338" s="3">
        <f>parking_demand_data_2024_ver0!Q1338</f>
        <v>0</v>
      </c>
      <c r="S1338" s="3">
        <f>parking_demand_data_2024_ver0!R1338</f>
        <v>0</v>
      </c>
      <c r="T1338" s="3">
        <f>parking_demand_data_2024_ver0!S1338</f>
        <v>0</v>
      </c>
    </row>
    <row r="1339" spans="1:20" x14ac:dyDescent="0.25">
      <c r="A1339">
        <v>18111</v>
      </c>
      <c r="B1339" t="s">
        <v>84</v>
      </c>
      <c r="C1339">
        <v>17</v>
      </c>
      <c r="D1339" s="3">
        <f>parking_demand_data_2024_ver0!D1339*calibration!$I$31</f>
        <v>11.8232165866857</v>
      </c>
      <c r="E1339" s="3">
        <f>parking_demand_data_2024_ver0!E1339*calibration!$I$31</f>
        <v>0.14825349951957101</v>
      </c>
      <c r="F1339" s="3">
        <f t="shared" si="20"/>
        <v>11.971470086205271</v>
      </c>
      <c r="G1339" s="3">
        <f>parking_demand_data_2024_ver0!F1339</f>
        <v>2</v>
      </c>
      <c r="H1339" s="3">
        <f>parking_demand_data_2024_ver0!G1339</f>
        <v>0</v>
      </c>
      <c r="I1339" s="3">
        <f>parking_demand_data_2024_ver0!H1339</f>
        <v>0</v>
      </c>
      <c r="J1339" s="3">
        <f>parking_demand_data_2024_ver0!I1339</f>
        <v>2</v>
      </c>
      <c r="K1339" s="3">
        <f>parking_demand_data_2024_ver0!J1339</f>
        <v>0</v>
      </c>
      <c r="L1339" s="3">
        <f>parking_demand_data_2024_ver0!K1339</f>
        <v>0</v>
      </c>
      <c r="M1339" s="3">
        <f>parking_demand_data_2024_ver0!L1339</f>
        <v>0</v>
      </c>
      <c r="N1339" s="3">
        <f>parking_demand_data_2024_ver0!M1339</f>
        <v>36</v>
      </c>
      <c r="O1339" s="3">
        <f>parking_demand_data_2024_ver0!N1339</f>
        <v>0</v>
      </c>
      <c r="P1339" s="3">
        <f>parking_demand_data_2024_ver0!O1339</f>
        <v>0</v>
      </c>
      <c r="Q1339" s="3">
        <f>parking_demand_data_2024_ver0!P1339</f>
        <v>36</v>
      </c>
      <c r="R1339" s="3">
        <f>parking_demand_data_2024_ver0!Q1339</f>
        <v>0</v>
      </c>
      <c r="S1339" s="3">
        <f>parking_demand_data_2024_ver0!R1339</f>
        <v>0</v>
      </c>
      <c r="T1339" s="3">
        <f>parking_demand_data_2024_ver0!S1339</f>
        <v>0</v>
      </c>
    </row>
    <row r="1340" spans="1:20" x14ac:dyDescent="0.25">
      <c r="A1340">
        <v>18111</v>
      </c>
      <c r="B1340" t="s">
        <v>84</v>
      </c>
      <c r="C1340">
        <v>18</v>
      </c>
      <c r="D1340" s="3">
        <f>parking_demand_data_2024_ver0!D1340*calibration!$I$31</f>
        <v>14.8994767017168</v>
      </c>
      <c r="E1340" s="3">
        <f>parking_demand_data_2024_ver0!E1340*calibration!$I$31</f>
        <v>7.4126749759785504E-2</v>
      </c>
      <c r="F1340" s="3">
        <f t="shared" si="20"/>
        <v>14.973603451476585</v>
      </c>
      <c r="G1340" s="3">
        <f>parking_demand_data_2024_ver0!F1340</f>
        <v>2</v>
      </c>
      <c r="H1340" s="3">
        <f>parking_demand_data_2024_ver0!G1340</f>
        <v>0</v>
      </c>
      <c r="I1340" s="3">
        <f>parking_demand_data_2024_ver0!H1340</f>
        <v>0</v>
      </c>
      <c r="J1340" s="3">
        <f>parking_demand_data_2024_ver0!I1340</f>
        <v>2</v>
      </c>
      <c r="K1340" s="3">
        <f>parking_demand_data_2024_ver0!J1340</f>
        <v>0</v>
      </c>
      <c r="L1340" s="3">
        <f>parking_demand_data_2024_ver0!K1340</f>
        <v>0</v>
      </c>
      <c r="M1340" s="3">
        <f>parking_demand_data_2024_ver0!L1340</f>
        <v>0</v>
      </c>
      <c r="N1340" s="3">
        <f>parking_demand_data_2024_ver0!M1340</f>
        <v>36</v>
      </c>
      <c r="O1340" s="3">
        <f>parking_demand_data_2024_ver0!N1340</f>
        <v>0</v>
      </c>
      <c r="P1340" s="3">
        <f>parking_demand_data_2024_ver0!O1340</f>
        <v>0</v>
      </c>
      <c r="Q1340" s="3">
        <f>parking_demand_data_2024_ver0!P1340</f>
        <v>36</v>
      </c>
      <c r="R1340" s="3">
        <f>parking_demand_data_2024_ver0!Q1340</f>
        <v>0</v>
      </c>
      <c r="S1340" s="3">
        <f>parking_demand_data_2024_ver0!R1340</f>
        <v>0</v>
      </c>
      <c r="T1340" s="3">
        <f>parking_demand_data_2024_ver0!S1340</f>
        <v>0</v>
      </c>
    </row>
    <row r="1341" spans="1:20" x14ac:dyDescent="0.25">
      <c r="A1341">
        <v>18111</v>
      </c>
      <c r="B1341" t="s">
        <v>84</v>
      </c>
      <c r="C1341">
        <v>19</v>
      </c>
      <c r="D1341" s="3">
        <f>parking_demand_data_2024_ver0!D1341*calibration!$I$31</f>
        <v>18.420497315306601</v>
      </c>
      <c r="E1341" s="3">
        <f>parking_demand_data_2024_ver0!E1341*calibration!$I$31</f>
        <v>0.22238024927935601</v>
      </c>
      <c r="F1341" s="3">
        <f t="shared" si="20"/>
        <v>18.642877564585959</v>
      </c>
      <c r="G1341" s="3">
        <f>parking_demand_data_2024_ver0!F1341</f>
        <v>2</v>
      </c>
      <c r="H1341" s="3">
        <f>parking_demand_data_2024_ver0!G1341</f>
        <v>0</v>
      </c>
      <c r="I1341" s="3">
        <f>parking_demand_data_2024_ver0!H1341</f>
        <v>0</v>
      </c>
      <c r="J1341" s="3">
        <f>parking_demand_data_2024_ver0!I1341</f>
        <v>2</v>
      </c>
      <c r="K1341" s="3">
        <f>parking_demand_data_2024_ver0!J1341</f>
        <v>0</v>
      </c>
      <c r="L1341" s="3">
        <f>parking_demand_data_2024_ver0!K1341</f>
        <v>0</v>
      </c>
      <c r="M1341" s="3">
        <f>parking_demand_data_2024_ver0!L1341</f>
        <v>0</v>
      </c>
      <c r="N1341" s="3">
        <f>parking_demand_data_2024_ver0!M1341</f>
        <v>36</v>
      </c>
      <c r="O1341" s="3">
        <f>parking_demand_data_2024_ver0!N1341</f>
        <v>0</v>
      </c>
      <c r="P1341" s="3">
        <f>parking_demand_data_2024_ver0!O1341</f>
        <v>0</v>
      </c>
      <c r="Q1341" s="3">
        <f>parking_demand_data_2024_ver0!P1341</f>
        <v>36</v>
      </c>
      <c r="R1341" s="3">
        <f>parking_demand_data_2024_ver0!Q1341</f>
        <v>0</v>
      </c>
      <c r="S1341" s="3">
        <f>parking_demand_data_2024_ver0!R1341</f>
        <v>0</v>
      </c>
      <c r="T1341" s="3">
        <f>parking_demand_data_2024_ver0!S1341</f>
        <v>0</v>
      </c>
    </row>
    <row r="1342" spans="1:20" x14ac:dyDescent="0.25">
      <c r="A1342">
        <v>18111</v>
      </c>
      <c r="B1342" t="s">
        <v>84</v>
      </c>
      <c r="C1342">
        <v>20</v>
      </c>
      <c r="D1342" s="3">
        <f>parking_demand_data_2024_ver0!D1342*calibration!$I$31</f>
        <v>21.3855673056981</v>
      </c>
      <c r="E1342" s="3">
        <f>parking_demand_data_2024_ver0!E1342*calibration!$I$31</f>
        <v>0.70420412271796196</v>
      </c>
      <c r="F1342" s="3">
        <f t="shared" si="20"/>
        <v>22.089771428416061</v>
      </c>
      <c r="G1342" s="3">
        <f>parking_demand_data_2024_ver0!F1342</f>
        <v>2</v>
      </c>
      <c r="H1342" s="3">
        <f>parking_demand_data_2024_ver0!G1342</f>
        <v>0</v>
      </c>
      <c r="I1342" s="3">
        <f>parking_demand_data_2024_ver0!H1342</f>
        <v>0</v>
      </c>
      <c r="J1342" s="3">
        <f>parking_demand_data_2024_ver0!I1342</f>
        <v>2</v>
      </c>
      <c r="K1342" s="3">
        <f>parking_demand_data_2024_ver0!J1342</f>
        <v>0</v>
      </c>
      <c r="L1342" s="3">
        <f>parking_demand_data_2024_ver0!K1342</f>
        <v>0</v>
      </c>
      <c r="M1342" s="3">
        <f>parking_demand_data_2024_ver0!L1342</f>
        <v>0</v>
      </c>
      <c r="N1342" s="3">
        <f>parking_demand_data_2024_ver0!M1342</f>
        <v>36</v>
      </c>
      <c r="O1342" s="3">
        <f>parking_demand_data_2024_ver0!N1342</f>
        <v>0</v>
      </c>
      <c r="P1342" s="3">
        <f>parking_demand_data_2024_ver0!O1342</f>
        <v>0</v>
      </c>
      <c r="Q1342" s="3">
        <f>parking_demand_data_2024_ver0!P1342</f>
        <v>36</v>
      </c>
      <c r="R1342" s="3">
        <f>parking_demand_data_2024_ver0!Q1342</f>
        <v>0</v>
      </c>
      <c r="S1342" s="3">
        <f>parking_demand_data_2024_ver0!R1342</f>
        <v>0</v>
      </c>
      <c r="T1342" s="3">
        <f>parking_demand_data_2024_ver0!S1342</f>
        <v>0</v>
      </c>
    </row>
    <row r="1343" spans="1:20" x14ac:dyDescent="0.25">
      <c r="A1343">
        <v>18111</v>
      </c>
      <c r="B1343" t="s">
        <v>84</v>
      </c>
      <c r="C1343">
        <v>21</v>
      </c>
      <c r="D1343" s="3">
        <f>parking_demand_data_2024_ver0!D1343*calibration!$I$31</f>
        <v>23.5723064236117</v>
      </c>
      <c r="E1343" s="3">
        <f>parking_demand_data_2024_ver0!E1343*calibration!$I$31</f>
        <v>0.25944362415924899</v>
      </c>
      <c r="F1343" s="3">
        <f t="shared" si="20"/>
        <v>23.831750047770949</v>
      </c>
      <c r="G1343" s="3">
        <f>parking_demand_data_2024_ver0!F1343</f>
        <v>2</v>
      </c>
      <c r="H1343" s="3">
        <f>parking_demand_data_2024_ver0!G1343</f>
        <v>0</v>
      </c>
      <c r="I1343" s="3">
        <f>parking_demand_data_2024_ver0!H1343</f>
        <v>0</v>
      </c>
      <c r="J1343" s="3">
        <f>parking_demand_data_2024_ver0!I1343</f>
        <v>2</v>
      </c>
      <c r="K1343" s="3">
        <f>parking_demand_data_2024_ver0!J1343</f>
        <v>0</v>
      </c>
      <c r="L1343" s="3">
        <f>parking_demand_data_2024_ver0!K1343</f>
        <v>0</v>
      </c>
      <c r="M1343" s="3">
        <f>parking_demand_data_2024_ver0!L1343</f>
        <v>0</v>
      </c>
      <c r="N1343" s="3">
        <f>parking_demand_data_2024_ver0!M1343</f>
        <v>36</v>
      </c>
      <c r="O1343" s="3">
        <f>parking_demand_data_2024_ver0!N1343</f>
        <v>0</v>
      </c>
      <c r="P1343" s="3">
        <f>parking_demand_data_2024_ver0!O1343</f>
        <v>0</v>
      </c>
      <c r="Q1343" s="3">
        <f>parking_demand_data_2024_ver0!P1343</f>
        <v>36</v>
      </c>
      <c r="R1343" s="3">
        <f>parking_demand_data_2024_ver0!Q1343</f>
        <v>0</v>
      </c>
      <c r="S1343" s="3">
        <f>parking_demand_data_2024_ver0!R1343</f>
        <v>0</v>
      </c>
      <c r="T1343" s="3">
        <f>parking_demand_data_2024_ver0!S1343</f>
        <v>0</v>
      </c>
    </row>
    <row r="1344" spans="1:20" x14ac:dyDescent="0.25">
      <c r="A1344">
        <v>18111</v>
      </c>
      <c r="B1344" t="s">
        <v>84</v>
      </c>
      <c r="C1344">
        <v>22</v>
      </c>
      <c r="D1344" s="3">
        <f>parking_demand_data_2024_ver0!D1344*calibration!$I$31</f>
        <v>25.6849187917656</v>
      </c>
      <c r="E1344" s="3">
        <f>parking_demand_data_2024_ver0!E1344*calibration!$I$31</f>
        <v>7.4126749759785504E-2</v>
      </c>
      <c r="F1344" s="3">
        <f t="shared" si="20"/>
        <v>25.759045541525385</v>
      </c>
      <c r="G1344" s="3">
        <f>parking_demand_data_2024_ver0!F1344</f>
        <v>2</v>
      </c>
      <c r="H1344" s="3">
        <f>parking_demand_data_2024_ver0!G1344</f>
        <v>0</v>
      </c>
      <c r="I1344" s="3">
        <f>parking_demand_data_2024_ver0!H1344</f>
        <v>0</v>
      </c>
      <c r="J1344" s="3">
        <f>parking_demand_data_2024_ver0!I1344</f>
        <v>2</v>
      </c>
      <c r="K1344" s="3">
        <f>parking_demand_data_2024_ver0!J1344</f>
        <v>0</v>
      </c>
      <c r="L1344" s="3">
        <f>parking_demand_data_2024_ver0!K1344</f>
        <v>0</v>
      </c>
      <c r="M1344" s="3">
        <f>parking_demand_data_2024_ver0!L1344</f>
        <v>0</v>
      </c>
      <c r="N1344" s="3">
        <f>parking_demand_data_2024_ver0!M1344</f>
        <v>36</v>
      </c>
      <c r="O1344" s="3">
        <f>parking_demand_data_2024_ver0!N1344</f>
        <v>0</v>
      </c>
      <c r="P1344" s="3">
        <f>parking_demand_data_2024_ver0!O1344</f>
        <v>0</v>
      </c>
      <c r="Q1344" s="3">
        <f>parking_demand_data_2024_ver0!P1344</f>
        <v>36</v>
      </c>
      <c r="R1344" s="3">
        <f>parking_demand_data_2024_ver0!Q1344</f>
        <v>0</v>
      </c>
      <c r="S1344" s="3">
        <f>parking_demand_data_2024_ver0!R1344</f>
        <v>0</v>
      </c>
      <c r="T1344" s="3">
        <f>parking_demand_data_2024_ver0!S1344</f>
        <v>0</v>
      </c>
    </row>
    <row r="1345" spans="1:20" x14ac:dyDescent="0.25">
      <c r="A1345">
        <v>18111</v>
      </c>
      <c r="B1345" t="s">
        <v>84</v>
      </c>
      <c r="C1345">
        <v>23</v>
      </c>
      <c r="D1345" s="3">
        <f>parking_demand_data_2024_ver0!D1345*calibration!$I$31</f>
        <v>27.278643911601002</v>
      </c>
      <c r="E1345" s="3">
        <f>parking_demand_data_2024_ver0!E1345*calibration!$I$31</f>
        <v>0.14825349951957101</v>
      </c>
      <c r="F1345" s="3">
        <f t="shared" si="20"/>
        <v>27.426897411120571</v>
      </c>
      <c r="G1345" s="3">
        <f>parking_demand_data_2024_ver0!F1345</f>
        <v>2</v>
      </c>
      <c r="H1345" s="3">
        <f>parking_demand_data_2024_ver0!G1345</f>
        <v>0</v>
      </c>
      <c r="I1345" s="3">
        <f>parking_demand_data_2024_ver0!H1345</f>
        <v>0</v>
      </c>
      <c r="J1345" s="3">
        <f>parking_demand_data_2024_ver0!I1345</f>
        <v>2</v>
      </c>
      <c r="K1345" s="3">
        <f>parking_demand_data_2024_ver0!J1345</f>
        <v>0</v>
      </c>
      <c r="L1345" s="3">
        <f>parking_demand_data_2024_ver0!K1345</f>
        <v>0</v>
      </c>
      <c r="M1345" s="3">
        <f>parking_demand_data_2024_ver0!L1345</f>
        <v>0</v>
      </c>
      <c r="N1345" s="3">
        <f>parking_demand_data_2024_ver0!M1345</f>
        <v>36</v>
      </c>
      <c r="O1345" s="3">
        <f>parking_demand_data_2024_ver0!N1345</f>
        <v>0</v>
      </c>
      <c r="P1345" s="3">
        <f>parking_demand_data_2024_ver0!O1345</f>
        <v>0</v>
      </c>
      <c r="Q1345" s="3">
        <f>parking_demand_data_2024_ver0!P1345</f>
        <v>36</v>
      </c>
      <c r="R1345" s="3">
        <f>parking_demand_data_2024_ver0!Q1345</f>
        <v>0</v>
      </c>
      <c r="S1345" s="3">
        <f>parking_demand_data_2024_ver0!R1345</f>
        <v>0</v>
      </c>
      <c r="T1345" s="3">
        <f>parking_demand_data_2024_ver0!S1345</f>
        <v>0</v>
      </c>
    </row>
    <row r="1346" spans="1:20" x14ac:dyDescent="0.25">
      <c r="A1346">
        <v>18113</v>
      </c>
      <c r="B1346" t="s">
        <v>85</v>
      </c>
      <c r="C1346">
        <v>0</v>
      </c>
      <c r="D1346" s="3">
        <f>parking_demand_data_2024_ver0!D1346*calibration!$I$31</f>
        <v>13.364366741723</v>
      </c>
      <c r="E1346" s="3">
        <f>parking_demand_data_2024_ver0!E1346*calibration!$I$31</f>
        <v>0</v>
      </c>
      <c r="F1346" s="3">
        <f t="shared" si="20"/>
        <v>13.364366741723</v>
      </c>
      <c r="G1346" s="3">
        <f>parking_demand_data_2024_ver0!F1346</f>
        <v>1</v>
      </c>
      <c r="H1346" s="3">
        <f>parking_demand_data_2024_ver0!G1346</f>
        <v>0</v>
      </c>
      <c r="I1346" s="3">
        <f>parking_demand_data_2024_ver0!H1346</f>
        <v>1</v>
      </c>
      <c r="J1346" s="3">
        <f>parking_demand_data_2024_ver0!I1346</f>
        <v>0</v>
      </c>
      <c r="K1346" s="3">
        <f>parking_demand_data_2024_ver0!J1346</f>
        <v>0</v>
      </c>
      <c r="L1346" s="3">
        <f>parking_demand_data_2024_ver0!K1346</f>
        <v>0</v>
      </c>
      <c r="M1346" s="3">
        <f>parking_demand_data_2024_ver0!L1346</f>
        <v>0</v>
      </c>
      <c r="N1346" s="3">
        <f>parking_demand_data_2024_ver0!M1346</f>
        <v>50</v>
      </c>
      <c r="O1346" s="3">
        <f>parking_demand_data_2024_ver0!N1346</f>
        <v>0</v>
      </c>
      <c r="P1346" s="3">
        <f>parking_demand_data_2024_ver0!O1346</f>
        <v>50</v>
      </c>
      <c r="Q1346" s="3">
        <f>parking_demand_data_2024_ver0!P1346</f>
        <v>0</v>
      </c>
      <c r="R1346" s="3">
        <f>parking_demand_data_2024_ver0!Q1346</f>
        <v>0</v>
      </c>
      <c r="S1346" s="3">
        <f>parking_demand_data_2024_ver0!R1346</f>
        <v>0</v>
      </c>
      <c r="T1346" s="3">
        <f>parking_demand_data_2024_ver0!S1346</f>
        <v>0</v>
      </c>
    </row>
    <row r="1347" spans="1:20" x14ac:dyDescent="0.25">
      <c r="A1347">
        <v>18113</v>
      </c>
      <c r="B1347" t="s">
        <v>85</v>
      </c>
      <c r="C1347">
        <v>1</v>
      </c>
      <c r="D1347" s="3">
        <f>parking_demand_data_2024_ver0!D1347*calibration!$I$31</f>
        <v>13.2370870584685</v>
      </c>
      <c r="E1347" s="3">
        <f>parking_demand_data_2024_ver0!E1347*calibration!$I$31</f>
        <v>0</v>
      </c>
      <c r="F1347" s="3">
        <f t="shared" ref="F1347:F1410" si="21">SUM(D1347:E1347)</f>
        <v>13.2370870584685</v>
      </c>
      <c r="G1347" s="3">
        <f>parking_demand_data_2024_ver0!F1347</f>
        <v>1</v>
      </c>
      <c r="H1347" s="3">
        <f>parking_demand_data_2024_ver0!G1347</f>
        <v>0</v>
      </c>
      <c r="I1347" s="3">
        <f>parking_demand_data_2024_ver0!H1347</f>
        <v>1</v>
      </c>
      <c r="J1347" s="3">
        <f>parking_demand_data_2024_ver0!I1347</f>
        <v>0</v>
      </c>
      <c r="K1347" s="3">
        <f>parking_demand_data_2024_ver0!J1347</f>
        <v>0</v>
      </c>
      <c r="L1347" s="3">
        <f>parking_demand_data_2024_ver0!K1347</f>
        <v>0</v>
      </c>
      <c r="M1347" s="3">
        <f>parking_demand_data_2024_ver0!L1347</f>
        <v>0</v>
      </c>
      <c r="N1347" s="3">
        <f>parking_demand_data_2024_ver0!M1347</f>
        <v>50</v>
      </c>
      <c r="O1347" s="3">
        <f>parking_demand_data_2024_ver0!N1347</f>
        <v>0</v>
      </c>
      <c r="P1347" s="3">
        <f>parking_demand_data_2024_ver0!O1347</f>
        <v>50</v>
      </c>
      <c r="Q1347" s="3">
        <f>parking_demand_data_2024_ver0!P1347</f>
        <v>0</v>
      </c>
      <c r="R1347" s="3">
        <f>parking_demand_data_2024_ver0!Q1347</f>
        <v>0</v>
      </c>
      <c r="S1347" s="3">
        <f>parking_demand_data_2024_ver0!R1347</f>
        <v>0</v>
      </c>
      <c r="T1347" s="3">
        <f>parking_demand_data_2024_ver0!S1347</f>
        <v>0</v>
      </c>
    </row>
    <row r="1348" spans="1:20" x14ac:dyDescent="0.25">
      <c r="A1348">
        <v>18113</v>
      </c>
      <c r="B1348" t="s">
        <v>85</v>
      </c>
      <c r="C1348">
        <v>2</v>
      </c>
      <c r="D1348" s="3">
        <f>parking_demand_data_2024_ver0!D1348*calibration!$I$31</f>
        <v>13.0673808141291</v>
      </c>
      <c r="E1348" s="3">
        <f>parking_demand_data_2024_ver0!E1348*calibration!$I$31</f>
        <v>0</v>
      </c>
      <c r="F1348" s="3">
        <f t="shared" si="21"/>
        <v>13.0673808141291</v>
      </c>
      <c r="G1348" s="3">
        <f>parking_demand_data_2024_ver0!F1348</f>
        <v>1</v>
      </c>
      <c r="H1348" s="3">
        <f>parking_demand_data_2024_ver0!G1348</f>
        <v>0</v>
      </c>
      <c r="I1348" s="3">
        <f>parking_demand_data_2024_ver0!H1348</f>
        <v>1</v>
      </c>
      <c r="J1348" s="3">
        <f>parking_demand_data_2024_ver0!I1348</f>
        <v>0</v>
      </c>
      <c r="K1348" s="3">
        <f>parking_demand_data_2024_ver0!J1348</f>
        <v>0</v>
      </c>
      <c r="L1348" s="3">
        <f>parking_demand_data_2024_ver0!K1348</f>
        <v>0</v>
      </c>
      <c r="M1348" s="3">
        <f>parking_demand_data_2024_ver0!L1348</f>
        <v>0</v>
      </c>
      <c r="N1348" s="3">
        <f>parking_demand_data_2024_ver0!M1348</f>
        <v>50</v>
      </c>
      <c r="O1348" s="3">
        <f>parking_demand_data_2024_ver0!N1348</f>
        <v>0</v>
      </c>
      <c r="P1348" s="3">
        <f>parking_demand_data_2024_ver0!O1348</f>
        <v>50</v>
      </c>
      <c r="Q1348" s="3">
        <f>parking_demand_data_2024_ver0!P1348</f>
        <v>0</v>
      </c>
      <c r="R1348" s="3">
        <f>parking_demand_data_2024_ver0!Q1348</f>
        <v>0</v>
      </c>
      <c r="S1348" s="3">
        <f>parking_demand_data_2024_ver0!R1348</f>
        <v>0</v>
      </c>
      <c r="T1348" s="3">
        <f>parking_demand_data_2024_ver0!S1348</f>
        <v>0</v>
      </c>
    </row>
    <row r="1349" spans="1:20" x14ac:dyDescent="0.25">
      <c r="A1349">
        <v>18113</v>
      </c>
      <c r="B1349" t="s">
        <v>85</v>
      </c>
      <c r="C1349">
        <v>3</v>
      </c>
      <c r="D1349" s="3">
        <f>parking_demand_data_2024_ver0!D1349*calibration!$I$31</f>
        <v>12.7703948865353</v>
      </c>
      <c r="E1349" s="3">
        <f>parking_demand_data_2024_ver0!E1349*calibration!$I$31</f>
        <v>0</v>
      </c>
      <c r="F1349" s="3">
        <f t="shared" si="21"/>
        <v>12.7703948865353</v>
      </c>
      <c r="G1349" s="3">
        <f>parking_demand_data_2024_ver0!F1349</f>
        <v>1</v>
      </c>
      <c r="H1349" s="3">
        <f>parking_demand_data_2024_ver0!G1349</f>
        <v>0</v>
      </c>
      <c r="I1349" s="3">
        <f>parking_demand_data_2024_ver0!H1349</f>
        <v>1</v>
      </c>
      <c r="J1349" s="3">
        <f>parking_demand_data_2024_ver0!I1349</f>
        <v>0</v>
      </c>
      <c r="K1349" s="3">
        <f>parking_demand_data_2024_ver0!J1349</f>
        <v>0</v>
      </c>
      <c r="L1349" s="3">
        <f>parking_demand_data_2024_ver0!K1349</f>
        <v>0</v>
      </c>
      <c r="M1349" s="3">
        <f>parking_demand_data_2024_ver0!L1349</f>
        <v>0</v>
      </c>
      <c r="N1349" s="3">
        <f>parking_demand_data_2024_ver0!M1349</f>
        <v>50</v>
      </c>
      <c r="O1349" s="3">
        <f>parking_demand_data_2024_ver0!N1349</f>
        <v>0</v>
      </c>
      <c r="P1349" s="3">
        <f>parking_demand_data_2024_ver0!O1349</f>
        <v>50</v>
      </c>
      <c r="Q1349" s="3">
        <f>parking_demand_data_2024_ver0!P1349</f>
        <v>0</v>
      </c>
      <c r="R1349" s="3">
        <f>parking_demand_data_2024_ver0!Q1349</f>
        <v>0</v>
      </c>
      <c r="S1349" s="3">
        <f>parking_demand_data_2024_ver0!R1349</f>
        <v>0</v>
      </c>
      <c r="T1349" s="3">
        <f>parking_demand_data_2024_ver0!S1349</f>
        <v>0</v>
      </c>
    </row>
    <row r="1350" spans="1:20" x14ac:dyDescent="0.25">
      <c r="A1350">
        <v>18113</v>
      </c>
      <c r="B1350" t="s">
        <v>85</v>
      </c>
      <c r="C1350">
        <v>4</v>
      </c>
      <c r="D1350" s="3">
        <f>parking_demand_data_2024_ver0!D1350*calibration!$I$31</f>
        <v>11.370318370735699</v>
      </c>
      <c r="E1350" s="3">
        <f>parking_demand_data_2024_ver0!E1350*calibration!$I$31</f>
        <v>0</v>
      </c>
      <c r="F1350" s="3">
        <f t="shared" si="21"/>
        <v>11.370318370735699</v>
      </c>
      <c r="G1350" s="3">
        <f>parking_demand_data_2024_ver0!F1350</f>
        <v>1</v>
      </c>
      <c r="H1350" s="3">
        <f>parking_demand_data_2024_ver0!G1350</f>
        <v>0</v>
      </c>
      <c r="I1350" s="3">
        <f>parking_demand_data_2024_ver0!H1350</f>
        <v>1</v>
      </c>
      <c r="J1350" s="3">
        <f>parking_demand_data_2024_ver0!I1350</f>
        <v>0</v>
      </c>
      <c r="K1350" s="3">
        <f>parking_demand_data_2024_ver0!J1350</f>
        <v>0</v>
      </c>
      <c r="L1350" s="3">
        <f>parking_demand_data_2024_ver0!K1350</f>
        <v>0</v>
      </c>
      <c r="M1350" s="3">
        <f>parking_demand_data_2024_ver0!L1350</f>
        <v>0</v>
      </c>
      <c r="N1350" s="3">
        <f>parking_demand_data_2024_ver0!M1350</f>
        <v>50</v>
      </c>
      <c r="O1350" s="3">
        <f>parking_demand_data_2024_ver0!N1350</f>
        <v>0</v>
      </c>
      <c r="P1350" s="3">
        <f>parking_demand_data_2024_ver0!O1350</f>
        <v>50</v>
      </c>
      <c r="Q1350" s="3">
        <f>parking_demand_data_2024_ver0!P1350</f>
        <v>0</v>
      </c>
      <c r="R1350" s="3">
        <f>parking_demand_data_2024_ver0!Q1350</f>
        <v>0</v>
      </c>
      <c r="S1350" s="3">
        <f>parking_demand_data_2024_ver0!R1350</f>
        <v>0</v>
      </c>
      <c r="T1350" s="3">
        <f>parking_demand_data_2024_ver0!S1350</f>
        <v>0</v>
      </c>
    </row>
    <row r="1351" spans="1:20" x14ac:dyDescent="0.25">
      <c r="A1351">
        <v>18113</v>
      </c>
      <c r="B1351" t="s">
        <v>85</v>
      </c>
      <c r="C1351">
        <v>5</v>
      </c>
      <c r="D1351" s="3">
        <f>parking_demand_data_2024_ver0!D1351*calibration!$I$31</f>
        <v>11.412744931820599</v>
      </c>
      <c r="E1351" s="3">
        <f>parking_demand_data_2024_ver0!E1351*calibration!$I$31</f>
        <v>0.29698592759384501</v>
      </c>
      <c r="F1351" s="3">
        <f t="shared" si="21"/>
        <v>11.709730859414444</v>
      </c>
      <c r="G1351" s="3">
        <f>parking_demand_data_2024_ver0!F1351</f>
        <v>1</v>
      </c>
      <c r="H1351" s="3">
        <f>parking_demand_data_2024_ver0!G1351</f>
        <v>0</v>
      </c>
      <c r="I1351" s="3">
        <f>parking_demand_data_2024_ver0!H1351</f>
        <v>1</v>
      </c>
      <c r="J1351" s="3">
        <f>parking_demand_data_2024_ver0!I1351</f>
        <v>0</v>
      </c>
      <c r="K1351" s="3">
        <f>parking_demand_data_2024_ver0!J1351</f>
        <v>0</v>
      </c>
      <c r="L1351" s="3">
        <f>parking_demand_data_2024_ver0!K1351</f>
        <v>0</v>
      </c>
      <c r="M1351" s="3">
        <f>parking_demand_data_2024_ver0!L1351</f>
        <v>0</v>
      </c>
      <c r="N1351" s="3">
        <f>parking_demand_data_2024_ver0!M1351</f>
        <v>50</v>
      </c>
      <c r="O1351" s="3">
        <f>parking_demand_data_2024_ver0!N1351</f>
        <v>0</v>
      </c>
      <c r="P1351" s="3">
        <f>parking_demand_data_2024_ver0!O1351</f>
        <v>50</v>
      </c>
      <c r="Q1351" s="3">
        <f>parking_demand_data_2024_ver0!P1351</f>
        <v>0</v>
      </c>
      <c r="R1351" s="3">
        <f>parking_demand_data_2024_ver0!Q1351</f>
        <v>0</v>
      </c>
      <c r="S1351" s="3">
        <f>parking_demand_data_2024_ver0!R1351</f>
        <v>0</v>
      </c>
      <c r="T1351" s="3">
        <f>parking_demand_data_2024_ver0!S1351</f>
        <v>0</v>
      </c>
    </row>
    <row r="1352" spans="1:20" x14ac:dyDescent="0.25">
      <c r="A1352">
        <v>18113</v>
      </c>
      <c r="B1352" t="s">
        <v>85</v>
      </c>
      <c r="C1352">
        <v>6</v>
      </c>
      <c r="D1352" s="3">
        <f>parking_demand_data_2024_ver0!D1352*calibration!$I$31</f>
        <v>11.7945839815841</v>
      </c>
      <c r="E1352" s="3">
        <f>parking_demand_data_2024_ver0!E1352*calibration!$I$31</f>
        <v>0.93338434386637004</v>
      </c>
      <c r="F1352" s="3">
        <f t="shared" si="21"/>
        <v>12.727968325450471</v>
      </c>
      <c r="G1352" s="3">
        <f>parking_demand_data_2024_ver0!F1352</f>
        <v>1</v>
      </c>
      <c r="H1352" s="3">
        <f>parking_demand_data_2024_ver0!G1352</f>
        <v>0</v>
      </c>
      <c r="I1352" s="3">
        <f>parking_demand_data_2024_ver0!H1352</f>
        <v>1</v>
      </c>
      <c r="J1352" s="3">
        <f>parking_demand_data_2024_ver0!I1352</f>
        <v>0</v>
      </c>
      <c r="K1352" s="3">
        <f>parking_demand_data_2024_ver0!J1352</f>
        <v>0</v>
      </c>
      <c r="L1352" s="3">
        <f>parking_demand_data_2024_ver0!K1352</f>
        <v>0</v>
      </c>
      <c r="M1352" s="3">
        <f>parking_demand_data_2024_ver0!L1352</f>
        <v>0</v>
      </c>
      <c r="N1352" s="3">
        <f>parking_demand_data_2024_ver0!M1352</f>
        <v>50</v>
      </c>
      <c r="O1352" s="3">
        <f>parking_demand_data_2024_ver0!N1352</f>
        <v>0</v>
      </c>
      <c r="P1352" s="3">
        <f>parking_demand_data_2024_ver0!O1352</f>
        <v>50</v>
      </c>
      <c r="Q1352" s="3">
        <f>parking_demand_data_2024_ver0!P1352</f>
        <v>0</v>
      </c>
      <c r="R1352" s="3">
        <f>parking_demand_data_2024_ver0!Q1352</f>
        <v>0</v>
      </c>
      <c r="S1352" s="3">
        <f>parking_demand_data_2024_ver0!R1352</f>
        <v>0</v>
      </c>
      <c r="T1352" s="3">
        <f>parking_demand_data_2024_ver0!S1352</f>
        <v>0</v>
      </c>
    </row>
    <row r="1353" spans="1:20" x14ac:dyDescent="0.25">
      <c r="A1353">
        <v>18113</v>
      </c>
      <c r="B1353" t="s">
        <v>85</v>
      </c>
      <c r="C1353">
        <v>7</v>
      </c>
      <c r="D1353" s="3">
        <f>parking_demand_data_2024_ver0!D1353*calibration!$I$31</f>
        <v>12.0491433480931</v>
      </c>
      <c r="E1353" s="3">
        <f>parking_demand_data_2024_ver0!E1353*calibration!$I$31</f>
        <v>4.1578029863138299</v>
      </c>
      <c r="F1353" s="3">
        <f t="shared" si="21"/>
        <v>16.206946334406929</v>
      </c>
      <c r="G1353" s="3">
        <f>parking_demand_data_2024_ver0!F1353</f>
        <v>1</v>
      </c>
      <c r="H1353" s="3">
        <f>parking_demand_data_2024_ver0!G1353</f>
        <v>0</v>
      </c>
      <c r="I1353" s="3">
        <f>parking_demand_data_2024_ver0!H1353</f>
        <v>1</v>
      </c>
      <c r="J1353" s="3">
        <f>parking_demand_data_2024_ver0!I1353</f>
        <v>0</v>
      </c>
      <c r="K1353" s="3">
        <f>parking_demand_data_2024_ver0!J1353</f>
        <v>0</v>
      </c>
      <c r="L1353" s="3">
        <f>parking_demand_data_2024_ver0!K1353</f>
        <v>0</v>
      </c>
      <c r="M1353" s="3">
        <f>parking_demand_data_2024_ver0!L1353</f>
        <v>0</v>
      </c>
      <c r="N1353" s="3">
        <f>parking_demand_data_2024_ver0!M1353</f>
        <v>50</v>
      </c>
      <c r="O1353" s="3">
        <f>parking_demand_data_2024_ver0!N1353</f>
        <v>0</v>
      </c>
      <c r="P1353" s="3">
        <f>parking_demand_data_2024_ver0!O1353</f>
        <v>50</v>
      </c>
      <c r="Q1353" s="3">
        <f>parking_demand_data_2024_ver0!P1353</f>
        <v>0</v>
      </c>
      <c r="R1353" s="3">
        <f>parking_demand_data_2024_ver0!Q1353</f>
        <v>0</v>
      </c>
      <c r="S1353" s="3">
        <f>parking_demand_data_2024_ver0!R1353</f>
        <v>0</v>
      </c>
      <c r="T1353" s="3">
        <f>parking_demand_data_2024_ver0!S1353</f>
        <v>0</v>
      </c>
    </row>
    <row r="1354" spans="1:20" x14ac:dyDescent="0.25">
      <c r="A1354">
        <v>18113</v>
      </c>
      <c r="B1354" t="s">
        <v>85</v>
      </c>
      <c r="C1354">
        <v>8</v>
      </c>
      <c r="D1354" s="3">
        <f>parking_demand_data_2024_ver0!D1354*calibration!$I$31</f>
        <v>11.8794371037538</v>
      </c>
      <c r="E1354" s="3">
        <f>parking_demand_data_2024_ver0!E1354*calibration!$I$31</f>
        <v>5.2184670134347098</v>
      </c>
      <c r="F1354" s="3">
        <f t="shared" si="21"/>
        <v>17.097904117188509</v>
      </c>
      <c r="G1354" s="3">
        <f>parking_demand_data_2024_ver0!F1354</f>
        <v>1</v>
      </c>
      <c r="H1354" s="3">
        <f>parking_demand_data_2024_ver0!G1354</f>
        <v>0</v>
      </c>
      <c r="I1354" s="3">
        <f>parking_demand_data_2024_ver0!H1354</f>
        <v>1</v>
      </c>
      <c r="J1354" s="3">
        <f>parking_demand_data_2024_ver0!I1354</f>
        <v>0</v>
      </c>
      <c r="K1354" s="3">
        <f>parking_demand_data_2024_ver0!J1354</f>
        <v>0</v>
      </c>
      <c r="L1354" s="3">
        <f>parking_demand_data_2024_ver0!K1354</f>
        <v>0</v>
      </c>
      <c r="M1354" s="3">
        <f>parking_demand_data_2024_ver0!L1354</f>
        <v>0</v>
      </c>
      <c r="N1354" s="3">
        <f>parking_demand_data_2024_ver0!M1354</f>
        <v>50</v>
      </c>
      <c r="O1354" s="3">
        <f>parking_demand_data_2024_ver0!N1354</f>
        <v>0</v>
      </c>
      <c r="P1354" s="3">
        <f>parking_demand_data_2024_ver0!O1354</f>
        <v>50</v>
      </c>
      <c r="Q1354" s="3">
        <f>parking_demand_data_2024_ver0!P1354</f>
        <v>0</v>
      </c>
      <c r="R1354" s="3">
        <f>parking_demand_data_2024_ver0!Q1354</f>
        <v>0</v>
      </c>
      <c r="S1354" s="3">
        <f>parking_demand_data_2024_ver0!R1354</f>
        <v>0</v>
      </c>
      <c r="T1354" s="3">
        <f>parking_demand_data_2024_ver0!S1354</f>
        <v>0</v>
      </c>
    </row>
    <row r="1355" spans="1:20" x14ac:dyDescent="0.25">
      <c r="A1355">
        <v>18113</v>
      </c>
      <c r="B1355" t="s">
        <v>85</v>
      </c>
      <c r="C1355">
        <v>9</v>
      </c>
      <c r="D1355" s="3">
        <f>parking_demand_data_2024_ver0!D1355*calibration!$I$31</f>
        <v>11.7097308594144</v>
      </c>
      <c r="E1355" s="3">
        <f>parking_demand_data_2024_ver0!E1355*calibration!$I$31</f>
        <v>4.3699357917380102</v>
      </c>
      <c r="F1355" s="3">
        <f t="shared" si="21"/>
        <v>16.079666651152408</v>
      </c>
      <c r="G1355" s="3">
        <f>parking_demand_data_2024_ver0!F1355</f>
        <v>1</v>
      </c>
      <c r="H1355" s="3">
        <f>parking_demand_data_2024_ver0!G1355</f>
        <v>0</v>
      </c>
      <c r="I1355" s="3">
        <f>parking_demand_data_2024_ver0!H1355</f>
        <v>1</v>
      </c>
      <c r="J1355" s="3">
        <f>parking_demand_data_2024_ver0!I1355</f>
        <v>0</v>
      </c>
      <c r="K1355" s="3">
        <f>parking_demand_data_2024_ver0!J1355</f>
        <v>0</v>
      </c>
      <c r="L1355" s="3">
        <f>parking_demand_data_2024_ver0!K1355</f>
        <v>0</v>
      </c>
      <c r="M1355" s="3">
        <f>parking_demand_data_2024_ver0!L1355</f>
        <v>0</v>
      </c>
      <c r="N1355" s="3">
        <f>parking_demand_data_2024_ver0!M1355</f>
        <v>50</v>
      </c>
      <c r="O1355" s="3">
        <f>parking_demand_data_2024_ver0!N1355</f>
        <v>0</v>
      </c>
      <c r="P1355" s="3">
        <f>parking_demand_data_2024_ver0!O1355</f>
        <v>50</v>
      </c>
      <c r="Q1355" s="3">
        <f>parking_demand_data_2024_ver0!P1355</f>
        <v>0</v>
      </c>
      <c r="R1355" s="3">
        <f>parking_demand_data_2024_ver0!Q1355</f>
        <v>0</v>
      </c>
      <c r="S1355" s="3">
        <f>parking_demand_data_2024_ver0!R1355</f>
        <v>0</v>
      </c>
      <c r="T1355" s="3">
        <f>parking_demand_data_2024_ver0!S1355</f>
        <v>0</v>
      </c>
    </row>
    <row r="1356" spans="1:20" x14ac:dyDescent="0.25">
      <c r="A1356">
        <v>18113</v>
      </c>
      <c r="B1356" t="s">
        <v>85</v>
      </c>
      <c r="C1356">
        <v>10</v>
      </c>
      <c r="D1356" s="3">
        <f>parking_demand_data_2024_ver0!D1356*calibration!$I$31</f>
        <v>11.243038687481199</v>
      </c>
      <c r="E1356" s="3">
        <f>parking_demand_data_2024_ver0!E1356*calibration!$I$31</f>
        <v>4.2426561084834997</v>
      </c>
      <c r="F1356" s="3">
        <f t="shared" si="21"/>
        <v>15.485694795964699</v>
      </c>
      <c r="G1356" s="3">
        <f>parking_demand_data_2024_ver0!F1356</f>
        <v>1</v>
      </c>
      <c r="H1356" s="3">
        <f>parking_demand_data_2024_ver0!G1356</f>
        <v>0</v>
      </c>
      <c r="I1356" s="3">
        <f>parking_demand_data_2024_ver0!H1356</f>
        <v>1</v>
      </c>
      <c r="J1356" s="3">
        <f>parking_demand_data_2024_ver0!I1356</f>
        <v>0</v>
      </c>
      <c r="K1356" s="3">
        <f>parking_demand_data_2024_ver0!J1356</f>
        <v>0</v>
      </c>
      <c r="L1356" s="3">
        <f>parking_demand_data_2024_ver0!K1356</f>
        <v>0</v>
      </c>
      <c r="M1356" s="3">
        <f>parking_demand_data_2024_ver0!L1356</f>
        <v>0</v>
      </c>
      <c r="N1356" s="3">
        <f>parking_demand_data_2024_ver0!M1356</f>
        <v>50</v>
      </c>
      <c r="O1356" s="3">
        <f>parking_demand_data_2024_ver0!N1356</f>
        <v>0</v>
      </c>
      <c r="P1356" s="3">
        <f>parking_demand_data_2024_ver0!O1356</f>
        <v>50</v>
      </c>
      <c r="Q1356" s="3">
        <f>parking_demand_data_2024_ver0!P1356</f>
        <v>0</v>
      </c>
      <c r="R1356" s="3">
        <f>parking_demand_data_2024_ver0!Q1356</f>
        <v>0</v>
      </c>
      <c r="S1356" s="3">
        <f>parking_demand_data_2024_ver0!R1356</f>
        <v>0</v>
      </c>
      <c r="T1356" s="3">
        <f>parking_demand_data_2024_ver0!S1356</f>
        <v>0</v>
      </c>
    </row>
    <row r="1357" spans="1:20" x14ac:dyDescent="0.25">
      <c r="A1357">
        <v>18113</v>
      </c>
      <c r="B1357" t="s">
        <v>85</v>
      </c>
      <c r="C1357">
        <v>11</v>
      </c>
      <c r="D1357" s="3">
        <f>parking_demand_data_2024_ver0!D1357*calibration!$I$31</f>
        <v>10.7339199544632</v>
      </c>
      <c r="E1357" s="3">
        <f>parking_demand_data_2024_ver0!E1357*calibration!$I$31</f>
        <v>4.0729498641441602</v>
      </c>
      <c r="F1357" s="3">
        <f t="shared" si="21"/>
        <v>14.80686981860736</v>
      </c>
      <c r="G1357" s="3">
        <f>parking_demand_data_2024_ver0!F1357</f>
        <v>1</v>
      </c>
      <c r="H1357" s="3">
        <f>parking_demand_data_2024_ver0!G1357</f>
        <v>0</v>
      </c>
      <c r="I1357" s="3">
        <f>parking_demand_data_2024_ver0!H1357</f>
        <v>1</v>
      </c>
      <c r="J1357" s="3">
        <f>parking_demand_data_2024_ver0!I1357</f>
        <v>0</v>
      </c>
      <c r="K1357" s="3">
        <f>parking_demand_data_2024_ver0!J1357</f>
        <v>0</v>
      </c>
      <c r="L1357" s="3">
        <f>parking_demand_data_2024_ver0!K1357</f>
        <v>0</v>
      </c>
      <c r="M1357" s="3">
        <f>parking_demand_data_2024_ver0!L1357</f>
        <v>0</v>
      </c>
      <c r="N1357" s="3">
        <f>parking_demand_data_2024_ver0!M1357</f>
        <v>50</v>
      </c>
      <c r="O1357" s="3">
        <f>parking_demand_data_2024_ver0!N1357</f>
        <v>0</v>
      </c>
      <c r="P1357" s="3">
        <f>parking_demand_data_2024_ver0!O1357</f>
        <v>50</v>
      </c>
      <c r="Q1357" s="3">
        <f>parking_demand_data_2024_ver0!P1357</f>
        <v>0</v>
      </c>
      <c r="R1357" s="3">
        <f>parking_demand_data_2024_ver0!Q1357</f>
        <v>0</v>
      </c>
      <c r="S1357" s="3">
        <f>parking_demand_data_2024_ver0!R1357</f>
        <v>0</v>
      </c>
      <c r="T1357" s="3">
        <f>parking_demand_data_2024_ver0!S1357</f>
        <v>0</v>
      </c>
    </row>
    <row r="1358" spans="1:20" x14ac:dyDescent="0.25">
      <c r="A1358">
        <v>18113</v>
      </c>
      <c r="B1358" t="s">
        <v>85</v>
      </c>
      <c r="C1358">
        <v>12</v>
      </c>
      <c r="D1358" s="3">
        <f>parking_demand_data_2024_ver0!D1358*calibration!$I$31</f>
        <v>9.4611231219182095</v>
      </c>
      <c r="E1358" s="3">
        <f>parking_demand_data_2024_ver0!E1358*calibration!$I$31</f>
        <v>3.8183904976351499</v>
      </c>
      <c r="F1358" s="3">
        <f t="shared" si="21"/>
        <v>13.279513619553359</v>
      </c>
      <c r="G1358" s="3">
        <f>parking_demand_data_2024_ver0!F1358</f>
        <v>1</v>
      </c>
      <c r="H1358" s="3">
        <f>parking_demand_data_2024_ver0!G1358</f>
        <v>0</v>
      </c>
      <c r="I1358" s="3">
        <f>parking_demand_data_2024_ver0!H1358</f>
        <v>1</v>
      </c>
      <c r="J1358" s="3">
        <f>parking_demand_data_2024_ver0!I1358</f>
        <v>0</v>
      </c>
      <c r="K1358" s="3">
        <f>parking_demand_data_2024_ver0!J1358</f>
        <v>0</v>
      </c>
      <c r="L1358" s="3">
        <f>parking_demand_data_2024_ver0!K1358</f>
        <v>0</v>
      </c>
      <c r="M1358" s="3">
        <f>parking_demand_data_2024_ver0!L1358</f>
        <v>0</v>
      </c>
      <c r="N1358" s="3">
        <f>parking_demand_data_2024_ver0!M1358</f>
        <v>50</v>
      </c>
      <c r="O1358" s="3">
        <f>parking_demand_data_2024_ver0!N1358</f>
        <v>0</v>
      </c>
      <c r="P1358" s="3">
        <f>parking_demand_data_2024_ver0!O1358</f>
        <v>50</v>
      </c>
      <c r="Q1358" s="3">
        <f>parking_demand_data_2024_ver0!P1358</f>
        <v>0</v>
      </c>
      <c r="R1358" s="3">
        <f>parking_demand_data_2024_ver0!Q1358</f>
        <v>0</v>
      </c>
      <c r="S1358" s="3">
        <f>parking_demand_data_2024_ver0!R1358</f>
        <v>0</v>
      </c>
      <c r="T1358" s="3">
        <f>parking_demand_data_2024_ver0!S1358</f>
        <v>0</v>
      </c>
    </row>
    <row r="1359" spans="1:20" x14ac:dyDescent="0.25">
      <c r="A1359">
        <v>18113</v>
      </c>
      <c r="B1359" t="s">
        <v>85</v>
      </c>
      <c r="C1359">
        <v>13</v>
      </c>
      <c r="D1359" s="3">
        <f>parking_demand_data_2024_ver0!D1359*calibration!$I$31</f>
        <v>8.6125919002215099</v>
      </c>
      <c r="E1359" s="3">
        <f>parking_demand_data_2024_ver0!E1359*calibration!$I$31</f>
        <v>2.4607405429204299</v>
      </c>
      <c r="F1359" s="3">
        <f t="shared" si="21"/>
        <v>11.07333244314194</v>
      </c>
      <c r="G1359" s="3">
        <f>parking_demand_data_2024_ver0!F1359</f>
        <v>1</v>
      </c>
      <c r="H1359" s="3">
        <f>parking_demand_data_2024_ver0!G1359</f>
        <v>0</v>
      </c>
      <c r="I1359" s="3">
        <f>parking_demand_data_2024_ver0!H1359</f>
        <v>1</v>
      </c>
      <c r="J1359" s="3">
        <f>parking_demand_data_2024_ver0!I1359</f>
        <v>0</v>
      </c>
      <c r="K1359" s="3">
        <f>parking_demand_data_2024_ver0!J1359</f>
        <v>0</v>
      </c>
      <c r="L1359" s="3">
        <f>parking_demand_data_2024_ver0!K1359</f>
        <v>0</v>
      </c>
      <c r="M1359" s="3">
        <f>parking_demand_data_2024_ver0!L1359</f>
        <v>0</v>
      </c>
      <c r="N1359" s="3">
        <f>parking_demand_data_2024_ver0!M1359</f>
        <v>50</v>
      </c>
      <c r="O1359" s="3">
        <f>parking_demand_data_2024_ver0!N1359</f>
        <v>0</v>
      </c>
      <c r="P1359" s="3">
        <f>parking_demand_data_2024_ver0!O1359</f>
        <v>50</v>
      </c>
      <c r="Q1359" s="3">
        <f>parking_demand_data_2024_ver0!P1359</f>
        <v>0</v>
      </c>
      <c r="R1359" s="3">
        <f>parking_demand_data_2024_ver0!Q1359</f>
        <v>0</v>
      </c>
      <c r="S1359" s="3">
        <f>parking_demand_data_2024_ver0!R1359</f>
        <v>0</v>
      </c>
      <c r="T1359" s="3">
        <f>parking_demand_data_2024_ver0!S1359</f>
        <v>0</v>
      </c>
    </row>
    <row r="1360" spans="1:20" x14ac:dyDescent="0.25">
      <c r="A1360">
        <v>18113</v>
      </c>
      <c r="B1360" t="s">
        <v>85</v>
      </c>
      <c r="C1360">
        <v>14</v>
      </c>
      <c r="D1360" s="3">
        <f>parking_demand_data_2024_ver0!D1360*calibration!$I$31</f>
        <v>8.5277387780518392</v>
      </c>
      <c r="E1360" s="3">
        <f>parking_demand_data_2024_ver0!E1360*calibration!$I$31</f>
        <v>0.67882497735736003</v>
      </c>
      <c r="F1360" s="3">
        <f t="shared" si="21"/>
        <v>9.2065637554091992</v>
      </c>
      <c r="G1360" s="3">
        <f>parking_demand_data_2024_ver0!F1360</f>
        <v>1</v>
      </c>
      <c r="H1360" s="3">
        <f>parking_demand_data_2024_ver0!G1360</f>
        <v>0</v>
      </c>
      <c r="I1360" s="3">
        <f>parking_demand_data_2024_ver0!H1360</f>
        <v>1</v>
      </c>
      <c r="J1360" s="3">
        <f>parking_demand_data_2024_ver0!I1360</f>
        <v>0</v>
      </c>
      <c r="K1360" s="3">
        <f>parking_demand_data_2024_ver0!J1360</f>
        <v>0</v>
      </c>
      <c r="L1360" s="3">
        <f>parking_demand_data_2024_ver0!K1360</f>
        <v>0</v>
      </c>
      <c r="M1360" s="3">
        <f>parking_demand_data_2024_ver0!L1360</f>
        <v>0</v>
      </c>
      <c r="N1360" s="3">
        <f>parking_demand_data_2024_ver0!M1360</f>
        <v>50</v>
      </c>
      <c r="O1360" s="3">
        <f>parking_demand_data_2024_ver0!N1360</f>
        <v>0</v>
      </c>
      <c r="P1360" s="3">
        <f>parking_demand_data_2024_ver0!O1360</f>
        <v>50</v>
      </c>
      <c r="Q1360" s="3">
        <f>parking_demand_data_2024_ver0!P1360</f>
        <v>0</v>
      </c>
      <c r="R1360" s="3">
        <f>parking_demand_data_2024_ver0!Q1360</f>
        <v>0</v>
      </c>
      <c r="S1360" s="3">
        <f>parking_demand_data_2024_ver0!R1360</f>
        <v>0</v>
      </c>
      <c r="T1360" s="3">
        <f>parking_demand_data_2024_ver0!S1360</f>
        <v>0</v>
      </c>
    </row>
    <row r="1361" spans="1:20" x14ac:dyDescent="0.25">
      <c r="A1361">
        <v>18113</v>
      </c>
      <c r="B1361" t="s">
        <v>85</v>
      </c>
      <c r="C1361">
        <v>15</v>
      </c>
      <c r="D1361" s="3">
        <f>parking_demand_data_2024_ver0!D1361*calibration!$I$31</f>
        <v>8.7822981445608495</v>
      </c>
      <c r="E1361" s="3">
        <f>parking_demand_data_2024_ver0!E1361*calibration!$I$31</f>
        <v>0.63639841627252502</v>
      </c>
      <c r="F1361" s="3">
        <f t="shared" si="21"/>
        <v>9.418696560833375</v>
      </c>
      <c r="G1361" s="3">
        <f>parking_demand_data_2024_ver0!F1361</f>
        <v>1</v>
      </c>
      <c r="H1361" s="3">
        <f>parking_demand_data_2024_ver0!G1361</f>
        <v>0</v>
      </c>
      <c r="I1361" s="3">
        <f>parking_demand_data_2024_ver0!H1361</f>
        <v>1</v>
      </c>
      <c r="J1361" s="3">
        <f>parking_demand_data_2024_ver0!I1361</f>
        <v>0</v>
      </c>
      <c r="K1361" s="3">
        <f>parking_demand_data_2024_ver0!J1361</f>
        <v>0</v>
      </c>
      <c r="L1361" s="3">
        <f>parking_demand_data_2024_ver0!K1361</f>
        <v>0</v>
      </c>
      <c r="M1361" s="3">
        <f>parking_demand_data_2024_ver0!L1361</f>
        <v>0</v>
      </c>
      <c r="N1361" s="3">
        <f>parking_demand_data_2024_ver0!M1361</f>
        <v>50</v>
      </c>
      <c r="O1361" s="3">
        <f>parking_demand_data_2024_ver0!N1361</f>
        <v>0</v>
      </c>
      <c r="P1361" s="3">
        <f>parking_demand_data_2024_ver0!O1361</f>
        <v>50</v>
      </c>
      <c r="Q1361" s="3">
        <f>parking_demand_data_2024_ver0!P1361</f>
        <v>0</v>
      </c>
      <c r="R1361" s="3">
        <f>parking_demand_data_2024_ver0!Q1361</f>
        <v>0</v>
      </c>
      <c r="S1361" s="3">
        <f>parking_demand_data_2024_ver0!R1361</f>
        <v>0</v>
      </c>
      <c r="T1361" s="3">
        <f>parking_demand_data_2024_ver0!S1361</f>
        <v>0</v>
      </c>
    </row>
    <row r="1362" spans="1:20" x14ac:dyDescent="0.25">
      <c r="A1362">
        <v>18113</v>
      </c>
      <c r="B1362" t="s">
        <v>85</v>
      </c>
      <c r="C1362">
        <v>16</v>
      </c>
      <c r="D1362" s="3">
        <f>parking_demand_data_2024_ver0!D1362*calibration!$I$31</f>
        <v>9.5459762440878801</v>
      </c>
      <c r="E1362" s="3">
        <f>parking_demand_data_2024_ver0!E1362*calibration!$I$31</f>
        <v>0.42426561084835002</v>
      </c>
      <c r="F1362" s="3">
        <f t="shared" si="21"/>
        <v>9.9702418549362299</v>
      </c>
      <c r="G1362" s="3">
        <f>parking_demand_data_2024_ver0!F1362</f>
        <v>1</v>
      </c>
      <c r="H1362" s="3">
        <f>parking_demand_data_2024_ver0!G1362</f>
        <v>0</v>
      </c>
      <c r="I1362" s="3">
        <f>parking_demand_data_2024_ver0!H1362</f>
        <v>1</v>
      </c>
      <c r="J1362" s="3">
        <f>parking_demand_data_2024_ver0!I1362</f>
        <v>0</v>
      </c>
      <c r="K1362" s="3">
        <f>parking_demand_data_2024_ver0!J1362</f>
        <v>0</v>
      </c>
      <c r="L1362" s="3">
        <f>parking_demand_data_2024_ver0!K1362</f>
        <v>0</v>
      </c>
      <c r="M1362" s="3">
        <f>parking_demand_data_2024_ver0!L1362</f>
        <v>0</v>
      </c>
      <c r="N1362" s="3">
        <f>parking_demand_data_2024_ver0!M1362</f>
        <v>50</v>
      </c>
      <c r="O1362" s="3">
        <f>parking_demand_data_2024_ver0!N1362</f>
        <v>0</v>
      </c>
      <c r="P1362" s="3">
        <f>parking_demand_data_2024_ver0!O1362</f>
        <v>50</v>
      </c>
      <c r="Q1362" s="3">
        <f>parking_demand_data_2024_ver0!P1362</f>
        <v>0</v>
      </c>
      <c r="R1362" s="3">
        <f>parking_demand_data_2024_ver0!Q1362</f>
        <v>0</v>
      </c>
      <c r="S1362" s="3">
        <f>parking_demand_data_2024_ver0!R1362</f>
        <v>0</v>
      </c>
      <c r="T1362" s="3">
        <f>parking_demand_data_2024_ver0!S1362</f>
        <v>0</v>
      </c>
    </row>
    <row r="1363" spans="1:20" x14ac:dyDescent="0.25">
      <c r="A1363">
        <v>18113</v>
      </c>
      <c r="B1363" t="s">
        <v>85</v>
      </c>
      <c r="C1363">
        <v>17</v>
      </c>
      <c r="D1363" s="3">
        <f>parking_demand_data_2024_ver0!D1363*calibration!$I$31</f>
        <v>10.3945074657845</v>
      </c>
      <c r="E1363" s="3">
        <f>parking_demand_data_2024_ver0!E1363*calibration!$I$31</f>
        <v>8.4853122169670003E-2</v>
      </c>
      <c r="F1363" s="3">
        <f t="shared" si="21"/>
        <v>10.47936058795417</v>
      </c>
      <c r="G1363" s="3">
        <f>parking_demand_data_2024_ver0!F1363</f>
        <v>1</v>
      </c>
      <c r="H1363" s="3">
        <f>parking_demand_data_2024_ver0!G1363</f>
        <v>0</v>
      </c>
      <c r="I1363" s="3">
        <f>parking_demand_data_2024_ver0!H1363</f>
        <v>1</v>
      </c>
      <c r="J1363" s="3">
        <f>parking_demand_data_2024_ver0!I1363</f>
        <v>0</v>
      </c>
      <c r="K1363" s="3">
        <f>parking_demand_data_2024_ver0!J1363</f>
        <v>0</v>
      </c>
      <c r="L1363" s="3">
        <f>parking_demand_data_2024_ver0!K1363</f>
        <v>0</v>
      </c>
      <c r="M1363" s="3">
        <f>parking_demand_data_2024_ver0!L1363</f>
        <v>0</v>
      </c>
      <c r="N1363" s="3">
        <f>parking_demand_data_2024_ver0!M1363</f>
        <v>50</v>
      </c>
      <c r="O1363" s="3">
        <f>parking_demand_data_2024_ver0!N1363</f>
        <v>0</v>
      </c>
      <c r="P1363" s="3">
        <f>parking_demand_data_2024_ver0!O1363</f>
        <v>50</v>
      </c>
      <c r="Q1363" s="3">
        <f>parking_demand_data_2024_ver0!P1363</f>
        <v>0</v>
      </c>
      <c r="R1363" s="3">
        <f>parking_demand_data_2024_ver0!Q1363</f>
        <v>0</v>
      </c>
      <c r="S1363" s="3">
        <f>parking_demand_data_2024_ver0!R1363</f>
        <v>0</v>
      </c>
      <c r="T1363" s="3">
        <f>parking_demand_data_2024_ver0!S1363</f>
        <v>0</v>
      </c>
    </row>
    <row r="1364" spans="1:20" x14ac:dyDescent="0.25">
      <c r="A1364">
        <v>18113</v>
      </c>
      <c r="B1364" t="s">
        <v>85</v>
      </c>
      <c r="C1364">
        <v>18</v>
      </c>
      <c r="D1364" s="3">
        <f>parking_demand_data_2024_ver0!D1364*calibration!$I$31</f>
        <v>10.6914933933784</v>
      </c>
      <c r="E1364" s="3">
        <f>parking_demand_data_2024_ver0!E1364*calibration!$I$31</f>
        <v>0</v>
      </c>
      <c r="F1364" s="3">
        <f t="shared" si="21"/>
        <v>10.6914933933784</v>
      </c>
      <c r="G1364" s="3">
        <f>parking_demand_data_2024_ver0!F1364</f>
        <v>1</v>
      </c>
      <c r="H1364" s="3">
        <f>parking_demand_data_2024_ver0!G1364</f>
        <v>0</v>
      </c>
      <c r="I1364" s="3">
        <f>parking_demand_data_2024_ver0!H1364</f>
        <v>1</v>
      </c>
      <c r="J1364" s="3">
        <f>parking_demand_data_2024_ver0!I1364</f>
        <v>0</v>
      </c>
      <c r="K1364" s="3">
        <f>parking_demand_data_2024_ver0!J1364</f>
        <v>0</v>
      </c>
      <c r="L1364" s="3">
        <f>parking_demand_data_2024_ver0!K1364</f>
        <v>0</v>
      </c>
      <c r="M1364" s="3">
        <f>parking_demand_data_2024_ver0!L1364</f>
        <v>0</v>
      </c>
      <c r="N1364" s="3">
        <f>parking_demand_data_2024_ver0!M1364</f>
        <v>50</v>
      </c>
      <c r="O1364" s="3">
        <f>parking_demand_data_2024_ver0!N1364</f>
        <v>0</v>
      </c>
      <c r="P1364" s="3">
        <f>parking_demand_data_2024_ver0!O1364</f>
        <v>50</v>
      </c>
      <c r="Q1364" s="3">
        <f>parking_demand_data_2024_ver0!P1364</f>
        <v>0</v>
      </c>
      <c r="R1364" s="3">
        <f>parking_demand_data_2024_ver0!Q1364</f>
        <v>0</v>
      </c>
      <c r="S1364" s="3">
        <f>parking_demand_data_2024_ver0!R1364</f>
        <v>0</v>
      </c>
      <c r="T1364" s="3">
        <f>parking_demand_data_2024_ver0!S1364</f>
        <v>0</v>
      </c>
    </row>
    <row r="1365" spans="1:20" x14ac:dyDescent="0.25">
      <c r="A1365">
        <v>18113</v>
      </c>
      <c r="B1365" t="s">
        <v>85</v>
      </c>
      <c r="C1365">
        <v>19</v>
      </c>
      <c r="D1365" s="3">
        <f>parking_demand_data_2024_ver0!D1365*calibration!$I$31</f>
        <v>11.1581855653116</v>
      </c>
      <c r="E1365" s="3">
        <f>parking_demand_data_2024_ver0!E1365*calibration!$I$31</f>
        <v>0</v>
      </c>
      <c r="F1365" s="3">
        <f t="shared" si="21"/>
        <v>11.1581855653116</v>
      </c>
      <c r="G1365" s="3">
        <f>parking_demand_data_2024_ver0!F1365</f>
        <v>1</v>
      </c>
      <c r="H1365" s="3">
        <f>parking_demand_data_2024_ver0!G1365</f>
        <v>0</v>
      </c>
      <c r="I1365" s="3">
        <f>parking_demand_data_2024_ver0!H1365</f>
        <v>1</v>
      </c>
      <c r="J1365" s="3">
        <f>parking_demand_data_2024_ver0!I1365</f>
        <v>0</v>
      </c>
      <c r="K1365" s="3">
        <f>parking_demand_data_2024_ver0!J1365</f>
        <v>0</v>
      </c>
      <c r="L1365" s="3">
        <f>parking_demand_data_2024_ver0!K1365</f>
        <v>0</v>
      </c>
      <c r="M1365" s="3">
        <f>parking_demand_data_2024_ver0!L1365</f>
        <v>0</v>
      </c>
      <c r="N1365" s="3">
        <f>parking_demand_data_2024_ver0!M1365</f>
        <v>50</v>
      </c>
      <c r="O1365" s="3">
        <f>parking_demand_data_2024_ver0!N1365</f>
        <v>0</v>
      </c>
      <c r="P1365" s="3">
        <f>parking_demand_data_2024_ver0!O1365</f>
        <v>50</v>
      </c>
      <c r="Q1365" s="3">
        <f>parking_demand_data_2024_ver0!P1365</f>
        <v>0</v>
      </c>
      <c r="R1365" s="3">
        <f>parking_demand_data_2024_ver0!Q1365</f>
        <v>0</v>
      </c>
      <c r="S1365" s="3">
        <f>parking_demand_data_2024_ver0!R1365</f>
        <v>0</v>
      </c>
      <c r="T1365" s="3">
        <f>parking_demand_data_2024_ver0!S1365</f>
        <v>0</v>
      </c>
    </row>
    <row r="1366" spans="1:20" x14ac:dyDescent="0.25">
      <c r="A1366">
        <v>18113</v>
      </c>
      <c r="B1366" t="s">
        <v>85</v>
      </c>
      <c r="C1366">
        <v>20</v>
      </c>
      <c r="D1366" s="3">
        <f>parking_demand_data_2024_ver0!D1366*calibration!$I$31</f>
        <v>11.8794371037538</v>
      </c>
      <c r="E1366" s="3">
        <f>parking_demand_data_2024_ver0!E1366*calibration!$I$31</f>
        <v>0</v>
      </c>
      <c r="F1366" s="3">
        <f t="shared" si="21"/>
        <v>11.8794371037538</v>
      </c>
      <c r="G1366" s="3">
        <f>parking_demand_data_2024_ver0!F1366</f>
        <v>1</v>
      </c>
      <c r="H1366" s="3">
        <f>parking_demand_data_2024_ver0!G1366</f>
        <v>0</v>
      </c>
      <c r="I1366" s="3">
        <f>parking_demand_data_2024_ver0!H1366</f>
        <v>1</v>
      </c>
      <c r="J1366" s="3">
        <f>parking_demand_data_2024_ver0!I1366</f>
        <v>0</v>
      </c>
      <c r="K1366" s="3">
        <f>parking_demand_data_2024_ver0!J1366</f>
        <v>0</v>
      </c>
      <c r="L1366" s="3">
        <f>parking_demand_data_2024_ver0!K1366</f>
        <v>0</v>
      </c>
      <c r="M1366" s="3">
        <f>parking_demand_data_2024_ver0!L1366</f>
        <v>0</v>
      </c>
      <c r="N1366" s="3">
        <f>parking_demand_data_2024_ver0!M1366</f>
        <v>50</v>
      </c>
      <c r="O1366" s="3">
        <f>parking_demand_data_2024_ver0!N1366</f>
        <v>0</v>
      </c>
      <c r="P1366" s="3">
        <f>parking_demand_data_2024_ver0!O1366</f>
        <v>50</v>
      </c>
      <c r="Q1366" s="3">
        <f>parking_demand_data_2024_ver0!P1366</f>
        <v>0</v>
      </c>
      <c r="R1366" s="3">
        <f>parking_demand_data_2024_ver0!Q1366</f>
        <v>0</v>
      </c>
      <c r="S1366" s="3">
        <f>parking_demand_data_2024_ver0!R1366</f>
        <v>0</v>
      </c>
      <c r="T1366" s="3">
        <f>parking_demand_data_2024_ver0!S1366</f>
        <v>0</v>
      </c>
    </row>
    <row r="1367" spans="1:20" x14ac:dyDescent="0.25">
      <c r="A1367">
        <v>18113</v>
      </c>
      <c r="B1367" t="s">
        <v>85</v>
      </c>
      <c r="C1367">
        <v>21</v>
      </c>
      <c r="D1367" s="3">
        <f>parking_demand_data_2024_ver0!D1367*calibration!$I$31</f>
        <v>12.5158355200263</v>
      </c>
      <c r="E1367" s="3">
        <f>parking_demand_data_2024_ver0!E1367*calibration!$I$31</f>
        <v>0</v>
      </c>
      <c r="F1367" s="3">
        <f t="shared" si="21"/>
        <v>12.5158355200263</v>
      </c>
      <c r="G1367" s="3">
        <f>parking_demand_data_2024_ver0!F1367</f>
        <v>1</v>
      </c>
      <c r="H1367" s="3">
        <f>parking_demand_data_2024_ver0!G1367</f>
        <v>0</v>
      </c>
      <c r="I1367" s="3">
        <f>parking_demand_data_2024_ver0!H1367</f>
        <v>1</v>
      </c>
      <c r="J1367" s="3">
        <f>parking_demand_data_2024_ver0!I1367</f>
        <v>0</v>
      </c>
      <c r="K1367" s="3">
        <f>parking_demand_data_2024_ver0!J1367</f>
        <v>0</v>
      </c>
      <c r="L1367" s="3">
        <f>parking_demand_data_2024_ver0!K1367</f>
        <v>0</v>
      </c>
      <c r="M1367" s="3">
        <f>parking_demand_data_2024_ver0!L1367</f>
        <v>0</v>
      </c>
      <c r="N1367" s="3">
        <f>parking_demand_data_2024_ver0!M1367</f>
        <v>50</v>
      </c>
      <c r="O1367" s="3">
        <f>parking_demand_data_2024_ver0!N1367</f>
        <v>0</v>
      </c>
      <c r="P1367" s="3">
        <f>parking_demand_data_2024_ver0!O1367</f>
        <v>50</v>
      </c>
      <c r="Q1367" s="3">
        <f>parking_demand_data_2024_ver0!P1367</f>
        <v>0</v>
      </c>
      <c r="R1367" s="3">
        <f>parking_demand_data_2024_ver0!Q1367</f>
        <v>0</v>
      </c>
      <c r="S1367" s="3">
        <f>parking_demand_data_2024_ver0!R1367</f>
        <v>0</v>
      </c>
      <c r="T1367" s="3">
        <f>parking_demand_data_2024_ver0!S1367</f>
        <v>0</v>
      </c>
    </row>
    <row r="1368" spans="1:20" x14ac:dyDescent="0.25">
      <c r="A1368">
        <v>18113</v>
      </c>
      <c r="B1368" t="s">
        <v>85</v>
      </c>
      <c r="C1368">
        <v>22</v>
      </c>
      <c r="D1368" s="3">
        <f>parking_demand_data_2024_ver0!D1368*calibration!$I$31</f>
        <v>13.2370870584685</v>
      </c>
      <c r="E1368" s="3">
        <f>parking_demand_data_2024_ver0!E1368*calibration!$I$31</f>
        <v>0</v>
      </c>
      <c r="F1368" s="3">
        <f t="shared" si="21"/>
        <v>13.2370870584685</v>
      </c>
      <c r="G1368" s="3">
        <f>parking_demand_data_2024_ver0!F1368</f>
        <v>1</v>
      </c>
      <c r="H1368" s="3">
        <f>parking_demand_data_2024_ver0!G1368</f>
        <v>0</v>
      </c>
      <c r="I1368" s="3">
        <f>parking_demand_data_2024_ver0!H1368</f>
        <v>1</v>
      </c>
      <c r="J1368" s="3">
        <f>parking_demand_data_2024_ver0!I1368</f>
        <v>0</v>
      </c>
      <c r="K1368" s="3">
        <f>parking_demand_data_2024_ver0!J1368</f>
        <v>0</v>
      </c>
      <c r="L1368" s="3">
        <f>parking_demand_data_2024_ver0!K1368</f>
        <v>0</v>
      </c>
      <c r="M1368" s="3">
        <f>parking_demand_data_2024_ver0!L1368</f>
        <v>0</v>
      </c>
      <c r="N1368" s="3">
        <f>parking_demand_data_2024_ver0!M1368</f>
        <v>50</v>
      </c>
      <c r="O1368" s="3">
        <f>parking_demand_data_2024_ver0!N1368</f>
        <v>0</v>
      </c>
      <c r="P1368" s="3">
        <f>parking_demand_data_2024_ver0!O1368</f>
        <v>50</v>
      </c>
      <c r="Q1368" s="3">
        <f>parking_demand_data_2024_ver0!P1368</f>
        <v>0</v>
      </c>
      <c r="R1368" s="3">
        <f>parking_demand_data_2024_ver0!Q1368</f>
        <v>0</v>
      </c>
      <c r="S1368" s="3">
        <f>parking_demand_data_2024_ver0!R1368</f>
        <v>0</v>
      </c>
      <c r="T1368" s="3">
        <f>parking_demand_data_2024_ver0!S1368</f>
        <v>0</v>
      </c>
    </row>
    <row r="1369" spans="1:20" x14ac:dyDescent="0.25">
      <c r="A1369">
        <v>18113</v>
      </c>
      <c r="B1369" t="s">
        <v>85</v>
      </c>
      <c r="C1369">
        <v>23</v>
      </c>
      <c r="D1369" s="3">
        <f>parking_demand_data_2024_ver0!D1369*calibration!$I$31</f>
        <v>13.406793302807801</v>
      </c>
      <c r="E1369" s="3">
        <f>parking_demand_data_2024_ver0!E1369*calibration!$I$31</f>
        <v>0</v>
      </c>
      <c r="F1369" s="3">
        <f t="shared" si="21"/>
        <v>13.406793302807801</v>
      </c>
      <c r="G1369" s="3">
        <f>parking_demand_data_2024_ver0!F1369</f>
        <v>1</v>
      </c>
      <c r="H1369" s="3">
        <f>parking_demand_data_2024_ver0!G1369</f>
        <v>0</v>
      </c>
      <c r="I1369" s="3">
        <f>parking_demand_data_2024_ver0!H1369</f>
        <v>1</v>
      </c>
      <c r="J1369" s="3">
        <f>parking_demand_data_2024_ver0!I1369</f>
        <v>0</v>
      </c>
      <c r="K1369" s="3">
        <f>parking_demand_data_2024_ver0!J1369</f>
        <v>0</v>
      </c>
      <c r="L1369" s="3">
        <f>parking_demand_data_2024_ver0!K1369</f>
        <v>0</v>
      </c>
      <c r="M1369" s="3">
        <f>parking_demand_data_2024_ver0!L1369</f>
        <v>0</v>
      </c>
      <c r="N1369" s="3">
        <f>parking_demand_data_2024_ver0!M1369</f>
        <v>50</v>
      </c>
      <c r="O1369" s="3">
        <f>parking_demand_data_2024_ver0!N1369</f>
        <v>0</v>
      </c>
      <c r="P1369" s="3">
        <f>parking_demand_data_2024_ver0!O1369</f>
        <v>50</v>
      </c>
      <c r="Q1369" s="3">
        <f>parking_demand_data_2024_ver0!P1369</f>
        <v>0</v>
      </c>
      <c r="R1369" s="3">
        <f>parking_demand_data_2024_ver0!Q1369</f>
        <v>0</v>
      </c>
      <c r="S1369" s="3">
        <f>parking_demand_data_2024_ver0!R1369</f>
        <v>0</v>
      </c>
      <c r="T1369" s="3">
        <f>parking_demand_data_2024_ver0!S1369</f>
        <v>0</v>
      </c>
    </row>
    <row r="1370" spans="1:20" x14ac:dyDescent="0.25">
      <c r="A1370">
        <v>18115</v>
      </c>
      <c r="B1370" t="s">
        <v>86</v>
      </c>
      <c r="C1370">
        <v>0</v>
      </c>
      <c r="D1370" s="3">
        <f>parking_demand_data_2024_ver0!D1370*calibration!$I$31</f>
        <v>0</v>
      </c>
      <c r="E1370" s="3">
        <f>parking_demand_data_2024_ver0!E1370*calibration!$I$31</f>
        <v>0</v>
      </c>
      <c r="F1370" s="3">
        <f t="shared" si="21"/>
        <v>0</v>
      </c>
      <c r="G1370" s="3">
        <f>parking_demand_data_2024_ver0!F1370</f>
        <v>0</v>
      </c>
      <c r="H1370" s="3">
        <f>parking_demand_data_2024_ver0!G1370</f>
        <v>0</v>
      </c>
      <c r="I1370" s="3">
        <f>parking_demand_data_2024_ver0!H1370</f>
        <v>0</v>
      </c>
      <c r="J1370" s="3">
        <f>parking_demand_data_2024_ver0!I1370</f>
        <v>0</v>
      </c>
      <c r="K1370" s="3">
        <f>parking_demand_data_2024_ver0!J1370</f>
        <v>0</v>
      </c>
      <c r="L1370" s="3">
        <f>parking_demand_data_2024_ver0!K1370</f>
        <v>0</v>
      </c>
      <c r="M1370" s="3">
        <f>parking_demand_data_2024_ver0!L1370</f>
        <v>0</v>
      </c>
      <c r="N1370" s="3">
        <f>parking_demand_data_2024_ver0!M1370</f>
        <v>0</v>
      </c>
      <c r="O1370" s="3">
        <f>parking_demand_data_2024_ver0!N1370</f>
        <v>0</v>
      </c>
      <c r="P1370" s="3">
        <f>parking_demand_data_2024_ver0!O1370</f>
        <v>0</v>
      </c>
      <c r="Q1370" s="3">
        <f>parking_demand_data_2024_ver0!P1370</f>
        <v>0</v>
      </c>
      <c r="R1370" s="3">
        <f>parking_demand_data_2024_ver0!Q1370</f>
        <v>0</v>
      </c>
      <c r="S1370" s="3">
        <f>parking_demand_data_2024_ver0!R1370</f>
        <v>0</v>
      </c>
      <c r="T1370" s="3">
        <f>parking_demand_data_2024_ver0!S1370</f>
        <v>0</v>
      </c>
    </row>
    <row r="1371" spans="1:20" x14ac:dyDescent="0.25">
      <c r="A1371">
        <v>18115</v>
      </c>
      <c r="B1371" t="s">
        <v>86</v>
      </c>
      <c r="C1371">
        <v>1</v>
      </c>
      <c r="D1371" s="3">
        <f>parking_demand_data_2024_ver0!D1371*calibration!$I$31</f>
        <v>0</v>
      </c>
      <c r="E1371" s="3">
        <f>parking_demand_data_2024_ver0!E1371*calibration!$I$31</f>
        <v>0</v>
      </c>
      <c r="F1371" s="3">
        <f t="shared" si="21"/>
        <v>0</v>
      </c>
      <c r="G1371" s="3">
        <f>parking_demand_data_2024_ver0!F1371</f>
        <v>0</v>
      </c>
      <c r="H1371" s="3">
        <f>parking_demand_data_2024_ver0!G1371</f>
        <v>0</v>
      </c>
      <c r="I1371" s="3">
        <f>parking_demand_data_2024_ver0!H1371</f>
        <v>0</v>
      </c>
      <c r="J1371" s="3">
        <f>parking_demand_data_2024_ver0!I1371</f>
        <v>0</v>
      </c>
      <c r="K1371" s="3">
        <f>parking_demand_data_2024_ver0!J1371</f>
        <v>0</v>
      </c>
      <c r="L1371" s="3">
        <f>parking_demand_data_2024_ver0!K1371</f>
        <v>0</v>
      </c>
      <c r="M1371" s="3">
        <f>parking_demand_data_2024_ver0!L1371</f>
        <v>0</v>
      </c>
      <c r="N1371" s="3">
        <f>parking_demand_data_2024_ver0!M1371</f>
        <v>0</v>
      </c>
      <c r="O1371" s="3">
        <f>parking_demand_data_2024_ver0!N1371</f>
        <v>0</v>
      </c>
      <c r="P1371" s="3">
        <f>parking_demand_data_2024_ver0!O1371</f>
        <v>0</v>
      </c>
      <c r="Q1371" s="3">
        <f>parking_demand_data_2024_ver0!P1371</f>
        <v>0</v>
      </c>
      <c r="R1371" s="3">
        <f>parking_demand_data_2024_ver0!Q1371</f>
        <v>0</v>
      </c>
      <c r="S1371" s="3">
        <f>parking_demand_data_2024_ver0!R1371</f>
        <v>0</v>
      </c>
      <c r="T1371" s="3">
        <f>parking_demand_data_2024_ver0!S1371</f>
        <v>0</v>
      </c>
    </row>
    <row r="1372" spans="1:20" x14ac:dyDescent="0.25">
      <c r="A1372">
        <v>18115</v>
      </c>
      <c r="B1372" t="s">
        <v>86</v>
      </c>
      <c r="C1372">
        <v>2</v>
      </c>
      <c r="D1372" s="3">
        <f>parking_demand_data_2024_ver0!D1372*calibration!$I$31</f>
        <v>0</v>
      </c>
      <c r="E1372" s="3">
        <f>parking_demand_data_2024_ver0!E1372*calibration!$I$31</f>
        <v>0</v>
      </c>
      <c r="F1372" s="3">
        <f t="shared" si="21"/>
        <v>0</v>
      </c>
      <c r="G1372" s="3">
        <f>parking_demand_data_2024_ver0!F1372</f>
        <v>0</v>
      </c>
      <c r="H1372" s="3">
        <f>parking_demand_data_2024_ver0!G1372</f>
        <v>0</v>
      </c>
      <c r="I1372" s="3">
        <f>parking_demand_data_2024_ver0!H1372</f>
        <v>0</v>
      </c>
      <c r="J1372" s="3">
        <f>parking_demand_data_2024_ver0!I1372</f>
        <v>0</v>
      </c>
      <c r="K1372" s="3">
        <f>parking_demand_data_2024_ver0!J1372</f>
        <v>0</v>
      </c>
      <c r="L1372" s="3">
        <f>parking_demand_data_2024_ver0!K1372</f>
        <v>0</v>
      </c>
      <c r="M1372" s="3">
        <f>parking_demand_data_2024_ver0!L1372</f>
        <v>0</v>
      </c>
      <c r="N1372" s="3">
        <f>parking_demand_data_2024_ver0!M1372</f>
        <v>0</v>
      </c>
      <c r="O1372" s="3">
        <f>parking_demand_data_2024_ver0!N1372</f>
        <v>0</v>
      </c>
      <c r="P1372" s="3">
        <f>parking_demand_data_2024_ver0!O1372</f>
        <v>0</v>
      </c>
      <c r="Q1372" s="3">
        <f>parking_demand_data_2024_ver0!P1372</f>
        <v>0</v>
      </c>
      <c r="R1372" s="3">
        <f>parking_demand_data_2024_ver0!Q1372</f>
        <v>0</v>
      </c>
      <c r="S1372" s="3">
        <f>parking_demand_data_2024_ver0!R1372</f>
        <v>0</v>
      </c>
      <c r="T1372" s="3">
        <f>parking_demand_data_2024_ver0!S1372</f>
        <v>0</v>
      </c>
    </row>
    <row r="1373" spans="1:20" x14ac:dyDescent="0.25">
      <c r="A1373">
        <v>18115</v>
      </c>
      <c r="B1373" t="s">
        <v>86</v>
      </c>
      <c r="C1373">
        <v>3</v>
      </c>
      <c r="D1373" s="3">
        <f>parking_demand_data_2024_ver0!D1373*calibration!$I$31</f>
        <v>0</v>
      </c>
      <c r="E1373" s="3">
        <f>parking_demand_data_2024_ver0!E1373*calibration!$I$31</f>
        <v>0</v>
      </c>
      <c r="F1373" s="3">
        <f t="shared" si="21"/>
        <v>0</v>
      </c>
      <c r="G1373" s="3">
        <f>parking_demand_data_2024_ver0!F1373</f>
        <v>0</v>
      </c>
      <c r="H1373" s="3">
        <f>parking_demand_data_2024_ver0!G1373</f>
        <v>0</v>
      </c>
      <c r="I1373" s="3">
        <f>parking_demand_data_2024_ver0!H1373</f>
        <v>0</v>
      </c>
      <c r="J1373" s="3">
        <f>parking_demand_data_2024_ver0!I1373</f>
        <v>0</v>
      </c>
      <c r="K1373" s="3">
        <f>parking_demand_data_2024_ver0!J1373</f>
        <v>0</v>
      </c>
      <c r="L1373" s="3">
        <f>parking_demand_data_2024_ver0!K1373</f>
        <v>0</v>
      </c>
      <c r="M1373" s="3">
        <f>parking_demand_data_2024_ver0!L1373</f>
        <v>0</v>
      </c>
      <c r="N1373" s="3">
        <f>parking_demand_data_2024_ver0!M1373</f>
        <v>0</v>
      </c>
      <c r="O1373" s="3">
        <f>parking_demand_data_2024_ver0!N1373</f>
        <v>0</v>
      </c>
      <c r="P1373" s="3">
        <f>parking_demand_data_2024_ver0!O1373</f>
        <v>0</v>
      </c>
      <c r="Q1373" s="3">
        <f>parking_demand_data_2024_ver0!P1373</f>
        <v>0</v>
      </c>
      <c r="R1373" s="3">
        <f>parking_demand_data_2024_ver0!Q1373</f>
        <v>0</v>
      </c>
      <c r="S1373" s="3">
        <f>parking_demand_data_2024_ver0!R1373</f>
        <v>0</v>
      </c>
      <c r="T1373" s="3">
        <f>parking_demand_data_2024_ver0!S1373</f>
        <v>0</v>
      </c>
    </row>
    <row r="1374" spans="1:20" x14ac:dyDescent="0.25">
      <c r="A1374">
        <v>18115</v>
      </c>
      <c r="B1374" t="s">
        <v>86</v>
      </c>
      <c r="C1374">
        <v>4</v>
      </c>
      <c r="D1374" s="3">
        <f>parking_demand_data_2024_ver0!D1374*calibration!$I$31</f>
        <v>0</v>
      </c>
      <c r="E1374" s="3">
        <f>parking_demand_data_2024_ver0!E1374*calibration!$I$31</f>
        <v>0</v>
      </c>
      <c r="F1374" s="3">
        <f t="shared" si="21"/>
        <v>0</v>
      </c>
      <c r="G1374" s="3">
        <f>parking_demand_data_2024_ver0!F1374</f>
        <v>0</v>
      </c>
      <c r="H1374" s="3">
        <f>parking_demand_data_2024_ver0!G1374</f>
        <v>0</v>
      </c>
      <c r="I1374" s="3">
        <f>parking_demand_data_2024_ver0!H1374</f>
        <v>0</v>
      </c>
      <c r="J1374" s="3">
        <f>parking_demand_data_2024_ver0!I1374</f>
        <v>0</v>
      </c>
      <c r="K1374" s="3">
        <f>parking_demand_data_2024_ver0!J1374</f>
        <v>0</v>
      </c>
      <c r="L1374" s="3">
        <f>parking_demand_data_2024_ver0!K1374</f>
        <v>0</v>
      </c>
      <c r="M1374" s="3">
        <f>parking_demand_data_2024_ver0!L1374</f>
        <v>0</v>
      </c>
      <c r="N1374" s="3">
        <f>parking_demand_data_2024_ver0!M1374</f>
        <v>0</v>
      </c>
      <c r="O1374" s="3">
        <f>parking_demand_data_2024_ver0!N1374</f>
        <v>0</v>
      </c>
      <c r="P1374" s="3">
        <f>parking_demand_data_2024_ver0!O1374</f>
        <v>0</v>
      </c>
      <c r="Q1374" s="3">
        <f>parking_demand_data_2024_ver0!P1374</f>
        <v>0</v>
      </c>
      <c r="R1374" s="3">
        <f>parking_demand_data_2024_ver0!Q1374</f>
        <v>0</v>
      </c>
      <c r="S1374" s="3">
        <f>parking_demand_data_2024_ver0!R1374</f>
        <v>0</v>
      </c>
      <c r="T1374" s="3">
        <f>parking_demand_data_2024_ver0!S1374</f>
        <v>0</v>
      </c>
    </row>
    <row r="1375" spans="1:20" x14ac:dyDescent="0.25">
      <c r="A1375">
        <v>18115</v>
      </c>
      <c r="B1375" t="s">
        <v>86</v>
      </c>
      <c r="C1375">
        <v>5</v>
      </c>
      <c r="D1375" s="3">
        <f>parking_demand_data_2024_ver0!D1375*calibration!$I$31</f>
        <v>0</v>
      </c>
      <c r="E1375" s="3">
        <f>parking_demand_data_2024_ver0!E1375*calibration!$I$31</f>
        <v>0</v>
      </c>
      <c r="F1375" s="3">
        <f t="shared" si="21"/>
        <v>0</v>
      </c>
      <c r="G1375" s="3">
        <f>parking_demand_data_2024_ver0!F1375</f>
        <v>0</v>
      </c>
      <c r="H1375" s="3">
        <f>parking_demand_data_2024_ver0!G1375</f>
        <v>0</v>
      </c>
      <c r="I1375" s="3">
        <f>parking_demand_data_2024_ver0!H1375</f>
        <v>0</v>
      </c>
      <c r="J1375" s="3">
        <f>parking_demand_data_2024_ver0!I1375</f>
        <v>0</v>
      </c>
      <c r="K1375" s="3">
        <f>parking_demand_data_2024_ver0!J1375</f>
        <v>0</v>
      </c>
      <c r="L1375" s="3">
        <f>parking_demand_data_2024_ver0!K1375</f>
        <v>0</v>
      </c>
      <c r="M1375" s="3">
        <f>parking_demand_data_2024_ver0!L1375</f>
        <v>0</v>
      </c>
      <c r="N1375" s="3">
        <f>parking_demand_data_2024_ver0!M1375</f>
        <v>0</v>
      </c>
      <c r="O1375" s="3">
        <f>parking_demand_data_2024_ver0!N1375</f>
        <v>0</v>
      </c>
      <c r="P1375" s="3">
        <f>parking_demand_data_2024_ver0!O1375</f>
        <v>0</v>
      </c>
      <c r="Q1375" s="3">
        <f>parking_demand_data_2024_ver0!P1375</f>
        <v>0</v>
      </c>
      <c r="R1375" s="3">
        <f>parking_demand_data_2024_ver0!Q1375</f>
        <v>0</v>
      </c>
      <c r="S1375" s="3">
        <f>parking_demand_data_2024_ver0!R1375</f>
        <v>0</v>
      </c>
      <c r="T1375" s="3">
        <f>parking_demand_data_2024_ver0!S1375</f>
        <v>0</v>
      </c>
    </row>
    <row r="1376" spans="1:20" x14ac:dyDescent="0.25">
      <c r="A1376">
        <v>18115</v>
      </c>
      <c r="B1376" t="s">
        <v>86</v>
      </c>
      <c r="C1376">
        <v>6</v>
      </c>
      <c r="D1376" s="3">
        <f>parking_demand_data_2024_ver0!D1376*calibration!$I$31</f>
        <v>0</v>
      </c>
      <c r="E1376" s="3">
        <f>parking_demand_data_2024_ver0!E1376*calibration!$I$31</f>
        <v>0</v>
      </c>
      <c r="F1376" s="3">
        <f t="shared" si="21"/>
        <v>0</v>
      </c>
      <c r="G1376" s="3">
        <f>parking_demand_data_2024_ver0!F1376</f>
        <v>0</v>
      </c>
      <c r="H1376" s="3">
        <f>parking_demand_data_2024_ver0!G1376</f>
        <v>0</v>
      </c>
      <c r="I1376" s="3">
        <f>parking_demand_data_2024_ver0!H1376</f>
        <v>0</v>
      </c>
      <c r="J1376" s="3">
        <f>parking_demand_data_2024_ver0!I1376</f>
        <v>0</v>
      </c>
      <c r="K1376" s="3">
        <f>parking_demand_data_2024_ver0!J1376</f>
        <v>0</v>
      </c>
      <c r="L1376" s="3">
        <f>parking_demand_data_2024_ver0!K1376</f>
        <v>0</v>
      </c>
      <c r="M1376" s="3">
        <f>parking_demand_data_2024_ver0!L1376</f>
        <v>0</v>
      </c>
      <c r="N1376" s="3">
        <f>parking_demand_data_2024_ver0!M1376</f>
        <v>0</v>
      </c>
      <c r="O1376" s="3">
        <f>parking_demand_data_2024_ver0!N1376</f>
        <v>0</v>
      </c>
      <c r="P1376" s="3">
        <f>parking_demand_data_2024_ver0!O1376</f>
        <v>0</v>
      </c>
      <c r="Q1376" s="3">
        <f>parking_demand_data_2024_ver0!P1376</f>
        <v>0</v>
      </c>
      <c r="R1376" s="3">
        <f>parking_demand_data_2024_ver0!Q1376</f>
        <v>0</v>
      </c>
      <c r="S1376" s="3">
        <f>parking_demand_data_2024_ver0!R1376</f>
        <v>0</v>
      </c>
      <c r="T1376" s="3">
        <f>parking_demand_data_2024_ver0!S1376</f>
        <v>0</v>
      </c>
    </row>
    <row r="1377" spans="1:20" x14ac:dyDescent="0.25">
      <c r="A1377">
        <v>18115</v>
      </c>
      <c r="B1377" t="s">
        <v>86</v>
      </c>
      <c r="C1377">
        <v>7</v>
      </c>
      <c r="D1377" s="3">
        <f>parking_demand_data_2024_ver0!D1377*calibration!$I$31</f>
        <v>0</v>
      </c>
      <c r="E1377" s="3">
        <f>parking_demand_data_2024_ver0!E1377*calibration!$I$31</f>
        <v>0</v>
      </c>
      <c r="F1377" s="3">
        <f t="shared" si="21"/>
        <v>0</v>
      </c>
      <c r="G1377" s="3">
        <f>parking_demand_data_2024_ver0!F1377</f>
        <v>0</v>
      </c>
      <c r="H1377" s="3">
        <f>parking_demand_data_2024_ver0!G1377</f>
        <v>0</v>
      </c>
      <c r="I1377" s="3">
        <f>parking_demand_data_2024_ver0!H1377</f>
        <v>0</v>
      </c>
      <c r="J1377" s="3">
        <f>parking_demand_data_2024_ver0!I1377</f>
        <v>0</v>
      </c>
      <c r="K1377" s="3">
        <f>parking_demand_data_2024_ver0!J1377</f>
        <v>0</v>
      </c>
      <c r="L1377" s="3">
        <f>parking_demand_data_2024_ver0!K1377</f>
        <v>0</v>
      </c>
      <c r="M1377" s="3">
        <f>parking_demand_data_2024_ver0!L1377</f>
        <v>0</v>
      </c>
      <c r="N1377" s="3">
        <f>parking_demand_data_2024_ver0!M1377</f>
        <v>0</v>
      </c>
      <c r="O1377" s="3">
        <f>parking_demand_data_2024_ver0!N1377</f>
        <v>0</v>
      </c>
      <c r="P1377" s="3">
        <f>parking_demand_data_2024_ver0!O1377</f>
        <v>0</v>
      </c>
      <c r="Q1377" s="3">
        <f>parking_demand_data_2024_ver0!P1377</f>
        <v>0</v>
      </c>
      <c r="R1377" s="3">
        <f>parking_demand_data_2024_ver0!Q1377</f>
        <v>0</v>
      </c>
      <c r="S1377" s="3">
        <f>parking_demand_data_2024_ver0!R1377</f>
        <v>0</v>
      </c>
      <c r="T1377" s="3">
        <f>parking_demand_data_2024_ver0!S1377</f>
        <v>0</v>
      </c>
    </row>
    <row r="1378" spans="1:20" x14ac:dyDescent="0.25">
      <c r="A1378">
        <v>18115</v>
      </c>
      <c r="B1378" t="s">
        <v>86</v>
      </c>
      <c r="C1378">
        <v>8</v>
      </c>
      <c r="D1378" s="3">
        <f>parking_demand_data_2024_ver0!D1378*calibration!$I$31</f>
        <v>0</v>
      </c>
      <c r="E1378" s="3">
        <f>parking_demand_data_2024_ver0!E1378*calibration!$I$31</f>
        <v>0</v>
      </c>
      <c r="F1378" s="3">
        <f t="shared" si="21"/>
        <v>0</v>
      </c>
      <c r="G1378" s="3">
        <f>parking_demand_data_2024_ver0!F1378</f>
        <v>0</v>
      </c>
      <c r="H1378" s="3">
        <f>parking_demand_data_2024_ver0!G1378</f>
        <v>0</v>
      </c>
      <c r="I1378" s="3">
        <f>parking_demand_data_2024_ver0!H1378</f>
        <v>0</v>
      </c>
      <c r="J1378" s="3">
        <f>parking_demand_data_2024_ver0!I1378</f>
        <v>0</v>
      </c>
      <c r="K1378" s="3">
        <f>parking_demand_data_2024_ver0!J1378</f>
        <v>0</v>
      </c>
      <c r="L1378" s="3">
        <f>parking_demand_data_2024_ver0!K1378</f>
        <v>0</v>
      </c>
      <c r="M1378" s="3">
        <f>parking_demand_data_2024_ver0!L1378</f>
        <v>0</v>
      </c>
      <c r="N1378" s="3">
        <f>parking_demand_data_2024_ver0!M1378</f>
        <v>0</v>
      </c>
      <c r="O1378" s="3">
        <f>parking_demand_data_2024_ver0!N1378</f>
        <v>0</v>
      </c>
      <c r="P1378" s="3">
        <f>parking_demand_data_2024_ver0!O1378</f>
        <v>0</v>
      </c>
      <c r="Q1378" s="3">
        <f>parking_demand_data_2024_ver0!P1378</f>
        <v>0</v>
      </c>
      <c r="R1378" s="3">
        <f>parking_demand_data_2024_ver0!Q1378</f>
        <v>0</v>
      </c>
      <c r="S1378" s="3">
        <f>parking_demand_data_2024_ver0!R1378</f>
        <v>0</v>
      </c>
      <c r="T1378" s="3">
        <f>parking_demand_data_2024_ver0!S1378</f>
        <v>0</v>
      </c>
    </row>
    <row r="1379" spans="1:20" x14ac:dyDescent="0.25">
      <c r="A1379">
        <v>18115</v>
      </c>
      <c r="B1379" t="s">
        <v>86</v>
      </c>
      <c r="C1379">
        <v>9</v>
      </c>
      <c r="D1379" s="3">
        <f>parking_demand_data_2024_ver0!D1379*calibration!$I$31</f>
        <v>0</v>
      </c>
      <c r="E1379" s="3">
        <f>parking_demand_data_2024_ver0!E1379*calibration!$I$31</f>
        <v>0</v>
      </c>
      <c r="F1379" s="3">
        <f t="shared" si="21"/>
        <v>0</v>
      </c>
      <c r="G1379" s="3">
        <f>parking_demand_data_2024_ver0!F1379</f>
        <v>0</v>
      </c>
      <c r="H1379" s="3">
        <f>parking_demand_data_2024_ver0!G1379</f>
        <v>0</v>
      </c>
      <c r="I1379" s="3">
        <f>parking_demand_data_2024_ver0!H1379</f>
        <v>0</v>
      </c>
      <c r="J1379" s="3">
        <f>parking_demand_data_2024_ver0!I1379</f>
        <v>0</v>
      </c>
      <c r="K1379" s="3">
        <f>parking_demand_data_2024_ver0!J1379</f>
        <v>0</v>
      </c>
      <c r="L1379" s="3">
        <f>parking_demand_data_2024_ver0!K1379</f>
        <v>0</v>
      </c>
      <c r="M1379" s="3">
        <f>parking_demand_data_2024_ver0!L1379</f>
        <v>0</v>
      </c>
      <c r="N1379" s="3">
        <f>parking_demand_data_2024_ver0!M1379</f>
        <v>0</v>
      </c>
      <c r="O1379" s="3">
        <f>parking_demand_data_2024_ver0!N1379</f>
        <v>0</v>
      </c>
      <c r="P1379" s="3">
        <f>parking_demand_data_2024_ver0!O1379</f>
        <v>0</v>
      </c>
      <c r="Q1379" s="3">
        <f>parking_demand_data_2024_ver0!P1379</f>
        <v>0</v>
      </c>
      <c r="R1379" s="3">
        <f>parking_demand_data_2024_ver0!Q1379</f>
        <v>0</v>
      </c>
      <c r="S1379" s="3">
        <f>parking_demand_data_2024_ver0!R1379</f>
        <v>0</v>
      </c>
      <c r="T1379" s="3">
        <f>parking_demand_data_2024_ver0!S1379</f>
        <v>0</v>
      </c>
    </row>
    <row r="1380" spans="1:20" x14ac:dyDescent="0.25">
      <c r="A1380">
        <v>18115</v>
      </c>
      <c r="B1380" t="s">
        <v>86</v>
      </c>
      <c r="C1380">
        <v>10</v>
      </c>
      <c r="D1380" s="3">
        <f>parking_demand_data_2024_ver0!D1380*calibration!$I$31</f>
        <v>0</v>
      </c>
      <c r="E1380" s="3">
        <f>parking_demand_data_2024_ver0!E1380*calibration!$I$31</f>
        <v>0</v>
      </c>
      <c r="F1380" s="3">
        <f t="shared" si="21"/>
        <v>0</v>
      </c>
      <c r="G1380" s="3">
        <f>parking_demand_data_2024_ver0!F1380</f>
        <v>0</v>
      </c>
      <c r="H1380" s="3">
        <f>parking_demand_data_2024_ver0!G1380</f>
        <v>0</v>
      </c>
      <c r="I1380" s="3">
        <f>parking_demand_data_2024_ver0!H1380</f>
        <v>0</v>
      </c>
      <c r="J1380" s="3">
        <f>parking_demand_data_2024_ver0!I1380</f>
        <v>0</v>
      </c>
      <c r="K1380" s="3">
        <f>parking_demand_data_2024_ver0!J1380</f>
        <v>0</v>
      </c>
      <c r="L1380" s="3">
        <f>parking_demand_data_2024_ver0!K1380</f>
        <v>0</v>
      </c>
      <c r="M1380" s="3">
        <f>parking_demand_data_2024_ver0!L1380</f>
        <v>0</v>
      </c>
      <c r="N1380" s="3">
        <f>parking_demand_data_2024_ver0!M1380</f>
        <v>0</v>
      </c>
      <c r="O1380" s="3">
        <f>parking_demand_data_2024_ver0!N1380</f>
        <v>0</v>
      </c>
      <c r="P1380" s="3">
        <f>parking_demand_data_2024_ver0!O1380</f>
        <v>0</v>
      </c>
      <c r="Q1380" s="3">
        <f>parking_demand_data_2024_ver0!P1380</f>
        <v>0</v>
      </c>
      <c r="R1380" s="3">
        <f>parking_demand_data_2024_ver0!Q1380</f>
        <v>0</v>
      </c>
      <c r="S1380" s="3">
        <f>parking_demand_data_2024_ver0!R1380</f>
        <v>0</v>
      </c>
      <c r="T1380" s="3">
        <f>parking_demand_data_2024_ver0!S1380</f>
        <v>0</v>
      </c>
    </row>
    <row r="1381" spans="1:20" x14ac:dyDescent="0.25">
      <c r="A1381">
        <v>18115</v>
      </c>
      <c r="B1381" t="s">
        <v>86</v>
      </c>
      <c r="C1381">
        <v>11</v>
      </c>
      <c r="D1381" s="3">
        <f>parking_demand_data_2024_ver0!D1381*calibration!$I$31</f>
        <v>0</v>
      </c>
      <c r="E1381" s="3">
        <f>parking_demand_data_2024_ver0!E1381*calibration!$I$31</f>
        <v>0</v>
      </c>
      <c r="F1381" s="3">
        <f t="shared" si="21"/>
        <v>0</v>
      </c>
      <c r="G1381" s="3">
        <f>parking_demand_data_2024_ver0!F1381</f>
        <v>0</v>
      </c>
      <c r="H1381" s="3">
        <f>parking_demand_data_2024_ver0!G1381</f>
        <v>0</v>
      </c>
      <c r="I1381" s="3">
        <f>parking_demand_data_2024_ver0!H1381</f>
        <v>0</v>
      </c>
      <c r="J1381" s="3">
        <f>parking_demand_data_2024_ver0!I1381</f>
        <v>0</v>
      </c>
      <c r="K1381" s="3">
        <f>parking_demand_data_2024_ver0!J1381</f>
        <v>0</v>
      </c>
      <c r="L1381" s="3">
        <f>parking_demand_data_2024_ver0!K1381</f>
        <v>0</v>
      </c>
      <c r="M1381" s="3">
        <f>parking_demand_data_2024_ver0!L1381</f>
        <v>0</v>
      </c>
      <c r="N1381" s="3">
        <f>parking_demand_data_2024_ver0!M1381</f>
        <v>0</v>
      </c>
      <c r="O1381" s="3">
        <f>parking_demand_data_2024_ver0!N1381</f>
        <v>0</v>
      </c>
      <c r="P1381" s="3">
        <f>parking_demand_data_2024_ver0!O1381</f>
        <v>0</v>
      </c>
      <c r="Q1381" s="3">
        <f>parking_demand_data_2024_ver0!P1381</f>
        <v>0</v>
      </c>
      <c r="R1381" s="3">
        <f>parking_demand_data_2024_ver0!Q1381</f>
        <v>0</v>
      </c>
      <c r="S1381" s="3">
        <f>parking_demand_data_2024_ver0!R1381</f>
        <v>0</v>
      </c>
      <c r="T1381" s="3">
        <f>parking_demand_data_2024_ver0!S1381</f>
        <v>0</v>
      </c>
    </row>
    <row r="1382" spans="1:20" x14ac:dyDescent="0.25">
      <c r="A1382">
        <v>18115</v>
      </c>
      <c r="B1382" t="s">
        <v>86</v>
      </c>
      <c r="C1382">
        <v>12</v>
      </c>
      <c r="D1382" s="3">
        <f>parking_demand_data_2024_ver0!D1382*calibration!$I$31</f>
        <v>0</v>
      </c>
      <c r="E1382" s="3">
        <f>parking_demand_data_2024_ver0!E1382*calibration!$I$31</f>
        <v>0</v>
      </c>
      <c r="F1382" s="3">
        <f t="shared" si="21"/>
        <v>0</v>
      </c>
      <c r="G1382" s="3">
        <f>parking_demand_data_2024_ver0!F1382</f>
        <v>0</v>
      </c>
      <c r="H1382" s="3">
        <f>parking_demand_data_2024_ver0!G1382</f>
        <v>0</v>
      </c>
      <c r="I1382" s="3">
        <f>parking_demand_data_2024_ver0!H1382</f>
        <v>0</v>
      </c>
      <c r="J1382" s="3">
        <f>parking_demand_data_2024_ver0!I1382</f>
        <v>0</v>
      </c>
      <c r="K1382" s="3">
        <f>parking_demand_data_2024_ver0!J1382</f>
        <v>0</v>
      </c>
      <c r="L1382" s="3">
        <f>parking_demand_data_2024_ver0!K1382</f>
        <v>0</v>
      </c>
      <c r="M1382" s="3">
        <f>parking_demand_data_2024_ver0!L1382</f>
        <v>0</v>
      </c>
      <c r="N1382" s="3">
        <f>parking_demand_data_2024_ver0!M1382</f>
        <v>0</v>
      </c>
      <c r="O1382" s="3">
        <f>parking_demand_data_2024_ver0!N1382</f>
        <v>0</v>
      </c>
      <c r="P1382" s="3">
        <f>parking_demand_data_2024_ver0!O1382</f>
        <v>0</v>
      </c>
      <c r="Q1382" s="3">
        <f>parking_demand_data_2024_ver0!P1382</f>
        <v>0</v>
      </c>
      <c r="R1382" s="3">
        <f>parking_demand_data_2024_ver0!Q1382</f>
        <v>0</v>
      </c>
      <c r="S1382" s="3">
        <f>parking_demand_data_2024_ver0!R1382</f>
        <v>0</v>
      </c>
      <c r="T1382" s="3">
        <f>parking_demand_data_2024_ver0!S1382</f>
        <v>0</v>
      </c>
    </row>
    <row r="1383" spans="1:20" x14ac:dyDescent="0.25">
      <c r="A1383">
        <v>18115</v>
      </c>
      <c r="B1383" t="s">
        <v>86</v>
      </c>
      <c r="C1383">
        <v>13</v>
      </c>
      <c r="D1383" s="3">
        <f>parking_demand_data_2024_ver0!D1383*calibration!$I$31</f>
        <v>0</v>
      </c>
      <c r="E1383" s="3">
        <f>parking_demand_data_2024_ver0!E1383*calibration!$I$31</f>
        <v>0</v>
      </c>
      <c r="F1383" s="3">
        <f t="shared" si="21"/>
        <v>0</v>
      </c>
      <c r="G1383" s="3">
        <f>parking_demand_data_2024_ver0!F1383</f>
        <v>0</v>
      </c>
      <c r="H1383" s="3">
        <f>parking_demand_data_2024_ver0!G1383</f>
        <v>0</v>
      </c>
      <c r="I1383" s="3">
        <f>parking_demand_data_2024_ver0!H1383</f>
        <v>0</v>
      </c>
      <c r="J1383" s="3">
        <f>parking_demand_data_2024_ver0!I1383</f>
        <v>0</v>
      </c>
      <c r="K1383" s="3">
        <f>parking_demand_data_2024_ver0!J1383</f>
        <v>0</v>
      </c>
      <c r="L1383" s="3">
        <f>parking_demand_data_2024_ver0!K1383</f>
        <v>0</v>
      </c>
      <c r="M1383" s="3">
        <f>parking_demand_data_2024_ver0!L1383</f>
        <v>0</v>
      </c>
      <c r="N1383" s="3">
        <f>parking_demand_data_2024_ver0!M1383</f>
        <v>0</v>
      </c>
      <c r="O1383" s="3">
        <f>parking_demand_data_2024_ver0!N1383</f>
        <v>0</v>
      </c>
      <c r="P1383" s="3">
        <f>parking_demand_data_2024_ver0!O1383</f>
        <v>0</v>
      </c>
      <c r="Q1383" s="3">
        <f>parking_demand_data_2024_ver0!P1383</f>
        <v>0</v>
      </c>
      <c r="R1383" s="3">
        <f>parking_demand_data_2024_ver0!Q1383</f>
        <v>0</v>
      </c>
      <c r="S1383" s="3">
        <f>parking_demand_data_2024_ver0!R1383</f>
        <v>0</v>
      </c>
      <c r="T1383" s="3">
        <f>parking_demand_data_2024_ver0!S1383</f>
        <v>0</v>
      </c>
    </row>
    <row r="1384" spans="1:20" x14ac:dyDescent="0.25">
      <c r="A1384">
        <v>18115</v>
      </c>
      <c r="B1384" t="s">
        <v>86</v>
      </c>
      <c r="C1384">
        <v>14</v>
      </c>
      <c r="D1384" s="3">
        <f>parking_demand_data_2024_ver0!D1384*calibration!$I$31</f>
        <v>0</v>
      </c>
      <c r="E1384" s="3">
        <f>parking_demand_data_2024_ver0!E1384*calibration!$I$31</f>
        <v>0</v>
      </c>
      <c r="F1384" s="3">
        <f t="shared" si="21"/>
        <v>0</v>
      </c>
      <c r="G1384" s="3">
        <f>parking_demand_data_2024_ver0!F1384</f>
        <v>0</v>
      </c>
      <c r="H1384" s="3">
        <f>parking_demand_data_2024_ver0!G1384</f>
        <v>0</v>
      </c>
      <c r="I1384" s="3">
        <f>parking_demand_data_2024_ver0!H1384</f>
        <v>0</v>
      </c>
      <c r="J1384" s="3">
        <f>parking_demand_data_2024_ver0!I1384</f>
        <v>0</v>
      </c>
      <c r="K1384" s="3">
        <f>parking_demand_data_2024_ver0!J1384</f>
        <v>0</v>
      </c>
      <c r="L1384" s="3">
        <f>parking_demand_data_2024_ver0!K1384</f>
        <v>0</v>
      </c>
      <c r="M1384" s="3">
        <f>parking_demand_data_2024_ver0!L1384</f>
        <v>0</v>
      </c>
      <c r="N1384" s="3">
        <f>parking_demand_data_2024_ver0!M1384</f>
        <v>0</v>
      </c>
      <c r="O1384" s="3">
        <f>parking_demand_data_2024_ver0!N1384</f>
        <v>0</v>
      </c>
      <c r="P1384" s="3">
        <f>parking_demand_data_2024_ver0!O1384</f>
        <v>0</v>
      </c>
      <c r="Q1384" s="3">
        <f>parking_demand_data_2024_ver0!P1384</f>
        <v>0</v>
      </c>
      <c r="R1384" s="3">
        <f>parking_demand_data_2024_ver0!Q1384</f>
        <v>0</v>
      </c>
      <c r="S1384" s="3">
        <f>parking_demand_data_2024_ver0!R1384</f>
        <v>0</v>
      </c>
      <c r="T1384" s="3">
        <f>parking_demand_data_2024_ver0!S1384</f>
        <v>0</v>
      </c>
    </row>
    <row r="1385" spans="1:20" x14ac:dyDescent="0.25">
      <c r="A1385">
        <v>18115</v>
      </c>
      <c r="B1385" t="s">
        <v>86</v>
      </c>
      <c r="C1385">
        <v>15</v>
      </c>
      <c r="D1385" s="3">
        <f>parking_demand_data_2024_ver0!D1385*calibration!$I$31</f>
        <v>0</v>
      </c>
      <c r="E1385" s="3">
        <f>parking_demand_data_2024_ver0!E1385*calibration!$I$31</f>
        <v>0</v>
      </c>
      <c r="F1385" s="3">
        <f t="shared" si="21"/>
        <v>0</v>
      </c>
      <c r="G1385" s="3">
        <f>parking_demand_data_2024_ver0!F1385</f>
        <v>0</v>
      </c>
      <c r="H1385" s="3">
        <f>parking_demand_data_2024_ver0!G1385</f>
        <v>0</v>
      </c>
      <c r="I1385" s="3">
        <f>parking_demand_data_2024_ver0!H1385</f>
        <v>0</v>
      </c>
      <c r="J1385" s="3">
        <f>parking_demand_data_2024_ver0!I1385</f>
        <v>0</v>
      </c>
      <c r="K1385" s="3">
        <f>parking_demand_data_2024_ver0!J1385</f>
        <v>0</v>
      </c>
      <c r="L1385" s="3">
        <f>parking_demand_data_2024_ver0!K1385</f>
        <v>0</v>
      </c>
      <c r="M1385" s="3">
        <f>parking_demand_data_2024_ver0!L1385</f>
        <v>0</v>
      </c>
      <c r="N1385" s="3">
        <f>parking_demand_data_2024_ver0!M1385</f>
        <v>0</v>
      </c>
      <c r="O1385" s="3">
        <f>parking_demand_data_2024_ver0!N1385</f>
        <v>0</v>
      </c>
      <c r="P1385" s="3">
        <f>parking_demand_data_2024_ver0!O1385</f>
        <v>0</v>
      </c>
      <c r="Q1385" s="3">
        <f>parking_demand_data_2024_ver0!P1385</f>
        <v>0</v>
      </c>
      <c r="R1385" s="3">
        <f>parking_demand_data_2024_ver0!Q1385</f>
        <v>0</v>
      </c>
      <c r="S1385" s="3">
        <f>parking_demand_data_2024_ver0!R1385</f>
        <v>0</v>
      </c>
      <c r="T1385" s="3">
        <f>parking_demand_data_2024_ver0!S1385</f>
        <v>0</v>
      </c>
    </row>
    <row r="1386" spans="1:20" x14ac:dyDescent="0.25">
      <c r="A1386">
        <v>18115</v>
      </c>
      <c r="B1386" t="s">
        <v>86</v>
      </c>
      <c r="C1386">
        <v>16</v>
      </c>
      <c r="D1386" s="3">
        <f>parking_demand_data_2024_ver0!D1386*calibration!$I$31</f>
        <v>0</v>
      </c>
      <c r="E1386" s="3">
        <f>parking_demand_data_2024_ver0!E1386*calibration!$I$31</f>
        <v>0</v>
      </c>
      <c r="F1386" s="3">
        <f t="shared" si="21"/>
        <v>0</v>
      </c>
      <c r="G1386" s="3">
        <f>parking_demand_data_2024_ver0!F1386</f>
        <v>0</v>
      </c>
      <c r="H1386" s="3">
        <f>parking_demand_data_2024_ver0!G1386</f>
        <v>0</v>
      </c>
      <c r="I1386" s="3">
        <f>parking_demand_data_2024_ver0!H1386</f>
        <v>0</v>
      </c>
      <c r="J1386" s="3">
        <f>parking_demand_data_2024_ver0!I1386</f>
        <v>0</v>
      </c>
      <c r="K1386" s="3">
        <f>parking_demand_data_2024_ver0!J1386</f>
        <v>0</v>
      </c>
      <c r="L1386" s="3">
        <f>parking_demand_data_2024_ver0!K1386</f>
        <v>0</v>
      </c>
      <c r="M1386" s="3">
        <f>parking_demand_data_2024_ver0!L1386</f>
        <v>0</v>
      </c>
      <c r="N1386" s="3">
        <f>parking_demand_data_2024_ver0!M1386</f>
        <v>0</v>
      </c>
      <c r="O1386" s="3">
        <f>parking_demand_data_2024_ver0!N1386</f>
        <v>0</v>
      </c>
      <c r="P1386" s="3">
        <f>parking_demand_data_2024_ver0!O1386</f>
        <v>0</v>
      </c>
      <c r="Q1386" s="3">
        <f>parking_demand_data_2024_ver0!P1386</f>
        <v>0</v>
      </c>
      <c r="R1386" s="3">
        <f>parking_demand_data_2024_ver0!Q1386</f>
        <v>0</v>
      </c>
      <c r="S1386" s="3">
        <f>parking_demand_data_2024_ver0!R1386</f>
        <v>0</v>
      </c>
      <c r="T1386" s="3">
        <f>parking_demand_data_2024_ver0!S1386</f>
        <v>0</v>
      </c>
    </row>
    <row r="1387" spans="1:20" x14ac:dyDescent="0.25">
      <c r="A1387">
        <v>18115</v>
      </c>
      <c r="B1387" t="s">
        <v>86</v>
      </c>
      <c r="C1387">
        <v>17</v>
      </c>
      <c r="D1387" s="3">
        <f>parking_demand_data_2024_ver0!D1387*calibration!$I$31</f>
        <v>0</v>
      </c>
      <c r="E1387" s="3">
        <f>parking_demand_data_2024_ver0!E1387*calibration!$I$31</f>
        <v>0</v>
      </c>
      <c r="F1387" s="3">
        <f t="shared" si="21"/>
        <v>0</v>
      </c>
      <c r="G1387" s="3">
        <f>parking_demand_data_2024_ver0!F1387</f>
        <v>0</v>
      </c>
      <c r="H1387" s="3">
        <f>parking_demand_data_2024_ver0!G1387</f>
        <v>0</v>
      </c>
      <c r="I1387" s="3">
        <f>parking_demand_data_2024_ver0!H1387</f>
        <v>0</v>
      </c>
      <c r="J1387" s="3">
        <f>parking_demand_data_2024_ver0!I1387</f>
        <v>0</v>
      </c>
      <c r="K1387" s="3">
        <f>parking_demand_data_2024_ver0!J1387</f>
        <v>0</v>
      </c>
      <c r="L1387" s="3">
        <f>parking_demand_data_2024_ver0!K1387</f>
        <v>0</v>
      </c>
      <c r="M1387" s="3">
        <f>parking_demand_data_2024_ver0!L1387</f>
        <v>0</v>
      </c>
      <c r="N1387" s="3">
        <f>parking_demand_data_2024_ver0!M1387</f>
        <v>0</v>
      </c>
      <c r="O1387" s="3">
        <f>parking_demand_data_2024_ver0!N1387</f>
        <v>0</v>
      </c>
      <c r="P1387" s="3">
        <f>parking_demand_data_2024_ver0!O1387</f>
        <v>0</v>
      </c>
      <c r="Q1387" s="3">
        <f>parking_demand_data_2024_ver0!P1387</f>
        <v>0</v>
      </c>
      <c r="R1387" s="3">
        <f>parking_demand_data_2024_ver0!Q1387</f>
        <v>0</v>
      </c>
      <c r="S1387" s="3">
        <f>parking_demand_data_2024_ver0!R1387</f>
        <v>0</v>
      </c>
      <c r="T1387" s="3">
        <f>parking_demand_data_2024_ver0!S1387</f>
        <v>0</v>
      </c>
    </row>
    <row r="1388" spans="1:20" x14ac:dyDescent="0.25">
      <c r="A1388">
        <v>18115</v>
      </c>
      <c r="B1388" t="s">
        <v>86</v>
      </c>
      <c r="C1388">
        <v>18</v>
      </c>
      <c r="D1388" s="3">
        <f>parking_demand_data_2024_ver0!D1388*calibration!$I$31</f>
        <v>0</v>
      </c>
      <c r="E1388" s="3">
        <f>parking_demand_data_2024_ver0!E1388*calibration!$I$31</f>
        <v>0</v>
      </c>
      <c r="F1388" s="3">
        <f t="shared" si="21"/>
        <v>0</v>
      </c>
      <c r="G1388" s="3">
        <f>parking_demand_data_2024_ver0!F1388</f>
        <v>0</v>
      </c>
      <c r="H1388" s="3">
        <f>parking_demand_data_2024_ver0!G1388</f>
        <v>0</v>
      </c>
      <c r="I1388" s="3">
        <f>parking_demand_data_2024_ver0!H1388</f>
        <v>0</v>
      </c>
      <c r="J1388" s="3">
        <f>parking_demand_data_2024_ver0!I1388</f>
        <v>0</v>
      </c>
      <c r="K1388" s="3">
        <f>parking_demand_data_2024_ver0!J1388</f>
        <v>0</v>
      </c>
      <c r="L1388" s="3">
        <f>parking_demand_data_2024_ver0!K1388</f>
        <v>0</v>
      </c>
      <c r="M1388" s="3">
        <f>parking_demand_data_2024_ver0!L1388</f>
        <v>0</v>
      </c>
      <c r="N1388" s="3">
        <f>parking_demand_data_2024_ver0!M1388</f>
        <v>0</v>
      </c>
      <c r="O1388" s="3">
        <f>parking_demand_data_2024_ver0!N1388</f>
        <v>0</v>
      </c>
      <c r="P1388" s="3">
        <f>parking_demand_data_2024_ver0!O1388</f>
        <v>0</v>
      </c>
      <c r="Q1388" s="3">
        <f>parking_demand_data_2024_ver0!P1388</f>
        <v>0</v>
      </c>
      <c r="R1388" s="3">
        <f>parking_demand_data_2024_ver0!Q1388</f>
        <v>0</v>
      </c>
      <c r="S1388" s="3">
        <f>parking_demand_data_2024_ver0!R1388</f>
        <v>0</v>
      </c>
      <c r="T1388" s="3">
        <f>parking_demand_data_2024_ver0!S1388</f>
        <v>0</v>
      </c>
    </row>
    <row r="1389" spans="1:20" x14ac:dyDescent="0.25">
      <c r="A1389">
        <v>18115</v>
      </c>
      <c r="B1389" t="s">
        <v>86</v>
      </c>
      <c r="C1389">
        <v>19</v>
      </c>
      <c r="D1389" s="3">
        <f>parking_demand_data_2024_ver0!D1389*calibration!$I$31</f>
        <v>0</v>
      </c>
      <c r="E1389" s="3">
        <f>parking_demand_data_2024_ver0!E1389*calibration!$I$31</f>
        <v>0</v>
      </c>
      <c r="F1389" s="3">
        <f t="shared" si="21"/>
        <v>0</v>
      </c>
      <c r="G1389" s="3">
        <f>parking_demand_data_2024_ver0!F1389</f>
        <v>0</v>
      </c>
      <c r="H1389" s="3">
        <f>parking_demand_data_2024_ver0!G1389</f>
        <v>0</v>
      </c>
      <c r="I1389" s="3">
        <f>parking_demand_data_2024_ver0!H1389</f>
        <v>0</v>
      </c>
      <c r="J1389" s="3">
        <f>parking_demand_data_2024_ver0!I1389</f>
        <v>0</v>
      </c>
      <c r="K1389" s="3">
        <f>parking_demand_data_2024_ver0!J1389</f>
        <v>0</v>
      </c>
      <c r="L1389" s="3">
        <f>parking_demand_data_2024_ver0!K1389</f>
        <v>0</v>
      </c>
      <c r="M1389" s="3">
        <f>parking_demand_data_2024_ver0!L1389</f>
        <v>0</v>
      </c>
      <c r="N1389" s="3">
        <f>parking_demand_data_2024_ver0!M1389</f>
        <v>0</v>
      </c>
      <c r="O1389" s="3">
        <f>parking_demand_data_2024_ver0!N1389</f>
        <v>0</v>
      </c>
      <c r="P1389" s="3">
        <f>parking_demand_data_2024_ver0!O1389</f>
        <v>0</v>
      </c>
      <c r="Q1389" s="3">
        <f>parking_demand_data_2024_ver0!P1389</f>
        <v>0</v>
      </c>
      <c r="R1389" s="3">
        <f>parking_demand_data_2024_ver0!Q1389</f>
        <v>0</v>
      </c>
      <c r="S1389" s="3">
        <f>parking_demand_data_2024_ver0!R1389</f>
        <v>0</v>
      </c>
      <c r="T1389" s="3">
        <f>parking_demand_data_2024_ver0!S1389</f>
        <v>0</v>
      </c>
    </row>
    <row r="1390" spans="1:20" x14ac:dyDescent="0.25">
      <c r="A1390">
        <v>18115</v>
      </c>
      <c r="B1390" t="s">
        <v>86</v>
      </c>
      <c r="C1390">
        <v>20</v>
      </c>
      <c r="D1390" s="3">
        <f>parking_demand_data_2024_ver0!D1390*calibration!$I$31</f>
        <v>0</v>
      </c>
      <c r="E1390" s="3">
        <f>parking_demand_data_2024_ver0!E1390*calibration!$I$31</f>
        <v>0</v>
      </c>
      <c r="F1390" s="3">
        <f t="shared" si="21"/>
        <v>0</v>
      </c>
      <c r="G1390" s="3">
        <f>parking_demand_data_2024_ver0!F1390</f>
        <v>0</v>
      </c>
      <c r="H1390" s="3">
        <f>parking_demand_data_2024_ver0!G1390</f>
        <v>0</v>
      </c>
      <c r="I1390" s="3">
        <f>parking_demand_data_2024_ver0!H1390</f>
        <v>0</v>
      </c>
      <c r="J1390" s="3">
        <f>parking_demand_data_2024_ver0!I1390</f>
        <v>0</v>
      </c>
      <c r="K1390" s="3">
        <f>parking_demand_data_2024_ver0!J1390</f>
        <v>0</v>
      </c>
      <c r="L1390" s="3">
        <f>parking_demand_data_2024_ver0!K1390</f>
        <v>0</v>
      </c>
      <c r="M1390" s="3">
        <f>parking_demand_data_2024_ver0!L1390</f>
        <v>0</v>
      </c>
      <c r="N1390" s="3">
        <f>parking_demand_data_2024_ver0!M1390</f>
        <v>0</v>
      </c>
      <c r="O1390" s="3">
        <f>parking_demand_data_2024_ver0!N1390</f>
        <v>0</v>
      </c>
      <c r="P1390" s="3">
        <f>parking_demand_data_2024_ver0!O1390</f>
        <v>0</v>
      </c>
      <c r="Q1390" s="3">
        <f>parking_demand_data_2024_ver0!P1390</f>
        <v>0</v>
      </c>
      <c r="R1390" s="3">
        <f>parking_demand_data_2024_ver0!Q1390</f>
        <v>0</v>
      </c>
      <c r="S1390" s="3">
        <f>parking_demand_data_2024_ver0!R1390</f>
        <v>0</v>
      </c>
      <c r="T1390" s="3">
        <f>parking_demand_data_2024_ver0!S1390</f>
        <v>0</v>
      </c>
    </row>
    <row r="1391" spans="1:20" x14ac:dyDescent="0.25">
      <c r="A1391">
        <v>18115</v>
      </c>
      <c r="B1391" t="s">
        <v>86</v>
      </c>
      <c r="C1391">
        <v>21</v>
      </c>
      <c r="D1391" s="3">
        <f>parking_demand_data_2024_ver0!D1391*calibration!$I$31</f>
        <v>0</v>
      </c>
      <c r="E1391" s="3">
        <f>parking_demand_data_2024_ver0!E1391*calibration!$I$31</f>
        <v>0</v>
      </c>
      <c r="F1391" s="3">
        <f t="shared" si="21"/>
        <v>0</v>
      </c>
      <c r="G1391" s="3">
        <f>parking_demand_data_2024_ver0!F1391</f>
        <v>0</v>
      </c>
      <c r="H1391" s="3">
        <f>parking_demand_data_2024_ver0!G1391</f>
        <v>0</v>
      </c>
      <c r="I1391" s="3">
        <f>parking_demand_data_2024_ver0!H1391</f>
        <v>0</v>
      </c>
      <c r="J1391" s="3">
        <f>parking_demand_data_2024_ver0!I1391</f>
        <v>0</v>
      </c>
      <c r="K1391" s="3">
        <f>parking_demand_data_2024_ver0!J1391</f>
        <v>0</v>
      </c>
      <c r="L1391" s="3">
        <f>parking_demand_data_2024_ver0!K1391</f>
        <v>0</v>
      </c>
      <c r="M1391" s="3">
        <f>parking_demand_data_2024_ver0!L1391</f>
        <v>0</v>
      </c>
      <c r="N1391" s="3">
        <f>parking_demand_data_2024_ver0!M1391</f>
        <v>0</v>
      </c>
      <c r="O1391" s="3">
        <f>parking_demand_data_2024_ver0!N1391</f>
        <v>0</v>
      </c>
      <c r="P1391" s="3">
        <f>parking_demand_data_2024_ver0!O1391</f>
        <v>0</v>
      </c>
      <c r="Q1391" s="3">
        <f>parking_demand_data_2024_ver0!P1391</f>
        <v>0</v>
      </c>
      <c r="R1391" s="3">
        <f>parking_demand_data_2024_ver0!Q1391</f>
        <v>0</v>
      </c>
      <c r="S1391" s="3">
        <f>parking_demand_data_2024_ver0!R1391</f>
        <v>0</v>
      </c>
      <c r="T1391" s="3">
        <f>parking_demand_data_2024_ver0!S1391</f>
        <v>0</v>
      </c>
    </row>
    <row r="1392" spans="1:20" x14ac:dyDescent="0.25">
      <c r="A1392">
        <v>18115</v>
      </c>
      <c r="B1392" t="s">
        <v>86</v>
      </c>
      <c r="C1392">
        <v>22</v>
      </c>
      <c r="D1392" s="3">
        <f>parking_demand_data_2024_ver0!D1392*calibration!$I$31</f>
        <v>0</v>
      </c>
      <c r="E1392" s="3">
        <f>parking_demand_data_2024_ver0!E1392*calibration!$I$31</f>
        <v>0</v>
      </c>
      <c r="F1392" s="3">
        <f t="shared" si="21"/>
        <v>0</v>
      </c>
      <c r="G1392" s="3">
        <f>parking_demand_data_2024_ver0!F1392</f>
        <v>0</v>
      </c>
      <c r="H1392" s="3">
        <f>parking_demand_data_2024_ver0!G1392</f>
        <v>0</v>
      </c>
      <c r="I1392" s="3">
        <f>parking_demand_data_2024_ver0!H1392</f>
        <v>0</v>
      </c>
      <c r="J1392" s="3">
        <f>parking_demand_data_2024_ver0!I1392</f>
        <v>0</v>
      </c>
      <c r="K1392" s="3">
        <f>parking_demand_data_2024_ver0!J1392</f>
        <v>0</v>
      </c>
      <c r="L1392" s="3">
        <f>parking_demand_data_2024_ver0!K1392</f>
        <v>0</v>
      </c>
      <c r="M1392" s="3">
        <f>parking_demand_data_2024_ver0!L1392</f>
        <v>0</v>
      </c>
      <c r="N1392" s="3">
        <f>parking_demand_data_2024_ver0!M1392</f>
        <v>0</v>
      </c>
      <c r="O1392" s="3">
        <f>parking_demand_data_2024_ver0!N1392</f>
        <v>0</v>
      </c>
      <c r="P1392" s="3">
        <f>parking_demand_data_2024_ver0!O1392</f>
        <v>0</v>
      </c>
      <c r="Q1392" s="3">
        <f>parking_demand_data_2024_ver0!P1392</f>
        <v>0</v>
      </c>
      <c r="R1392" s="3">
        <f>parking_demand_data_2024_ver0!Q1392</f>
        <v>0</v>
      </c>
      <c r="S1392" s="3">
        <f>parking_demand_data_2024_ver0!R1392</f>
        <v>0</v>
      </c>
      <c r="T1392" s="3">
        <f>parking_demand_data_2024_ver0!S1392</f>
        <v>0</v>
      </c>
    </row>
    <row r="1393" spans="1:20" x14ac:dyDescent="0.25">
      <c r="A1393">
        <v>18115</v>
      </c>
      <c r="B1393" t="s">
        <v>86</v>
      </c>
      <c r="C1393">
        <v>23</v>
      </c>
      <c r="D1393" s="3">
        <f>parking_demand_data_2024_ver0!D1393*calibration!$I$31</f>
        <v>0</v>
      </c>
      <c r="E1393" s="3">
        <f>parking_demand_data_2024_ver0!E1393*calibration!$I$31</f>
        <v>0</v>
      </c>
      <c r="F1393" s="3">
        <f t="shared" si="21"/>
        <v>0</v>
      </c>
      <c r="G1393" s="3">
        <f>parking_demand_data_2024_ver0!F1393</f>
        <v>0</v>
      </c>
      <c r="H1393" s="3">
        <f>parking_demand_data_2024_ver0!G1393</f>
        <v>0</v>
      </c>
      <c r="I1393" s="3">
        <f>parking_demand_data_2024_ver0!H1393</f>
        <v>0</v>
      </c>
      <c r="J1393" s="3">
        <f>parking_demand_data_2024_ver0!I1393</f>
        <v>0</v>
      </c>
      <c r="K1393" s="3">
        <f>parking_demand_data_2024_ver0!J1393</f>
        <v>0</v>
      </c>
      <c r="L1393" s="3">
        <f>parking_demand_data_2024_ver0!K1393</f>
        <v>0</v>
      </c>
      <c r="M1393" s="3">
        <f>parking_demand_data_2024_ver0!L1393</f>
        <v>0</v>
      </c>
      <c r="N1393" s="3">
        <f>parking_demand_data_2024_ver0!M1393</f>
        <v>0</v>
      </c>
      <c r="O1393" s="3">
        <f>parking_demand_data_2024_ver0!N1393</f>
        <v>0</v>
      </c>
      <c r="P1393" s="3">
        <f>parking_demand_data_2024_ver0!O1393</f>
        <v>0</v>
      </c>
      <c r="Q1393" s="3">
        <f>parking_demand_data_2024_ver0!P1393</f>
        <v>0</v>
      </c>
      <c r="R1393" s="3">
        <f>parking_demand_data_2024_ver0!Q1393</f>
        <v>0</v>
      </c>
      <c r="S1393" s="3">
        <f>parking_demand_data_2024_ver0!R1393</f>
        <v>0</v>
      </c>
      <c r="T1393" s="3">
        <f>parking_demand_data_2024_ver0!S1393</f>
        <v>0</v>
      </c>
    </row>
    <row r="1394" spans="1:20" x14ac:dyDescent="0.25">
      <c r="A1394">
        <v>18117</v>
      </c>
      <c r="B1394" t="s">
        <v>87</v>
      </c>
      <c r="C1394">
        <v>0</v>
      </c>
      <c r="D1394" s="3">
        <f>parking_demand_data_2024_ver0!D1394*calibration!$I$31</f>
        <v>1.2702917561481499</v>
      </c>
      <c r="E1394" s="3">
        <f>parking_demand_data_2024_ver0!E1394*calibration!$I$31</f>
        <v>7.4723044479303405E-2</v>
      </c>
      <c r="F1394" s="3">
        <f t="shared" si="21"/>
        <v>1.3450148006274534</v>
      </c>
      <c r="G1394" s="3">
        <f>parking_demand_data_2024_ver0!F1394</f>
        <v>1</v>
      </c>
      <c r="H1394" s="3">
        <f>parking_demand_data_2024_ver0!G1394</f>
        <v>0</v>
      </c>
      <c r="I1394" s="3">
        <f>parking_demand_data_2024_ver0!H1394</f>
        <v>0</v>
      </c>
      <c r="J1394" s="3">
        <f>parking_demand_data_2024_ver0!I1394</f>
        <v>1</v>
      </c>
      <c r="K1394" s="3">
        <f>parking_demand_data_2024_ver0!J1394</f>
        <v>0</v>
      </c>
      <c r="L1394" s="3">
        <f>parking_demand_data_2024_ver0!K1394</f>
        <v>0</v>
      </c>
      <c r="M1394" s="3">
        <f>parking_demand_data_2024_ver0!L1394</f>
        <v>0</v>
      </c>
      <c r="N1394" s="3">
        <f>parking_demand_data_2024_ver0!M1394</f>
        <v>8</v>
      </c>
      <c r="O1394" s="3">
        <f>parking_demand_data_2024_ver0!N1394</f>
        <v>0</v>
      </c>
      <c r="P1394" s="3">
        <f>parking_demand_data_2024_ver0!O1394</f>
        <v>0</v>
      </c>
      <c r="Q1394" s="3">
        <f>parking_demand_data_2024_ver0!P1394</f>
        <v>8</v>
      </c>
      <c r="R1394" s="3">
        <f>parking_demand_data_2024_ver0!Q1394</f>
        <v>0</v>
      </c>
      <c r="S1394" s="3">
        <f>parking_demand_data_2024_ver0!R1394</f>
        <v>0</v>
      </c>
      <c r="T1394" s="3">
        <f>parking_demand_data_2024_ver0!S1394</f>
        <v>0</v>
      </c>
    </row>
    <row r="1395" spans="1:20" x14ac:dyDescent="0.25">
      <c r="A1395">
        <v>18117</v>
      </c>
      <c r="B1395" t="s">
        <v>87</v>
      </c>
      <c r="C1395">
        <v>1</v>
      </c>
      <c r="D1395" s="3">
        <f>parking_demand_data_2024_ver0!D1395*calibration!$I$31</f>
        <v>1.2702917561481499</v>
      </c>
      <c r="E1395" s="3">
        <f>parking_demand_data_2024_ver0!E1395*calibration!$I$31</f>
        <v>7.4723044479303405E-2</v>
      </c>
      <c r="F1395" s="3">
        <f t="shared" si="21"/>
        <v>1.3450148006274534</v>
      </c>
      <c r="G1395" s="3">
        <f>parking_demand_data_2024_ver0!F1395</f>
        <v>1</v>
      </c>
      <c r="H1395" s="3">
        <f>parking_demand_data_2024_ver0!G1395</f>
        <v>0</v>
      </c>
      <c r="I1395" s="3">
        <f>parking_demand_data_2024_ver0!H1395</f>
        <v>0</v>
      </c>
      <c r="J1395" s="3">
        <f>parking_demand_data_2024_ver0!I1395</f>
        <v>1</v>
      </c>
      <c r="K1395" s="3">
        <f>parking_demand_data_2024_ver0!J1395</f>
        <v>0</v>
      </c>
      <c r="L1395" s="3">
        <f>parking_demand_data_2024_ver0!K1395</f>
        <v>0</v>
      </c>
      <c r="M1395" s="3">
        <f>parking_demand_data_2024_ver0!L1395</f>
        <v>0</v>
      </c>
      <c r="N1395" s="3">
        <f>parking_demand_data_2024_ver0!M1395</f>
        <v>8</v>
      </c>
      <c r="O1395" s="3">
        <f>parking_demand_data_2024_ver0!N1395</f>
        <v>0</v>
      </c>
      <c r="P1395" s="3">
        <f>parking_demand_data_2024_ver0!O1395</f>
        <v>0</v>
      </c>
      <c r="Q1395" s="3">
        <f>parking_demand_data_2024_ver0!P1395</f>
        <v>8</v>
      </c>
      <c r="R1395" s="3">
        <f>parking_demand_data_2024_ver0!Q1395</f>
        <v>0</v>
      </c>
      <c r="S1395" s="3">
        <f>parking_demand_data_2024_ver0!R1395</f>
        <v>0</v>
      </c>
      <c r="T1395" s="3">
        <f>parking_demand_data_2024_ver0!S1395</f>
        <v>0</v>
      </c>
    </row>
    <row r="1396" spans="1:20" x14ac:dyDescent="0.25">
      <c r="A1396">
        <v>18117</v>
      </c>
      <c r="B1396" t="s">
        <v>87</v>
      </c>
      <c r="C1396">
        <v>2</v>
      </c>
      <c r="D1396" s="3">
        <f>parking_demand_data_2024_ver0!D1396*calibration!$I$31</f>
        <v>1.2702917561481499</v>
      </c>
      <c r="E1396" s="3">
        <f>parking_demand_data_2024_ver0!E1396*calibration!$I$31</f>
        <v>0.112084566718955</v>
      </c>
      <c r="F1396" s="3">
        <f t="shared" si="21"/>
        <v>1.3823763228671049</v>
      </c>
      <c r="G1396" s="3">
        <f>parking_demand_data_2024_ver0!F1396</f>
        <v>1</v>
      </c>
      <c r="H1396" s="3">
        <f>parking_demand_data_2024_ver0!G1396</f>
        <v>0</v>
      </c>
      <c r="I1396" s="3">
        <f>parking_demand_data_2024_ver0!H1396</f>
        <v>0</v>
      </c>
      <c r="J1396" s="3">
        <f>parking_demand_data_2024_ver0!I1396</f>
        <v>1</v>
      </c>
      <c r="K1396" s="3">
        <f>parking_demand_data_2024_ver0!J1396</f>
        <v>0</v>
      </c>
      <c r="L1396" s="3">
        <f>parking_demand_data_2024_ver0!K1396</f>
        <v>0</v>
      </c>
      <c r="M1396" s="3">
        <f>parking_demand_data_2024_ver0!L1396</f>
        <v>0</v>
      </c>
      <c r="N1396" s="3">
        <f>parking_demand_data_2024_ver0!M1396</f>
        <v>8</v>
      </c>
      <c r="O1396" s="3">
        <f>parking_demand_data_2024_ver0!N1396</f>
        <v>0</v>
      </c>
      <c r="P1396" s="3">
        <f>parking_demand_data_2024_ver0!O1396</f>
        <v>0</v>
      </c>
      <c r="Q1396" s="3">
        <f>parking_demand_data_2024_ver0!P1396</f>
        <v>8</v>
      </c>
      <c r="R1396" s="3">
        <f>parking_demand_data_2024_ver0!Q1396</f>
        <v>0</v>
      </c>
      <c r="S1396" s="3">
        <f>parking_demand_data_2024_ver0!R1396</f>
        <v>0</v>
      </c>
      <c r="T1396" s="3">
        <f>parking_demand_data_2024_ver0!S1396</f>
        <v>0</v>
      </c>
    </row>
    <row r="1397" spans="1:20" x14ac:dyDescent="0.25">
      <c r="A1397">
        <v>18117</v>
      </c>
      <c r="B1397" t="s">
        <v>87</v>
      </c>
      <c r="C1397">
        <v>3</v>
      </c>
      <c r="D1397" s="3">
        <f>parking_demand_data_2024_ver0!D1397*calibration!$I$31</f>
        <v>1.3076532783878101</v>
      </c>
      <c r="E1397" s="3">
        <f>parking_demand_data_2024_ver0!E1397*calibration!$I$31</f>
        <v>0.112084566718955</v>
      </c>
      <c r="F1397" s="3">
        <f t="shared" si="21"/>
        <v>1.419737845106765</v>
      </c>
      <c r="G1397" s="3">
        <f>parking_demand_data_2024_ver0!F1397</f>
        <v>1</v>
      </c>
      <c r="H1397" s="3">
        <f>parking_demand_data_2024_ver0!G1397</f>
        <v>0</v>
      </c>
      <c r="I1397" s="3">
        <f>parking_demand_data_2024_ver0!H1397</f>
        <v>0</v>
      </c>
      <c r="J1397" s="3">
        <f>parking_demand_data_2024_ver0!I1397</f>
        <v>1</v>
      </c>
      <c r="K1397" s="3">
        <f>parking_demand_data_2024_ver0!J1397</f>
        <v>0</v>
      </c>
      <c r="L1397" s="3">
        <f>parking_demand_data_2024_ver0!K1397</f>
        <v>0</v>
      </c>
      <c r="M1397" s="3">
        <f>parking_demand_data_2024_ver0!L1397</f>
        <v>0</v>
      </c>
      <c r="N1397" s="3">
        <f>parking_demand_data_2024_ver0!M1397</f>
        <v>8</v>
      </c>
      <c r="O1397" s="3">
        <f>parking_demand_data_2024_ver0!N1397</f>
        <v>0</v>
      </c>
      <c r="P1397" s="3">
        <f>parking_demand_data_2024_ver0!O1397</f>
        <v>0</v>
      </c>
      <c r="Q1397" s="3">
        <f>parking_demand_data_2024_ver0!P1397</f>
        <v>8</v>
      </c>
      <c r="R1397" s="3">
        <f>parking_demand_data_2024_ver0!Q1397</f>
        <v>0</v>
      </c>
      <c r="S1397" s="3">
        <f>parking_demand_data_2024_ver0!R1397</f>
        <v>0</v>
      </c>
      <c r="T1397" s="3">
        <f>parking_demand_data_2024_ver0!S1397</f>
        <v>0</v>
      </c>
    </row>
    <row r="1398" spans="1:20" x14ac:dyDescent="0.25">
      <c r="A1398">
        <v>18117</v>
      </c>
      <c r="B1398" t="s">
        <v>87</v>
      </c>
      <c r="C1398">
        <v>4</v>
      </c>
      <c r="D1398" s="3">
        <f>parking_demand_data_2024_ver0!D1398*calibration!$I$31</f>
        <v>2.91419873469283</v>
      </c>
      <c r="E1398" s="3">
        <f>parking_demand_data_2024_ver0!E1398*calibration!$I$31</f>
        <v>0.112084566718955</v>
      </c>
      <c r="F1398" s="3">
        <f t="shared" si="21"/>
        <v>3.0262833014117851</v>
      </c>
      <c r="G1398" s="3">
        <f>parking_demand_data_2024_ver0!F1398</f>
        <v>1</v>
      </c>
      <c r="H1398" s="3">
        <f>parking_demand_data_2024_ver0!G1398</f>
        <v>0</v>
      </c>
      <c r="I1398" s="3">
        <f>parking_demand_data_2024_ver0!H1398</f>
        <v>0</v>
      </c>
      <c r="J1398" s="3">
        <f>parking_demand_data_2024_ver0!I1398</f>
        <v>1</v>
      </c>
      <c r="K1398" s="3">
        <f>parking_demand_data_2024_ver0!J1398</f>
        <v>0</v>
      </c>
      <c r="L1398" s="3">
        <f>parking_demand_data_2024_ver0!K1398</f>
        <v>0</v>
      </c>
      <c r="M1398" s="3">
        <f>parking_demand_data_2024_ver0!L1398</f>
        <v>0</v>
      </c>
      <c r="N1398" s="3">
        <f>parking_demand_data_2024_ver0!M1398</f>
        <v>8</v>
      </c>
      <c r="O1398" s="3">
        <f>parking_demand_data_2024_ver0!N1398</f>
        <v>0</v>
      </c>
      <c r="P1398" s="3">
        <f>parking_demand_data_2024_ver0!O1398</f>
        <v>0</v>
      </c>
      <c r="Q1398" s="3">
        <f>parking_demand_data_2024_ver0!P1398</f>
        <v>8</v>
      </c>
      <c r="R1398" s="3">
        <f>parking_demand_data_2024_ver0!Q1398</f>
        <v>0</v>
      </c>
      <c r="S1398" s="3">
        <f>parking_demand_data_2024_ver0!R1398</f>
        <v>0</v>
      </c>
      <c r="T1398" s="3">
        <f>parking_demand_data_2024_ver0!S1398</f>
        <v>0</v>
      </c>
    </row>
    <row r="1399" spans="1:20" x14ac:dyDescent="0.25">
      <c r="A1399">
        <v>18117</v>
      </c>
      <c r="B1399" t="s">
        <v>87</v>
      </c>
      <c r="C1399">
        <v>5</v>
      </c>
      <c r="D1399" s="3">
        <f>parking_demand_data_2024_ver0!D1399*calibration!$I$31</f>
        <v>3.9976828796427299</v>
      </c>
      <c r="E1399" s="3">
        <f>parking_demand_data_2024_ver0!E1399*calibration!$I$31</f>
        <v>1.2329302339085</v>
      </c>
      <c r="F1399" s="3">
        <f t="shared" si="21"/>
        <v>5.2306131135512297</v>
      </c>
      <c r="G1399" s="3">
        <f>parking_demand_data_2024_ver0!F1399</f>
        <v>1</v>
      </c>
      <c r="H1399" s="3">
        <f>parking_demand_data_2024_ver0!G1399</f>
        <v>0</v>
      </c>
      <c r="I1399" s="3">
        <f>parking_demand_data_2024_ver0!H1399</f>
        <v>0</v>
      </c>
      <c r="J1399" s="3">
        <f>parking_demand_data_2024_ver0!I1399</f>
        <v>1</v>
      </c>
      <c r="K1399" s="3">
        <f>parking_demand_data_2024_ver0!J1399</f>
        <v>0</v>
      </c>
      <c r="L1399" s="3">
        <f>parking_demand_data_2024_ver0!K1399</f>
        <v>0</v>
      </c>
      <c r="M1399" s="3">
        <f>parking_demand_data_2024_ver0!L1399</f>
        <v>0</v>
      </c>
      <c r="N1399" s="3">
        <f>parking_demand_data_2024_ver0!M1399</f>
        <v>8</v>
      </c>
      <c r="O1399" s="3">
        <f>parking_demand_data_2024_ver0!N1399</f>
        <v>0</v>
      </c>
      <c r="P1399" s="3">
        <f>parking_demand_data_2024_ver0!O1399</f>
        <v>0</v>
      </c>
      <c r="Q1399" s="3">
        <f>parking_demand_data_2024_ver0!P1399</f>
        <v>8</v>
      </c>
      <c r="R1399" s="3">
        <f>parking_demand_data_2024_ver0!Q1399</f>
        <v>0</v>
      </c>
      <c r="S1399" s="3">
        <f>parking_demand_data_2024_ver0!R1399</f>
        <v>0</v>
      </c>
      <c r="T1399" s="3">
        <f>parking_demand_data_2024_ver0!S1399</f>
        <v>0</v>
      </c>
    </row>
    <row r="1400" spans="1:20" x14ac:dyDescent="0.25">
      <c r="A1400">
        <v>18117</v>
      </c>
      <c r="B1400" t="s">
        <v>87</v>
      </c>
      <c r="C1400">
        <v>6</v>
      </c>
      <c r="D1400" s="3">
        <f>parking_demand_data_2024_ver0!D1400*calibration!$I$31</f>
        <v>5.00644398011333</v>
      </c>
      <c r="E1400" s="3">
        <f>parking_demand_data_2024_ver0!E1400*calibration!$I$31</f>
        <v>2.2790528566187498</v>
      </c>
      <c r="F1400" s="3">
        <f t="shared" si="21"/>
        <v>7.2854968367320794</v>
      </c>
      <c r="G1400" s="3">
        <f>parking_demand_data_2024_ver0!F1400</f>
        <v>1</v>
      </c>
      <c r="H1400" s="3">
        <f>parking_demand_data_2024_ver0!G1400</f>
        <v>0</v>
      </c>
      <c r="I1400" s="3">
        <f>parking_demand_data_2024_ver0!H1400</f>
        <v>0</v>
      </c>
      <c r="J1400" s="3">
        <f>parking_demand_data_2024_ver0!I1400</f>
        <v>1</v>
      </c>
      <c r="K1400" s="3">
        <f>parking_demand_data_2024_ver0!J1400</f>
        <v>0</v>
      </c>
      <c r="L1400" s="3">
        <f>parking_demand_data_2024_ver0!K1400</f>
        <v>0</v>
      </c>
      <c r="M1400" s="3">
        <f>parking_demand_data_2024_ver0!L1400</f>
        <v>0</v>
      </c>
      <c r="N1400" s="3">
        <f>parking_demand_data_2024_ver0!M1400</f>
        <v>8</v>
      </c>
      <c r="O1400" s="3">
        <f>parking_demand_data_2024_ver0!N1400</f>
        <v>0</v>
      </c>
      <c r="P1400" s="3">
        <f>parking_demand_data_2024_ver0!O1400</f>
        <v>0</v>
      </c>
      <c r="Q1400" s="3">
        <f>parking_demand_data_2024_ver0!P1400</f>
        <v>8</v>
      </c>
      <c r="R1400" s="3">
        <f>parking_demand_data_2024_ver0!Q1400</f>
        <v>0</v>
      </c>
      <c r="S1400" s="3">
        <f>parking_demand_data_2024_ver0!R1400</f>
        <v>0</v>
      </c>
      <c r="T1400" s="3">
        <f>parking_demand_data_2024_ver0!S1400</f>
        <v>0</v>
      </c>
    </row>
    <row r="1401" spans="1:20" x14ac:dyDescent="0.25">
      <c r="A1401">
        <v>18117</v>
      </c>
      <c r="B1401" t="s">
        <v>87</v>
      </c>
      <c r="C1401">
        <v>7</v>
      </c>
      <c r="D1401" s="3">
        <f>parking_demand_data_2024_ver0!D1401*calibration!$I$31</f>
        <v>3.8855983129237801</v>
      </c>
      <c r="E1401" s="3">
        <f>parking_demand_data_2024_ver0!E1401*calibration!$I$31</f>
        <v>2.3164143788584002</v>
      </c>
      <c r="F1401" s="3">
        <f t="shared" si="21"/>
        <v>6.2020126917821798</v>
      </c>
      <c r="G1401" s="3">
        <f>parking_demand_data_2024_ver0!F1401</f>
        <v>1</v>
      </c>
      <c r="H1401" s="3">
        <f>parking_demand_data_2024_ver0!G1401</f>
        <v>0</v>
      </c>
      <c r="I1401" s="3">
        <f>parking_demand_data_2024_ver0!H1401</f>
        <v>0</v>
      </c>
      <c r="J1401" s="3">
        <f>parking_demand_data_2024_ver0!I1401</f>
        <v>1</v>
      </c>
      <c r="K1401" s="3">
        <f>parking_demand_data_2024_ver0!J1401</f>
        <v>0</v>
      </c>
      <c r="L1401" s="3">
        <f>parking_demand_data_2024_ver0!K1401</f>
        <v>0</v>
      </c>
      <c r="M1401" s="3">
        <f>parking_demand_data_2024_ver0!L1401</f>
        <v>0</v>
      </c>
      <c r="N1401" s="3">
        <f>parking_demand_data_2024_ver0!M1401</f>
        <v>8</v>
      </c>
      <c r="O1401" s="3">
        <f>parking_demand_data_2024_ver0!N1401</f>
        <v>0</v>
      </c>
      <c r="P1401" s="3">
        <f>parking_demand_data_2024_ver0!O1401</f>
        <v>0</v>
      </c>
      <c r="Q1401" s="3">
        <f>parking_demand_data_2024_ver0!P1401</f>
        <v>8</v>
      </c>
      <c r="R1401" s="3">
        <f>parking_demand_data_2024_ver0!Q1401</f>
        <v>0</v>
      </c>
      <c r="S1401" s="3">
        <f>parking_demand_data_2024_ver0!R1401</f>
        <v>0</v>
      </c>
      <c r="T1401" s="3">
        <f>parking_demand_data_2024_ver0!S1401</f>
        <v>0</v>
      </c>
    </row>
    <row r="1402" spans="1:20" x14ac:dyDescent="0.25">
      <c r="A1402">
        <v>18117</v>
      </c>
      <c r="B1402" t="s">
        <v>87</v>
      </c>
      <c r="C1402">
        <v>8</v>
      </c>
      <c r="D1402" s="3">
        <f>parking_demand_data_2024_ver0!D1402*calibration!$I$31</f>
        <v>3.1383678681307399</v>
      </c>
      <c r="E1402" s="3">
        <f>parking_demand_data_2024_ver0!E1402*calibration!$I$31</f>
        <v>2.0175222009411899</v>
      </c>
      <c r="F1402" s="3">
        <f t="shared" si="21"/>
        <v>5.1558900690719298</v>
      </c>
      <c r="G1402" s="3">
        <f>parking_demand_data_2024_ver0!F1402</f>
        <v>1</v>
      </c>
      <c r="H1402" s="3">
        <f>parking_demand_data_2024_ver0!G1402</f>
        <v>0</v>
      </c>
      <c r="I1402" s="3">
        <f>parking_demand_data_2024_ver0!H1402</f>
        <v>0</v>
      </c>
      <c r="J1402" s="3">
        <f>parking_demand_data_2024_ver0!I1402</f>
        <v>1</v>
      </c>
      <c r="K1402" s="3">
        <f>parking_demand_data_2024_ver0!J1402</f>
        <v>0</v>
      </c>
      <c r="L1402" s="3">
        <f>parking_demand_data_2024_ver0!K1402</f>
        <v>0</v>
      </c>
      <c r="M1402" s="3">
        <f>parking_demand_data_2024_ver0!L1402</f>
        <v>0</v>
      </c>
      <c r="N1402" s="3">
        <f>parking_demand_data_2024_ver0!M1402</f>
        <v>8</v>
      </c>
      <c r="O1402" s="3">
        <f>parking_demand_data_2024_ver0!N1402</f>
        <v>0</v>
      </c>
      <c r="P1402" s="3">
        <f>parking_demand_data_2024_ver0!O1402</f>
        <v>0</v>
      </c>
      <c r="Q1402" s="3">
        <f>parking_demand_data_2024_ver0!P1402</f>
        <v>8</v>
      </c>
      <c r="R1402" s="3">
        <f>parking_demand_data_2024_ver0!Q1402</f>
        <v>0</v>
      </c>
      <c r="S1402" s="3">
        <f>parking_demand_data_2024_ver0!R1402</f>
        <v>0</v>
      </c>
      <c r="T1402" s="3">
        <f>parking_demand_data_2024_ver0!S1402</f>
        <v>0</v>
      </c>
    </row>
    <row r="1403" spans="1:20" x14ac:dyDescent="0.25">
      <c r="A1403">
        <v>18117</v>
      </c>
      <c r="B1403" t="s">
        <v>87</v>
      </c>
      <c r="C1403">
        <v>9</v>
      </c>
      <c r="D1403" s="3">
        <f>parking_demand_data_2024_ver0!D1403*calibration!$I$31</f>
        <v>3.06364482365144</v>
      </c>
      <c r="E1403" s="3">
        <f>parking_demand_data_2024_ver0!E1403*calibration!$I$31</f>
        <v>2.2790528566187498</v>
      </c>
      <c r="F1403" s="3">
        <f t="shared" si="21"/>
        <v>5.3426976802701898</v>
      </c>
      <c r="G1403" s="3">
        <f>parking_demand_data_2024_ver0!F1403</f>
        <v>1</v>
      </c>
      <c r="H1403" s="3">
        <f>parking_demand_data_2024_ver0!G1403</f>
        <v>0</v>
      </c>
      <c r="I1403" s="3">
        <f>parking_demand_data_2024_ver0!H1403</f>
        <v>0</v>
      </c>
      <c r="J1403" s="3">
        <f>parking_demand_data_2024_ver0!I1403</f>
        <v>1</v>
      </c>
      <c r="K1403" s="3">
        <f>parking_demand_data_2024_ver0!J1403</f>
        <v>0</v>
      </c>
      <c r="L1403" s="3">
        <f>parking_demand_data_2024_ver0!K1403</f>
        <v>0</v>
      </c>
      <c r="M1403" s="3">
        <f>parking_demand_data_2024_ver0!L1403</f>
        <v>0</v>
      </c>
      <c r="N1403" s="3">
        <f>parking_demand_data_2024_ver0!M1403</f>
        <v>8</v>
      </c>
      <c r="O1403" s="3">
        <f>parking_demand_data_2024_ver0!N1403</f>
        <v>0</v>
      </c>
      <c r="P1403" s="3">
        <f>parking_demand_data_2024_ver0!O1403</f>
        <v>0</v>
      </c>
      <c r="Q1403" s="3">
        <f>parking_demand_data_2024_ver0!P1403</f>
        <v>8</v>
      </c>
      <c r="R1403" s="3">
        <f>parking_demand_data_2024_ver0!Q1403</f>
        <v>0</v>
      </c>
      <c r="S1403" s="3">
        <f>parking_demand_data_2024_ver0!R1403</f>
        <v>0</v>
      </c>
      <c r="T1403" s="3">
        <f>parking_demand_data_2024_ver0!S1403</f>
        <v>0</v>
      </c>
    </row>
    <row r="1404" spans="1:20" x14ac:dyDescent="0.25">
      <c r="A1404">
        <v>18117</v>
      </c>
      <c r="B1404" t="s">
        <v>87</v>
      </c>
      <c r="C1404">
        <v>10</v>
      </c>
      <c r="D1404" s="3">
        <f>parking_demand_data_2024_ver0!D1404*calibration!$I$31</f>
        <v>1.98016067870154</v>
      </c>
      <c r="E1404" s="3">
        <f>parking_demand_data_2024_ver0!E1404*calibration!$I$31</f>
        <v>2.4284989455773598</v>
      </c>
      <c r="F1404" s="3">
        <f t="shared" si="21"/>
        <v>4.4086596242788998</v>
      </c>
      <c r="G1404" s="3">
        <f>parking_demand_data_2024_ver0!F1404</f>
        <v>1</v>
      </c>
      <c r="H1404" s="3">
        <f>parking_demand_data_2024_ver0!G1404</f>
        <v>0</v>
      </c>
      <c r="I1404" s="3">
        <f>parking_demand_data_2024_ver0!H1404</f>
        <v>0</v>
      </c>
      <c r="J1404" s="3">
        <f>parking_demand_data_2024_ver0!I1404</f>
        <v>1</v>
      </c>
      <c r="K1404" s="3">
        <f>parking_demand_data_2024_ver0!J1404</f>
        <v>0</v>
      </c>
      <c r="L1404" s="3">
        <f>parking_demand_data_2024_ver0!K1404</f>
        <v>0</v>
      </c>
      <c r="M1404" s="3">
        <f>parking_demand_data_2024_ver0!L1404</f>
        <v>0</v>
      </c>
      <c r="N1404" s="3">
        <f>parking_demand_data_2024_ver0!M1404</f>
        <v>8</v>
      </c>
      <c r="O1404" s="3">
        <f>parking_demand_data_2024_ver0!N1404</f>
        <v>0</v>
      </c>
      <c r="P1404" s="3">
        <f>parking_demand_data_2024_ver0!O1404</f>
        <v>0</v>
      </c>
      <c r="Q1404" s="3">
        <f>parking_demand_data_2024_ver0!P1404</f>
        <v>8</v>
      </c>
      <c r="R1404" s="3">
        <f>parking_demand_data_2024_ver0!Q1404</f>
        <v>0</v>
      </c>
      <c r="S1404" s="3">
        <f>parking_demand_data_2024_ver0!R1404</f>
        <v>0</v>
      </c>
      <c r="T1404" s="3">
        <f>parking_demand_data_2024_ver0!S1404</f>
        <v>0</v>
      </c>
    </row>
    <row r="1405" spans="1:20" x14ac:dyDescent="0.25">
      <c r="A1405">
        <v>18117</v>
      </c>
      <c r="B1405" t="s">
        <v>87</v>
      </c>
      <c r="C1405">
        <v>11</v>
      </c>
      <c r="D1405" s="3">
        <f>parking_demand_data_2024_ver0!D1405*calibration!$I$31</f>
        <v>1.4570993673464101</v>
      </c>
      <c r="E1405" s="3">
        <f>parking_demand_data_2024_ver0!E1405*calibration!$I$31</f>
        <v>3.02628330141179</v>
      </c>
      <c r="F1405" s="3">
        <f t="shared" si="21"/>
        <v>4.4833826687581997</v>
      </c>
      <c r="G1405" s="3">
        <f>parking_demand_data_2024_ver0!F1405</f>
        <v>1</v>
      </c>
      <c r="H1405" s="3">
        <f>parking_demand_data_2024_ver0!G1405</f>
        <v>0</v>
      </c>
      <c r="I1405" s="3">
        <f>parking_demand_data_2024_ver0!H1405</f>
        <v>0</v>
      </c>
      <c r="J1405" s="3">
        <f>parking_demand_data_2024_ver0!I1405</f>
        <v>1</v>
      </c>
      <c r="K1405" s="3">
        <f>parking_demand_data_2024_ver0!J1405</f>
        <v>0</v>
      </c>
      <c r="L1405" s="3">
        <f>parking_demand_data_2024_ver0!K1405</f>
        <v>0</v>
      </c>
      <c r="M1405" s="3">
        <f>parking_demand_data_2024_ver0!L1405</f>
        <v>0</v>
      </c>
      <c r="N1405" s="3">
        <f>parking_demand_data_2024_ver0!M1405</f>
        <v>8</v>
      </c>
      <c r="O1405" s="3">
        <f>parking_demand_data_2024_ver0!N1405</f>
        <v>0</v>
      </c>
      <c r="P1405" s="3">
        <f>parking_demand_data_2024_ver0!O1405</f>
        <v>0</v>
      </c>
      <c r="Q1405" s="3">
        <f>parking_demand_data_2024_ver0!P1405</f>
        <v>8</v>
      </c>
      <c r="R1405" s="3">
        <f>parking_demand_data_2024_ver0!Q1405</f>
        <v>0</v>
      </c>
      <c r="S1405" s="3">
        <f>parking_demand_data_2024_ver0!R1405</f>
        <v>0</v>
      </c>
      <c r="T1405" s="3">
        <f>parking_demand_data_2024_ver0!S1405</f>
        <v>0</v>
      </c>
    </row>
    <row r="1406" spans="1:20" x14ac:dyDescent="0.25">
      <c r="A1406">
        <v>18117</v>
      </c>
      <c r="B1406" t="s">
        <v>87</v>
      </c>
      <c r="C1406">
        <v>12</v>
      </c>
      <c r="D1406" s="3">
        <f>parking_demand_data_2024_ver0!D1406*calibration!$I$31</f>
        <v>1.4197378451067599</v>
      </c>
      <c r="E1406" s="3">
        <f>parking_demand_data_2024_ver0!E1406*calibration!$I$31</f>
        <v>2.9515602569324799</v>
      </c>
      <c r="F1406" s="3">
        <f t="shared" si="21"/>
        <v>4.3712981020392396</v>
      </c>
      <c r="G1406" s="3">
        <f>parking_demand_data_2024_ver0!F1406</f>
        <v>1</v>
      </c>
      <c r="H1406" s="3">
        <f>parking_demand_data_2024_ver0!G1406</f>
        <v>0</v>
      </c>
      <c r="I1406" s="3">
        <f>parking_demand_data_2024_ver0!H1406</f>
        <v>0</v>
      </c>
      <c r="J1406" s="3">
        <f>parking_demand_data_2024_ver0!I1406</f>
        <v>1</v>
      </c>
      <c r="K1406" s="3">
        <f>parking_demand_data_2024_ver0!J1406</f>
        <v>0</v>
      </c>
      <c r="L1406" s="3">
        <f>parking_demand_data_2024_ver0!K1406</f>
        <v>0</v>
      </c>
      <c r="M1406" s="3">
        <f>parking_demand_data_2024_ver0!L1406</f>
        <v>0</v>
      </c>
      <c r="N1406" s="3">
        <f>parking_demand_data_2024_ver0!M1406</f>
        <v>8</v>
      </c>
      <c r="O1406" s="3">
        <f>parking_demand_data_2024_ver0!N1406</f>
        <v>0</v>
      </c>
      <c r="P1406" s="3">
        <f>parking_demand_data_2024_ver0!O1406</f>
        <v>0</v>
      </c>
      <c r="Q1406" s="3">
        <f>parking_demand_data_2024_ver0!P1406</f>
        <v>8</v>
      </c>
      <c r="R1406" s="3">
        <f>parking_demand_data_2024_ver0!Q1406</f>
        <v>0</v>
      </c>
      <c r="S1406" s="3">
        <f>parking_demand_data_2024_ver0!R1406</f>
        <v>0</v>
      </c>
      <c r="T1406" s="3">
        <f>parking_demand_data_2024_ver0!S1406</f>
        <v>0</v>
      </c>
    </row>
    <row r="1407" spans="1:20" x14ac:dyDescent="0.25">
      <c r="A1407">
        <v>18117</v>
      </c>
      <c r="B1407" t="s">
        <v>87</v>
      </c>
      <c r="C1407">
        <v>13</v>
      </c>
      <c r="D1407" s="3">
        <f>parking_demand_data_2024_ver0!D1407*calibration!$I$31</f>
        <v>0.97139957823094503</v>
      </c>
      <c r="E1407" s="3">
        <f>parking_demand_data_2024_ver0!E1407*calibration!$I$31</f>
        <v>2.1296067676601398</v>
      </c>
      <c r="F1407" s="3">
        <f t="shared" si="21"/>
        <v>3.1010063458910846</v>
      </c>
      <c r="G1407" s="3">
        <f>parking_demand_data_2024_ver0!F1407</f>
        <v>1</v>
      </c>
      <c r="H1407" s="3">
        <f>parking_demand_data_2024_ver0!G1407</f>
        <v>0</v>
      </c>
      <c r="I1407" s="3">
        <f>parking_demand_data_2024_ver0!H1407</f>
        <v>0</v>
      </c>
      <c r="J1407" s="3">
        <f>parking_demand_data_2024_ver0!I1407</f>
        <v>1</v>
      </c>
      <c r="K1407" s="3">
        <f>parking_demand_data_2024_ver0!J1407</f>
        <v>0</v>
      </c>
      <c r="L1407" s="3">
        <f>parking_demand_data_2024_ver0!K1407</f>
        <v>0</v>
      </c>
      <c r="M1407" s="3">
        <f>parking_demand_data_2024_ver0!L1407</f>
        <v>0</v>
      </c>
      <c r="N1407" s="3">
        <f>parking_demand_data_2024_ver0!M1407</f>
        <v>8</v>
      </c>
      <c r="O1407" s="3">
        <f>parking_demand_data_2024_ver0!N1407</f>
        <v>0</v>
      </c>
      <c r="P1407" s="3">
        <f>parking_demand_data_2024_ver0!O1407</f>
        <v>0</v>
      </c>
      <c r="Q1407" s="3">
        <f>parking_demand_data_2024_ver0!P1407</f>
        <v>8</v>
      </c>
      <c r="R1407" s="3">
        <f>parking_demand_data_2024_ver0!Q1407</f>
        <v>0</v>
      </c>
      <c r="S1407" s="3">
        <f>parking_demand_data_2024_ver0!R1407</f>
        <v>0</v>
      </c>
      <c r="T1407" s="3">
        <f>parking_demand_data_2024_ver0!S1407</f>
        <v>0</v>
      </c>
    </row>
    <row r="1408" spans="1:20" x14ac:dyDescent="0.25">
      <c r="A1408">
        <v>18117</v>
      </c>
      <c r="B1408" t="s">
        <v>87</v>
      </c>
      <c r="C1408">
        <v>14</v>
      </c>
      <c r="D1408" s="3">
        <f>parking_demand_data_2024_ver0!D1408*calibration!$I$31</f>
        <v>1.2702917561481499</v>
      </c>
      <c r="E1408" s="3">
        <f>parking_demand_data_2024_ver0!E1408*calibration!$I$31</f>
        <v>0.56042283359477596</v>
      </c>
      <c r="F1408" s="3">
        <f t="shared" si="21"/>
        <v>1.830714589742926</v>
      </c>
      <c r="G1408" s="3">
        <f>parking_demand_data_2024_ver0!F1408</f>
        <v>1</v>
      </c>
      <c r="H1408" s="3">
        <f>parking_demand_data_2024_ver0!G1408</f>
        <v>0</v>
      </c>
      <c r="I1408" s="3">
        <f>parking_demand_data_2024_ver0!H1408</f>
        <v>0</v>
      </c>
      <c r="J1408" s="3">
        <f>parking_demand_data_2024_ver0!I1408</f>
        <v>1</v>
      </c>
      <c r="K1408" s="3">
        <f>parking_demand_data_2024_ver0!J1408</f>
        <v>0</v>
      </c>
      <c r="L1408" s="3">
        <f>parking_demand_data_2024_ver0!K1408</f>
        <v>0</v>
      </c>
      <c r="M1408" s="3">
        <f>parking_demand_data_2024_ver0!L1408</f>
        <v>0</v>
      </c>
      <c r="N1408" s="3">
        <f>parking_demand_data_2024_ver0!M1408</f>
        <v>8</v>
      </c>
      <c r="O1408" s="3">
        <f>parking_demand_data_2024_ver0!N1408</f>
        <v>0</v>
      </c>
      <c r="P1408" s="3">
        <f>parking_demand_data_2024_ver0!O1408</f>
        <v>0</v>
      </c>
      <c r="Q1408" s="3">
        <f>parking_demand_data_2024_ver0!P1408</f>
        <v>8</v>
      </c>
      <c r="R1408" s="3">
        <f>parking_demand_data_2024_ver0!Q1408</f>
        <v>0</v>
      </c>
      <c r="S1408" s="3">
        <f>parking_demand_data_2024_ver0!R1408</f>
        <v>0</v>
      </c>
      <c r="T1408" s="3">
        <f>parking_demand_data_2024_ver0!S1408</f>
        <v>0</v>
      </c>
    </row>
    <row r="1409" spans="1:20" x14ac:dyDescent="0.25">
      <c r="A1409">
        <v>18117</v>
      </c>
      <c r="B1409" t="s">
        <v>87</v>
      </c>
      <c r="C1409">
        <v>15</v>
      </c>
      <c r="D1409" s="3">
        <f>parking_demand_data_2024_ver0!D1409*calibration!$I$31</f>
        <v>1.04612262271024</v>
      </c>
      <c r="E1409" s="3">
        <f>parking_demand_data_2024_ver0!E1409*calibration!$I$31</f>
        <v>0.149446088958606</v>
      </c>
      <c r="F1409" s="3">
        <f t="shared" si="21"/>
        <v>1.195568711668846</v>
      </c>
      <c r="G1409" s="3">
        <f>parking_demand_data_2024_ver0!F1409</f>
        <v>1</v>
      </c>
      <c r="H1409" s="3">
        <f>parking_demand_data_2024_ver0!G1409</f>
        <v>0</v>
      </c>
      <c r="I1409" s="3">
        <f>parking_demand_data_2024_ver0!H1409</f>
        <v>0</v>
      </c>
      <c r="J1409" s="3">
        <f>parking_demand_data_2024_ver0!I1409</f>
        <v>1</v>
      </c>
      <c r="K1409" s="3">
        <f>parking_demand_data_2024_ver0!J1409</f>
        <v>0</v>
      </c>
      <c r="L1409" s="3">
        <f>parking_demand_data_2024_ver0!K1409</f>
        <v>0</v>
      </c>
      <c r="M1409" s="3">
        <f>parking_demand_data_2024_ver0!L1409</f>
        <v>0</v>
      </c>
      <c r="N1409" s="3">
        <f>parking_demand_data_2024_ver0!M1409</f>
        <v>8</v>
      </c>
      <c r="O1409" s="3">
        <f>parking_demand_data_2024_ver0!N1409</f>
        <v>0</v>
      </c>
      <c r="P1409" s="3">
        <f>parking_demand_data_2024_ver0!O1409</f>
        <v>0</v>
      </c>
      <c r="Q1409" s="3">
        <f>parking_demand_data_2024_ver0!P1409</f>
        <v>8</v>
      </c>
      <c r="R1409" s="3">
        <f>parking_demand_data_2024_ver0!Q1409</f>
        <v>0</v>
      </c>
      <c r="S1409" s="3">
        <f>parking_demand_data_2024_ver0!R1409</f>
        <v>0</v>
      </c>
      <c r="T1409" s="3">
        <f>parking_demand_data_2024_ver0!S1409</f>
        <v>0</v>
      </c>
    </row>
    <row r="1410" spans="1:20" x14ac:dyDescent="0.25">
      <c r="A1410">
        <v>18117</v>
      </c>
      <c r="B1410" t="s">
        <v>87</v>
      </c>
      <c r="C1410">
        <v>16</v>
      </c>
      <c r="D1410" s="3">
        <f>parking_demand_data_2024_ver0!D1410*calibration!$I$31</f>
        <v>0.37361522239651701</v>
      </c>
      <c r="E1410" s="3">
        <f>parking_demand_data_2024_ver0!E1410*calibration!$I$31</f>
        <v>0.18680761119825801</v>
      </c>
      <c r="F1410" s="3">
        <f t="shared" si="21"/>
        <v>0.56042283359477496</v>
      </c>
      <c r="G1410" s="3">
        <f>parking_demand_data_2024_ver0!F1410</f>
        <v>1</v>
      </c>
      <c r="H1410" s="3">
        <f>parking_demand_data_2024_ver0!G1410</f>
        <v>0</v>
      </c>
      <c r="I1410" s="3">
        <f>parking_demand_data_2024_ver0!H1410</f>
        <v>0</v>
      </c>
      <c r="J1410" s="3">
        <f>parking_demand_data_2024_ver0!I1410</f>
        <v>1</v>
      </c>
      <c r="K1410" s="3">
        <f>parking_demand_data_2024_ver0!J1410</f>
        <v>0</v>
      </c>
      <c r="L1410" s="3">
        <f>parking_demand_data_2024_ver0!K1410</f>
        <v>0</v>
      </c>
      <c r="M1410" s="3">
        <f>parking_demand_data_2024_ver0!L1410</f>
        <v>0</v>
      </c>
      <c r="N1410" s="3">
        <f>parking_demand_data_2024_ver0!M1410</f>
        <v>8</v>
      </c>
      <c r="O1410" s="3">
        <f>parking_demand_data_2024_ver0!N1410</f>
        <v>0</v>
      </c>
      <c r="P1410" s="3">
        <f>parking_demand_data_2024_ver0!O1410</f>
        <v>0</v>
      </c>
      <c r="Q1410" s="3">
        <f>parking_demand_data_2024_ver0!P1410</f>
        <v>8</v>
      </c>
      <c r="R1410" s="3">
        <f>parking_demand_data_2024_ver0!Q1410</f>
        <v>0</v>
      </c>
      <c r="S1410" s="3">
        <f>parking_demand_data_2024_ver0!R1410</f>
        <v>0</v>
      </c>
      <c r="T1410" s="3">
        <f>parking_demand_data_2024_ver0!S1410</f>
        <v>0</v>
      </c>
    </row>
    <row r="1411" spans="1:20" x14ac:dyDescent="0.25">
      <c r="A1411">
        <v>18117</v>
      </c>
      <c r="B1411" t="s">
        <v>87</v>
      </c>
      <c r="C1411">
        <v>17</v>
      </c>
      <c r="D1411" s="3">
        <f>parking_demand_data_2024_ver0!D1411*calibration!$I$31</f>
        <v>0.44833826687582001</v>
      </c>
      <c r="E1411" s="3">
        <f>parking_demand_data_2024_ver0!E1411*calibration!$I$31</f>
        <v>7.4723044479303405E-2</v>
      </c>
      <c r="F1411" s="3">
        <f t="shared" ref="F1411:F1474" si="22">SUM(D1411:E1411)</f>
        <v>0.52306131135512346</v>
      </c>
      <c r="G1411" s="3">
        <f>parking_demand_data_2024_ver0!F1411</f>
        <v>1</v>
      </c>
      <c r="H1411" s="3">
        <f>parking_demand_data_2024_ver0!G1411</f>
        <v>0</v>
      </c>
      <c r="I1411" s="3">
        <f>parking_demand_data_2024_ver0!H1411</f>
        <v>0</v>
      </c>
      <c r="J1411" s="3">
        <f>parking_demand_data_2024_ver0!I1411</f>
        <v>1</v>
      </c>
      <c r="K1411" s="3">
        <f>parking_demand_data_2024_ver0!J1411</f>
        <v>0</v>
      </c>
      <c r="L1411" s="3">
        <f>parking_demand_data_2024_ver0!K1411</f>
        <v>0</v>
      </c>
      <c r="M1411" s="3">
        <f>parking_demand_data_2024_ver0!L1411</f>
        <v>0</v>
      </c>
      <c r="N1411" s="3">
        <f>parking_demand_data_2024_ver0!M1411</f>
        <v>8</v>
      </c>
      <c r="O1411" s="3">
        <f>parking_demand_data_2024_ver0!N1411</f>
        <v>0</v>
      </c>
      <c r="P1411" s="3">
        <f>parking_demand_data_2024_ver0!O1411</f>
        <v>0</v>
      </c>
      <c r="Q1411" s="3">
        <f>parking_demand_data_2024_ver0!P1411</f>
        <v>8</v>
      </c>
      <c r="R1411" s="3">
        <f>parking_demand_data_2024_ver0!Q1411</f>
        <v>0</v>
      </c>
      <c r="S1411" s="3">
        <f>parking_demand_data_2024_ver0!R1411</f>
        <v>0</v>
      </c>
      <c r="T1411" s="3">
        <f>parking_demand_data_2024_ver0!S1411</f>
        <v>0</v>
      </c>
    </row>
    <row r="1412" spans="1:20" x14ac:dyDescent="0.25">
      <c r="A1412">
        <v>18117</v>
      </c>
      <c r="B1412" t="s">
        <v>87</v>
      </c>
      <c r="C1412">
        <v>18</v>
      </c>
      <c r="D1412" s="3">
        <f>parking_demand_data_2024_ver0!D1412*calibration!$I$31</f>
        <v>0.44833826687582001</v>
      </c>
      <c r="E1412" s="3">
        <f>parking_demand_data_2024_ver0!E1412*calibration!$I$31</f>
        <v>0</v>
      </c>
      <c r="F1412" s="3">
        <f t="shared" si="22"/>
        <v>0.44833826687582001</v>
      </c>
      <c r="G1412" s="3">
        <f>parking_demand_data_2024_ver0!F1412</f>
        <v>1</v>
      </c>
      <c r="H1412" s="3">
        <f>parking_demand_data_2024_ver0!G1412</f>
        <v>0</v>
      </c>
      <c r="I1412" s="3">
        <f>parking_demand_data_2024_ver0!H1412</f>
        <v>0</v>
      </c>
      <c r="J1412" s="3">
        <f>parking_demand_data_2024_ver0!I1412</f>
        <v>1</v>
      </c>
      <c r="K1412" s="3">
        <f>parking_demand_data_2024_ver0!J1412</f>
        <v>0</v>
      </c>
      <c r="L1412" s="3">
        <f>parking_demand_data_2024_ver0!K1412</f>
        <v>0</v>
      </c>
      <c r="M1412" s="3">
        <f>parking_demand_data_2024_ver0!L1412</f>
        <v>0</v>
      </c>
      <c r="N1412" s="3">
        <f>parking_demand_data_2024_ver0!M1412</f>
        <v>8</v>
      </c>
      <c r="O1412" s="3">
        <f>parking_demand_data_2024_ver0!N1412</f>
        <v>0</v>
      </c>
      <c r="P1412" s="3">
        <f>parking_demand_data_2024_ver0!O1412</f>
        <v>0</v>
      </c>
      <c r="Q1412" s="3">
        <f>parking_demand_data_2024_ver0!P1412</f>
        <v>8</v>
      </c>
      <c r="R1412" s="3">
        <f>parking_demand_data_2024_ver0!Q1412</f>
        <v>0</v>
      </c>
      <c r="S1412" s="3">
        <f>parking_demand_data_2024_ver0!R1412</f>
        <v>0</v>
      </c>
      <c r="T1412" s="3">
        <f>parking_demand_data_2024_ver0!S1412</f>
        <v>0</v>
      </c>
    </row>
    <row r="1413" spans="1:20" x14ac:dyDescent="0.25">
      <c r="A1413">
        <v>18117</v>
      </c>
      <c r="B1413" t="s">
        <v>87</v>
      </c>
      <c r="C1413">
        <v>19</v>
      </c>
      <c r="D1413" s="3">
        <f>parking_demand_data_2024_ver0!D1413*calibration!$I$31</f>
        <v>0.67250740031373102</v>
      </c>
      <c r="E1413" s="3">
        <f>parking_demand_data_2024_ver0!E1413*calibration!$I$31</f>
        <v>0</v>
      </c>
      <c r="F1413" s="3">
        <f t="shared" si="22"/>
        <v>0.67250740031373102</v>
      </c>
      <c r="G1413" s="3">
        <f>parking_demand_data_2024_ver0!F1413</f>
        <v>1</v>
      </c>
      <c r="H1413" s="3">
        <f>parking_demand_data_2024_ver0!G1413</f>
        <v>0</v>
      </c>
      <c r="I1413" s="3">
        <f>parking_demand_data_2024_ver0!H1413</f>
        <v>0</v>
      </c>
      <c r="J1413" s="3">
        <f>parking_demand_data_2024_ver0!I1413</f>
        <v>1</v>
      </c>
      <c r="K1413" s="3">
        <f>parking_demand_data_2024_ver0!J1413</f>
        <v>0</v>
      </c>
      <c r="L1413" s="3">
        <f>parking_demand_data_2024_ver0!K1413</f>
        <v>0</v>
      </c>
      <c r="M1413" s="3">
        <f>parking_demand_data_2024_ver0!L1413</f>
        <v>0</v>
      </c>
      <c r="N1413" s="3">
        <f>parking_demand_data_2024_ver0!M1413</f>
        <v>8</v>
      </c>
      <c r="O1413" s="3">
        <f>parking_demand_data_2024_ver0!N1413</f>
        <v>0</v>
      </c>
      <c r="P1413" s="3">
        <f>parking_demand_data_2024_ver0!O1413</f>
        <v>0</v>
      </c>
      <c r="Q1413" s="3">
        <f>parking_demand_data_2024_ver0!P1413</f>
        <v>8</v>
      </c>
      <c r="R1413" s="3">
        <f>parking_demand_data_2024_ver0!Q1413</f>
        <v>0</v>
      </c>
      <c r="S1413" s="3">
        <f>parking_demand_data_2024_ver0!R1413</f>
        <v>0</v>
      </c>
      <c r="T1413" s="3">
        <f>parking_demand_data_2024_ver0!S1413</f>
        <v>0</v>
      </c>
    </row>
    <row r="1414" spans="1:20" x14ac:dyDescent="0.25">
      <c r="A1414">
        <v>18117</v>
      </c>
      <c r="B1414" t="s">
        <v>87</v>
      </c>
      <c r="C1414">
        <v>20</v>
      </c>
      <c r="D1414" s="3">
        <f>parking_demand_data_2024_ver0!D1414*calibration!$I$31</f>
        <v>0.85931501151198897</v>
      </c>
      <c r="E1414" s="3">
        <f>parking_demand_data_2024_ver0!E1414*calibration!$I$31</f>
        <v>0</v>
      </c>
      <c r="F1414" s="3">
        <f t="shared" si="22"/>
        <v>0.85931501151198897</v>
      </c>
      <c r="G1414" s="3">
        <f>parking_demand_data_2024_ver0!F1414</f>
        <v>1</v>
      </c>
      <c r="H1414" s="3">
        <f>parking_demand_data_2024_ver0!G1414</f>
        <v>0</v>
      </c>
      <c r="I1414" s="3">
        <f>parking_demand_data_2024_ver0!H1414</f>
        <v>0</v>
      </c>
      <c r="J1414" s="3">
        <f>parking_demand_data_2024_ver0!I1414</f>
        <v>1</v>
      </c>
      <c r="K1414" s="3">
        <f>parking_demand_data_2024_ver0!J1414</f>
        <v>0</v>
      </c>
      <c r="L1414" s="3">
        <f>parking_demand_data_2024_ver0!K1414</f>
        <v>0</v>
      </c>
      <c r="M1414" s="3">
        <f>parking_demand_data_2024_ver0!L1414</f>
        <v>0</v>
      </c>
      <c r="N1414" s="3">
        <f>parking_demand_data_2024_ver0!M1414</f>
        <v>8</v>
      </c>
      <c r="O1414" s="3">
        <f>parking_demand_data_2024_ver0!N1414</f>
        <v>0</v>
      </c>
      <c r="P1414" s="3">
        <f>parking_demand_data_2024_ver0!O1414</f>
        <v>0</v>
      </c>
      <c r="Q1414" s="3">
        <f>parking_demand_data_2024_ver0!P1414</f>
        <v>8</v>
      </c>
      <c r="R1414" s="3">
        <f>parking_demand_data_2024_ver0!Q1414</f>
        <v>0</v>
      </c>
      <c r="S1414" s="3">
        <f>parking_demand_data_2024_ver0!R1414</f>
        <v>0</v>
      </c>
      <c r="T1414" s="3">
        <f>parking_demand_data_2024_ver0!S1414</f>
        <v>0</v>
      </c>
    </row>
    <row r="1415" spans="1:20" x14ac:dyDescent="0.25">
      <c r="A1415">
        <v>18117</v>
      </c>
      <c r="B1415" t="s">
        <v>87</v>
      </c>
      <c r="C1415">
        <v>21</v>
      </c>
      <c r="D1415" s="3">
        <f>parking_demand_data_2024_ver0!D1415*calibration!$I$31</f>
        <v>1.0087611004705901</v>
      </c>
      <c r="E1415" s="3">
        <f>parking_demand_data_2024_ver0!E1415*calibration!$I$31</f>
        <v>7.4723044479303405E-2</v>
      </c>
      <c r="F1415" s="3">
        <f t="shared" si="22"/>
        <v>1.0834841449498935</v>
      </c>
      <c r="G1415" s="3">
        <f>parking_demand_data_2024_ver0!F1415</f>
        <v>1</v>
      </c>
      <c r="H1415" s="3">
        <f>parking_demand_data_2024_ver0!G1415</f>
        <v>0</v>
      </c>
      <c r="I1415" s="3">
        <f>parking_demand_data_2024_ver0!H1415</f>
        <v>0</v>
      </c>
      <c r="J1415" s="3">
        <f>parking_demand_data_2024_ver0!I1415</f>
        <v>1</v>
      </c>
      <c r="K1415" s="3">
        <f>parking_demand_data_2024_ver0!J1415</f>
        <v>0</v>
      </c>
      <c r="L1415" s="3">
        <f>parking_demand_data_2024_ver0!K1415</f>
        <v>0</v>
      </c>
      <c r="M1415" s="3">
        <f>parking_demand_data_2024_ver0!L1415</f>
        <v>0</v>
      </c>
      <c r="N1415" s="3">
        <f>parking_demand_data_2024_ver0!M1415</f>
        <v>8</v>
      </c>
      <c r="O1415" s="3">
        <f>parking_demand_data_2024_ver0!N1415</f>
        <v>0</v>
      </c>
      <c r="P1415" s="3">
        <f>parking_demand_data_2024_ver0!O1415</f>
        <v>0</v>
      </c>
      <c r="Q1415" s="3">
        <f>parking_demand_data_2024_ver0!P1415</f>
        <v>8</v>
      </c>
      <c r="R1415" s="3">
        <f>parking_demand_data_2024_ver0!Q1415</f>
        <v>0</v>
      </c>
      <c r="S1415" s="3">
        <f>parking_demand_data_2024_ver0!R1415</f>
        <v>0</v>
      </c>
      <c r="T1415" s="3">
        <f>parking_demand_data_2024_ver0!S1415</f>
        <v>0</v>
      </c>
    </row>
    <row r="1416" spans="1:20" x14ac:dyDescent="0.25">
      <c r="A1416">
        <v>18117</v>
      </c>
      <c r="B1416" t="s">
        <v>87</v>
      </c>
      <c r="C1416">
        <v>22</v>
      </c>
      <c r="D1416" s="3">
        <f>parking_demand_data_2024_ver0!D1416*calibration!$I$31</f>
        <v>1.1208456671895499</v>
      </c>
      <c r="E1416" s="3">
        <f>parking_demand_data_2024_ver0!E1416*calibration!$I$31</f>
        <v>0.149446088958606</v>
      </c>
      <c r="F1416" s="3">
        <f t="shared" si="22"/>
        <v>1.2702917561481559</v>
      </c>
      <c r="G1416" s="3">
        <f>parking_demand_data_2024_ver0!F1416</f>
        <v>1</v>
      </c>
      <c r="H1416" s="3">
        <f>parking_demand_data_2024_ver0!G1416</f>
        <v>0</v>
      </c>
      <c r="I1416" s="3">
        <f>parking_demand_data_2024_ver0!H1416</f>
        <v>0</v>
      </c>
      <c r="J1416" s="3">
        <f>parking_demand_data_2024_ver0!I1416</f>
        <v>1</v>
      </c>
      <c r="K1416" s="3">
        <f>parking_demand_data_2024_ver0!J1416</f>
        <v>0</v>
      </c>
      <c r="L1416" s="3">
        <f>parking_demand_data_2024_ver0!K1416</f>
        <v>0</v>
      </c>
      <c r="M1416" s="3">
        <f>parking_demand_data_2024_ver0!L1416</f>
        <v>0</v>
      </c>
      <c r="N1416" s="3">
        <f>parking_demand_data_2024_ver0!M1416</f>
        <v>8</v>
      </c>
      <c r="O1416" s="3">
        <f>parking_demand_data_2024_ver0!N1416</f>
        <v>0</v>
      </c>
      <c r="P1416" s="3">
        <f>parking_demand_data_2024_ver0!O1416</f>
        <v>0</v>
      </c>
      <c r="Q1416" s="3">
        <f>parking_demand_data_2024_ver0!P1416</f>
        <v>8</v>
      </c>
      <c r="R1416" s="3">
        <f>parking_demand_data_2024_ver0!Q1416</f>
        <v>0</v>
      </c>
      <c r="S1416" s="3">
        <f>parking_demand_data_2024_ver0!R1416</f>
        <v>0</v>
      </c>
      <c r="T1416" s="3">
        <f>parking_demand_data_2024_ver0!S1416</f>
        <v>0</v>
      </c>
    </row>
    <row r="1417" spans="1:20" x14ac:dyDescent="0.25">
      <c r="A1417">
        <v>18117</v>
      </c>
      <c r="B1417" t="s">
        <v>87</v>
      </c>
      <c r="C1417">
        <v>23</v>
      </c>
      <c r="D1417" s="3">
        <f>parking_demand_data_2024_ver0!D1417*calibration!$I$31</f>
        <v>1.2329302339085</v>
      </c>
      <c r="E1417" s="3">
        <f>parking_demand_data_2024_ver0!E1417*calibration!$I$31</f>
        <v>0.112084566718955</v>
      </c>
      <c r="F1417" s="3">
        <f t="shared" si="22"/>
        <v>1.3450148006274549</v>
      </c>
      <c r="G1417" s="3">
        <f>parking_demand_data_2024_ver0!F1417</f>
        <v>1</v>
      </c>
      <c r="H1417" s="3">
        <f>parking_demand_data_2024_ver0!G1417</f>
        <v>0</v>
      </c>
      <c r="I1417" s="3">
        <f>parking_demand_data_2024_ver0!H1417</f>
        <v>0</v>
      </c>
      <c r="J1417" s="3">
        <f>parking_demand_data_2024_ver0!I1417</f>
        <v>1</v>
      </c>
      <c r="K1417" s="3">
        <f>parking_demand_data_2024_ver0!J1417</f>
        <v>0</v>
      </c>
      <c r="L1417" s="3">
        <f>parking_demand_data_2024_ver0!K1417</f>
        <v>0</v>
      </c>
      <c r="M1417" s="3">
        <f>parking_demand_data_2024_ver0!L1417</f>
        <v>0</v>
      </c>
      <c r="N1417" s="3">
        <f>parking_demand_data_2024_ver0!M1417</f>
        <v>8</v>
      </c>
      <c r="O1417" s="3">
        <f>parking_demand_data_2024_ver0!N1417</f>
        <v>0</v>
      </c>
      <c r="P1417" s="3">
        <f>parking_demand_data_2024_ver0!O1417</f>
        <v>0</v>
      </c>
      <c r="Q1417" s="3">
        <f>parking_demand_data_2024_ver0!P1417</f>
        <v>8</v>
      </c>
      <c r="R1417" s="3">
        <f>parking_demand_data_2024_ver0!Q1417</f>
        <v>0</v>
      </c>
      <c r="S1417" s="3">
        <f>parking_demand_data_2024_ver0!R1417</f>
        <v>0</v>
      </c>
      <c r="T1417" s="3">
        <f>parking_demand_data_2024_ver0!S1417</f>
        <v>0</v>
      </c>
    </row>
    <row r="1418" spans="1:20" x14ac:dyDescent="0.25">
      <c r="A1418">
        <v>18119</v>
      </c>
      <c r="B1418" t="s">
        <v>88</v>
      </c>
      <c r="C1418">
        <v>0</v>
      </c>
      <c r="D1418" s="3">
        <f>parking_demand_data_2024_ver0!D1418*calibration!$I$31</f>
        <v>0</v>
      </c>
      <c r="E1418" s="3">
        <f>parking_demand_data_2024_ver0!E1418*calibration!$I$31</f>
        <v>0.448340654586936</v>
      </c>
      <c r="F1418" s="3">
        <f t="shared" si="22"/>
        <v>0.448340654586936</v>
      </c>
      <c r="G1418" s="3">
        <f>parking_demand_data_2024_ver0!F1418</f>
        <v>0</v>
      </c>
      <c r="H1418" s="3">
        <f>parking_demand_data_2024_ver0!G1418</f>
        <v>0</v>
      </c>
      <c r="I1418" s="3">
        <f>parking_demand_data_2024_ver0!H1418</f>
        <v>0</v>
      </c>
      <c r="J1418" s="3">
        <f>parking_demand_data_2024_ver0!I1418</f>
        <v>0</v>
      </c>
      <c r="K1418" s="3">
        <f>parking_demand_data_2024_ver0!J1418</f>
        <v>0</v>
      </c>
      <c r="L1418" s="3">
        <f>parking_demand_data_2024_ver0!K1418</f>
        <v>0</v>
      </c>
      <c r="M1418" s="3">
        <f>parking_demand_data_2024_ver0!L1418</f>
        <v>0</v>
      </c>
      <c r="N1418" s="3">
        <f>parking_demand_data_2024_ver0!M1418</f>
        <v>0</v>
      </c>
      <c r="O1418" s="3">
        <f>parking_demand_data_2024_ver0!N1418</f>
        <v>0</v>
      </c>
      <c r="P1418" s="3">
        <f>parking_demand_data_2024_ver0!O1418</f>
        <v>0</v>
      </c>
      <c r="Q1418" s="3">
        <f>parking_demand_data_2024_ver0!P1418</f>
        <v>0</v>
      </c>
      <c r="R1418" s="3">
        <f>parking_demand_data_2024_ver0!Q1418</f>
        <v>0</v>
      </c>
      <c r="S1418" s="3">
        <f>parking_demand_data_2024_ver0!R1418</f>
        <v>0</v>
      </c>
      <c r="T1418" s="3">
        <f>parking_demand_data_2024_ver0!S1418</f>
        <v>0</v>
      </c>
    </row>
    <row r="1419" spans="1:20" x14ac:dyDescent="0.25">
      <c r="A1419">
        <v>18119</v>
      </c>
      <c r="B1419" t="s">
        <v>88</v>
      </c>
      <c r="C1419">
        <v>1</v>
      </c>
      <c r="D1419" s="3">
        <f>parking_demand_data_2024_ver0!D1419*calibration!$I$31</f>
        <v>0</v>
      </c>
      <c r="E1419" s="3">
        <f>parking_demand_data_2024_ver0!E1419*calibration!$I$31</f>
        <v>0.298893769724624</v>
      </c>
      <c r="F1419" s="3">
        <f t="shared" si="22"/>
        <v>0.298893769724624</v>
      </c>
      <c r="G1419" s="3">
        <f>parking_demand_data_2024_ver0!F1419</f>
        <v>0</v>
      </c>
      <c r="H1419" s="3">
        <f>parking_demand_data_2024_ver0!G1419</f>
        <v>0</v>
      </c>
      <c r="I1419" s="3">
        <f>parking_demand_data_2024_ver0!H1419</f>
        <v>0</v>
      </c>
      <c r="J1419" s="3">
        <f>parking_demand_data_2024_ver0!I1419</f>
        <v>0</v>
      </c>
      <c r="K1419" s="3">
        <f>parking_demand_data_2024_ver0!J1419</f>
        <v>0</v>
      </c>
      <c r="L1419" s="3">
        <f>parking_demand_data_2024_ver0!K1419</f>
        <v>0</v>
      </c>
      <c r="M1419" s="3">
        <f>parking_demand_data_2024_ver0!L1419</f>
        <v>0</v>
      </c>
      <c r="N1419" s="3">
        <f>parking_demand_data_2024_ver0!M1419</f>
        <v>0</v>
      </c>
      <c r="O1419" s="3">
        <f>parking_demand_data_2024_ver0!N1419</f>
        <v>0</v>
      </c>
      <c r="P1419" s="3">
        <f>parking_demand_data_2024_ver0!O1419</f>
        <v>0</v>
      </c>
      <c r="Q1419" s="3">
        <f>parking_demand_data_2024_ver0!P1419</f>
        <v>0</v>
      </c>
      <c r="R1419" s="3">
        <f>parking_demand_data_2024_ver0!Q1419</f>
        <v>0</v>
      </c>
      <c r="S1419" s="3">
        <f>parking_demand_data_2024_ver0!R1419</f>
        <v>0</v>
      </c>
      <c r="T1419" s="3">
        <f>parking_demand_data_2024_ver0!S1419</f>
        <v>0</v>
      </c>
    </row>
    <row r="1420" spans="1:20" x14ac:dyDescent="0.25">
      <c r="A1420">
        <v>18119</v>
      </c>
      <c r="B1420" t="s">
        <v>88</v>
      </c>
      <c r="C1420">
        <v>2</v>
      </c>
      <c r="D1420" s="3">
        <f>parking_demand_data_2024_ver0!D1420*calibration!$I$31</f>
        <v>0</v>
      </c>
      <c r="E1420" s="3">
        <f>parking_demand_data_2024_ver0!E1420*calibration!$I$31</f>
        <v>0.37361721215577998</v>
      </c>
      <c r="F1420" s="3">
        <f t="shared" si="22"/>
        <v>0.37361721215577998</v>
      </c>
      <c r="G1420" s="3">
        <f>parking_demand_data_2024_ver0!F1420</f>
        <v>0</v>
      </c>
      <c r="H1420" s="3">
        <f>parking_demand_data_2024_ver0!G1420</f>
        <v>0</v>
      </c>
      <c r="I1420" s="3">
        <f>parking_demand_data_2024_ver0!H1420</f>
        <v>0</v>
      </c>
      <c r="J1420" s="3">
        <f>parking_demand_data_2024_ver0!I1420</f>
        <v>0</v>
      </c>
      <c r="K1420" s="3">
        <f>parking_demand_data_2024_ver0!J1420</f>
        <v>0</v>
      </c>
      <c r="L1420" s="3">
        <f>parking_demand_data_2024_ver0!K1420</f>
        <v>0</v>
      </c>
      <c r="M1420" s="3">
        <f>parking_demand_data_2024_ver0!L1420</f>
        <v>0</v>
      </c>
      <c r="N1420" s="3">
        <f>parking_demand_data_2024_ver0!M1420</f>
        <v>0</v>
      </c>
      <c r="O1420" s="3">
        <f>parking_demand_data_2024_ver0!N1420</f>
        <v>0</v>
      </c>
      <c r="P1420" s="3">
        <f>parking_demand_data_2024_ver0!O1420</f>
        <v>0</v>
      </c>
      <c r="Q1420" s="3">
        <f>parking_demand_data_2024_ver0!P1420</f>
        <v>0</v>
      </c>
      <c r="R1420" s="3">
        <f>parking_demand_data_2024_ver0!Q1420</f>
        <v>0</v>
      </c>
      <c r="S1420" s="3">
        <f>parking_demand_data_2024_ver0!R1420</f>
        <v>0</v>
      </c>
      <c r="T1420" s="3">
        <f>parking_demand_data_2024_ver0!S1420</f>
        <v>0</v>
      </c>
    </row>
    <row r="1421" spans="1:20" x14ac:dyDescent="0.25">
      <c r="A1421">
        <v>18119</v>
      </c>
      <c r="B1421" t="s">
        <v>88</v>
      </c>
      <c r="C1421">
        <v>3</v>
      </c>
      <c r="D1421" s="3">
        <f>parking_demand_data_2024_ver0!D1421*calibration!$I$31</f>
        <v>0</v>
      </c>
      <c r="E1421" s="3">
        <f>parking_demand_data_2024_ver0!E1421*calibration!$I$31</f>
        <v>0.298893769724624</v>
      </c>
      <c r="F1421" s="3">
        <f t="shared" si="22"/>
        <v>0.298893769724624</v>
      </c>
      <c r="G1421" s="3">
        <f>parking_demand_data_2024_ver0!F1421</f>
        <v>0</v>
      </c>
      <c r="H1421" s="3">
        <f>parking_demand_data_2024_ver0!G1421</f>
        <v>0</v>
      </c>
      <c r="I1421" s="3">
        <f>parking_demand_data_2024_ver0!H1421</f>
        <v>0</v>
      </c>
      <c r="J1421" s="3">
        <f>parking_demand_data_2024_ver0!I1421</f>
        <v>0</v>
      </c>
      <c r="K1421" s="3">
        <f>parking_demand_data_2024_ver0!J1421</f>
        <v>0</v>
      </c>
      <c r="L1421" s="3">
        <f>parking_demand_data_2024_ver0!K1421</f>
        <v>0</v>
      </c>
      <c r="M1421" s="3">
        <f>parking_demand_data_2024_ver0!L1421</f>
        <v>0</v>
      </c>
      <c r="N1421" s="3">
        <f>parking_demand_data_2024_ver0!M1421</f>
        <v>0</v>
      </c>
      <c r="O1421" s="3">
        <f>parking_demand_data_2024_ver0!N1421</f>
        <v>0</v>
      </c>
      <c r="P1421" s="3">
        <f>parking_demand_data_2024_ver0!O1421</f>
        <v>0</v>
      </c>
      <c r="Q1421" s="3">
        <f>parking_demand_data_2024_ver0!P1421</f>
        <v>0</v>
      </c>
      <c r="R1421" s="3">
        <f>parking_demand_data_2024_ver0!Q1421</f>
        <v>0</v>
      </c>
      <c r="S1421" s="3">
        <f>parking_demand_data_2024_ver0!R1421</f>
        <v>0</v>
      </c>
      <c r="T1421" s="3">
        <f>parking_demand_data_2024_ver0!S1421</f>
        <v>0</v>
      </c>
    </row>
    <row r="1422" spans="1:20" x14ac:dyDescent="0.25">
      <c r="A1422">
        <v>18119</v>
      </c>
      <c r="B1422" t="s">
        <v>88</v>
      </c>
      <c r="C1422">
        <v>4</v>
      </c>
      <c r="D1422" s="3">
        <f>parking_demand_data_2024_ver0!D1422*calibration!$I$31</f>
        <v>0</v>
      </c>
      <c r="E1422" s="3">
        <f>parking_demand_data_2024_ver0!E1422*calibration!$I$31</f>
        <v>0.37361721215577998</v>
      </c>
      <c r="F1422" s="3">
        <f t="shared" si="22"/>
        <v>0.37361721215577998</v>
      </c>
      <c r="G1422" s="3">
        <f>parking_demand_data_2024_ver0!F1422</f>
        <v>0</v>
      </c>
      <c r="H1422" s="3">
        <f>parking_demand_data_2024_ver0!G1422</f>
        <v>0</v>
      </c>
      <c r="I1422" s="3">
        <f>parking_demand_data_2024_ver0!H1422</f>
        <v>0</v>
      </c>
      <c r="J1422" s="3">
        <f>parking_demand_data_2024_ver0!I1422</f>
        <v>0</v>
      </c>
      <c r="K1422" s="3">
        <f>parking_demand_data_2024_ver0!J1422</f>
        <v>0</v>
      </c>
      <c r="L1422" s="3">
        <f>parking_demand_data_2024_ver0!K1422</f>
        <v>0</v>
      </c>
      <c r="M1422" s="3">
        <f>parking_demand_data_2024_ver0!L1422</f>
        <v>0</v>
      </c>
      <c r="N1422" s="3">
        <f>parking_demand_data_2024_ver0!M1422</f>
        <v>0</v>
      </c>
      <c r="O1422" s="3">
        <f>parking_demand_data_2024_ver0!N1422</f>
        <v>0</v>
      </c>
      <c r="P1422" s="3">
        <f>parking_demand_data_2024_ver0!O1422</f>
        <v>0</v>
      </c>
      <c r="Q1422" s="3">
        <f>parking_demand_data_2024_ver0!P1422</f>
        <v>0</v>
      </c>
      <c r="R1422" s="3">
        <f>parking_demand_data_2024_ver0!Q1422</f>
        <v>0</v>
      </c>
      <c r="S1422" s="3">
        <f>parking_demand_data_2024_ver0!R1422</f>
        <v>0</v>
      </c>
      <c r="T1422" s="3">
        <f>parking_demand_data_2024_ver0!S1422</f>
        <v>0</v>
      </c>
    </row>
    <row r="1423" spans="1:20" x14ac:dyDescent="0.25">
      <c r="A1423">
        <v>18119</v>
      </c>
      <c r="B1423" t="s">
        <v>88</v>
      </c>
      <c r="C1423">
        <v>5</v>
      </c>
      <c r="D1423" s="3">
        <f>parking_demand_data_2024_ver0!D1423*calibration!$I$31</f>
        <v>0</v>
      </c>
      <c r="E1423" s="3">
        <f>parking_demand_data_2024_ver0!E1423*calibration!$I$31</f>
        <v>4.4086831034382099</v>
      </c>
      <c r="F1423" s="3">
        <f t="shared" si="22"/>
        <v>4.4086831034382099</v>
      </c>
      <c r="G1423" s="3">
        <f>parking_demand_data_2024_ver0!F1423</f>
        <v>0</v>
      </c>
      <c r="H1423" s="3">
        <f>parking_demand_data_2024_ver0!G1423</f>
        <v>0</v>
      </c>
      <c r="I1423" s="3">
        <f>parking_demand_data_2024_ver0!H1423</f>
        <v>0</v>
      </c>
      <c r="J1423" s="3">
        <f>parking_demand_data_2024_ver0!I1423</f>
        <v>0</v>
      </c>
      <c r="K1423" s="3">
        <f>parking_demand_data_2024_ver0!J1423</f>
        <v>0</v>
      </c>
      <c r="L1423" s="3">
        <f>parking_demand_data_2024_ver0!K1423</f>
        <v>0</v>
      </c>
      <c r="M1423" s="3">
        <f>parking_demand_data_2024_ver0!L1423</f>
        <v>0</v>
      </c>
      <c r="N1423" s="3">
        <f>parking_demand_data_2024_ver0!M1423</f>
        <v>0</v>
      </c>
      <c r="O1423" s="3">
        <f>parking_demand_data_2024_ver0!N1423</f>
        <v>0</v>
      </c>
      <c r="P1423" s="3">
        <f>parking_demand_data_2024_ver0!O1423</f>
        <v>0</v>
      </c>
      <c r="Q1423" s="3">
        <f>parking_demand_data_2024_ver0!P1423</f>
        <v>0</v>
      </c>
      <c r="R1423" s="3">
        <f>parking_demand_data_2024_ver0!Q1423</f>
        <v>0</v>
      </c>
      <c r="S1423" s="3">
        <f>parking_demand_data_2024_ver0!R1423</f>
        <v>0</v>
      </c>
      <c r="T1423" s="3">
        <f>parking_demand_data_2024_ver0!S1423</f>
        <v>0</v>
      </c>
    </row>
    <row r="1424" spans="1:20" x14ac:dyDescent="0.25">
      <c r="A1424">
        <v>18119</v>
      </c>
      <c r="B1424" t="s">
        <v>88</v>
      </c>
      <c r="C1424">
        <v>6</v>
      </c>
      <c r="D1424" s="3">
        <f>parking_demand_data_2024_ver0!D1424*calibration!$I$31</f>
        <v>0</v>
      </c>
      <c r="E1424" s="3">
        <f>parking_demand_data_2024_ver0!E1424*calibration!$I$31</f>
        <v>5.0064706428874501</v>
      </c>
      <c r="F1424" s="3">
        <f t="shared" si="22"/>
        <v>5.0064706428874501</v>
      </c>
      <c r="G1424" s="3">
        <f>parking_demand_data_2024_ver0!F1424</f>
        <v>0</v>
      </c>
      <c r="H1424" s="3">
        <f>parking_demand_data_2024_ver0!G1424</f>
        <v>0</v>
      </c>
      <c r="I1424" s="3">
        <f>parking_demand_data_2024_ver0!H1424</f>
        <v>0</v>
      </c>
      <c r="J1424" s="3">
        <f>parking_demand_data_2024_ver0!I1424</f>
        <v>0</v>
      </c>
      <c r="K1424" s="3">
        <f>parking_demand_data_2024_ver0!J1424</f>
        <v>0</v>
      </c>
      <c r="L1424" s="3">
        <f>parking_demand_data_2024_ver0!K1424</f>
        <v>0</v>
      </c>
      <c r="M1424" s="3">
        <f>parking_demand_data_2024_ver0!L1424</f>
        <v>0</v>
      </c>
      <c r="N1424" s="3">
        <f>parking_demand_data_2024_ver0!M1424</f>
        <v>0</v>
      </c>
      <c r="O1424" s="3">
        <f>parking_demand_data_2024_ver0!N1424</f>
        <v>0</v>
      </c>
      <c r="P1424" s="3">
        <f>parking_demand_data_2024_ver0!O1424</f>
        <v>0</v>
      </c>
      <c r="Q1424" s="3">
        <f>parking_demand_data_2024_ver0!P1424</f>
        <v>0</v>
      </c>
      <c r="R1424" s="3">
        <f>parking_demand_data_2024_ver0!Q1424</f>
        <v>0</v>
      </c>
      <c r="S1424" s="3">
        <f>parking_demand_data_2024_ver0!R1424</f>
        <v>0</v>
      </c>
      <c r="T1424" s="3">
        <f>parking_demand_data_2024_ver0!S1424</f>
        <v>0</v>
      </c>
    </row>
    <row r="1425" spans="1:20" x14ac:dyDescent="0.25">
      <c r="A1425">
        <v>18119</v>
      </c>
      <c r="B1425" t="s">
        <v>88</v>
      </c>
      <c r="C1425">
        <v>7</v>
      </c>
      <c r="D1425" s="3">
        <f>parking_demand_data_2024_ver0!D1425*calibration!$I$31</f>
        <v>0</v>
      </c>
      <c r="E1425" s="3">
        <f>parking_demand_data_2024_ver0!E1425*calibration!$I$31</f>
        <v>3.2878314669708599</v>
      </c>
      <c r="F1425" s="3">
        <f t="shared" si="22"/>
        <v>3.2878314669708599</v>
      </c>
      <c r="G1425" s="3">
        <f>parking_demand_data_2024_ver0!F1425</f>
        <v>0</v>
      </c>
      <c r="H1425" s="3">
        <f>parking_demand_data_2024_ver0!G1425</f>
        <v>0</v>
      </c>
      <c r="I1425" s="3">
        <f>parking_demand_data_2024_ver0!H1425</f>
        <v>0</v>
      </c>
      <c r="J1425" s="3">
        <f>parking_demand_data_2024_ver0!I1425</f>
        <v>0</v>
      </c>
      <c r="K1425" s="3">
        <f>parking_demand_data_2024_ver0!J1425</f>
        <v>0</v>
      </c>
      <c r="L1425" s="3">
        <f>parking_demand_data_2024_ver0!K1425</f>
        <v>0</v>
      </c>
      <c r="M1425" s="3">
        <f>parking_demand_data_2024_ver0!L1425</f>
        <v>0</v>
      </c>
      <c r="N1425" s="3">
        <f>parking_demand_data_2024_ver0!M1425</f>
        <v>0</v>
      </c>
      <c r="O1425" s="3">
        <f>parking_demand_data_2024_ver0!N1425</f>
        <v>0</v>
      </c>
      <c r="P1425" s="3">
        <f>parking_demand_data_2024_ver0!O1425</f>
        <v>0</v>
      </c>
      <c r="Q1425" s="3">
        <f>parking_demand_data_2024_ver0!P1425</f>
        <v>0</v>
      </c>
      <c r="R1425" s="3">
        <f>parking_demand_data_2024_ver0!Q1425</f>
        <v>0</v>
      </c>
      <c r="S1425" s="3">
        <f>parking_demand_data_2024_ver0!R1425</f>
        <v>0</v>
      </c>
      <c r="T1425" s="3">
        <f>parking_demand_data_2024_ver0!S1425</f>
        <v>0</v>
      </c>
    </row>
    <row r="1426" spans="1:20" x14ac:dyDescent="0.25">
      <c r="A1426">
        <v>18119</v>
      </c>
      <c r="B1426" t="s">
        <v>88</v>
      </c>
      <c r="C1426">
        <v>8</v>
      </c>
      <c r="D1426" s="3">
        <f>parking_demand_data_2024_ver0!D1426*calibration!$I$31</f>
        <v>0</v>
      </c>
      <c r="E1426" s="3">
        <f>parking_demand_data_2024_ver0!E1426*calibration!$I$31</f>
        <v>3.2878314669708599</v>
      </c>
      <c r="F1426" s="3">
        <f t="shared" si="22"/>
        <v>3.2878314669708599</v>
      </c>
      <c r="G1426" s="3">
        <f>parking_demand_data_2024_ver0!F1426</f>
        <v>0</v>
      </c>
      <c r="H1426" s="3">
        <f>parking_demand_data_2024_ver0!G1426</f>
        <v>0</v>
      </c>
      <c r="I1426" s="3">
        <f>parking_demand_data_2024_ver0!H1426</f>
        <v>0</v>
      </c>
      <c r="J1426" s="3">
        <f>parking_demand_data_2024_ver0!I1426</f>
        <v>0</v>
      </c>
      <c r="K1426" s="3">
        <f>parking_demand_data_2024_ver0!J1426</f>
        <v>0</v>
      </c>
      <c r="L1426" s="3">
        <f>parking_demand_data_2024_ver0!K1426</f>
        <v>0</v>
      </c>
      <c r="M1426" s="3">
        <f>parking_demand_data_2024_ver0!L1426</f>
        <v>0</v>
      </c>
      <c r="N1426" s="3">
        <f>parking_demand_data_2024_ver0!M1426</f>
        <v>0</v>
      </c>
      <c r="O1426" s="3">
        <f>parking_demand_data_2024_ver0!N1426</f>
        <v>0</v>
      </c>
      <c r="P1426" s="3">
        <f>parking_demand_data_2024_ver0!O1426</f>
        <v>0</v>
      </c>
      <c r="Q1426" s="3">
        <f>parking_demand_data_2024_ver0!P1426</f>
        <v>0</v>
      </c>
      <c r="R1426" s="3">
        <f>parking_demand_data_2024_ver0!Q1426</f>
        <v>0</v>
      </c>
      <c r="S1426" s="3">
        <f>parking_demand_data_2024_ver0!R1426</f>
        <v>0</v>
      </c>
      <c r="T1426" s="3">
        <f>parking_demand_data_2024_ver0!S1426</f>
        <v>0</v>
      </c>
    </row>
    <row r="1427" spans="1:20" x14ac:dyDescent="0.25">
      <c r="A1427">
        <v>18119</v>
      </c>
      <c r="B1427" t="s">
        <v>88</v>
      </c>
      <c r="C1427">
        <v>9</v>
      </c>
      <c r="D1427" s="3">
        <f>parking_demand_data_2024_ver0!D1427*calibration!$I$31</f>
        <v>0</v>
      </c>
      <c r="E1427" s="3">
        <f>parking_demand_data_2024_ver0!E1427*calibration!$I$31</f>
        <v>3.8108955639889599</v>
      </c>
      <c r="F1427" s="3">
        <f t="shared" si="22"/>
        <v>3.8108955639889599</v>
      </c>
      <c r="G1427" s="3">
        <f>parking_demand_data_2024_ver0!F1427</f>
        <v>0</v>
      </c>
      <c r="H1427" s="3">
        <f>parking_demand_data_2024_ver0!G1427</f>
        <v>0</v>
      </c>
      <c r="I1427" s="3">
        <f>parking_demand_data_2024_ver0!H1427</f>
        <v>0</v>
      </c>
      <c r="J1427" s="3">
        <f>parking_demand_data_2024_ver0!I1427</f>
        <v>0</v>
      </c>
      <c r="K1427" s="3">
        <f>parking_demand_data_2024_ver0!J1427</f>
        <v>0</v>
      </c>
      <c r="L1427" s="3">
        <f>parking_demand_data_2024_ver0!K1427</f>
        <v>0</v>
      </c>
      <c r="M1427" s="3">
        <f>parking_demand_data_2024_ver0!L1427</f>
        <v>0</v>
      </c>
      <c r="N1427" s="3">
        <f>parking_demand_data_2024_ver0!M1427</f>
        <v>0</v>
      </c>
      <c r="O1427" s="3">
        <f>parking_demand_data_2024_ver0!N1427</f>
        <v>0</v>
      </c>
      <c r="P1427" s="3">
        <f>parking_demand_data_2024_ver0!O1427</f>
        <v>0</v>
      </c>
      <c r="Q1427" s="3">
        <f>parking_demand_data_2024_ver0!P1427</f>
        <v>0</v>
      </c>
      <c r="R1427" s="3">
        <f>parking_demand_data_2024_ver0!Q1427</f>
        <v>0</v>
      </c>
      <c r="S1427" s="3">
        <f>parking_demand_data_2024_ver0!R1427</f>
        <v>0</v>
      </c>
      <c r="T1427" s="3">
        <f>parking_demand_data_2024_ver0!S1427</f>
        <v>0</v>
      </c>
    </row>
    <row r="1428" spans="1:20" x14ac:dyDescent="0.25">
      <c r="A1428">
        <v>18119</v>
      </c>
      <c r="B1428" t="s">
        <v>88</v>
      </c>
      <c r="C1428">
        <v>10</v>
      </c>
      <c r="D1428" s="3">
        <f>parking_demand_data_2024_ver0!D1428*calibration!$I$31</f>
        <v>0</v>
      </c>
      <c r="E1428" s="3">
        <f>parking_demand_data_2024_ver0!E1428*calibration!$I$31</f>
        <v>4.2592362185758903</v>
      </c>
      <c r="F1428" s="3">
        <f t="shared" si="22"/>
        <v>4.2592362185758903</v>
      </c>
      <c r="G1428" s="3">
        <f>parking_demand_data_2024_ver0!F1428</f>
        <v>0</v>
      </c>
      <c r="H1428" s="3">
        <f>parking_demand_data_2024_ver0!G1428</f>
        <v>0</v>
      </c>
      <c r="I1428" s="3">
        <f>parking_demand_data_2024_ver0!H1428</f>
        <v>0</v>
      </c>
      <c r="J1428" s="3">
        <f>parking_demand_data_2024_ver0!I1428</f>
        <v>0</v>
      </c>
      <c r="K1428" s="3">
        <f>parking_demand_data_2024_ver0!J1428</f>
        <v>0</v>
      </c>
      <c r="L1428" s="3">
        <f>parking_demand_data_2024_ver0!K1428</f>
        <v>0</v>
      </c>
      <c r="M1428" s="3">
        <f>parking_demand_data_2024_ver0!L1428</f>
        <v>0</v>
      </c>
      <c r="N1428" s="3">
        <f>parking_demand_data_2024_ver0!M1428</f>
        <v>0</v>
      </c>
      <c r="O1428" s="3">
        <f>parking_demand_data_2024_ver0!N1428</f>
        <v>0</v>
      </c>
      <c r="P1428" s="3">
        <f>parking_demand_data_2024_ver0!O1428</f>
        <v>0</v>
      </c>
      <c r="Q1428" s="3">
        <f>parking_demand_data_2024_ver0!P1428</f>
        <v>0</v>
      </c>
      <c r="R1428" s="3">
        <f>parking_demand_data_2024_ver0!Q1428</f>
        <v>0</v>
      </c>
      <c r="S1428" s="3">
        <f>parking_demand_data_2024_ver0!R1428</f>
        <v>0</v>
      </c>
      <c r="T1428" s="3">
        <f>parking_demand_data_2024_ver0!S1428</f>
        <v>0</v>
      </c>
    </row>
    <row r="1429" spans="1:20" x14ac:dyDescent="0.25">
      <c r="A1429">
        <v>18119</v>
      </c>
      <c r="B1429" t="s">
        <v>88</v>
      </c>
      <c r="C1429">
        <v>11</v>
      </c>
      <c r="D1429" s="3">
        <f>parking_demand_data_2024_ver0!D1429*calibration!$I$31</f>
        <v>0</v>
      </c>
      <c r="E1429" s="3">
        <f>parking_demand_data_2024_ver0!E1429*calibration!$I$31</f>
        <v>2.3911501577969898</v>
      </c>
      <c r="F1429" s="3">
        <f t="shared" si="22"/>
        <v>2.3911501577969898</v>
      </c>
      <c r="G1429" s="3">
        <f>parking_demand_data_2024_ver0!F1429</f>
        <v>0</v>
      </c>
      <c r="H1429" s="3">
        <f>parking_demand_data_2024_ver0!G1429</f>
        <v>0</v>
      </c>
      <c r="I1429" s="3">
        <f>parking_demand_data_2024_ver0!H1429</f>
        <v>0</v>
      </c>
      <c r="J1429" s="3">
        <f>parking_demand_data_2024_ver0!I1429</f>
        <v>0</v>
      </c>
      <c r="K1429" s="3">
        <f>parking_demand_data_2024_ver0!J1429</f>
        <v>0</v>
      </c>
      <c r="L1429" s="3">
        <f>parking_demand_data_2024_ver0!K1429</f>
        <v>0</v>
      </c>
      <c r="M1429" s="3">
        <f>parking_demand_data_2024_ver0!L1429</f>
        <v>0</v>
      </c>
      <c r="N1429" s="3">
        <f>parking_demand_data_2024_ver0!M1429</f>
        <v>0</v>
      </c>
      <c r="O1429" s="3">
        <f>parking_demand_data_2024_ver0!N1429</f>
        <v>0</v>
      </c>
      <c r="P1429" s="3">
        <f>parking_demand_data_2024_ver0!O1429</f>
        <v>0</v>
      </c>
      <c r="Q1429" s="3">
        <f>parking_demand_data_2024_ver0!P1429</f>
        <v>0</v>
      </c>
      <c r="R1429" s="3">
        <f>parking_demand_data_2024_ver0!Q1429</f>
        <v>0</v>
      </c>
      <c r="S1429" s="3">
        <f>parking_demand_data_2024_ver0!R1429</f>
        <v>0</v>
      </c>
      <c r="T1429" s="3">
        <f>parking_demand_data_2024_ver0!S1429</f>
        <v>0</v>
      </c>
    </row>
    <row r="1430" spans="1:20" x14ac:dyDescent="0.25">
      <c r="A1430">
        <v>18119</v>
      </c>
      <c r="B1430" t="s">
        <v>88</v>
      </c>
      <c r="C1430">
        <v>12</v>
      </c>
      <c r="D1430" s="3">
        <f>parking_demand_data_2024_ver0!D1430*calibration!$I$31</f>
        <v>0</v>
      </c>
      <c r="E1430" s="3">
        <f>parking_demand_data_2024_ver0!E1430*calibration!$I$31</f>
        <v>2.31642671536583</v>
      </c>
      <c r="F1430" s="3">
        <f t="shared" si="22"/>
        <v>2.31642671536583</v>
      </c>
      <c r="G1430" s="3">
        <f>parking_demand_data_2024_ver0!F1430</f>
        <v>0</v>
      </c>
      <c r="H1430" s="3">
        <f>parking_demand_data_2024_ver0!G1430</f>
        <v>0</v>
      </c>
      <c r="I1430" s="3">
        <f>parking_demand_data_2024_ver0!H1430</f>
        <v>0</v>
      </c>
      <c r="J1430" s="3">
        <f>parking_demand_data_2024_ver0!I1430</f>
        <v>0</v>
      </c>
      <c r="K1430" s="3">
        <f>parking_demand_data_2024_ver0!J1430</f>
        <v>0</v>
      </c>
      <c r="L1430" s="3">
        <f>parking_demand_data_2024_ver0!K1430</f>
        <v>0</v>
      </c>
      <c r="M1430" s="3">
        <f>parking_demand_data_2024_ver0!L1430</f>
        <v>0</v>
      </c>
      <c r="N1430" s="3">
        <f>parking_demand_data_2024_ver0!M1430</f>
        <v>0</v>
      </c>
      <c r="O1430" s="3">
        <f>parking_demand_data_2024_ver0!N1430</f>
        <v>0</v>
      </c>
      <c r="P1430" s="3">
        <f>parking_demand_data_2024_ver0!O1430</f>
        <v>0</v>
      </c>
      <c r="Q1430" s="3">
        <f>parking_demand_data_2024_ver0!P1430</f>
        <v>0</v>
      </c>
      <c r="R1430" s="3">
        <f>parking_demand_data_2024_ver0!Q1430</f>
        <v>0</v>
      </c>
      <c r="S1430" s="3">
        <f>parking_demand_data_2024_ver0!R1430</f>
        <v>0</v>
      </c>
      <c r="T1430" s="3">
        <f>parking_demand_data_2024_ver0!S1430</f>
        <v>0</v>
      </c>
    </row>
    <row r="1431" spans="1:20" x14ac:dyDescent="0.25">
      <c r="A1431">
        <v>18119</v>
      </c>
      <c r="B1431" t="s">
        <v>88</v>
      </c>
      <c r="C1431">
        <v>13</v>
      </c>
      <c r="D1431" s="3">
        <f>parking_demand_data_2024_ver0!D1431*calibration!$I$31</f>
        <v>0</v>
      </c>
      <c r="E1431" s="3">
        <f>parking_demand_data_2024_ver0!E1431*calibration!$I$31</f>
        <v>1.19557507889849</v>
      </c>
      <c r="F1431" s="3">
        <f t="shared" si="22"/>
        <v>1.19557507889849</v>
      </c>
      <c r="G1431" s="3">
        <f>parking_demand_data_2024_ver0!F1431</f>
        <v>0</v>
      </c>
      <c r="H1431" s="3">
        <f>parking_demand_data_2024_ver0!G1431</f>
        <v>0</v>
      </c>
      <c r="I1431" s="3">
        <f>parking_demand_data_2024_ver0!H1431</f>
        <v>0</v>
      </c>
      <c r="J1431" s="3">
        <f>parking_demand_data_2024_ver0!I1431</f>
        <v>0</v>
      </c>
      <c r="K1431" s="3">
        <f>parking_demand_data_2024_ver0!J1431</f>
        <v>0</v>
      </c>
      <c r="L1431" s="3">
        <f>parking_demand_data_2024_ver0!K1431</f>
        <v>0</v>
      </c>
      <c r="M1431" s="3">
        <f>parking_demand_data_2024_ver0!L1431</f>
        <v>0</v>
      </c>
      <c r="N1431" s="3">
        <f>parking_demand_data_2024_ver0!M1431</f>
        <v>0</v>
      </c>
      <c r="O1431" s="3">
        <f>parking_demand_data_2024_ver0!N1431</f>
        <v>0</v>
      </c>
      <c r="P1431" s="3">
        <f>parking_demand_data_2024_ver0!O1431</f>
        <v>0</v>
      </c>
      <c r="Q1431" s="3">
        <f>parking_demand_data_2024_ver0!P1431</f>
        <v>0</v>
      </c>
      <c r="R1431" s="3">
        <f>parking_demand_data_2024_ver0!Q1431</f>
        <v>0</v>
      </c>
      <c r="S1431" s="3">
        <f>parking_demand_data_2024_ver0!R1431</f>
        <v>0</v>
      </c>
      <c r="T1431" s="3">
        <f>parking_demand_data_2024_ver0!S1431</f>
        <v>0</v>
      </c>
    </row>
    <row r="1432" spans="1:20" x14ac:dyDescent="0.25">
      <c r="A1432">
        <v>18119</v>
      </c>
      <c r="B1432" t="s">
        <v>88</v>
      </c>
      <c r="C1432">
        <v>14</v>
      </c>
      <c r="D1432" s="3">
        <f>parking_demand_data_2024_ver0!D1432*calibration!$I$31</f>
        <v>0</v>
      </c>
      <c r="E1432" s="3">
        <f>parking_demand_data_2024_ver0!E1432*calibration!$I$31</f>
        <v>0.298893769724624</v>
      </c>
      <c r="F1432" s="3">
        <f t="shared" si="22"/>
        <v>0.298893769724624</v>
      </c>
      <c r="G1432" s="3">
        <f>parking_demand_data_2024_ver0!F1432</f>
        <v>0</v>
      </c>
      <c r="H1432" s="3">
        <f>parking_demand_data_2024_ver0!G1432</f>
        <v>0</v>
      </c>
      <c r="I1432" s="3">
        <f>parking_demand_data_2024_ver0!H1432</f>
        <v>0</v>
      </c>
      <c r="J1432" s="3">
        <f>parking_demand_data_2024_ver0!I1432</f>
        <v>0</v>
      </c>
      <c r="K1432" s="3">
        <f>parking_demand_data_2024_ver0!J1432</f>
        <v>0</v>
      </c>
      <c r="L1432" s="3">
        <f>parking_demand_data_2024_ver0!K1432</f>
        <v>0</v>
      </c>
      <c r="M1432" s="3">
        <f>parking_demand_data_2024_ver0!L1432</f>
        <v>0</v>
      </c>
      <c r="N1432" s="3">
        <f>parking_demand_data_2024_ver0!M1432</f>
        <v>0</v>
      </c>
      <c r="O1432" s="3">
        <f>parking_demand_data_2024_ver0!N1432</f>
        <v>0</v>
      </c>
      <c r="P1432" s="3">
        <f>parking_demand_data_2024_ver0!O1432</f>
        <v>0</v>
      </c>
      <c r="Q1432" s="3">
        <f>parking_demand_data_2024_ver0!P1432</f>
        <v>0</v>
      </c>
      <c r="R1432" s="3">
        <f>parking_demand_data_2024_ver0!Q1432</f>
        <v>0</v>
      </c>
      <c r="S1432" s="3">
        <f>parking_demand_data_2024_ver0!R1432</f>
        <v>0</v>
      </c>
      <c r="T1432" s="3">
        <f>parking_demand_data_2024_ver0!S1432</f>
        <v>0</v>
      </c>
    </row>
    <row r="1433" spans="1:20" x14ac:dyDescent="0.25">
      <c r="A1433">
        <v>18119</v>
      </c>
      <c r="B1433" t="s">
        <v>88</v>
      </c>
      <c r="C1433">
        <v>15</v>
      </c>
      <c r="D1433" s="3">
        <f>parking_demand_data_2024_ver0!D1433*calibration!$I$31</f>
        <v>0</v>
      </c>
      <c r="E1433" s="3">
        <f>parking_demand_data_2024_ver0!E1433*calibration!$I$31</f>
        <v>0.149446884862312</v>
      </c>
      <c r="F1433" s="3">
        <f t="shared" si="22"/>
        <v>0.149446884862312</v>
      </c>
      <c r="G1433" s="3">
        <f>parking_demand_data_2024_ver0!F1433</f>
        <v>0</v>
      </c>
      <c r="H1433" s="3">
        <f>parking_demand_data_2024_ver0!G1433</f>
        <v>0</v>
      </c>
      <c r="I1433" s="3">
        <f>parking_demand_data_2024_ver0!H1433</f>
        <v>0</v>
      </c>
      <c r="J1433" s="3">
        <f>parking_demand_data_2024_ver0!I1433</f>
        <v>0</v>
      </c>
      <c r="K1433" s="3">
        <f>parking_demand_data_2024_ver0!J1433</f>
        <v>0</v>
      </c>
      <c r="L1433" s="3">
        <f>parking_demand_data_2024_ver0!K1433</f>
        <v>0</v>
      </c>
      <c r="M1433" s="3">
        <f>parking_demand_data_2024_ver0!L1433</f>
        <v>0</v>
      </c>
      <c r="N1433" s="3">
        <f>parking_demand_data_2024_ver0!M1433</f>
        <v>0</v>
      </c>
      <c r="O1433" s="3">
        <f>parking_demand_data_2024_ver0!N1433</f>
        <v>0</v>
      </c>
      <c r="P1433" s="3">
        <f>parking_demand_data_2024_ver0!O1433</f>
        <v>0</v>
      </c>
      <c r="Q1433" s="3">
        <f>parking_demand_data_2024_ver0!P1433</f>
        <v>0</v>
      </c>
      <c r="R1433" s="3">
        <f>parking_demand_data_2024_ver0!Q1433</f>
        <v>0</v>
      </c>
      <c r="S1433" s="3">
        <f>parking_demand_data_2024_ver0!R1433</f>
        <v>0</v>
      </c>
      <c r="T1433" s="3">
        <f>parking_demand_data_2024_ver0!S1433</f>
        <v>0</v>
      </c>
    </row>
    <row r="1434" spans="1:20" x14ac:dyDescent="0.25">
      <c r="A1434">
        <v>18119</v>
      </c>
      <c r="B1434" t="s">
        <v>88</v>
      </c>
      <c r="C1434">
        <v>16</v>
      </c>
      <c r="D1434" s="3">
        <f>parking_demand_data_2024_ver0!D1434*calibration!$I$31</f>
        <v>0</v>
      </c>
      <c r="E1434" s="3">
        <f>parking_demand_data_2024_ver0!E1434*calibration!$I$31</f>
        <v>0.298893769724624</v>
      </c>
      <c r="F1434" s="3">
        <f t="shared" si="22"/>
        <v>0.298893769724624</v>
      </c>
      <c r="G1434" s="3">
        <f>parking_demand_data_2024_ver0!F1434</f>
        <v>0</v>
      </c>
      <c r="H1434" s="3">
        <f>parking_demand_data_2024_ver0!G1434</f>
        <v>0</v>
      </c>
      <c r="I1434" s="3">
        <f>parking_demand_data_2024_ver0!H1434</f>
        <v>0</v>
      </c>
      <c r="J1434" s="3">
        <f>parking_demand_data_2024_ver0!I1434</f>
        <v>0</v>
      </c>
      <c r="K1434" s="3">
        <f>parking_demand_data_2024_ver0!J1434</f>
        <v>0</v>
      </c>
      <c r="L1434" s="3">
        <f>parking_demand_data_2024_ver0!K1434</f>
        <v>0</v>
      </c>
      <c r="M1434" s="3">
        <f>parking_demand_data_2024_ver0!L1434</f>
        <v>0</v>
      </c>
      <c r="N1434" s="3">
        <f>parking_demand_data_2024_ver0!M1434</f>
        <v>0</v>
      </c>
      <c r="O1434" s="3">
        <f>parking_demand_data_2024_ver0!N1434</f>
        <v>0</v>
      </c>
      <c r="P1434" s="3">
        <f>parking_demand_data_2024_ver0!O1434</f>
        <v>0</v>
      </c>
      <c r="Q1434" s="3">
        <f>parking_demand_data_2024_ver0!P1434</f>
        <v>0</v>
      </c>
      <c r="R1434" s="3">
        <f>parking_demand_data_2024_ver0!Q1434</f>
        <v>0</v>
      </c>
      <c r="S1434" s="3">
        <f>parking_demand_data_2024_ver0!R1434</f>
        <v>0</v>
      </c>
      <c r="T1434" s="3">
        <f>parking_demand_data_2024_ver0!S1434</f>
        <v>0</v>
      </c>
    </row>
    <row r="1435" spans="1:20" x14ac:dyDescent="0.25">
      <c r="A1435">
        <v>18119</v>
      </c>
      <c r="B1435" t="s">
        <v>88</v>
      </c>
      <c r="C1435">
        <v>17</v>
      </c>
      <c r="D1435" s="3">
        <f>parking_demand_data_2024_ver0!D1435*calibration!$I$31</f>
        <v>0</v>
      </c>
      <c r="E1435" s="3">
        <f>parking_demand_data_2024_ver0!E1435*calibration!$I$31</f>
        <v>0.298893769724624</v>
      </c>
      <c r="F1435" s="3">
        <f t="shared" si="22"/>
        <v>0.298893769724624</v>
      </c>
      <c r="G1435" s="3">
        <f>parking_demand_data_2024_ver0!F1435</f>
        <v>0</v>
      </c>
      <c r="H1435" s="3">
        <f>parking_demand_data_2024_ver0!G1435</f>
        <v>0</v>
      </c>
      <c r="I1435" s="3">
        <f>parking_demand_data_2024_ver0!H1435</f>
        <v>0</v>
      </c>
      <c r="J1435" s="3">
        <f>parking_demand_data_2024_ver0!I1435</f>
        <v>0</v>
      </c>
      <c r="K1435" s="3">
        <f>parking_demand_data_2024_ver0!J1435</f>
        <v>0</v>
      </c>
      <c r="L1435" s="3">
        <f>parking_demand_data_2024_ver0!K1435</f>
        <v>0</v>
      </c>
      <c r="M1435" s="3">
        <f>parking_demand_data_2024_ver0!L1435</f>
        <v>0</v>
      </c>
      <c r="N1435" s="3">
        <f>parking_demand_data_2024_ver0!M1435</f>
        <v>0</v>
      </c>
      <c r="O1435" s="3">
        <f>parking_demand_data_2024_ver0!N1435</f>
        <v>0</v>
      </c>
      <c r="P1435" s="3">
        <f>parking_demand_data_2024_ver0!O1435</f>
        <v>0</v>
      </c>
      <c r="Q1435" s="3">
        <f>parking_demand_data_2024_ver0!P1435</f>
        <v>0</v>
      </c>
      <c r="R1435" s="3">
        <f>parking_demand_data_2024_ver0!Q1435</f>
        <v>0</v>
      </c>
      <c r="S1435" s="3">
        <f>parking_demand_data_2024_ver0!R1435</f>
        <v>0</v>
      </c>
      <c r="T1435" s="3">
        <f>parking_demand_data_2024_ver0!S1435</f>
        <v>0</v>
      </c>
    </row>
    <row r="1436" spans="1:20" x14ac:dyDescent="0.25">
      <c r="A1436">
        <v>18119</v>
      </c>
      <c r="B1436" t="s">
        <v>88</v>
      </c>
      <c r="C1436">
        <v>18</v>
      </c>
      <c r="D1436" s="3">
        <f>parking_demand_data_2024_ver0!D1436*calibration!$I$31</f>
        <v>0</v>
      </c>
      <c r="E1436" s="3">
        <f>parking_demand_data_2024_ver0!E1436*calibration!$I$31</f>
        <v>0.149446884862312</v>
      </c>
      <c r="F1436" s="3">
        <f t="shared" si="22"/>
        <v>0.149446884862312</v>
      </c>
      <c r="G1436" s="3">
        <f>parking_demand_data_2024_ver0!F1436</f>
        <v>0</v>
      </c>
      <c r="H1436" s="3">
        <f>parking_demand_data_2024_ver0!G1436</f>
        <v>0</v>
      </c>
      <c r="I1436" s="3">
        <f>parking_demand_data_2024_ver0!H1436</f>
        <v>0</v>
      </c>
      <c r="J1436" s="3">
        <f>parking_demand_data_2024_ver0!I1436</f>
        <v>0</v>
      </c>
      <c r="K1436" s="3">
        <f>parking_demand_data_2024_ver0!J1436</f>
        <v>0</v>
      </c>
      <c r="L1436" s="3">
        <f>parking_demand_data_2024_ver0!K1436</f>
        <v>0</v>
      </c>
      <c r="M1436" s="3">
        <f>parking_demand_data_2024_ver0!L1436</f>
        <v>0</v>
      </c>
      <c r="N1436" s="3">
        <f>parking_demand_data_2024_ver0!M1436</f>
        <v>0</v>
      </c>
      <c r="O1436" s="3">
        <f>parking_demand_data_2024_ver0!N1436</f>
        <v>0</v>
      </c>
      <c r="P1436" s="3">
        <f>parking_demand_data_2024_ver0!O1436</f>
        <v>0</v>
      </c>
      <c r="Q1436" s="3">
        <f>parking_demand_data_2024_ver0!P1436</f>
        <v>0</v>
      </c>
      <c r="R1436" s="3">
        <f>parking_demand_data_2024_ver0!Q1436</f>
        <v>0</v>
      </c>
      <c r="S1436" s="3">
        <f>parking_demand_data_2024_ver0!R1436</f>
        <v>0</v>
      </c>
      <c r="T1436" s="3">
        <f>parking_demand_data_2024_ver0!S1436</f>
        <v>0</v>
      </c>
    </row>
    <row r="1437" spans="1:20" x14ac:dyDescent="0.25">
      <c r="A1437">
        <v>18119</v>
      </c>
      <c r="B1437" t="s">
        <v>88</v>
      </c>
      <c r="C1437">
        <v>19</v>
      </c>
      <c r="D1437" s="3">
        <f>parking_demand_data_2024_ver0!D1437*calibration!$I$31</f>
        <v>0</v>
      </c>
      <c r="E1437" s="3">
        <f>parking_demand_data_2024_ver0!E1437*calibration!$I$31</f>
        <v>0.298893769724624</v>
      </c>
      <c r="F1437" s="3">
        <f t="shared" si="22"/>
        <v>0.298893769724624</v>
      </c>
      <c r="G1437" s="3">
        <f>parking_demand_data_2024_ver0!F1437</f>
        <v>0</v>
      </c>
      <c r="H1437" s="3">
        <f>parking_demand_data_2024_ver0!G1437</f>
        <v>0</v>
      </c>
      <c r="I1437" s="3">
        <f>parking_demand_data_2024_ver0!H1437</f>
        <v>0</v>
      </c>
      <c r="J1437" s="3">
        <f>parking_demand_data_2024_ver0!I1437</f>
        <v>0</v>
      </c>
      <c r="K1437" s="3">
        <f>parking_demand_data_2024_ver0!J1437</f>
        <v>0</v>
      </c>
      <c r="L1437" s="3">
        <f>parking_demand_data_2024_ver0!K1437</f>
        <v>0</v>
      </c>
      <c r="M1437" s="3">
        <f>parking_demand_data_2024_ver0!L1437</f>
        <v>0</v>
      </c>
      <c r="N1437" s="3">
        <f>parking_demand_data_2024_ver0!M1437</f>
        <v>0</v>
      </c>
      <c r="O1437" s="3">
        <f>parking_demand_data_2024_ver0!N1437</f>
        <v>0</v>
      </c>
      <c r="P1437" s="3">
        <f>parking_demand_data_2024_ver0!O1437</f>
        <v>0</v>
      </c>
      <c r="Q1437" s="3">
        <f>parking_demand_data_2024_ver0!P1437</f>
        <v>0</v>
      </c>
      <c r="R1437" s="3">
        <f>parking_demand_data_2024_ver0!Q1437</f>
        <v>0</v>
      </c>
      <c r="S1437" s="3">
        <f>parking_demand_data_2024_ver0!R1437</f>
        <v>0</v>
      </c>
      <c r="T1437" s="3">
        <f>parking_demand_data_2024_ver0!S1437</f>
        <v>0</v>
      </c>
    </row>
    <row r="1438" spans="1:20" x14ac:dyDescent="0.25">
      <c r="A1438">
        <v>18119</v>
      </c>
      <c r="B1438" t="s">
        <v>88</v>
      </c>
      <c r="C1438">
        <v>20</v>
      </c>
      <c r="D1438" s="3">
        <f>parking_demand_data_2024_ver0!D1438*calibration!$I$31</f>
        <v>0</v>
      </c>
      <c r="E1438" s="3">
        <f>parking_demand_data_2024_ver0!E1438*calibration!$I$31</f>
        <v>0.448340654586936</v>
      </c>
      <c r="F1438" s="3">
        <f t="shared" si="22"/>
        <v>0.448340654586936</v>
      </c>
      <c r="G1438" s="3">
        <f>parking_demand_data_2024_ver0!F1438</f>
        <v>0</v>
      </c>
      <c r="H1438" s="3">
        <f>parking_demand_data_2024_ver0!G1438</f>
        <v>0</v>
      </c>
      <c r="I1438" s="3">
        <f>parking_demand_data_2024_ver0!H1438</f>
        <v>0</v>
      </c>
      <c r="J1438" s="3">
        <f>parking_demand_data_2024_ver0!I1438</f>
        <v>0</v>
      </c>
      <c r="K1438" s="3">
        <f>parking_demand_data_2024_ver0!J1438</f>
        <v>0</v>
      </c>
      <c r="L1438" s="3">
        <f>parking_demand_data_2024_ver0!K1438</f>
        <v>0</v>
      </c>
      <c r="M1438" s="3">
        <f>parking_demand_data_2024_ver0!L1438</f>
        <v>0</v>
      </c>
      <c r="N1438" s="3">
        <f>parking_demand_data_2024_ver0!M1438</f>
        <v>0</v>
      </c>
      <c r="O1438" s="3">
        <f>parking_demand_data_2024_ver0!N1438</f>
        <v>0</v>
      </c>
      <c r="P1438" s="3">
        <f>parking_demand_data_2024_ver0!O1438</f>
        <v>0</v>
      </c>
      <c r="Q1438" s="3">
        <f>parking_demand_data_2024_ver0!P1438</f>
        <v>0</v>
      </c>
      <c r="R1438" s="3">
        <f>parking_demand_data_2024_ver0!Q1438</f>
        <v>0</v>
      </c>
      <c r="S1438" s="3">
        <f>parking_demand_data_2024_ver0!R1438</f>
        <v>0</v>
      </c>
      <c r="T1438" s="3">
        <f>parking_demand_data_2024_ver0!S1438</f>
        <v>0</v>
      </c>
    </row>
    <row r="1439" spans="1:20" x14ac:dyDescent="0.25">
      <c r="A1439">
        <v>18119</v>
      </c>
      <c r="B1439" t="s">
        <v>88</v>
      </c>
      <c r="C1439">
        <v>21</v>
      </c>
      <c r="D1439" s="3">
        <f>parking_demand_data_2024_ver0!D1439*calibration!$I$31</f>
        <v>0</v>
      </c>
      <c r="E1439" s="3">
        <f>parking_demand_data_2024_ver0!E1439*calibration!$I$31</f>
        <v>0.52306409701809198</v>
      </c>
      <c r="F1439" s="3">
        <f t="shared" si="22"/>
        <v>0.52306409701809198</v>
      </c>
      <c r="G1439" s="3">
        <f>parking_demand_data_2024_ver0!F1439</f>
        <v>0</v>
      </c>
      <c r="H1439" s="3">
        <f>parking_demand_data_2024_ver0!G1439</f>
        <v>0</v>
      </c>
      <c r="I1439" s="3">
        <f>parking_demand_data_2024_ver0!H1439</f>
        <v>0</v>
      </c>
      <c r="J1439" s="3">
        <f>parking_demand_data_2024_ver0!I1439</f>
        <v>0</v>
      </c>
      <c r="K1439" s="3">
        <f>parking_demand_data_2024_ver0!J1439</f>
        <v>0</v>
      </c>
      <c r="L1439" s="3">
        <f>parking_demand_data_2024_ver0!K1439</f>
        <v>0</v>
      </c>
      <c r="M1439" s="3">
        <f>parking_demand_data_2024_ver0!L1439</f>
        <v>0</v>
      </c>
      <c r="N1439" s="3">
        <f>parking_demand_data_2024_ver0!M1439</f>
        <v>0</v>
      </c>
      <c r="O1439" s="3">
        <f>parking_demand_data_2024_ver0!N1439</f>
        <v>0</v>
      </c>
      <c r="P1439" s="3">
        <f>parking_demand_data_2024_ver0!O1439</f>
        <v>0</v>
      </c>
      <c r="Q1439" s="3">
        <f>parking_demand_data_2024_ver0!P1439</f>
        <v>0</v>
      </c>
      <c r="R1439" s="3">
        <f>parking_demand_data_2024_ver0!Q1439</f>
        <v>0</v>
      </c>
      <c r="S1439" s="3">
        <f>parking_demand_data_2024_ver0!R1439</f>
        <v>0</v>
      </c>
      <c r="T1439" s="3">
        <f>parking_demand_data_2024_ver0!S1439</f>
        <v>0</v>
      </c>
    </row>
    <row r="1440" spans="1:20" x14ac:dyDescent="0.25">
      <c r="A1440">
        <v>18119</v>
      </c>
      <c r="B1440" t="s">
        <v>88</v>
      </c>
      <c r="C1440">
        <v>22</v>
      </c>
      <c r="D1440" s="3">
        <f>parking_demand_data_2024_ver0!D1440*calibration!$I$31</f>
        <v>0</v>
      </c>
      <c r="E1440" s="3">
        <f>parking_demand_data_2024_ver0!E1440*calibration!$I$31</f>
        <v>0.298893769724624</v>
      </c>
      <c r="F1440" s="3">
        <f t="shared" si="22"/>
        <v>0.298893769724624</v>
      </c>
      <c r="G1440" s="3">
        <f>parking_demand_data_2024_ver0!F1440</f>
        <v>0</v>
      </c>
      <c r="H1440" s="3">
        <f>parking_demand_data_2024_ver0!G1440</f>
        <v>0</v>
      </c>
      <c r="I1440" s="3">
        <f>parking_demand_data_2024_ver0!H1440</f>
        <v>0</v>
      </c>
      <c r="J1440" s="3">
        <f>parking_demand_data_2024_ver0!I1440</f>
        <v>0</v>
      </c>
      <c r="K1440" s="3">
        <f>parking_demand_data_2024_ver0!J1440</f>
        <v>0</v>
      </c>
      <c r="L1440" s="3">
        <f>parking_demand_data_2024_ver0!K1440</f>
        <v>0</v>
      </c>
      <c r="M1440" s="3">
        <f>parking_demand_data_2024_ver0!L1440</f>
        <v>0</v>
      </c>
      <c r="N1440" s="3">
        <f>parking_demand_data_2024_ver0!M1440</f>
        <v>0</v>
      </c>
      <c r="O1440" s="3">
        <f>parking_demand_data_2024_ver0!N1440</f>
        <v>0</v>
      </c>
      <c r="P1440" s="3">
        <f>parking_demand_data_2024_ver0!O1440</f>
        <v>0</v>
      </c>
      <c r="Q1440" s="3">
        <f>parking_demand_data_2024_ver0!P1440</f>
        <v>0</v>
      </c>
      <c r="R1440" s="3">
        <f>parking_demand_data_2024_ver0!Q1440</f>
        <v>0</v>
      </c>
      <c r="S1440" s="3">
        <f>parking_demand_data_2024_ver0!R1440</f>
        <v>0</v>
      </c>
      <c r="T1440" s="3">
        <f>parking_demand_data_2024_ver0!S1440</f>
        <v>0</v>
      </c>
    </row>
    <row r="1441" spans="1:20" x14ac:dyDescent="0.25">
      <c r="A1441">
        <v>18119</v>
      </c>
      <c r="B1441" t="s">
        <v>88</v>
      </c>
      <c r="C1441">
        <v>23</v>
      </c>
      <c r="D1441" s="3">
        <f>parking_demand_data_2024_ver0!D1441*calibration!$I$31</f>
        <v>0</v>
      </c>
      <c r="E1441" s="3">
        <f>parking_demand_data_2024_ver0!E1441*calibration!$I$31</f>
        <v>0.298893769724624</v>
      </c>
      <c r="F1441" s="3">
        <f t="shared" si="22"/>
        <v>0.298893769724624</v>
      </c>
      <c r="G1441" s="3">
        <f>parking_demand_data_2024_ver0!F1441</f>
        <v>0</v>
      </c>
      <c r="H1441" s="3">
        <f>parking_demand_data_2024_ver0!G1441</f>
        <v>0</v>
      </c>
      <c r="I1441" s="3">
        <f>parking_demand_data_2024_ver0!H1441</f>
        <v>0</v>
      </c>
      <c r="J1441" s="3">
        <f>parking_demand_data_2024_ver0!I1441</f>
        <v>0</v>
      </c>
      <c r="K1441" s="3">
        <f>parking_demand_data_2024_ver0!J1441</f>
        <v>0</v>
      </c>
      <c r="L1441" s="3">
        <f>parking_demand_data_2024_ver0!K1441</f>
        <v>0</v>
      </c>
      <c r="M1441" s="3">
        <f>parking_demand_data_2024_ver0!L1441</f>
        <v>0</v>
      </c>
      <c r="N1441" s="3">
        <f>parking_demand_data_2024_ver0!M1441</f>
        <v>0</v>
      </c>
      <c r="O1441" s="3">
        <f>parking_demand_data_2024_ver0!N1441</f>
        <v>0</v>
      </c>
      <c r="P1441" s="3">
        <f>parking_demand_data_2024_ver0!O1441</f>
        <v>0</v>
      </c>
      <c r="Q1441" s="3">
        <f>parking_demand_data_2024_ver0!P1441</f>
        <v>0</v>
      </c>
      <c r="R1441" s="3">
        <f>parking_demand_data_2024_ver0!Q1441</f>
        <v>0</v>
      </c>
      <c r="S1441" s="3">
        <f>parking_demand_data_2024_ver0!R1441</f>
        <v>0</v>
      </c>
      <c r="T1441" s="3">
        <f>parking_demand_data_2024_ver0!S1441</f>
        <v>0</v>
      </c>
    </row>
    <row r="1442" spans="1:20" x14ac:dyDescent="0.25">
      <c r="A1442">
        <v>18121</v>
      </c>
      <c r="B1442" t="s">
        <v>89</v>
      </c>
      <c r="C1442">
        <v>0</v>
      </c>
      <c r="D1442" s="3">
        <f>parking_demand_data_2024_ver0!D1442*calibration!$I$31</f>
        <v>0</v>
      </c>
      <c r="E1442" s="3">
        <f>parking_demand_data_2024_ver0!E1442*calibration!$I$31</f>
        <v>0</v>
      </c>
      <c r="F1442" s="3">
        <f t="shared" si="22"/>
        <v>0</v>
      </c>
      <c r="G1442" s="3">
        <f>parking_demand_data_2024_ver0!F1442</f>
        <v>0</v>
      </c>
      <c r="H1442" s="3">
        <f>parking_demand_data_2024_ver0!G1442</f>
        <v>0</v>
      </c>
      <c r="I1442" s="3">
        <f>parking_demand_data_2024_ver0!H1442</f>
        <v>0</v>
      </c>
      <c r="J1442" s="3">
        <f>parking_demand_data_2024_ver0!I1442</f>
        <v>0</v>
      </c>
      <c r="K1442" s="3">
        <f>parking_demand_data_2024_ver0!J1442</f>
        <v>0</v>
      </c>
      <c r="L1442" s="3">
        <f>parking_demand_data_2024_ver0!K1442</f>
        <v>0</v>
      </c>
      <c r="M1442" s="3">
        <f>parking_demand_data_2024_ver0!L1442</f>
        <v>0</v>
      </c>
      <c r="N1442" s="3">
        <f>parking_demand_data_2024_ver0!M1442</f>
        <v>0</v>
      </c>
      <c r="O1442" s="3">
        <f>parking_demand_data_2024_ver0!N1442</f>
        <v>0</v>
      </c>
      <c r="P1442" s="3">
        <f>parking_demand_data_2024_ver0!O1442</f>
        <v>0</v>
      </c>
      <c r="Q1442" s="3">
        <f>parking_demand_data_2024_ver0!P1442</f>
        <v>0</v>
      </c>
      <c r="R1442" s="3">
        <f>parking_demand_data_2024_ver0!Q1442</f>
        <v>0</v>
      </c>
      <c r="S1442" s="3">
        <f>parking_demand_data_2024_ver0!R1442</f>
        <v>0</v>
      </c>
      <c r="T1442" s="3">
        <f>parking_demand_data_2024_ver0!S1442</f>
        <v>0</v>
      </c>
    </row>
    <row r="1443" spans="1:20" x14ac:dyDescent="0.25">
      <c r="A1443">
        <v>18121</v>
      </c>
      <c r="B1443" t="s">
        <v>89</v>
      </c>
      <c r="C1443">
        <v>1</v>
      </c>
      <c r="D1443" s="3">
        <f>parking_demand_data_2024_ver0!D1443*calibration!$I$31</f>
        <v>0</v>
      </c>
      <c r="E1443" s="3">
        <f>parking_demand_data_2024_ver0!E1443*calibration!$I$31</f>
        <v>0</v>
      </c>
      <c r="F1443" s="3">
        <f t="shared" si="22"/>
        <v>0</v>
      </c>
      <c r="G1443" s="3">
        <f>parking_demand_data_2024_ver0!F1443</f>
        <v>0</v>
      </c>
      <c r="H1443" s="3">
        <f>parking_demand_data_2024_ver0!G1443</f>
        <v>0</v>
      </c>
      <c r="I1443" s="3">
        <f>parking_demand_data_2024_ver0!H1443</f>
        <v>0</v>
      </c>
      <c r="J1443" s="3">
        <f>parking_demand_data_2024_ver0!I1443</f>
        <v>0</v>
      </c>
      <c r="K1443" s="3">
        <f>parking_demand_data_2024_ver0!J1443</f>
        <v>0</v>
      </c>
      <c r="L1443" s="3">
        <f>parking_demand_data_2024_ver0!K1443</f>
        <v>0</v>
      </c>
      <c r="M1443" s="3">
        <f>parking_demand_data_2024_ver0!L1443</f>
        <v>0</v>
      </c>
      <c r="N1443" s="3">
        <f>parking_demand_data_2024_ver0!M1443</f>
        <v>0</v>
      </c>
      <c r="O1443" s="3">
        <f>parking_demand_data_2024_ver0!N1443</f>
        <v>0</v>
      </c>
      <c r="P1443" s="3">
        <f>parking_demand_data_2024_ver0!O1443</f>
        <v>0</v>
      </c>
      <c r="Q1443" s="3">
        <f>parking_demand_data_2024_ver0!P1443</f>
        <v>0</v>
      </c>
      <c r="R1443" s="3">
        <f>parking_demand_data_2024_ver0!Q1443</f>
        <v>0</v>
      </c>
      <c r="S1443" s="3">
        <f>parking_demand_data_2024_ver0!R1443</f>
        <v>0</v>
      </c>
      <c r="T1443" s="3">
        <f>parking_demand_data_2024_ver0!S1443</f>
        <v>0</v>
      </c>
    </row>
    <row r="1444" spans="1:20" x14ac:dyDescent="0.25">
      <c r="A1444">
        <v>18121</v>
      </c>
      <c r="B1444" t="s">
        <v>89</v>
      </c>
      <c r="C1444">
        <v>2</v>
      </c>
      <c r="D1444" s="3">
        <f>parking_demand_data_2024_ver0!D1444*calibration!$I$31</f>
        <v>0</v>
      </c>
      <c r="E1444" s="3">
        <f>parking_demand_data_2024_ver0!E1444*calibration!$I$31</f>
        <v>0</v>
      </c>
      <c r="F1444" s="3">
        <f t="shared" si="22"/>
        <v>0</v>
      </c>
      <c r="G1444" s="3">
        <f>parking_demand_data_2024_ver0!F1444</f>
        <v>0</v>
      </c>
      <c r="H1444" s="3">
        <f>parking_demand_data_2024_ver0!G1444</f>
        <v>0</v>
      </c>
      <c r="I1444" s="3">
        <f>parking_demand_data_2024_ver0!H1444</f>
        <v>0</v>
      </c>
      <c r="J1444" s="3">
        <f>parking_demand_data_2024_ver0!I1444</f>
        <v>0</v>
      </c>
      <c r="K1444" s="3">
        <f>parking_demand_data_2024_ver0!J1444</f>
        <v>0</v>
      </c>
      <c r="L1444" s="3">
        <f>parking_demand_data_2024_ver0!K1444</f>
        <v>0</v>
      </c>
      <c r="M1444" s="3">
        <f>parking_demand_data_2024_ver0!L1444</f>
        <v>0</v>
      </c>
      <c r="N1444" s="3">
        <f>parking_demand_data_2024_ver0!M1444</f>
        <v>0</v>
      </c>
      <c r="O1444" s="3">
        <f>parking_demand_data_2024_ver0!N1444</f>
        <v>0</v>
      </c>
      <c r="P1444" s="3">
        <f>parking_demand_data_2024_ver0!O1444</f>
        <v>0</v>
      </c>
      <c r="Q1444" s="3">
        <f>parking_demand_data_2024_ver0!P1444</f>
        <v>0</v>
      </c>
      <c r="R1444" s="3">
        <f>parking_demand_data_2024_ver0!Q1444</f>
        <v>0</v>
      </c>
      <c r="S1444" s="3">
        <f>parking_demand_data_2024_ver0!R1444</f>
        <v>0</v>
      </c>
      <c r="T1444" s="3">
        <f>parking_demand_data_2024_ver0!S1444</f>
        <v>0</v>
      </c>
    </row>
    <row r="1445" spans="1:20" x14ac:dyDescent="0.25">
      <c r="A1445">
        <v>18121</v>
      </c>
      <c r="B1445" t="s">
        <v>89</v>
      </c>
      <c r="C1445">
        <v>3</v>
      </c>
      <c r="D1445" s="3">
        <f>parking_demand_data_2024_ver0!D1445*calibration!$I$31</f>
        <v>0</v>
      </c>
      <c r="E1445" s="3">
        <f>parking_demand_data_2024_ver0!E1445*calibration!$I$31</f>
        <v>0</v>
      </c>
      <c r="F1445" s="3">
        <f t="shared" si="22"/>
        <v>0</v>
      </c>
      <c r="G1445" s="3">
        <f>parking_demand_data_2024_ver0!F1445</f>
        <v>0</v>
      </c>
      <c r="H1445" s="3">
        <f>parking_demand_data_2024_ver0!G1445</f>
        <v>0</v>
      </c>
      <c r="I1445" s="3">
        <f>parking_demand_data_2024_ver0!H1445</f>
        <v>0</v>
      </c>
      <c r="J1445" s="3">
        <f>parking_demand_data_2024_ver0!I1445</f>
        <v>0</v>
      </c>
      <c r="K1445" s="3">
        <f>parking_demand_data_2024_ver0!J1445</f>
        <v>0</v>
      </c>
      <c r="L1445" s="3">
        <f>parking_demand_data_2024_ver0!K1445</f>
        <v>0</v>
      </c>
      <c r="M1445" s="3">
        <f>parking_demand_data_2024_ver0!L1445</f>
        <v>0</v>
      </c>
      <c r="N1445" s="3">
        <f>parking_demand_data_2024_ver0!M1445</f>
        <v>0</v>
      </c>
      <c r="O1445" s="3">
        <f>parking_demand_data_2024_ver0!N1445</f>
        <v>0</v>
      </c>
      <c r="P1445" s="3">
        <f>parking_demand_data_2024_ver0!O1445</f>
        <v>0</v>
      </c>
      <c r="Q1445" s="3">
        <f>parking_demand_data_2024_ver0!P1445</f>
        <v>0</v>
      </c>
      <c r="R1445" s="3">
        <f>parking_demand_data_2024_ver0!Q1445</f>
        <v>0</v>
      </c>
      <c r="S1445" s="3">
        <f>parking_demand_data_2024_ver0!R1445</f>
        <v>0</v>
      </c>
      <c r="T1445" s="3">
        <f>parking_demand_data_2024_ver0!S1445</f>
        <v>0</v>
      </c>
    </row>
    <row r="1446" spans="1:20" x14ac:dyDescent="0.25">
      <c r="A1446">
        <v>18121</v>
      </c>
      <c r="B1446" t="s">
        <v>89</v>
      </c>
      <c r="C1446">
        <v>4</v>
      </c>
      <c r="D1446" s="3">
        <f>parking_demand_data_2024_ver0!D1446*calibration!$I$31</f>
        <v>0</v>
      </c>
      <c r="E1446" s="3">
        <f>parking_demand_data_2024_ver0!E1446*calibration!$I$31</f>
        <v>0</v>
      </c>
      <c r="F1446" s="3">
        <f t="shared" si="22"/>
        <v>0</v>
      </c>
      <c r="G1446" s="3">
        <f>parking_demand_data_2024_ver0!F1446</f>
        <v>0</v>
      </c>
      <c r="H1446" s="3">
        <f>parking_demand_data_2024_ver0!G1446</f>
        <v>0</v>
      </c>
      <c r="I1446" s="3">
        <f>parking_demand_data_2024_ver0!H1446</f>
        <v>0</v>
      </c>
      <c r="J1446" s="3">
        <f>parking_demand_data_2024_ver0!I1446</f>
        <v>0</v>
      </c>
      <c r="K1446" s="3">
        <f>parking_demand_data_2024_ver0!J1446</f>
        <v>0</v>
      </c>
      <c r="L1446" s="3">
        <f>parking_demand_data_2024_ver0!K1446</f>
        <v>0</v>
      </c>
      <c r="M1446" s="3">
        <f>parking_demand_data_2024_ver0!L1446</f>
        <v>0</v>
      </c>
      <c r="N1446" s="3">
        <f>parking_demand_data_2024_ver0!M1446</f>
        <v>0</v>
      </c>
      <c r="O1446" s="3">
        <f>parking_demand_data_2024_ver0!N1446</f>
        <v>0</v>
      </c>
      <c r="P1446" s="3">
        <f>parking_demand_data_2024_ver0!O1446</f>
        <v>0</v>
      </c>
      <c r="Q1446" s="3">
        <f>parking_demand_data_2024_ver0!P1446</f>
        <v>0</v>
      </c>
      <c r="R1446" s="3">
        <f>parking_demand_data_2024_ver0!Q1446</f>
        <v>0</v>
      </c>
      <c r="S1446" s="3">
        <f>parking_demand_data_2024_ver0!R1446</f>
        <v>0</v>
      </c>
      <c r="T1446" s="3">
        <f>parking_demand_data_2024_ver0!S1446</f>
        <v>0</v>
      </c>
    </row>
    <row r="1447" spans="1:20" x14ac:dyDescent="0.25">
      <c r="A1447">
        <v>18121</v>
      </c>
      <c r="B1447" t="s">
        <v>89</v>
      </c>
      <c r="C1447">
        <v>5</v>
      </c>
      <c r="D1447" s="3">
        <f>parking_demand_data_2024_ver0!D1447*calibration!$I$31</f>
        <v>0</v>
      </c>
      <c r="E1447" s="3">
        <f>parking_demand_data_2024_ver0!E1447*calibration!$I$31</f>
        <v>0</v>
      </c>
      <c r="F1447" s="3">
        <f t="shared" si="22"/>
        <v>0</v>
      </c>
      <c r="G1447" s="3">
        <f>parking_demand_data_2024_ver0!F1447</f>
        <v>0</v>
      </c>
      <c r="H1447" s="3">
        <f>parking_demand_data_2024_ver0!G1447</f>
        <v>0</v>
      </c>
      <c r="I1447" s="3">
        <f>parking_demand_data_2024_ver0!H1447</f>
        <v>0</v>
      </c>
      <c r="J1447" s="3">
        <f>parking_demand_data_2024_ver0!I1447</f>
        <v>0</v>
      </c>
      <c r="K1447" s="3">
        <f>parking_demand_data_2024_ver0!J1447</f>
        <v>0</v>
      </c>
      <c r="L1447" s="3">
        <f>parking_demand_data_2024_ver0!K1447</f>
        <v>0</v>
      </c>
      <c r="M1447" s="3">
        <f>parking_demand_data_2024_ver0!L1447</f>
        <v>0</v>
      </c>
      <c r="N1447" s="3">
        <f>parking_demand_data_2024_ver0!M1447</f>
        <v>0</v>
      </c>
      <c r="O1447" s="3">
        <f>parking_demand_data_2024_ver0!N1447</f>
        <v>0</v>
      </c>
      <c r="P1447" s="3">
        <f>parking_demand_data_2024_ver0!O1447</f>
        <v>0</v>
      </c>
      <c r="Q1447" s="3">
        <f>parking_demand_data_2024_ver0!P1447</f>
        <v>0</v>
      </c>
      <c r="R1447" s="3">
        <f>parking_demand_data_2024_ver0!Q1447</f>
        <v>0</v>
      </c>
      <c r="S1447" s="3">
        <f>parking_demand_data_2024_ver0!R1447</f>
        <v>0</v>
      </c>
      <c r="T1447" s="3">
        <f>parking_demand_data_2024_ver0!S1447</f>
        <v>0</v>
      </c>
    </row>
    <row r="1448" spans="1:20" x14ac:dyDescent="0.25">
      <c r="A1448">
        <v>18121</v>
      </c>
      <c r="B1448" t="s">
        <v>89</v>
      </c>
      <c r="C1448">
        <v>6</v>
      </c>
      <c r="D1448" s="3">
        <f>parking_demand_data_2024_ver0!D1448*calibration!$I$31</f>
        <v>0</v>
      </c>
      <c r="E1448" s="3">
        <f>parking_demand_data_2024_ver0!E1448*calibration!$I$31</f>
        <v>0.128752911106151</v>
      </c>
      <c r="F1448" s="3">
        <f t="shared" si="22"/>
        <v>0.128752911106151</v>
      </c>
      <c r="G1448" s="3">
        <f>parking_demand_data_2024_ver0!F1448</f>
        <v>0</v>
      </c>
      <c r="H1448" s="3">
        <f>parking_demand_data_2024_ver0!G1448</f>
        <v>0</v>
      </c>
      <c r="I1448" s="3">
        <f>parking_demand_data_2024_ver0!H1448</f>
        <v>0</v>
      </c>
      <c r="J1448" s="3">
        <f>parking_demand_data_2024_ver0!I1448</f>
        <v>0</v>
      </c>
      <c r="K1448" s="3">
        <f>parking_demand_data_2024_ver0!J1448</f>
        <v>0</v>
      </c>
      <c r="L1448" s="3">
        <f>parking_demand_data_2024_ver0!K1448</f>
        <v>0</v>
      </c>
      <c r="M1448" s="3">
        <f>parking_demand_data_2024_ver0!L1448</f>
        <v>0</v>
      </c>
      <c r="N1448" s="3">
        <f>parking_demand_data_2024_ver0!M1448</f>
        <v>0</v>
      </c>
      <c r="O1448" s="3">
        <f>parking_demand_data_2024_ver0!N1448</f>
        <v>0</v>
      </c>
      <c r="P1448" s="3">
        <f>parking_demand_data_2024_ver0!O1448</f>
        <v>0</v>
      </c>
      <c r="Q1448" s="3">
        <f>parking_demand_data_2024_ver0!P1448</f>
        <v>0</v>
      </c>
      <c r="R1448" s="3">
        <f>parking_demand_data_2024_ver0!Q1448</f>
        <v>0</v>
      </c>
      <c r="S1448" s="3">
        <f>parking_demand_data_2024_ver0!R1448</f>
        <v>0</v>
      </c>
      <c r="T1448" s="3">
        <f>parking_demand_data_2024_ver0!S1448</f>
        <v>0</v>
      </c>
    </row>
    <row r="1449" spans="1:20" x14ac:dyDescent="0.25">
      <c r="A1449">
        <v>18121</v>
      </c>
      <c r="B1449" t="s">
        <v>89</v>
      </c>
      <c r="C1449">
        <v>7</v>
      </c>
      <c r="D1449" s="3">
        <f>parking_demand_data_2024_ver0!D1449*calibration!$I$31</f>
        <v>0</v>
      </c>
      <c r="E1449" s="3">
        <f>parking_demand_data_2024_ver0!E1449*calibration!$I$31</f>
        <v>0.79826804885814096</v>
      </c>
      <c r="F1449" s="3">
        <f t="shared" si="22"/>
        <v>0.79826804885814096</v>
      </c>
      <c r="G1449" s="3">
        <f>parking_demand_data_2024_ver0!F1449</f>
        <v>0</v>
      </c>
      <c r="H1449" s="3">
        <f>parking_demand_data_2024_ver0!G1449</f>
        <v>0</v>
      </c>
      <c r="I1449" s="3">
        <f>parking_demand_data_2024_ver0!H1449</f>
        <v>0</v>
      </c>
      <c r="J1449" s="3">
        <f>parking_demand_data_2024_ver0!I1449</f>
        <v>0</v>
      </c>
      <c r="K1449" s="3">
        <f>parking_demand_data_2024_ver0!J1449</f>
        <v>0</v>
      </c>
      <c r="L1449" s="3">
        <f>parking_demand_data_2024_ver0!K1449</f>
        <v>0</v>
      </c>
      <c r="M1449" s="3">
        <f>parking_demand_data_2024_ver0!L1449</f>
        <v>0</v>
      </c>
      <c r="N1449" s="3">
        <f>parking_demand_data_2024_ver0!M1449</f>
        <v>0</v>
      </c>
      <c r="O1449" s="3">
        <f>parking_demand_data_2024_ver0!N1449</f>
        <v>0</v>
      </c>
      <c r="P1449" s="3">
        <f>parking_demand_data_2024_ver0!O1449</f>
        <v>0</v>
      </c>
      <c r="Q1449" s="3">
        <f>parking_demand_data_2024_ver0!P1449</f>
        <v>0</v>
      </c>
      <c r="R1449" s="3">
        <f>parking_demand_data_2024_ver0!Q1449</f>
        <v>0</v>
      </c>
      <c r="S1449" s="3">
        <f>parking_demand_data_2024_ver0!R1449</f>
        <v>0</v>
      </c>
      <c r="T1449" s="3">
        <f>parking_demand_data_2024_ver0!S1449</f>
        <v>0</v>
      </c>
    </row>
    <row r="1450" spans="1:20" x14ac:dyDescent="0.25">
      <c r="A1450">
        <v>18121</v>
      </c>
      <c r="B1450" t="s">
        <v>89</v>
      </c>
      <c r="C1450">
        <v>8</v>
      </c>
      <c r="D1450" s="3">
        <f>parking_demand_data_2024_ver0!D1450*calibration!$I$31</f>
        <v>0</v>
      </c>
      <c r="E1450" s="3">
        <f>parking_demand_data_2024_ver0!E1450*calibration!$I$31</f>
        <v>1.2875291110615099</v>
      </c>
      <c r="F1450" s="3">
        <f t="shared" si="22"/>
        <v>1.2875291110615099</v>
      </c>
      <c r="G1450" s="3">
        <f>parking_demand_data_2024_ver0!F1450</f>
        <v>0</v>
      </c>
      <c r="H1450" s="3">
        <f>parking_demand_data_2024_ver0!G1450</f>
        <v>0</v>
      </c>
      <c r="I1450" s="3">
        <f>parking_demand_data_2024_ver0!H1450</f>
        <v>0</v>
      </c>
      <c r="J1450" s="3">
        <f>parking_demand_data_2024_ver0!I1450</f>
        <v>0</v>
      </c>
      <c r="K1450" s="3">
        <f>parking_demand_data_2024_ver0!J1450</f>
        <v>0</v>
      </c>
      <c r="L1450" s="3">
        <f>parking_demand_data_2024_ver0!K1450</f>
        <v>0</v>
      </c>
      <c r="M1450" s="3">
        <f>parking_demand_data_2024_ver0!L1450</f>
        <v>0</v>
      </c>
      <c r="N1450" s="3">
        <f>parking_demand_data_2024_ver0!M1450</f>
        <v>0</v>
      </c>
      <c r="O1450" s="3">
        <f>parking_demand_data_2024_ver0!N1450</f>
        <v>0</v>
      </c>
      <c r="P1450" s="3">
        <f>parking_demand_data_2024_ver0!O1450</f>
        <v>0</v>
      </c>
      <c r="Q1450" s="3">
        <f>parking_demand_data_2024_ver0!P1450</f>
        <v>0</v>
      </c>
      <c r="R1450" s="3">
        <f>parking_demand_data_2024_ver0!Q1450</f>
        <v>0</v>
      </c>
      <c r="S1450" s="3">
        <f>parking_demand_data_2024_ver0!R1450</f>
        <v>0</v>
      </c>
      <c r="T1450" s="3">
        <f>parking_demand_data_2024_ver0!S1450</f>
        <v>0</v>
      </c>
    </row>
    <row r="1451" spans="1:20" x14ac:dyDescent="0.25">
      <c r="A1451">
        <v>18121</v>
      </c>
      <c r="B1451" t="s">
        <v>89</v>
      </c>
      <c r="C1451">
        <v>9</v>
      </c>
      <c r="D1451" s="3">
        <f>parking_demand_data_2024_ver0!D1451*calibration!$I$31</f>
        <v>0</v>
      </c>
      <c r="E1451" s="3">
        <f>parking_demand_data_2024_ver0!E1451*calibration!$I$31</f>
        <v>1.0815244532916699</v>
      </c>
      <c r="F1451" s="3">
        <f t="shared" si="22"/>
        <v>1.0815244532916699</v>
      </c>
      <c r="G1451" s="3">
        <f>parking_demand_data_2024_ver0!F1451</f>
        <v>0</v>
      </c>
      <c r="H1451" s="3">
        <f>parking_demand_data_2024_ver0!G1451</f>
        <v>0</v>
      </c>
      <c r="I1451" s="3">
        <f>parking_demand_data_2024_ver0!H1451</f>
        <v>0</v>
      </c>
      <c r="J1451" s="3">
        <f>parking_demand_data_2024_ver0!I1451</f>
        <v>0</v>
      </c>
      <c r="K1451" s="3">
        <f>parking_demand_data_2024_ver0!J1451</f>
        <v>0</v>
      </c>
      <c r="L1451" s="3">
        <f>parking_demand_data_2024_ver0!K1451</f>
        <v>0</v>
      </c>
      <c r="M1451" s="3">
        <f>parking_demand_data_2024_ver0!L1451</f>
        <v>0</v>
      </c>
      <c r="N1451" s="3">
        <f>parking_demand_data_2024_ver0!M1451</f>
        <v>0</v>
      </c>
      <c r="O1451" s="3">
        <f>parking_demand_data_2024_ver0!N1451</f>
        <v>0</v>
      </c>
      <c r="P1451" s="3">
        <f>parking_demand_data_2024_ver0!O1451</f>
        <v>0</v>
      </c>
      <c r="Q1451" s="3">
        <f>parking_demand_data_2024_ver0!P1451</f>
        <v>0</v>
      </c>
      <c r="R1451" s="3">
        <f>parking_demand_data_2024_ver0!Q1451</f>
        <v>0</v>
      </c>
      <c r="S1451" s="3">
        <f>parking_demand_data_2024_ver0!R1451</f>
        <v>0</v>
      </c>
      <c r="T1451" s="3">
        <f>parking_demand_data_2024_ver0!S1451</f>
        <v>0</v>
      </c>
    </row>
    <row r="1452" spans="1:20" x14ac:dyDescent="0.25">
      <c r="A1452">
        <v>18121</v>
      </c>
      <c r="B1452" t="s">
        <v>89</v>
      </c>
      <c r="C1452">
        <v>10</v>
      </c>
      <c r="D1452" s="3">
        <f>parking_demand_data_2024_ver0!D1452*calibration!$I$31</f>
        <v>0</v>
      </c>
      <c r="E1452" s="3">
        <f>parking_demand_data_2024_ver0!E1452*calibration!$I$31</f>
        <v>1.41628202216767</v>
      </c>
      <c r="F1452" s="3">
        <f t="shared" si="22"/>
        <v>1.41628202216767</v>
      </c>
      <c r="G1452" s="3">
        <f>parking_demand_data_2024_ver0!F1452</f>
        <v>0</v>
      </c>
      <c r="H1452" s="3">
        <f>parking_demand_data_2024_ver0!G1452</f>
        <v>0</v>
      </c>
      <c r="I1452" s="3">
        <f>parking_demand_data_2024_ver0!H1452</f>
        <v>0</v>
      </c>
      <c r="J1452" s="3">
        <f>parking_demand_data_2024_ver0!I1452</f>
        <v>0</v>
      </c>
      <c r="K1452" s="3">
        <f>parking_demand_data_2024_ver0!J1452</f>
        <v>0</v>
      </c>
      <c r="L1452" s="3">
        <f>parking_demand_data_2024_ver0!K1452</f>
        <v>0</v>
      </c>
      <c r="M1452" s="3">
        <f>parking_demand_data_2024_ver0!L1452</f>
        <v>0</v>
      </c>
      <c r="N1452" s="3">
        <f>parking_demand_data_2024_ver0!M1452</f>
        <v>0</v>
      </c>
      <c r="O1452" s="3">
        <f>parking_demand_data_2024_ver0!N1452</f>
        <v>0</v>
      </c>
      <c r="P1452" s="3">
        <f>parking_demand_data_2024_ver0!O1452</f>
        <v>0</v>
      </c>
      <c r="Q1452" s="3">
        <f>parking_demand_data_2024_ver0!P1452</f>
        <v>0</v>
      </c>
      <c r="R1452" s="3">
        <f>parking_demand_data_2024_ver0!Q1452</f>
        <v>0</v>
      </c>
      <c r="S1452" s="3">
        <f>parking_demand_data_2024_ver0!R1452</f>
        <v>0</v>
      </c>
      <c r="T1452" s="3">
        <f>parking_demand_data_2024_ver0!S1452</f>
        <v>0</v>
      </c>
    </row>
    <row r="1453" spans="1:20" x14ac:dyDescent="0.25">
      <c r="A1453">
        <v>18121</v>
      </c>
      <c r="B1453" t="s">
        <v>89</v>
      </c>
      <c r="C1453">
        <v>11</v>
      </c>
      <c r="D1453" s="3">
        <f>parking_demand_data_2024_ver0!D1453*calibration!$I$31</f>
        <v>0</v>
      </c>
      <c r="E1453" s="3">
        <f>parking_demand_data_2024_ver0!E1453*calibration!$I$31</f>
        <v>1.33903027550397</v>
      </c>
      <c r="F1453" s="3">
        <f t="shared" si="22"/>
        <v>1.33903027550397</v>
      </c>
      <c r="G1453" s="3">
        <f>parking_demand_data_2024_ver0!F1453</f>
        <v>0</v>
      </c>
      <c r="H1453" s="3">
        <f>parking_demand_data_2024_ver0!G1453</f>
        <v>0</v>
      </c>
      <c r="I1453" s="3">
        <f>parking_demand_data_2024_ver0!H1453</f>
        <v>0</v>
      </c>
      <c r="J1453" s="3">
        <f>parking_demand_data_2024_ver0!I1453</f>
        <v>0</v>
      </c>
      <c r="K1453" s="3">
        <f>parking_demand_data_2024_ver0!J1453</f>
        <v>0</v>
      </c>
      <c r="L1453" s="3">
        <f>parking_demand_data_2024_ver0!K1453</f>
        <v>0</v>
      </c>
      <c r="M1453" s="3">
        <f>parking_demand_data_2024_ver0!L1453</f>
        <v>0</v>
      </c>
      <c r="N1453" s="3">
        <f>parking_demand_data_2024_ver0!M1453</f>
        <v>0</v>
      </c>
      <c r="O1453" s="3">
        <f>parking_demand_data_2024_ver0!N1453</f>
        <v>0</v>
      </c>
      <c r="P1453" s="3">
        <f>parking_demand_data_2024_ver0!O1453</f>
        <v>0</v>
      </c>
      <c r="Q1453" s="3">
        <f>parking_demand_data_2024_ver0!P1453</f>
        <v>0</v>
      </c>
      <c r="R1453" s="3">
        <f>parking_demand_data_2024_ver0!Q1453</f>
        <v>0</v>
      </c>
      <c r="S1453" s="3">
        <f>parking_demand_data_2024_ver0!R1453</f>
        <v>0</v>
      </c>
      <c r="T1453" s="3">
        <f>parking_demand_data_2024_ver0!S1453</f>
        <v>0</v>
      </c>
    </row>
    <row r="1454" spans="1:20" x14ac:dyDescent="0.25">
      <c r="A1454">
        <v>18121</v>
      </c>
      <c r="B1454" t="s">
        <v>89</v>
      </c>
      <c r="C1454">
        <v>12</v>
      </c>
      <c r="D1454" s="3">
        <f>parking_demand_data_2024_ver0!D1454*calibration!$I$31</f>
        <v>0</v>
      </c>
      <c r="E1454" s="3">
        <f>parking_demand_data_2024_ver0!E1454*calibration!$I$31</f>
        <v>1.03002328884921</v>
      </c>
      <c r="F1454" s="3">
        <f t="shared" si="22"/>
        <v>1.03002328884921</v>
      </c>
      <c r="G1454" s="3">
        <f>parking_demand_data_2024_ver0!F1454</f>
        <v>0</v>
      </c>
      <c r="H1454" s="3">
        <f>parking_demand_data_2024_ver0!G1454</f>
        <v>0</v>
      </c>
      <c r="I1454" s="3">
        <f>parking_demand_data_2024_ver0!H1454</f>
        <v>0</v>
      </c>
      <c r="J1454" s="3">
        <f>parking_demand_data_2024_ver0!I1454</f>
        <v>0</v>
      </c>
      <c r="K1454" s="3">
        <f>parking_demand_data_2024_ver0!J1454</f>
        <v>0</v>
      </c>
      <c r="L1454" s="3">
        <f>parking_demand_data_2024_ver0!K1454</f>
        <v>0</v>
      </c>
      <c r="M1454" s="3">
        <f>parking_demand_data_2024_ver0!L1454</f>
        <v>0</v>
      </c>
      <c r="N1454" s="3">
        <f>parking_demand_data_2024_ver0!M1454</f>
        <v>0</v>
      </c>
      <c r="O1454" s="3">
        <f>parking_demand_data_2024_ver0!N1454</f>
        <v>0</v>
      </c>
      <c r="P1454" s="3">
        <f>parking_demand_data_2024_ver0!O1454</f>
        <v>0</v>
      </c>
      <c r="Q1454" s="3">
        <f>parking_demand_data_2024_ver0!P1454</f>
        <v>0</v>
      </c>
      <c r="R1454" s="3">
        <f>parking_demand_data_2024_ver0!Q1454</f>
        <v>0</v>
      </c>
      <c r="S1454" s="3">
        <f>parking_demand_data_2024_ver0!R1454</f>
        <v>0</v>
      </c>
      <c r="T1454" s="3">
        <f>parking_demand_data_2024_ver0!S1454</f>
        <v>0</v>
      </c>
    </row>
    <row r="1455" spans="1:20" x14ac:dyDescent="0.25">
      <c r="A1455">
        <v>18121</v>
      </c>
      <c r="B1455" t="s">
        <v>89</v>
      </c>
      <c r="C1455">
        <v>13</v>
      </c>
      <c r="D1455" s="3">
        <f>parking_demand_data_2024_ver0!D1455*calibration!$I$31</f>
        <v>0</v>
      </c>
      <c r="E1455" s="3">
        <f>parking_demand_data_2024_ver0!E1455*calibration!$I$31</f>
        <v>0.66951513775198901</v>
      </c>
      <c r="F1455" s="3">
        <f t="shared" si="22"/>
        <v>0.66951513775198901</v>
      </c>
      <c r="G1455" s="3">
        <f>parking_demand_data_2024_ver0!F1455</f>
        <v>0</v>
      </c>
      <c r="H1455" s="3">
        <f>parking_demand_data_2024_ver0!G1455</f>
        <v>0</v>
      </c>
      <c r="I1455" s="3">
        <f>parking_demand_data_2024_ver0!H1455</f>
        <v>0</v>
      </c>
      <c r="J1455" s="3">
        <f>parking_demand_data_2024_ver0!I1455</f>
        <v>0</v>
      </c>
      <c r="K1455" s="3">
        <f>parking_demand_data_2024_ver0!J1455</f>
        <v>0</v>
      </c>
      <c r="L1455" s="3">
        <f>parking_demand_data_2024_ver0!K1455</f>
        <v>0</v>
      </c>
      <c r="M1455" s="3">
        <f>parking_demand_data_2024_ver0!L1455</f>
        <v>0</v>
      </c>
      <c r="N1455" s="3">
        <f>parking_demand_data_2024_ver0!M1455</f>
        <v>0</v>
      </c>
      <c r="O1455" s="3">
        <f>parking_demand_data_2024_ver0!N1455</f>
        <v>0</v>
      </c>
      <c r="P1455" s="3">
        <f>parking_demand_data_2024_ver0!O1455</f>
        <v>0</v>
      </c>
      <c r="Q1455" s="3">
        <f>parking_demand_data_2024_ver0!P1455</f>
        <v>0</v>
      </c>
      <c r="R1455" s="3">
        <f>parking_demand_data_2024_ver0!Q1455</f>
        <v>0</v>
      </c>
      <c r="S1455" s="3">
        <f>parking_demand_data_2024_ver0!R1455</f>
        <v>0</v>
      </c>
      <c r="T1455" s="3">
        <f>parking_demand_data_2024_ver0!S1455</f>
        <v>0</v>
      </c>
    </row>
    <row r="1456" spans="1:20" x14ac:dyDescent="0.25">
      <c r="A1456">
        <v>18121</v>
      </c>
      <c r="B1456" t="s">
        <v>89</v>
      </c>
      <c r="C1456">
        <v>14</v>
      </c>
      <c r="D1456" s="3">
        <f>parking_demand_data_2024_ver0!D1456*calibration!$I$31</f>
        <v>0</v>
      </c>
      <c r="E1456" s="3">
        <f>parking_demand_data_2024_ver0!E1456*calibration!$I$31</f>
        <v>0.206004657769842</v>
      </c>
      <c r="F1456" s="3">
        <f t="shared" si="22"/>
        <v>0.206004657769842</v>
      </c>
      <c r="G1456" s="3">
        <f>parking_demand_data_2024_ver0!F1456</f>
        <v>0</v>
      </c>
      <c r="H1456" s="3">
        <f>parking_demand_data_2024_ver0!G1456</f>
        <v>0</v>
      </c>
      <c r="I1456" s="3">
        <f>parking_demand_data_2024_ver0!H1456</f>
        <v>0</v>
      </c>
      <c r="J1456" s="3">
        <f>parking_demand_data_2024_ver0!I1456</f>
        <v>0</v>
      </c>
      <c r="K1456" s="3">
        <f>parking_demand_data_2024_ver0!J1456</f>
        <v>0</v>
      </c>
      <c r="L1456" s="3">
        <f>parking_demand_data_2024_ver0!K1456</f>
        <v>0</v>
      </c>
      <c r="M1456" s="3">
        <f>parking_demand_data_2024_ver0!L1456</f>
        <v>0</v>
      </c>
      <c r="N1456" s="3">
        <f>parking_demand_data_2024_ver0!M1456</f>
        <v>0</v>
      </c>
      <c r="O1456" s="3">
        <f>parking_demand_data_2024_ver0!N1456</f>
        <v>0</v>
      </c>
      <c r="P1456" s="3">
        <f>parking_demand_data_2024_ver0!O1456</f>
        <v>0</v>
      </c>
      <c r="Q1456" s="3">
        <f>parking_demand_data_2024_ver0!P1456</f>
        <v>0</v>
      </c>
      <c r="R1456" s="3">
        <f>parking_demand_data_2024_ver0!Q1456</f>
        <v>0</v>
      </c>
      <c r="S1456" s="3">
        <f>parking_demand_data_2024_ver0!R1456</f>
        <v>0</v>
      </c>
      <c r="T1456" s="3">
        <f>parking_demand_data_2024_ver0!S1456</f>
        <v>0</v>
      </c>
    </row>
    <row r="1457" spans="1:20" x14ac:dyDescent="0.25">
      <c r="A1457">
        <v>18121</v>
      </c>
      <c r="B1457" t="s">
        <v>89</v>
      </c>
      <c r="C1457">
        <v>15</v>
      </c>
      <c r="D1457" s="3">
        <f>parking_demand_data_2024_ver0!D1457*calibration!$I$31</f>
        <v>0</v>
      </c>
      <c r="E1457" s="3">
        <f>parking_demand_data_2024_ver0!E1457*calibration!$I$31</f>
        <v>0</v>
      </c>
      <c r="F1457" s="3">
        <f t="shared" si="22"/>
        <v>0</v>
      </c>
      <c r="G1457" s="3">
        <f>parking_demand_data_2024_ver0!F1457</f>
        <v>0</v>
      </c>
      <c r="H1457" s="3">
        <f>parking_demand_data_2024_ver0!G1457</f>
        <v>0</v>
      </c>
      <c r="I1457" s="3">
        <f>parking_demand_data_2024_ver0!H1457</f>
        <v>0</v>
      </c>
      <c r="J1457" s="3">
        <f>parking_demand_data_2024_ver0!I1457</f>
        <v>0</v>
      </c>
      <c r="K1457" s="3">
        <f>parking_demand_data_2024_ver0!J1457</f>
        <v>0</v>
      </c>
      <c r="L1457" s="3">
        <f>parking_demand_data_2024_ver0!K1457</f>
        <v>0</v>
      </c>
      <c r="M1457" s="3">
        <f>parking_demand_data_2024_ver0!L1457</f>
        <v>0</v>
      </c>
      <c r="N1457" s="3">
        <f>parking_demand_data_2024_ver0!M1457</f>
        <v>0</v>
      </c>
      <c r="O1457" s="3">
        <f>parking_demand_data_2024_ver0!N1457</f>
        <v>0</v>
      </c>
      <c r="P1457" s="3">
        <f>parking_demand_data_2024_ver0!O1457</f>
        <v>0</v>
      </c>
      <c r="Q1457" s="3">
        <f>parking_demand_data_2024_ver0!P1457</f>
        <v>0</v>
      </c>
      <c r="R1457" s="3">
        <f>parking_demand_data_2024_ver0!Q1457</f>
        <v>0</v>
      </c>
      <c r="S1457" s="3">
        <f>parking_demand_data_2024_ver0!R1457</f>
        <v>0</v>
      </c>
      <c r="T1457" s="3">
        <f>parking_demand_data_2024_ver0!S1457</f>
        <v>0</v>
      </c>
    </row>
    <row r="1458" spans="1:20" x14ac:dyDescent="0.25">
      <c r="A1458">
        <v>18121</v>
      </c>
      <c r="B1458" t="s">
        <v>89</v>
      </c>
      <c r="C1458">
        <v>16</v>
      </c>
      <c r="D1458" s="3">
        <f>parking_demand_data_2024_ver0!D1458*calibration!$I$31</f>
        <v>0</v>
      </c>
      <c r="E1458" s="3">
        <f>parking_demand_data_2024_ver0!E1458*calibration!$I$31</f>
        <v>0</v>
      </c>
      <c r="F1458" s="3">
        <f t="shared" si="22"/>
        <v>0</v>
      </c>
      <c r="G1458" s="3">
        <f>parking_demand_data_2024_ver0!F1458</f>
        <v>0</v>
      </c>
      <c r="H1458" s="3">
        <f>parking_demand_data_2024_ver0!G1458</f>
        <v>0</v>
      </c>
      <c r="I1458" s="3">
        <f>parking_demand_data_2024_ver0!H1458</f>
        <v>0</v>
      </c>
      <c r="J1458" s="3">
        <f>parking_demand_data_2024_ver0!I1458</f>
        <v>0</v>
      </c>
      <c r="K1458" s="3">
        <f>parking_demand_data_2024_ver0!J1458</f>
        <v>0</v>
      </c>
      <c r="L1458" s="3">
        <f>parking_demand_data_2024_ver0!K1458</f>
        <v>0</v>
      </c>
      <c r="M1458" s="3">
        <f>parking_demand_data_2024_ver0!L1458</f>
        <v>0</v>
      </c>
      <c r="N1458" s="3">
        <f>parking_demand_data_2024_ver0!M1458</f>
        <v>0</v>
      </c>
      <c r="O1458" s="3">
        <f>parking_demand_data_2024_ver0!N1458</f>
        <v>0</v>
      </c>
      <c r="P1458" s="3">
        <f>parking_demand_data_2024_ver0!O1458</f>
        <v>0</v>
      </c>
      <c r="Q1458" s="3">
        <f>parking_demand_data_2024_ver0!P1458</f>
        <v>0</v>
      </c>
      <c r="R1458" s="3">
        <f>parking_demand_data_2024_ver0!Q1458</f>
        <v>0</v>
      </c>
      <c r="S1458" s="3">
        <f>parking_demand_data_2024_ver0!R1458</f>
        <v>0</v>
      </c>
      <c r="T1458" s="3">
        <f>parking_demand_data_2024_ver0!S1458</f>
        <v>0</v>
      </c>
    </row>
    <row r="1459" spans="1:20" x14ac:dyDescent="0.25">
      <c r="A1459">
        <v>18121</v>
      </c>
      <c r="B1459" t="s">
        <v>89</v>
      </c>
      <c r="C1459">
        <v>17</v>
      </c>
      <c r="D1459" s="3">
        <f>parking_demand_data_2024_ver0!D1459*calibration!$I$31</f>
        <v>0</v>
      </c>
      <c r="E1459" s="3">
        <f>parking_demand_data_2024_ver0!E1459*calibration!$I$31</f>
        <v>0</v>
      </c>
      <c r="F1459" s="3">
        <f t="shared" si="22"/>
        <v>0</v>
      </c>
      <c r="G1459" s="3">
        <f>parking_demand_data_2024_ver0!F1459</f>
        <v>0</v>
      </c>
      <c r="H1459" s="3">
        <f>parking_demand_data_2024_ver0!G1459</f>
        <v>0</v>
      </c>
      <c r="I1459" s="3">
        <f>parking_demand_data_2024_ver0!H1459</f>
        <v>0</v>
      </c>
      <c r="J1459" s="3">
        <f>parking_demand_data_2024_ver0!I1459</f>
        <v>0</v>
      </c>
      <c r="K1459" s="3">
        <f>parking_demand_data_2024_ver0!J1459</f>
        <v>0</v>
      </c>
      <c r="L1459" s="3">
        <f>parking_demand_data_2024_ver0!K1459</f>
        <v>0</v>
      </c>
      <c r="M1459" s="3">
        <f>parking_demand_data_2024_ver0!L1459</f>
        <v>0</v>
      </c>
      <c r="N1459" s="3">
        <f>parking_demand_data_2024_ver0!M1459</f>
        <v>0</v>
      </c>
      <c r="O1459" s="3">
        <f>parking_demand_data_2024_ver0!N1459</f>
        <v>0</v>
      </c>
      <c r="P1459" s="3">
        <f>parking_demand_data_2024_ver0!O1459</f>
        <v>0</v>
      </c>
      <c r="Q1459" s="3">
        <f>parking_demand_data_2024_ver0!P1459</f>
        <v>0</v>
      </c>
      <c r="R1459" s="3">
        <f>parking_demand_data_2024_ver0!Q1459</f>
        <v>0</v>
      </c>
      <c r="S1459" s="3">
        <f>parking_demand_data_2024_ver0!R1459</f>
        <v>0</v>
      </c>
      <c r="T1459" s="3">
        <f>parking_demand_data_2024_ver0!S1459</f>
        <v>0</v>
      </c>
    </row>
    <row r="1460" spans="1:20" x14ac:dyDescent="0.25">
      <c r="A1460">
        <v>18121</v>
      </c>
      <c r="B1460" t="s">
        <v>89</v>
      </c>
      <c r="C1460">
        <v>18</v>
      </c>
      <c r="D1460" s="3">
        <f>parking_demand_data_2024_ver0!D1460*calibration!$I$31</f>
        <v>0</v>
      </c>
      <c r="E1460" s="3">
        <f>parking_demand_data_2024_ver0!E1460*calibration!$I$31</f>
        <v>0</v>
      </c>
      <c r="F1460" s="3">
        <f t="shared" si="22"/>
        <v>0</v>
      </c>
      <c r="G1460" s="3">
        <f>parking_demand_data_2024_ver0!F1460</f>
        <v>0</v>
      </c>
      <c r="H1460" s="3">
        <f>parking_demand_data_2024_ver0!G1460</f>
        <v>0</v>
      </c>
      <c r="I1460" s="3">
        <f>parking_demand_data_2024_ver0!H1460</f>
        <v>0</v>
      </c>
      <c r="J1460" s="3">
        <f>parking_demand_data_2024_ver0!I1460</f>
        <v>0</v>
      </c>
      <c r="K1460" s="3">
        <f>parking_demand_data_2024_ver0!J1460</f>
        <v>0</v>
      </c>
      <c r="L1460" s="3">
        <f>parking_demand_data_2024_ver0!K1460</f>
        <v>0</v>
      </c>
      <c r="M1460" s="3">
        <f>parking_demand_data_2024_ver0!L1460</f>
        <v>0</v>
      </c>
      <c r="N1460" s="3">
        <f>parking_demand_data_2024_ver0!M1460</f>
        <v>0</v>
      </c>
      <c r="O1460" s="3">
        <f>parking_demand_data_2024_ver0!N1460</f>
        <v>0</v>
      </c>
      <c r="P1460" s="3">
        <f>parking_demand_data_2024_ver0!O1460</f>
        <v>0</v>
      </c>
      <c r="Q1460" s="3">
        <f>parking_demand_data_2024_ver0!P1460</f>
        <v>0</v>
      </c>
      <c r="R1460" s="3">
        <f>parking_demand_data_2024_ver0!Q1460</f>
        <v>0</v>
      </c>
      <c r="S1460" s="3">
        <f>parking_demand_data_2024_ver0!R1460</f>
        <v>0</v>
      </c>
      <c r="T1460" s="3">
        <f>parking_demand_data_2024_ver0!S1460</f>
        <v>0</v>
      </c>
    </row>
    <row r="1461" spans="1:20" x14ac:dyDescent="0.25">
      <c r="A1461">
        <v>18121</v>
      </c>
      <c r="B1461" t="s">
        <v>89</v>
      </c>
      <c r="C1461">
        <v>19</v>
      </c>
      <c r="D1461" s="3">
        <f>parking_demand_data_2024_ver0!D1461*calibration!$I$31</f>
        <v>0</v>
      </c>
      <c r="E1461" s="3">
        <f>parking_demand_data_2024_ver0!E1461*calibration!$I$31</f>
        <v>0</v>
      </c>
      <c r="F1461" s="3">
        <f t="shared" si="22"/>
        <v>0</v>
      </c>
      <c r="G1461" s="3">
        <f>parking_demand_data_2024_ver0!F1461</f>
        <v>0</v>
      </c>
      <c r="H1461" s="3">
        <f>parking_demand_data_2024_ver0!G1461</f>
        <v>0</v>
      </c>
      <c r="I1461" s="3">
        <f>parking_demand_data_2024_ver0!H1461</f>
        <v>0</v>
      </c>
      <c r="J1461" s="3">
        <f>parking_demand_data_2024_ver0!I1461</f>
        <v>0</v>
      </c>
      <c r="K1461" s="3">
        <f>parking_demand_data_2024_ver0!J1461</f>
        <v>0</v>
      </c>
      <c r="L1461" s="3">
        <f>parking_demand_data_2024_ver0!K1461</f>
        <v>0</v>
      </c>
      <c r="M1461" s="3">
        <f>parking_demand_data_2024_ver0!L1461</f>
        <v>0</v>
      </c>
      <c r="N1461" s="3">
        <f>parking_demand_data_2024_ver0!M1461</f>
        <v>0</v>
      </c>
      <c r="O1461" s="3">
        <f>parking_demand_data_2024_ver0!N1461</f>
        <v>0</v>
      </c>
      <c r="P1461" s="3">
        <f>parking_demand_data_2024_ver0!O1461</f>
        <v>0</v>
      </c>
      <c r="Q1461" s="3">
        <f>parking_demand_data_2024_ver0!P1461</f>
        <v>0</v>
      </c>
      <c r="R1461" s="3">
        <f>parking_demand_data_2024_ver0!Q1461</f>
        <v>0</v>
      </c>
      <c r="S1461" s="3">
        <f>parking_demand_data_2024_ver0!R1461</f>
        <v>0</v>
      </c>
      <c r="T1461" s="3">
        <f>parking_demand_data_2024_ver0!S1461</f>
        <v>0</v>
      </c>
    </row>
    <row r="1462" spans="1:20" x14ac:dyDescent="0.25">
      <c r="A1462">
        <v>18121</v>
      </c>
      <c r="B1462" t="s">
        <v>89</v>
      </c>
      <c r="C1462">
        <v>20</v>
      </c>
      <c r="D1462" s="3">
        <f>parking_demand_data_2024_ver0!D1462*calibration!$I$31</f>
        <v>0</v>
      </c>
      <c r="E1462" s="3">
        <f>parking_demand_data_2024_ver0!E1462*calibration!$I$31</f>
        <v>0</v>
      </c>
      <c r="F1462" s="3">
        <f t="shared" si="22"/>
        <v>0</v>
      </c>
      <c r="G1462" s="3">
        <f>parking_demand_data_2024_ver0!F1462</f>
        <v>0</v>
      </c>
      <c r="H1462" s="3">
        <f>parking_demand_data_2024_ver0!G1462</f>
        <v>0</v>
      </c>
      <c r="I1462" s="3">
        <f>parking_demand_data_2024_ver0!H1462</f>
        <v>0</v>
      </c>
      <c r="J1462" s="3">
        <f>parking_demand_data_2024_ver0!I1462</f>
        <v>0</v>
      </c>
      <c r="K1462" s="3">
        <f>parking_demand_data_2024_ver0!J1462</f>
        <v>0</v>
      </c>
      <c r="L1462" s="3">
        <f>parking_demand_data_2024_ver0!K1462</f>
        <v>0</v>
      </c>
      <c r="M1462" s="3">
        <f>parking_demand_data_2024_ver0!L1462</f>
        <v>0</v>
      </c>
      <c r="N1462" s="3">
        <f>parking_demand_data_2024_ver0!M1462</f>
        <v>0</v>
      </c>
      <c r="O1462" s="3">
        <f>parking_demand_data_2024_ver0!N1462</f>
        <v>0</v>
      </c>
      <c r="P1462" s="3">
        <f>parking_demand_data_2024_ver0!O1462</f>
        <v>0</v>
      </c>
      <c r="Q1462" s="3">
        <f>parking_demand_data_2024_ver0!P1462</f>
        <v>0</v>
      </c>
      <c r="R1462" s="3">
        <f>parking_demand_data_2024_ver0!Q1462</f>
        <v>0</v>
      </c>
      <c r="S1462" s="3">
        <f>parking_demand_data_2024_ver0!R1462</f>
        <v>0</v>
      </c>
      <c r="T1462" s="3">
        <f>parking_demand_data_2024_ver0!S1462</f>
        <v>0</v>
      </c>
    </row>
    <row r="1463" spans="1:20" x14ac:dyDescent="0.25">
      <c r="A1463">
        <v>18121</v>
      </c>
      <c r="B1463" t="s">
        <v>89</v>
      </c>
      <c r="C1463">
        <v>21</v>
      </c>
      <c r="D1463" s="3">
        <f>parking_demand_data_2024_ver0!D1463*calibration!$I$31</f>
        <v>0</v>
      </c>
      <c r="E1463" s="3">
        <f>parking_demand_data_2024_ver0!E1463*calibration!$I$31</f>
        <v>0</v>
      </c>
      <c r="F1463" s="3">
        <f t="shared" si="22"/>
        <v>0</v>
      </c>
      <c r="G1463" s="3">
        <f>parking_demand_data_2024_ver0!F1463</f>
        <v>0</v>
      </c>
      <c r="H1463" s="3">
        <f>parking_demand_data_2024_ver0!G1463</f>
        <v>0</v>
      </c>
      <c r="I1463" s="3">
        <f>parking_demand_data_2024_ver0!H1463</f>
        <v>0</v>
      </c>
      <c r="J1463" s="3">
        <f>parking_demand_data_2024_ver0!I1463</f>
        <v>0</v>
      </c>
      <c r="K1463" s="3">
        <f>parking_demand_data_2024_ver0!J1463</f>
        <v>0</v>
      </c>
      <c r="L1463" s="3">
        <f>parking_demand_data_2024_ver0!K1463</f>
        <v>0</v>
      </c>
      <c r="M1463" s="3">
        <f>parking_demand_data_2024_ver0!L1463</f>
        <v>0</v>
      </c>
      <c r="N1463" s="3">
        <f>parking_demand_data_2024_ver0!M1463</f>
        <v>0</v>
      </c>
      <c r="O1463" s="3">
        <f>parking_demand_data_2024_ver0!N1463</f>
        <v>0</v>
      </c>
      <c r="P1463" s="3">
        <f>parking_demand_data_2024_ver0!O1463</f>
        <v>0</v>
      </c>
      <c r="Q1463" s="3">
        <f>parking_demand_data_2024_ver0!P1463</f>
        <v>0</v>
      </c>
      <c r="R1463" s="3">
        <f>parking_demand_data_2024_ver0!Q1463</f>
        <v>0</v>
      </c>
      <c r="S1463" s="3">
        <f>parking_demand_data_2024_ver0!R1463</f>
        <v>0</v>
      </c>
      <c r="T1463" s="3">
        <f>parking_demand_data_2024_ver0!S1463</f>
        <v>0</v>
      </c>
    </row>
    <row r="1464" spans="1:20" x14ac:dyDescent="0.25">
      <c r="A1464">
        <v>18121</v>
      </c>
      <c r="B1464" t="s">
        <v>89</v>
      </c>
      <c r="C1464">
        <v>22</v>
      </c>
      <c r="D1464" s="3">
        <f>parking_demand_data_2024_ver0!D1464*calibration!$I$31</f>
        <v>0</v>
      </c>
      <c r="E1464" s="3">
        <f>parking_demand_data_2024_ver0!E1464*calibration!$I$31</f>
        <v>0</v>
      </c>
      <c r="F1464" s="3">
        <f t="shared" si="22"/>
        <v>0</v>
      </c>
      <c r="G1464" s="3">
        <f>parking_demand_data_2024_ver0!F1464</f>
        <v>0</v>
      </c>
      <c r="H1464" s="3">
        <f>parking_demand_data_2024_ver0!G1464</f>
        <v>0</v>
      </c>
      <c r="I1464" s="3">
        <f>parking_demand_data_2024_ver0!H1464</f>
        <v>0</v>
      </c>
      <c r="J1464" s="3">
        <f>parking_demand_data_2024_ver0!I1464</f>
        <v>0</v>
      </c>
      <c r="K1464" s="3">
        <f>parking_demand_data_2024_ver0!J1464</f>
        <v>0</v>
      </c>
      <c r="L1464" s="3">
        <f>parking_demand_data_2024_ver0!K1464</f>
        <v>0</v>
      </c>
      <c r="M1464" s="3">
        <f>parking_demand_data_2024_ver0!L1464</f>
        <v>0</v>
      </c>
      <c r="N1464" s="3">
        <f>parking_demand_data_2024_ver0!M1464</f>
        <v>0</v>
      </c>
      <c r="O1464" s="3">
        <f>parking_demand_data_2024_ver0!N1464</f>
        <v>0</v>
      </c>
      <c r="P1464" s="3">
        <f>parking_demand_data_2024_ver0!O1464</f>
        <v>0</v>
      </c>
      <c r="Q1464" s="3">
        <f>parking_demand_data_2024_ver0!P1464</f>
        <v>0</v>
      </c>
      <c r="R1464" s="3">
        <f>parking_demand_data_2024_ver0!Q1464</f>
        <v>0</v>
      </c>
      <c r="S1464" s="3">
        <f>parking_demand_data_2024_ver0!R1464</f>
        <v>0</v>
      </c>
      <c r="T1464" s="3">
        <f>parking_demand_data_2024_ver0!S1464</f>
        <v>0</v>
      </c>
    </row>
    <row r="1465" spans="1:20" x14ac:dyDescent="0.25">
      <c r="A1465">
        <v>18121</v>
      </c>
      <c r="B1465" t="s">
        <v>89</v>
      </c>
      <c r="C1465">
        <v>23</v>
      </c>
      <c r="D1465" s="3">
        <f>parking_demand_data_2024_ver0!D1465*calibration!$I$31</f>
        <v>0</v>
      </c>
      <c r="E1465" s="3">
        <f>parking_demand_data_2024_ver0!E1465*calibration!$I$31</f>
        <v>0</v>
      </c>
      <c r="F1465" s="3">
        <f t="shared" si="22"/>
        <v>0</v>
      </c>
      <c r="G1465" s="3">
        <f>parking_demand_data_2024_ver0!F1465</f>
        <v>0</v>
      </c>
      <c r="H1465" s="3">
        <f>parking_demand_data_2024_ver0!G1465</f>
        <v>0</v>
      </c>
      <c r="I1465" s="3">
        <f>parking_demand_data_2024_ver0!H1465</f>
        <v>0</v>
      </c>
      <c r="J1465" s="3">
        <f>parking_demand_data_2024_ver0!I1465</f>
        <v>0</v>
      </c>
      <c r="K1465" s="3">
        <f>parking_demand_data_2024_ver0!J1465</f>
        <v>0</v>
      </c>
      <c r="L1465" s="3">
        <f>parking_demand_data_2024_ver0!K1465</f>
        <v>0</v>
      </c>
      <c r="M1465" s="3">
        <f>parking_demand_data_2024_ver0!L1465</f>
        <v>0</v>
      </c>
      <c r="N1465" s="3">
        <f>parking_demand_data_2024_ver0!M1465</f>
        <v>0</v>
      </c>
      <c r="O1465" s="3">
        <f>parking_demand_data_2024_ver0!N1465</f>
        <v>0</v>
      </c>
      <c r="P1465" s="3">
        <f>parking_demand_data_2024_ver0!O1465</f>
        <v>0</v>
      </c>
      <c r="Q1465" s="3">
        <f>parking_demand_data_2024_ver0!P1465</f>
        <v>0</v>
      </c>
      <c r="R1465" s="3">
        <f>parking_demand_data_2024_ver0!Q1465</f>
        <v>0</v>
      </c>
      <c r="S1465" s="3">
        <f>parking_demand_data_2024_ver0!R1465</f>
        <v>0</v>
      </c>
      <c r="T1465" s="3">
        <f>parking_demand_data_2024_ver0!S1465</f>
        <v>0</v>
      </c>
    </row>
    <row r="1466" spans="1:20" x14ac:dyDescent="0.25">
      <c r="A1466">
        <v>18123</v>
      </c>
      <c r="B1466" t="s">
        <v>90</v>
      </c>
      <c r="C1466">
        <v>0</v>
      </c>
      <c r="D1466" s="3">
        <f>parking_demand_data_2024_ver0!D1466*calibration!$I$31</f>
        <v>4.0312845324230802</v>
      </c>
      <c r="E1466" s="3">
        <f>parking_demand_data_2024_ver0!E1466*calibration!$I$31</f>
        <v>1.8950482844723799</v>
      </c>
      <c r="F1466" s="3">
        <f t="shared" si="22"/>
        <v>5.9263328168954601</v>
      </c>
      <c r="G1466" s="3">
        <f>parking_demand_data_2024_ver0!F1466</f>
        <v>1</v>
      </c>
      <c r="H1466" s="3">
        <f>parking_demand_data_2024_ver0!G1466</f>
        <v>0</v>
      </c>
      <c r="I1466" s="3">
        <f>parking_demand_data_2024_ver0!H1466</f>
        <v>0</v>
      </c>
      <c r="J1466" s="3">
        <f>parking_demand_data_2024_ver0!I1466</f>
        <v>1</v>
      </c>
      <c r="K1466" s="3">
        <f>parking_demand_data_2024_ver0!J1466</f>
        <v>0</v>
      </c>
      <c r="L1466" s="3">
        <f>parking_demand_data_2024_ver0!K1466</f>
        <v>0</v>
      </c>
      <c r="M1466" s="3">
        <f>parking_demand_data_2024_ver0!L1466</f>
        <v>0</v>
      </c>
      <c r="N1466" s="3">
        <f>parking_demand_data_2024_ver0!M1466</f>
        <v>10</v>
      </c>
      <c r="O1466" s="3">
        <f>parking_demand_data_2024_ver0!N1466</f>
        <v>0</v>
      </c>
      <c r="P1466" s="3">
        <f>parking_demand_data_2024_ver0!O1466</f>
        <v>0</v>
      </c>
      <c r="Q1466" s="3">
        <f>parking_demand_data_2024_ver0!P1466</f>
        <v>10</v>
      </c>
      <c r="R1466" s="3">
        <f>parking_demand_data_2024_ver0!Q1466</f>
        <v>0</v>
      </c>
      <c r="S1466" s="3">
        <f>parking_demand_data_2024_ver0!R1466</f>
        <v>0</v>
      </c>
      <c r="T1466" s="3">
        <f>parking_demand_data_2024_ver0!S1466</f>
        <v>0</v>
      </c>
    </row>
    <row r="1467" spans="1:20" x14ac:dyDescent="0.25">
      <c r="A1467">
        <v>18123</v>
      </c>
      <c r="B1467" t="s">
        <v>90</v>
      </c>
      <c r="C1467">
        <v>1</v>
      </c>
      <c r="D1467" s="3">
        <f>parking_demand_data_2024_ver0!D1467*calibration!$I$31</f>
        <v>4.2035616491932899</v>
      </c>
      <c r="E1467" s="3">
        <f>parking_demand_data_2024_ver0!E1467*calibration!$I$31</f>
        <v>2.0673254012425999</v>
      </c>
      <c r="F1467" s="3">
        <f t="shared" si="22"/>
        <v>6.2708870504358902</v>
      </c>
      <c r="G1467" s="3">
        <f>parking_demand_data_2024_ver0!F1467</f>
        <v>1</v>
      </c>
      <c r="H1467" s="3">
        <f>parking_demand_data_2024_ver0!G1467</f>
        <v>0</v>
      </c>
      <c r="I1467" s="3">
        <f>parking_demand_data_2024_ver0!H1467</f>
        <v>0</v>
      </c>
      <c r="J1467" s="3">
        <f>parking_demand_data_2024_ver0!I1467</f>
        <v>1</v>
      </c>
      <c r="K1467" s="3">
        <f>parking_demand_data_2024_ver0!J1467</f>
        <v>0</v>
      </c>
      <c r="L1467" s="3">
        <f>parking_demand_data_2024_ver0!K1467</f>
        <v>0</v>
      </c>
      <c r="M1467" s="3">
        <f>parking_demand_data_2024_ver0!L1467</f>
        <v>0</v>
      </c>
      <c r="N1467" s="3">
        <f>parking_demand_data_2024_ver0!M1467</f>
        <v>10</v>
      </c>
      <c r="O1467" s="3">
        <f>parking_demand_data_2024_ver0!N1467</f>
        <v>0</v>
      </c>
      <c r="P1467" s="3">
        <f>parking_demand_data_2024_ver0!O1467</f>
        <v>0</v>
      </c>
      <c r="Q1467" s="3">
        <f>parking_demand_data_2024_ver0!P1467</f>
        <v>10</v>
      </c>
      <c r="R1467" s="3">
        <f>parking_demand_data_2024_ver0!Q1467</f>
        <v>0</v>
      </c>
      <c r="S1467" s="3">
        <f>parking_demand_data_2024_ver0!R1467</f>
        <v>0</v>
      </c>
      <c r="T1467" s="3">
        <f>parking_demand_data_2024_ver0!S1467</f>
        <v>0</v>
      </c>
    </row>
    <row r="1468" spans="1:20" x14ac:dyDescent="0.25">
      <c r="A1468">
        <v>18123</v>
      </c>
      <c r="B1468" t="s">
        <v>90</v>
      </c>
      <c r="C1468">
        <v>2</v>
      </c>
      <c r="D1468" s="3">
        <f>parking_demand_data_2024_ver0!D1468*calibration!$I$31</f>
        <v>4.27247249590138</v>
      </c>
      <c r="E1468" s="3">
        <f>parking_demand_data_2024_ver0!E1468*calibration!$I$31</f>
        <v>2.3085133647209002</v>
      </c>
      <c r="F1468" s="3">
        <f t="shared" si="22"/>
        <v>6.5809858606222802</v>
      </c>
      <c r="G1468" s="3">
        <f>parking_demand_data_2024_ver0!F1468</f>
        <v>1</v>
      </c>
      <c r="H1468" s="3">
        <f>parking_demand_data_2024_ver0!G1468</f>
        <v>0</v>
      </c>
      <c r="I1468" s="3">
        <f>parking_demand_data_2024_ver0!H1468</f>
        <v>0</v>
      </c>
      <c r="J1468" s="3">
        <f>parking_demand_data_2024_ver0!I1468</f>
        <v>1</v>
      </c>
      <c r="K1468" s="3">
        <f>parking_demand_data_2024_ver0!J1468</f>
        <v>0</v>
      </c>
      <c r="L1468" s="3">
        <f>parking_demand_data_2024_ver0!K1468</f>
        <v>0</v>
      </c>
      <c r="M1468" s="3">
        <f>parking_demand_data_2024_ver0!L1468</f>
        <v>0</v>
      </c>
      <c r="N1468" s="3">
        <f>parking_demand_data_2024_ver0!M1468</f>
        <v>10</v>
      </c>
      <c r="O1468" s="3">
        <f>parking_demand_data_2024_ver0!N1468</f>
        <v>0</v>
      </c>
      <c r="P1468" s="3">
        <f>parking_demand_data_2024_ver0!O1468</f>
        <v>0</v>
      </c>
      <c r="Q1468" s="3">
        <f>parking_demand_data_2024_ver0!P1468</f>
        <v>10</v>
      </c>
      <c r="R1468" s="3">
        <f>parking_demand_data_2024_ver0!Q1468</f>
        <v>0</v>
      </c>
      <c r="S1468" s="3">
        <f>parking_demand_data_2024_ver0!R1468</f>
        <v>0</v>
      </c>
      <c r="T1468" s="3">
        <f>parking_demand_data_2024_ver0!S1468</f>
        <v>0</v>
      </c>
    </row>
    <row r="1469" spans="1:20" x14ac:dyDescent="0.25">
      <c r="A1469">
        <v>18123</v>
      </c>
      <c r="B1469" t="s">
        <v>90</v>
      </c>
      <c r="C1469">
        <v>3</v>
      </c>
      <c r="D1469" s="3">
        <f>parking_demand_data_2024_ver0!D1469*calibration!$I$31</f>
        <v>4.27247249590138</v>
      </c>
      <c r="E1469" s="3">
        <f>parking_demand_data_2024_ver0!E1469*calibration!$I$31</f>
        <v>2.58415675155325</v>
      </c>
      <c r="F1469" s="3">
        <f t="shared" si="22"/>
        <v>6.85662924745463</v>
      </c>
      <c r="G1469" s="3">
        <f>parking_demand_data_2024_ver0!F1469</f>
        <v>1</v>
      </c>
      <c r="H1469" s="3">
        <f>parking_demand_data_2024_ver0!G1469</f>
        <v>0</v>
      </c>
      <c r="I1469" s="3">
        <f>parking_demand_data_2024_ver0!H1469</f>
        <v>0</v>
      </c>
      <c r="J1469" s="3">
        <f>parking_demand_data_2024_ver0!I1469</f>
        <v>1</v>
      </c>
      <c r="K1469" s="3">
        <f>parking_demand_data_2024_ver0!J1469</f>
        <v>0</v>
      </c>
      <c r="L1469" s="3">
        <f>parking_demand_data_2024_ver0!K1469</f>
        <v>0</v>
      </c>
      <c r="M1469" s="3">
        <f>parking_demand_data_2024_ver0!L1469</f>
        <v>0</v>
      </c>
      <c r="N1469" s="3">
        <f>parking_demand_data_2024_ver0!M1469</f>
        <v>10</v>
      </c>
      <c r="O1469" s="3">
        <f>parking_demand_data_2024_ver0!N1469</f>
        <v>0</v>
      </c>
      <c r="P1469" s="3">
        <f>parking_demand_data_2024_ver0!O1469</f>
        <v>0</v>
      </c>
      <c r="Q1469" s="3">
        <f>parking_demand_data_2024_ver0!P1469</f>
        <v>10</v>
      </c>
      <c r="R1469" s="3">
        <f>parking_demand_data_2024_ver0!Q1469</f>
        <v>0</v>
      </c>
      <c r="S1469" s="3">
        <f>parking_demand_data_2024_ver0!R1469</f>
        <v>0</v>
      </c>
      <c r="T1469" s="3">
        <f>parking_demand_data_2024_ver0!S1469</f>
        <v>0</v>
      </c>
    </row>
    <row r="1470" spans="1:20" x14ac:dyDescent="0.25">
      <c r="A1470">
        <v>18123</v>
      </c>
      <c r="B1470" t="s">
        <v>90</v>
      </c>
      <c r="C1470">
        <v>4</v>
      </c>
      <c r="D1470" s="3">
        <f>parking_demand_data_2024_ver0!D1470*calibration!$I$31</f>
        <v>4.58257130608777</v>
      </c>
      <c r="E1470" s="3">
        <f>parking_demand_data_2024_ver0!E1470*calibration!$I$31</f>
        <v>2.6186121749072999</v>
      </c>
      <c r="F1470" s="3">
        <f t="shared" si="22"/>
        <v>7.2011834809950699</v>
      </c>
      <c r="G1470" s="3">
        <f>parking_demand_data_2024_ver0!F1470</f>
        <v>1</v>
      </c>
      <c r="H1470" s="3">
        <f>parking_demand_data_2024_ver0!G1470</f>
        <v>0</v>
      </c>
      <c r="I1470" s="3">
        <f>parking_demand_data_2024_ver0!H1470</f>
        <v>0</v>
      </c>
      <c r="J1470" s="3">
        <f>parking_demand_data_2024_ver0!I1470</f>
        <v>1</v>
      </c>
      <c r="K1470" s="3">
        <f>parking_demand_data_2024_ver0!J1470</f>
        <v>0</v>
      </c>
      <c r="L1470" s="3">
        <f>parking_demand_data_2024_ver0!K1470</f>
        <v>0</v>
      </c>
      <c r="M1470" s="3">
        <f>parking_demand_data_2024_ver0!L1470</f>
        <v>0</v>
      </c>
      <c r="N1470" s="3">
        <f>parking_demand_data_2024_ver0!M1470</f>
        <v>10</v>
      </c>
      <c r="O1470" s="3">
        <f>parking_demand_data_2024_ver0!N1470</f>
        <v>0</v>
      </c>
      <c r="P1470" s="3">
        <f>parking_demand_data_2024_ver0!O1470</f>
        <v>0</v>
      </c>
      <c r="Q1470" s="3">
        <f>parking_demand_data_2024_ver0!P1470</f>
        <v>10</v>
      </c>
      <c r="R1470" s="3">
        <f>parking_demand_data_2024_ver0!Q1470</f>
        <v>0</v>
      </c>
      <c r="S1470" s="3">
        <f>parking_demand_data_2024_ver0!R1470</f>
        <v>0</v>
      </c>
      <c r="T1470" s="3">
        <f>parking_demand_data_2024_ver0!S1470</f>
        <v>0</v>
      </c>
    </row>
    <row r="1471" spans="1:20" x14ac:dyDescent="0.25">
      <c r="A1471">
        <v>18123</v>
      </c>
      <c r="B1471" t="s">
        <v>90</v>
      </c>
      <c r="C1471">
        <v>5</v>
      </c>
      <c r="D1471" s="3">
        <f>parking_demand_data_2024_ver0!D1471*calibration!$I$31</f>
        <v>4.3758387659635103</v>
      </c>
      <c r="E1471" s="3">
        <f>parking_demand_data_2024_ver0!E1471*calibration!$I$31</f>
        <v>2.58415675155325</v>
      </c>
      <c r="F1471" s="3">
        <f t="shared" si="22"/>
        <v>6.9599955175167603</v>
      </c>
      <c r="G1471" s="3">
        <f>parking_demand_data_2024_ver0!F1471</f>
        <v>1</v>
      </c>
      <c r="H1471" s="3">
        <f>parking_demand_data_2024_ver0!G1471</f>
        <v>0</v>
      </c>
      <c r="I1471" s="3">
        <f>parking_demand_data_2024_ver0!H1471</f>
        <v>0</v>
      </c>
      <c r="J1471" s="3">
        <f>parking_demand_data_2024_ver0!I1471</f>
        <v>1</v>
      </c>
      <c r="K1471" s="3">
        <f>parking_demand_data_2024_ver0!J1471</f>
        <v>0</v>
      </c>
      <c r="L1471" s="3">
        <f>parking_demand_data_2024_ver0!K1471</f>
        <v>0</v>
      </c>
      <c r="M1471" s="3">
        <f>parking_demand_data_2024_ver0!L1471</f>
        <v>0</v>
      </c>
      <c r="N1471" s="3">
        <f>parking_demand_data_2024_ver0!M1471</f>
        <v>10</v>
      </c>
      <c r="O1471" s="3">
        <f>parking_demand_data_2024_ver0!N1471</f>
        <v>0</v>
      </c>
      <c r="P1471" s="3">
        <f>parking_demand_data_2024_ver0!O1471</f>
        <v>0</v>
      </c>
      <c r="Q1471" s="3">
        <f>parking_demand_data_2024_ver0!P1471</f>
        <v>10</v>
      </c>
      <c r="R1471" s="3">
        <f>parking_demand_data_2024_ver0!Q1471</f>
        <v>0</v>
      </c>
      <c r="S1471" s="3">
        <f>parking_demand_data_2024_ver0!R1471</f>
        <v>0</v>
      </c>
      <c r="T1471" s="3">
        <f>parking_demand_data_2024_ver0!S1471</f>
        <v>0</v>
      </c>
    </row>
    <row r="1472" spans="1:20" x14ac:dyDescent="0.25">
      <c r="A1472">
        <v>18123</v>
      </c>
      <c r="B1472" t="s">
        <v>90</v>
      </c>
      <c r="C1472">
        <v>6</v>
      </c>
      <c r="D1472" s="3">
        <f>parking_demand_data_2024_ver0!D1472*calibration!$I$31</f>
        <v>3.58336402882051</v>
      </c>
      <c r="E1472" s="3">
        <f>parking_demand_data_2024_ver0!E1472*calibration!$I$31</f>
        <v>1.86059286111834</v>
      </c>
      <c r="F1472" s="3">
        <f t="shared" si="22"/>
        <v>5.4439568899388497</v>
      </c>
      <c r="G1472" s="3">
        <f>parking_demand_data_2024_ver0!F1472</f>
        <v>1</v>
      </c>
      <c r="H1472" s="3">
        <f>parking_demand_data_2024_ver0!G1472</f>
        <v>0</v>
      </c>
      <c r="I1472" s="3">
        <f>parking_demand_data_2024_ver0!H1472</f>
        <v>0</v>
      </c>
      <c r="J1472" s="3">
        <f>parking_demand_data_2024_ver0!I1472</f>
        <v>1</v>
      </c>
      <c r="K1472" s="3">
        <f>parking_demand_data_2024_ver0!J1472</f>
        <v>0</v>
      </c>
      <c r="L1472" s="3">
        <f>parking_demand_data_2024_ver0!K1472</f>
        <v>0</v>
      </c>
      <c r="M1472" s="3">
        <f>parking_demand_data_2024_ver0!L1472</f>
        <v>0</v>
      </c>
      <c r="N1472" s="3">
        <f>parking_demand_data_2024_ver0!M1472</f>
        <v>10</v>
      </c>
      <c r="O1472" s="3">
        <f>parking_demand_data_2024_ver0!N1472</f>
        <v>0</v>
      </c>
      <c r="P1472" s="3">
        <f>parking_demand_data_2024_ver0!O1472</f>
        <v>0</v>
      </c>
      <c r="Q1472" s="3">
        <f>parking_demand_data_2024_ver0!P1472</f>
        <v>10</v>
      </c>
      <c r="R1472" s="3">
        <f>parking_demand_data_2024_ver0!Q1472</f>
        <v>0</v>
      </c>
      <c r="S1472" s="3">
        <f>parking_demand_data_2024_ver0!R1472</f>
        <v>0</v>
      </c>
      <c r="T1472" s="3">
        <f>parking_demand_data_2024_ver0!S1472</f>
        <v>0</v>
      </c>
    </row>
    <row r="1473" spans="1:20" x14ac:dyDescent="0.25">
      <c r="A1473">
        <v>18123</v>
      </c>
      <c r="B1473" t="s">
        <v>90</v>
      </c>
      <c r="C1473">
        <v>7</v>
      </c>
      <c r="D1473" s="3">
        <f>parking_demand_data_2024_ver0!D1473*calibration!$I$31</f>
        <v>2.8942555617396399</v>
      </c>
      <c r="E1473" s="3">
        <f>parking_demand_data_2024_ver0!E1473*calibration!$I$31</f>
        <v>1.17148439403747</v>
      </c>
      <c r="F1473" s="3">
        <f t="shared" si="22"/>
        <v>4.0657399557771097</v>
      </c>
      <c r="G1473" s="3">
        <f>parking_demand_data_2024_ver0!F1473</f>
        <v>1</v>
      </c>
      <c r="H1473" s="3">
        <f>parking_demand_data_2024_ver0!G1473</f>
        <v>0</v>
      </c>
      <c r="I1473" s="3">
        <f>parking_demand_data_2024_ver0!H1473</f>
        <v>0</v>
      </c>
      <c r="J1473" s="3">
        <f>parking_demand_data_2024_ver0!I1473</f>
        <v>1</v>
      </c>
      <c r="K1473" s="3">
        <f>parking_demand_data_2024_ver0!J1473</f>
        <v>0</v>
      </c>
      <c r="L1473" s="3">
        <f>parking_demand_data_2024_ver0!K1473</f>
        <v>0</v>
      </c>
      <c r="M1473" s="3">
        <f>parking_demand_data_2024_ver0!L1473</f>
        <v>0</v>
      </c>
      <c r="N1473" s="3">
        <f>parking_demand_data_2024_ver0!M1473</f>
        <v>10</v>
      </c>
      <c r="O1473" s="3">
        <f>parking_demand_data_2024_ver0!N1473</f>
        <v>0</v>
      </c>
      <c r="P1473" s="3">
        <f>parking_demand_data_2024_ver0!O1473</f>
        <v>0</v>
      </c>
      <c r="Q1473" s="3">
        <f>parking_demand_data_2024_ver0!P1473</f>
        <v>10</v>
      </c>
      <c r="R1473" s="3">
        <f>parking_demand_data_2024_ver0!Q1473</f>
        <v>0</v>
      </c>
      <c r="S1473" s="3">
        <f>parking_demand_data_2024_ver0!R1473</f>
        <v>0</v>
      </c>
      <c r="T1473" s="3">
        <f>parking_demand_data_2024_ver0!S1473</f>
        <v>0</v>
      </c>
    </row>
    <row r="1474" spans="1:20" x14ac:dyDescent="0.25">
      <c r="A1474">
        <v>18123</v>
      </c>
      <c r="B1474" t="s">
        <v>90</v>
      </c>
      <c r="C1474">
        <v>8</v>
      </c>
      <c r="D1474" s="3">
        <f>parking_demand_data_2024_ver0!D1474*calibration!$I$31</f>
        <v>2.2396025180128198</v>
      </c>
      <c r="E1474" s="3">
        <f>parking_demand_data_2024_ver0!E1474*calibration!$I$31</f>
        <v>0.72356389043491198</v>
      </c>
      <c r="F1474" s="3">
        <f t="shared" si="22"/>
        <v>2.9631664084477318</v>
      </c>
      <c r="G1474" s="3">
        <f>parking_demand_data_2024_ver0!F1474</f>
        <v>1</v>
      </c>
      <c r="H1474" s="3">
        <f>parking_demand_data_2024_ver0!G1474</f>
        <v>0</v>
      </c>
      <c r="I1474" s="3">
        <f>parking_demand_data_2024_ver0!H1474</f>
        <v>0</v>
      </c>
      <c r="J1474" s="3">
        <f>parking_demand_data_2024_ver0!I1474</f>
        <v>1</v>
      </c>
      <c r="K1474" s="3">
        <f>parking_demand_data_2024_ver0!J1474</f>
        <v>0</v>
      </c>
      <c r="L1474" s="3">
        <f>parking_demand_data_2024_ver0!K1474</f>
        <v>0</v>
      </c>
      <c r="M1474" s="3">
        <f>parking_demand_data_2024_ver0!L1474</f>
        <v>0</v>
      </c>
      <c r="N1474" s="3">
        <f>parking_demand_data_2024_ver0!M1474</f>
        <v>10</v>
      </c>
      <c r="O1474" s="3">
        <f>parking_demand_data_2024_ver0!N1474</f>
        <v>0</v>
      </c>
      <c r="P1474" s="3">
        <f>parking_demand_data_2024_ver0!O1474</f>
        <v>0</v>
      </c>
      <c r="Q1474" s="3">
        <f>parking_demand_data_2024_ver0!P1474</f>
        <v>10</v>
      </c>
      <c r="R1474" s="3">
        <f>parking_demand_data_2024_ver0!Q1474</f>
        <v>0</v>
      </c>
      <c r="S1474" s="3">
        <f>parking_demand_data_2024_ver0!R1474</f>
        <v>0</v>
      </c>
      <c r="T1474" s="3">
        <f>parking_demand_data_2024_ver0!S1474</f>
        <v>0</v>
      </c>
    </row>
    <row r="1475" spans="1:20" x14ac:dyDescent="0.25">
      <c r="A1475">
        <v>18123</v>
      </c>
      <c r="B1475" t="s">
        <v>90</v>
      </c>
      <c r="C1475">
        <v>9</v>
      </c>
      <c r="D1475" s="3">
        <f>parking_demand_data_2024_ver0!D1475*calibration!$I$31</f>
        <v>1.4815832042238599</v>
      </c>
      <c r="E1475" s="3">
        <f>parking_demand_data_2024_ver0!E1475*calibration!$I$31</f>
        <v>0.62019762037278103</v>
      </c>
      <c r="F1475" s="3">
        <f t="shared" ref="F1475:F1538" si="23">SUM(D1475:E1475)</f>
        <v>2.101780824596641</v>
      </c>
      <c r="G1475" s="3">
        <f>parking_demand_data_2024_ver0!F1475</f>
        <v>1</v>
      </c>
      <c r="H1475" s="3">
        <f>parking_demand_data_2024_ver0!G1475</f>
        <v>0</v>
      </c>
      <c r="I1475" s="3">
        <f>parking_demand_data_2024_ver0!H1475</f>
        <v>0</v>
      </c>
      <c r="J1475" s="3">
        <f>parking_demand_data_2024_ver0!I1475</f>
        <v>1</v>
      </c>
      <c r="K1475" s="3">
        <f>parking_demand_data_2024_ver0!J1475</f>
        <v>0</v>
      </c>
      <c r="L1475" s="3">
        <f>parking_demand_data_2024_ver0!K1475</f>
        <v>0</v>
      </c>
      <c r="M1475" s="3">
        <f>parking_demand_data_2024_ver0!L1475</f>
        <v>0</v>
      </c>
      <c r="N1475" s="3">
        <f>parking_demand_data_2024_ver0!M1475</f>
        <v>10</v>
      </c>
      <c r="O1475" s="3">
        <f>parking_demand_data_2024_ver0!N1475</f>
        <v>0</v>
      </c>
      <c r="P1475" s="3">
        <f>parking_demand_data_2024_ver0!O1475</f>
        <v>0</v>
      </c>
      <c r="Q1475" s="3">
        <f>parking_demand_data_2024_ver0!P1475</f>
        <v>10</v>
      </c>
      <c r="R1475" s="3">
        <f>parking_demand_data_2024_ver0!Q1475</f>
        <v>0</v>
      </c>
      <c r="S1475" s="3">
        <f>parking_demand_data_2024_ver0!R1475</f>
        <v>0</v>
      </c>
      <c r="T1475" s="3">
        <f>parking_demand_data_2024_ver0!S1475</f>
        <v>0</v>
      </c>
    </row>
    <row r="1476" spans="1:20" x14ac:dyDescent="0.25">
      <c r="A1476">
        <v>18123</v>
      </c>
      <c r="B1476" t="s">
        <v>90</v>
      </c>
      <c r="C1476">
        <v>10</v>
      </c>
      <c r="D1476" s="3">
        <f>parking_demand_data_2024_ver0!D1476*calibration!$I$31</f>
        <v>1.6194048976400399</v>
      </c>
      <c r="E1476" s="3">
        <f>parking_demand_data_2024_ver0!E1476*calibration!$I$31</f>
        <v>0.72356389043491198</v>
      </c>
      <c r="F1476" s="3">
        <f t="shared" si="23"/>
        <v>2.3429687880749519</v>
      </c>
      <c r="G1476" s="3">
        <f>parking_demand_data_2024_ver0!F1476</f>
        <v>1</v>
      </c>
      <c r="H1476" s="3">
        <f>parking_demand_data_2024_ver0!G1476</f>
        <v>0</v>
      </c>
      <c r="I1476" s="3">
        <f>parking_demand_data_2024_ver0!H1476</f>
        <v>0</v>
      </c>
      <c r="J1476" s="3">
        <f>parking_demand_data_2024_ver0!I1476</f>
        <v>1</v>
      </c>
      <c r="K1476" s="3">
        <f>parking_demand_data_2024_ver0!J1476</f>
        <v>0</v>
      </c>
      <c r="L1476" s="3">
        <f>parking_demand_data_2024_ver0!K1476</f>
        <v>0</v>
      </c>
      <c r="M1476" s="3">
        <f>parking_demand_data_2024_ver0!L1476</f>
        <v>0</v>
      </c>
      <c r="N1476" s="3">
        <f>parking_demand_data_2024_ver0!M1476</f>
        <v>10</v>
      </c>
      <c r="O1476" s="3">
        <f>parking_demand_data_2024_ver0!N1476</f>
        <v>0</v>
      </c>
      <c r="P1476" s="3">
        <f>parking_demand_data_2024_ver0!O1476</f>
        <v>0</v>
      </c>
      <c r="Q1476" s="3">
        <f>parking_demand_data_2024_ver0!P1476</f>
        <v>10</v>
      </c>
      <c r="R1476" s="3">
        <f>parking_demand_data_2024_ver0!Q1476</f>
        <v>0</v>
      </c>
      <c r="S1476" s="3">
        <f>parking_demand_data_2024_ver0!R1476</f>
        <v>0</v>
      </c>
      <c r="T1476" s="3">
        <f>parking_demand_data_2024_ver0!S1476</f>
        <v>0</v>
      </c>
    </row>
    <row r="1477" spans="1:20" x14ac:dyDescent="0.25">
      <c r="A1477">
        <v>18123</v>
      </c>
      <c r="B1477" t="s">
        <v>90</v>
      </c>
      <c r="C1477">
        <v>11</v>
      </c>
      <c r="D1477" s="3">
        <f>parking_demand_data_2024_ver0!D1477*calibration!$I$31</f>
        <v>1.86059286111834</v>
      </c>
      <c r="E1477" s="3">
        <f>parking_demand_data_2024_ver0!E1477*calibration!$I$31</f>
        <v>0.86138558385108499</v>
      </c>
      <c r="F1477" s="3">
        <f t="shared" si="23"/>
        <v>2.7219784449694249</v>
      </c>
      <c r="G1477" s="3">
        <f>parking_demand_data_2024_ver0!F1477</f>
        <v>1</v>
      </c>
      <c r="H1477" s="3">
        <f>parking_demand_data_2024_ver0!G1477</f>
        <v>0</v>
      </c>
      <c r="I1477" s="3">
        <f>parking_demand_data_2024_ver0!H1477</f>
        <v>0</v>
      </c>
      <c r="J1477" s="3">
        <f>parking_demand_data_2024_ver0!I1477</f>
        <v>1</v>
      </c>
      <c r="K1477" s="3">
        <f>parking_demand_data_2024_ver0!J1477</f>
        <v>0</v>
      </c>
      <c r="L1477" s="3">
        <f>parking_demand_data_2024_ver0!K1477</f>
        <v>0</v>
      </c>
      <c r="M1477" s="3">
        <f>parking_demand_data_2024_ver0!L1477</f>
        <v>0</v>
      </c>
      <c r="N1477" s="3">
        <f>parking_demand_data_2024_ver0!M1477</f>
        <v>10</v>
      </c>
      <c r="O1477" s="3">
        <f>parking_demand_data_2024_ver0!N1477</f>
        <v>0</v>
      </c>
      <c r="P1477" s="3">
        <f>parking_demand_data_2024_ver0!O1477</f>
        <v>0</v>
      </c>
      <c r="Q1477" s="3">
        <f>parking_demand_data_2024_ver0!P1477</f>
        <v>10</v>
      </c>
      <c r="R1477" s="3">
        <f>parking_demand_data_2024_ver0!Q1477</f>
        <v>0</v>
      </c>
      <c r="S1477" s="3">
        <f>parking_demand_data_2024_ver0!R1477</f>
        <v>0</v>
      </c>
      <c r="T1477" s="3">
        <f>parking_demand_data_2024_ver0!S1477</f>
        <v>0</v>
      </c>
    </row>
    <row r="1478" spans="1:20" x14ac:dyDescent="0.25">
      <c r="A1478">
        <v>18123</v>
      </c>
      <c r="B1478" t="s">
        <v>90</v>
      </c>
      <c r="C1478">
        <v>12</v>
      </c>
      <c r="D1478" s="3">
        <f>parking_demand_data_2024_ver0!D1478*calibration!$I$31</f>
        <v>1.58494947428599</v>
      </c>
      <c r="E1478" s="3">
        <f>parking_demand_data_2024_ver0!E1478*calibration!$I$31</f>
        <v>0.89584100720512905</v>
      </c>
      <c r="F1478" s="3">
        <f t="shared" si="23"/>
        <v>2.4807904814911188</v>
      </c>
      <c r="G1478" s="3">
        <f>parking_demand_data_2024_ver0!F1478</f>
        <v>1</v>
      </c>
      <c r="H1478" s="3">
        <f>parking_demand_data_2024_ver0!G1478</f>
        <v>0</v>
      </c>
      <c r="I1478" s="3">
        <f>parking_demand_data_2024_ver0!H1478</f>
        <v>0</v>
      </c>
      <c r="J1478" s="3">
        <f>parking_demand_data_2024_ver0!I1478</f>
        <v>1</v>
      </c>
      <c r="K1478" s="3">
        <f>parking_demand_data_2024_ver0!J1478</f>
        <v>0</v>
      </c>
      <c r="L1478" s="3">
        <f>parking_demand_data_2024_ver0!K1478</f>
        <v>0</v>
      </c>
      <c r="M1478" s="3">
        <f>parking_demand_data_2024_ver0!L1478</f>
        <v>0</v>
      </c>
      <c r="N1478" s="3">
        <f>parking_demand_data_2024_ver0!M1478</f>
        <v>10</v>
      </c>
      <c r="O1478" s="3">
        <f>parking_demand_data_2024_ver0!N1478</f>
        <v>0</v>
      </c>
      <c r="P1478" s="3">
        <f>parking_demand_data_2024_ver0!O1478</f>
        <v>0</v>
      </c>
      <c r="Q1478" s="3">
        <f>parking_demand_data_2024_ver0!P1478</f>
        <v>10</v>
      </c>
      <c r="R1478" s="3">
        <f>parking_demand_data_2024_ver0!Q1478</f>
        <v>0</v>
      </c>
      <c r="S1478" s="3">
        <f>parking_demand_data_2024_ver0!R1478</f>
        <v>0</v>
      </c>
      <c r="T1478" s="3">
        <f>parking_demand_data_2024_ver0!S1478</f>
        <v>0</v>
      </c>
    </row>
    <row r="1479" spans="1:20" x14ac:dyDescent="0.25">
      <c r="A1479">
        <v>18123</v>
      </c>
      <c r="B1479" t="s">
        <v>90</v>
      </c>
      <c r="C1479">
        <v>13</v>
      </c>
      <c r="D1479" s="3">
        <f>parking_demand_data_2024_ver0!D1479*calibration!$I$31</f>
        <v>1.58494947428599</v>
      </c>
      <c r="E1479" s="3">
        <f>parking_demand_data_2024_ver0!E1479*calibration!$I$31</f>
        <v>0.55128677366469403</v>
      </c>
      <c r="F1479" s="3">
        <f t="shared" si="23"/>
        <v>2.1362362479506842</v>
      </c>
      <c r="G1479" s="3">
        <f>parking_demand_data_2024_ver0!F1479</f>
        <v>1</v>
      </c>
      <c r="H1479" s="3">
        <f>parking_demand_data_2024_ver0!G1479</f>
        <v>0</v>
      </c>
      <c r="I1479" s="3">
        <f>parking_demand_data_2024_ver0!H1479</f>
        <v>0</v>
      </c>
      <c r="J1479" s="3">
        <f>parking_demand_data_2024_ver0!I1479</f>
        <v>1</v>
      </c>
      <c r="K1479" s="3">
        <f>parking_demand_data_2024_ver0!J1479</f>
        <v>0</v>
      </c>
      <c r="L1479" s="3">
        <f>parking_demand_data_2024_ver0!K1479</f>
        <v>0</v>
      </c>
      <c r="M1479" s="3">
        <f>parking_demand_data_2024_ver0!L1479</f>
        <v>0</v>
      </c>
      <c r="N1479" s="3">
        <f>parking_demand_data_2024_ver0!M1479</f>
        <v>10</v>
      </c>
      <c r="O1479" s="3">
        <f>parking_demand_data_2024_ver0!N1479</f>
        <v>0</v>
      </c>
      <c r="P1479" s="3">
        <f>parking_demand_data_2024_ver0!O1479</f>
        <v>0</v>
      </c>
      <c r="Q1479" s="3">
        <f>parking_demand_data_2024_ver0!P1479</f>
        <v>10</v>
      </c>
      <c r="R1479" s="3">
        <f>parking_demand_data_2024_ver0!Q1479</f>
        <v>0</v>
      </c>
      <c r="S1479" s="3">
        <f>parking_demand_data_2024_ver0!R1479</f>
        <v>0</v>
      </c>
      <c r="T1479" s="3">
        <f>parking_demand_data_2024_ver0!S1479</f>
        <v>0</v>
      </c>
    </row>
    <row r="1480" spans="1:20" x14ac:dyDescent="0.25">
      <c r="A1480">
        <v>18123</v>
      </c>
      <c r="B1480" t="s">
        <v>90</v>
      </c>
      <c r="C1480">
        <v>14</v>
      </c>
      <c r="D1480" s="3">
        <f>parking_demand_data_2024_ver0!D1480*calibration!$I$31</f>
        <v>2.1017808245966401</v>
      </c>
      <c r="E1480" s="3">
        <f>parking_demand_data_2024_ver0!E1480*calibration!$I$31</f>
        <v>0.48237592695660703</v>
      </c>
      <c r="F1480" s="3">
        <f t="shared" si="23"/>
        <v>2.5841567515532473</v>
      </c>
      <c r="G1480" s="3">
        <f>parking_demand_data_2024_ver0!F1480</f>
        <v>1</v>
      </c>
      <c r="H1480" s="3">
        <f>parking_demand_data_2024_ver0!G1480</f>
        <v>0</v>
      </c>
      <c r="I1480" s="3">
        <f>parking_demand_data_2024_ver0!H1480</f>
        <v>0</v>
      </c>
      <c r="J1480" s="3">
        <f>parking_demand_data_2024_ver0!I1480</f>
        <v>1</v>
      </c>
      <c r="K1480" s="3">
        <f>parking_demand_data_2024_ver0!J1480</f>
        <v>0</v>
      </c>
      <c r="L1480" s="3">
        <f>parking_demand_data_2024_ver0!K1480</f>
        <v>0</v>
      </c>
      <c r="M1480" s="3">
        <f>parking_demand_data_2024_ver0!L1480</f>
        <v>0</v>
      </c>
      <c r="N1480" s="3">
        <f>parking_demand_data_2024_ver0!M1480</f>
        <v>10</v>
      </c>
      <c r="O1480" s="3">
        <f>parking_demand_data_2024_ver0!N1480</f>
        <v>0</v>
      </c>
      <c r="P1480" s="3">
        <f>parking_demand_data_2024_ver0!O1480</f>
        <v>0</v>
      </c>
      <c r="Q1480" s="3">
        <f>parking_demand_data_2024_ver0!P1480</f>
        <v>10</v>
      </c>
      <c r="R1480" s="3">
        <f>parking_demand_data_2024_ver0!Q1480</f>
        <v>0</v>
      </c>
      <c r="S1480" s="3">
        <f>parking_demand_data_2024_ver0!R1480</f>
        <v>0</v>
      </c>
      <c r="T1480" s="3">
        <f>parking_demand_data_2024_ver0!S1480</f>
        <v>0</v>
      </c>
    </row>
    <row r="1481" spans="1:20" x14ac:dyDescent="0.25">
      <c r="A1481">
        <v>18123</v>
      </c>
      <c r="B1481" t="s">
        <v>90</v>
      </c>
      <c r="C1481">
        <v>15</v>
      </c>
      <c r="D1481" s="3">
        <f>parking_demand_data_2024_ver0!D1481*calibration!$I$31</f>
        <v>2.2051470946587699</v>
      </c>
      <c r="E1481" s="3">
        <f>parking_demand_data_2024_ver0!E1481*calibration!$I$31</f>
        <v>0.31009881018639002</v>
      </c>
      <c r="F1481" s="3">
        <f t="shared" si="23"/>
        <v>2.5152459048451599</v>
      </c>
      <c r="G1481" s="3">
        <f>parking_demand_data_2024_ver0!F1481</f>
        <v>1</v>
      </c>
      <c r="H1481" s="3">
        <f>parking_demand_data_2024_ver0!G1481</f>
        <v>0</v>
      </c>
      <c r="I1481" s="3">
        <f>parking_demand_data_2024_ver0!H1481</f>
        <v>0</v>
      </c>
      <c r="J1481" s="3">
        <f>parking_demand_data_2024_ver0!I1481</f>
        <v>1</v>
      </c>
      <c r="K1481" s="3">
        <f>parking_demand_data_2024_ver0!J1481</f>
        <v>0</v>
      </c>
      <c r="L1481" s="3">
        <f>parking_demand_data_2024_ver0!K1481</f>
        <v>0</v>
      </c>
      <c r="M1481" s="3">
        <f>parking_demand_data_2024_ver0!L1481</f>
        <v>0</v>
      </c>
      <c r="N1481" s="3">
        <f>parking_demand_data_2024_ver0!M1481</f>
        <v>10</v>
      </c>
      <c r="O1481" s="3">
        <f>parking_demand_data_2024_ver0!N1481</f>
        <v>0</v>
      </c>
      <c r="P1481" s="3">
        <f>parking_demand_data_2024_ver0!O1481</f>
        <v>0</v>
      </c>
      <c r="Q1481" s="3">
        <f>parking_demand_data_2024_ver0!P1481</f>
        <v>10</v>
      </c>
      <c r="R1481" s="3">
        <f>parking_demand_data_2024_ver0!Q1481</f>
        <v>0</v>
      </c>
      <c r="S1481" s="3">
        <f>parking_demand_data_2024_ver0!R1481</f>
        <v>0</v>
      </c>
      <c r="T1481" s="3">
        <f>parking_demand_data_2024_ver0!S1481</f>
        <v>0</v>
      </c>
    </row>
    <row r="1482" spans="1:20" x14ac:dyDescent="0.25">
      <c r="A1482">
        <v>18123</v>
      </c>
      <c r="B1482" t="s">
        <v>90</v>
      </c>
      <c r="C1482">
        <v>16</v>
      </c>
      <c r="D1482" s="3">
        <f>parking_demand_data_2024_ver0!D1482*calibration!$I$31</f>
        <v>2.5152459048451701</v>
      </c>
      <c r="E1482" s="3">
        <f>parking_demand_data_2024_ver0!E1482*calibration!$I$31</f>
        <v>0.41346508024852102</v>
      </c>
      <c r="F1482" s="3">
        <f t="shared" si="23"/>
        <v>2.9287109850936912</v>
      </c>
      <c r="G1482" s="3">
        <f>parking_demand_data_2024_ver0!F1482</f>
        <v>1</v>
      </c>
      <c r="H1482" s="3">
        <f>parking_demand_data_2024_ver0!G1482</f>
        <v>0</v>
      </c>
      <c r="I1482" s="3">
        <f>parking_demand_data_2024_ver0!H1482</f>
        <v>0</v>
      </c>
      <c r="J1482" s="3">
        <f>parking_demand_data_2024_ver0!I1482</f>
        <v>1</v>
      </c>
      <c r="K1482" s="3">
        <f>parking_demand_data_2024_ver0!J1482</f>
        <v>0</v>
      </c>
      <c r="L1482" s="3">
        <f>parking_demand_data_2024_ver0!K1482</f>
        <v>0</v>
      </c>
      <c r="M1482" s="3">
        <f>parking_demand_data_2024_ver0!L1482</f>
        <v>0</v>
      </c>
      <c r="N1482" s="3">
        <f>parking_demand_data_2024_ver0!M1482</f>
        <v>10</v>
      </c>
      <c r="O1482" s="3">
        <f>parking_demand_data_2024_ver0!N1482</f>
        <v>0</v>
      </c>
      <c r="P1482" s="3">
        <f>parking_demand_data_2024_ver0!O1482</f>
        <v>0</v>
      </c>
      <c r="Q1482" s="3">
        <f>parking_demand_data_2024_ver0!P1482</f>
        <v>10</v>
      </c>
      <c r="R1482" s="3">
        <f>parking_demand_data_2024_ver0!Q1482</f>
        <v>0</v>
      </c>
      <c r="S1482" s="3">
        <f>parking_demand_data_2024_ver0!R1482</f>
        <v>0</v>
      </c>
      <c r="T1482" s="3">
        <f>parking_demand_data_2024_ver0!S1482</f>
        <v>0</v>
      </c>
    </row>
    <row r="1483" spans="1:20" x14ac:dyDescent="0.25">
      <c r="A1483">
        <v>18123</v>
      </c>
      <c r="B1483" t="s">
        <v>90</v>
      </c>
      <c r="C1483">
        <v>17</v>
      </c>
      <c r="D1483" s="3">
        <f>parking_demand_data_2024_ver0!D1483*calibration!$I$31</f>
        <v>3.0320772551558202</v>
      </c>
      <c r="E1483" s="3">
        <f>parking_demand_data_2024_ver0!E1483*calibration!$I$31</f>
        <v>0.31009881018639002</v>
      </c>
      <c r="F1483" s="3">
        <f t="shared" si="23"/>
        <v>3.3421760653422101</v>
      </c>
      <c r="G1483" s="3">
        <f>parking_demand_data_2024_ver0!F1483</f>
        <v>1</v>
      </c>
      <c r="H1483" s="3">
        <f>parking_demand_data_2024_ver0!G1483</f>
        <v>0</v>
      </c>
      <c r="I1483" s="3">
        <f>parking_demand_data_2024_ver0!H1483</f>
        <v>0</v>
      </c>
      <c r="J1483" s="3">
        <f>parking_demand_data_2024_ver0!I1483</f>
        <v>1</v>
      </c>
      <c r="K1483" s="3">
        <f>parking_demand_data_2024_ver0!J1483</f>
        <v>0</v>
      </c>
      <c r="L1483" s="3">
        <f>parking_demand_data_2024_ver0!K1483</f>
        <v>0</v>
      </c>
      <c r="M1483" s="3">
        <f>parking_demand_data_2024_ver0!L1483</f>
        <v>0</v>
      </c>
      <c r="N1483" s="3">
        <f>parking_demand_data_2024_ver0!M1483</f>
        <v>10</v>
      </c>
      <c r="O1483" s="3">
        <f>parking_demand_data_2024_ver0!N1483</f>
        <v>0</v>
      </c>
      <c r="P1483" s="3">
        <f>parking_demand_data_2024_ver0!O1483</f>
        <v>0</v>
      </c>
      <c r="Q1483" s="3">
        <f>parking_demand_data_2024_ver0!P1483</f>
        <v>10</v>
      </c>
      <c r="R1483" s="3">
        <f>parking_demand_data_2024_ver0!Q1483</f>
        <v>0</v>
      </c>
      <c r="S1483" s="3">
        <f>parking_demand_data_2024_ver0!R1483</f>
        <v>0</v>
      </c>
      <c r="T1483" s="3">
        <f>parking_demand_data_2024_ver0!S1483</f>
        <v>0</v>
      </c>
    </row>
    <row r="1484" spans="1:20" x14ac:dyDescent="0.25">
      <c r="A1484">
        <v>18123</v>
      </c>
      <c r="B1484" t="s">
        <v>90</v>
      </c>
      <c r="C1484">
        <v>18</v>
      </c>
      <c r="D1484" s="3">
        <f>parking_demand_data_2024_ver0!D1484*calibration!$I$31</f>
        <v>3.2388097952800798</v>
      </c>
      <c r="E1484" s="3">
        <f>parking_demand_data_2024_ver0!E1484*calibration!$I$31</f>
        <v>0.31009881018639002</v>
      </c>
      <c r="F1484" s="3">
        <f t="shared" si="23"/>
        <v>3.5489086054664698</v>
      </c>
      <c r="G1484" s="3">
        <f>parking_demand_data_2024_ver0!F1484</f>
        <v>1</v>
      </c>
      <c r="H1484" s="3">
        <f>parking_demand_data_2024_ver0!G1484</f>
        <v>0</v>
      </c>
      <c r="I1484" s="3">
        <f>parking_demand_data_2024_ver0!H1484</f>
        <v>0</v>
      </c>
      <c r="J1484" s="3">
        <f>parking_demand_data_2024_ver0!I1484</f>
        <v>1</v>
      </c>
      <c r="K1484" s="3">
        <f>parking_demand_data_2024_ver0!J1484</f>
        <v>0</v>
      </c>
      <c r="L1484" s="3">
        <f>parking_demand_data_2024_ver0!K1484</f>
        <v>0</v>
      </c>
      <c r="M1484" s="3">
        <f>parking_demand_data_2024_ver0!L1484</f>
        <v>0</v>
      </c>
      <c r="N1484" s="3">
        <f>parking_demand_data_2024_ver0!M1484</f>
        <v>10</v>
      </c>
      <c r="O1484" s="3">
        <f>parking_demand_data_2024_ver0!N1484</f>
        <v>0</v>
      </c>
      <c r="P1484" s="3">
        <f>parking_demand_data_2024_ver0!O1484</f>
        <v>0</v>
      </c>
      <c r="Q1484" s="3">
        <f>parking_demand_data_2024_ver0!P1484</f>
        <v>10</v>
      </c>
      <c r="R1484" s="3">
        <f>parking_demand_data_2024_ver0!Q1484</f>
        <v>0</v>
      </c>
      <c r="S1484" s="3">
        <f>parking_demand_data_2024_ver0!R1484</f>
        <v>0</v>
      </c>
      <c r="T1484" s="3">
        <f>parking_demand_data_2024_ver0!S1484</f>
        <v>0</v>
      </c>
    </row>
    <row r="1485" spans="1:20" x14ac:dyDescent="0.25">
      <c r="A1485">
        <v>18123</v>
      </c>
      <c r="B1485" t="s">
        <v>90</v>
      </c>
      <c r="C1485">
        <v>19</v>
      </c>
      <c r="D1485" s="3">
        <f>parking_demand_data_2024_ver0!D1485*calibration!$I$31</f>
        <v>3.27326521863412</v>
      </c>
      <c r="E1485" s="3">
        <f>parking_demand_data_2024_ver0!E1485*calibration!$I$31</f>
        <v>0.65465304372682498</v>
      </c>
      <c r="F1485" s="3">
        <f t="shared" si="23"/>
        <v>3.927918262360945</v>
      </c>
      <c r="G1485" s="3">
        <f>parking_demand_data_2024_ver0!F1485</f>
        <v>1</v>
      </c>
      <c r="H1485" s="3">
        <f>parking_demand_data_2024_ver0!G1485</f>
        <v>0</v>
      </c>
      <c r="I1485" s="3">
        <f>parking_demand_data_2024_ver0!H1485</f>
        <v>0</v>
      </c>
      <c r="J1485" s="3">
        <f>parking_demand_data_2024_ver0!I1485</f>
        <v>1</v>
      </c>
      <c r="K1485" s="3">
        <f>parking_demand_data_2024_ver0!J1485</f>
        <v>0</v>
      </c>
      <c r="L1485" s="3">
        <f>parking_demand_data_2024_ver0!K1485</f>
        <v>0</v>
      </c>
      <c r="M1485" s="3">
        <f>parking_demand_data_2024_ver0!L1485</f>
        <v>0</v>
      </c>
      <c r="N1485" s="3">
        <f>parking_demand_data_2024_ver0!M1485</f>
        <v>10</v>
      </c>
      <c r="O1485" s="3">
        <f>parking_demand_data_2024_ver0!N1485</f>
        <v>0</v>
      </c>
      <c r="P1485" s="3">
        <f>parking_demand_data_2024_ver0!O1485</f>
        <v>0</v>
      </c>
      <c r="Q1485" s="3">
        <f>parking_demand_data_2024_ver0!P1485</f>
        <v>10</v>
      </c>
      <c r="R1485" s="3">
        <f>parking_demand_data_2024_ver0!Q1485</f>
        <v>0</v>
      </c>
      <c r="S1485" s="3">
        <f>parking_demand_data_2024_ver0!R1485</f>
        <v>0</v>
      </c>
      <c r="T1485" s="3">
        <f>parking_demand_data_2024_ver0!S1485</f>
        <v>0</v>
      </c>
    </row>
    <row r="1486" spans="1:20" x14ac:dyDescent="0.25">
      <c r="A1486">
        <v>18123</v>
      </c>
      <c r="B1486" t="s">
        <v>90</v>
      </c>
      <c r="C1486">
        <v>20</v>
      </c>
      <c r="D1486" s="3">
        <f>parking_demand_data_2024_ver0!D1486*calibration!$I$31</f>
        <v>3.3421760653422101</v>
      </c>
      <c r="E1486" s="3">
        <f>parking_demand_data_2024_ver0!E1486*calibration!$I$31</f>
        <v>0.58574219701873798</v>
      </c>
      <c r="F1486" s="3">
        <f t="shared" si="23"/>
        <v>3.9279182623609481</v>
      </c>
      <c r="G1486" s="3">
        <f>parking_demand_data_2024_ver0!F1486</f>
        <v>1</v>
      </c>
      <c r="H1486" s="3">
        <f>parking_demand_data_2024_ver0!G1486</f>
        <v>0</v>
      </c>
      <c r="I1486" s="3">
        <f>parking_demand_data_2024_ver0!H1486</f>
        <v>0</v>
      </c>
      <c r="J1486" s="3">
        <f>parking_demand_data_2024_ver0!I1486</f>
        <v>1</v>
      </c>
      <c r="K1486" s="3">
        <f>parking_demand_data_2024_ver0!J1486</f>
        <v>0</v>
      </c>
      <c r="L1486" s="3">
        <f>parking_demand_data_2024_ver0!K1486</f>
        <v>0</v>
      </c>
      <c r="M1486" s="3">
        <f>parking_demand_data_2024_ver0!L1486</f>
        <v>0</v>
      </c>
      <c r="N1486" s="3">
        <f>parking_demand_data_2024_ver0!M1486</f>
        <v>10</v>
      </c>
      <c r="O1486" s="3">
        <f>parking_demand_data_2024_ver0!N1486</f>
        <v>0</v>
      </c>
      <c r="P1486" s="3">
        <f>parking_demand_data_2024_ver0!O1486</f>
        <v>0</v>
      </c>
      <c r="Q1486" s="3">
        <f>parking_demand_data_2024_ver0!P1486</f>
        <v>10</v>
      </c>
      <c r="R1486" s="3">
        <f>parking_demand_data_2024_ver0!Q1486</f>
        <v>0</v>
      </c>
      <c r="S1486" s="3">
        <f>parking_demand_data_2024_ver0!R1486</f>
        <v>0</v>
      </c>
      <c r="T1486" s="3">
        <f>parking_demand_data_2024_ver0!S1486</f>
        <v>0</v>
      </c>
    </row>
    <row r="1487" spans="1:20" x14ac:dyDescent="0.25">
      <c r="A1487">
        <v>18123</v>
      </c>
      <c r="B1487" t="s">
        <v>90</v>
      </c>
      <c r="C1487">
        <v>21</v>
      </c>
      <c r="D1487" s="3">
        <f>parking_demand_data_2024_ver0!D1487*calibration!$I$31</f>
        <v>3.6867302988826398</v>
      </c>
      <c r="E1487" s="3">
        <f>parking_demand_data_2024_ver0!E1487*calibration!$I$31</f>
        <v>0.65465304372682498</v>
      </c>
      <c r="F1487" s="3">
        <f t="shared" si="23"/>
        <v>4.3413833426094648</v>
      </c>
      <c r="G1487" s="3">
        <f>parking_demand_data_2024_ver0!F1487</f>
        <v>1</v>
      </c>
      <c r="H1487" s="3">
        <f>parking_demand_data_2024_ver0!G1487</f>
        <v>0</v>
      </c>
      <c r="I1487" s="3">
        <f>parking_demand_data_2024_ver0!H1487</f>
        <v>0</v>
      </c>
      <c r="J1487" s="3">
        <f>parking_demand_data_2024_ver0!I1487</f>
        <v>1</v>
      </c>
      <c r="K1487" s="3">
        <f>parking_demand_data_2024_ver0!J1487</f>
        <v>0</v>
      </c>
      <c r="L1487" s="3">
        <f>parking_demand_data_2024_ver0!K1487</f>
        <v>0</v>
      </c>
      <c r="M1487" s="3">
        <f>parking_demand_data_2024_ver0!L1487</f>
        <v>0</v>
      </c>
      <c r="N1487" s="3">
        <f>parking_demand_data_2024_ver0!M1487</f>
        <v>10</v>
      </c>
      <c r="O1487" s="3">
        <f>parking_demand_data_2024_ver0!N1487</f>
        <v>0</v>
      </c>
      <c r="P1487" s="3">
        <f>parking_demand_data_2024_ver0!O1487</f>
        <v>0</v>
      </c>
      <c r="Q1487" s="3">
        <f>parking_demand_data_2024_ver0!P1487</f>
        <v>10</v>
      </c>
      <c r="R1487" s="3">
        <f>parking_demand_data_2024_ver0!Q1487</f>
        <v>0</v>
      </c>
      <c r="S1487" s="3">
        <f>parking_demand_data_2024_ver0!R1487</f>
        <v>0</v>
      </c>
      <c r="T1487" s="3">
        <f>parking_demand_data_2024_ver0!S1487</f>
        <v>0</v>
      </c>
    </row>
    <row r="1488" spans="1:20" x14ac:dyDescent="0.25">
      <c r="A1488">
        <v>18123</v>
      </c>
      <c r="B1488" t="s">
        <v>90</v>
      </c>
      <c r="C1488">
        <v>22</v>
      </c>
      <c r="D1488" s="3">
        <f>parking_demand_data_2024_ver0!D1488*calibration!$I$31</f>
        <v>3.8590074156528602</v>
      </c>
      <c r="E1488" s="3">
        <f>parking_demand_data_2024_ver0!E1488*calibration!$I$31</f>
        <v>1.0681181239753399</v>
      </c>
      <c r="F1488" s="3">
        <f t="shared" si="23"/>
        <v>4.9271255396282001</v>
      </c>
      <c r="G1488" s="3">
        <f>parking_demand_data_2024_ver0!F1488</f>
        <v>1</v>
      </c>
      <c r="H1488" s="3">
        <f>parking_demand_data_2024_ver0!G1488</f>
        <v>0</v>
      </c>
      <c r="I1488" s="3">
        <f>parking_demand_data_2024_ver0!H1488</f>
        <v>0</v>
      </c>
      <c r="J1488" s="3">
        <f>parking_demand_data_2024_ver0!I1488</f>
        <v>1</v>
      </c>
      <c r="K1488" s="3">
        <f>parking_demand_data_2024_ver0!J1488</f>
        <v>0</v>
      </c>
      <c r="L1488" s="3">
        <f>parking_demand_data_2024_ver0!K1488</f>
        <v>0</v>
      </c>
      <c r="M1488" s="3">
        <f>parking_demand_data_2024_ver0!L1488</f>
        <v>0</v>
      </c>
      <c r="N1488" s="3">
        <f>parking_demand_data_2024_ver0!M1488</f>
        <v>10</v>
      </c>
      <c r="O1488" s="3">
        <f>parking_demand_data_2024_ver0!N1488</f>
        <v>0</v>
      </c>
      <c r="P1488" s="3">
        <f>parking_demand_data_2024_ver0!O1488</f>
        <v>0</v>
      </c>
      <c r="Q1488" s="3">
        <f>parking_demand_data_2024_ver0!P1488</f>
        <v>10</v>
      </c>
      <c r="R1488" s="3">
        <f>parking_demand_data_2024_ver0!Q1488</f>
        <v>0</v>
      </c>
      <c r="S1488" s="3">
        <f>parking_demand_data_2024_ver0!R1488</f>
        <v>0</v>
      </c>
      <c r="T1488" s="3">
        <f>parking_demand_data_2024_ver0!S1488</f>
        <v>0</v>
      </c>
    </row>
    <row r="1489" spans="1:20" x14ac:dyDescent="0.25">
      <c r="A1489">
        <v>18123</v>
      </c>
      <c r="B1489" t="s">
        <v>90</v>
      </c>
      <c r="C1489">
        <v>23</v>
      </c>
      <c r="D1489" s="3">
        <f>parking_demand_data_2024_ver0!D1489*calibration!$I$31</f>
        <v>3.9968291090690302</v>
      </c>
      <c r="E1489" s="3">
        <f>parking_demand_data_2024_ver0!E1489*calibration!$I$31</f>
        <v>1.4815832042238599</v>
      </c>
      <c r="F1489" s="3">
        <f t="shared" si="23"/>
        <v>5.4784123132928899</v>
      </c>
      <c r="G1489" s="3">
        <f>parking_demand_data_2024_ver0!F1489</f>
        <v>1</v>
      </c>
      <c r="H1489" s="3">
        <f>parking_demand_data_2024_ver0!G1489</f>
        <v>0</v>
      </c>
      <c r="I1489" s="3">
        <f>parking_demand_data_2024_ver0!H1489</f>
        <v>0</v>
      </c>
      <c r="J1489" s="3">
        <f>parking_demand_data_2024_ver0!I1489</f>
        <v>1</v>
      </c>
      <c r="K1489" s="3">
        <f>parking_demand_data_2024_ver0!J1489</f>
        <v>0</v>
      </c>
      <c r="L1489" s="3">
        <f>parking_demand_data_2024_ver0!K1489</f>
        <v>0</v>
      </c>
      <c r="M1489" s="3">
        <f>parking_demand_data_2024_ver0!L1489</f>
        <v>0</v>
      </c>
      <c r="N1489" s="3">
        <f>parking_demand_data_2024_ver0!M1489</f>
        <v>10</v>
      </c>
      <c r="O1489" s="3">
        <f>parking_demand_data_2024_ver0!N1489</f>
        <v>0</v>
      </c>
      <c r="P1489" s="3">
        <f>parking_demand_data_2024_ver0!O1489</f>
        <v>0</v>
      </c>
      <c r="Q1489" s="3">
        <f>parking_demand_data_2024_ver0!P1489</f>
        <v>10</v>
      </c>
      <c r="R1489" s="3">
        <f>parking_demand_data_2024_ver0!Q1489</f>
        <v>0</v>
      </c>
      <c r="S1489" s="3">
        <f>parking_demand_data_2024_ver0!R1489</f>
        <v>0</v>
      </c>
      <c r="T1489" s="3">
        <f>parking_demand_data_2024_ver0!S1489</f>
        <v>0</v>
      </c>
    </row>
    <row r="1490" spans="1:20" x14ac:dyDescent="0.25">
      <c r="A1490">
        <v>18125</v>
      </c>
      <c r="B1490" t="s">
        <v>91</v>
      </c>
      <c r="C1490">
        <v>0</v>
      </c>
      <c r="D1490" s="3">
        <f>parking_demand_data_2024_ver0!D1490*calibration!$I$31</f>
        <v>0</v>
      </c>
      <c r="E1490" s="3">
        <f>parking_demand_data_2024_ver0!E1490*calibration!$I$31</f>
        <v>0.69286187886803297</v>
      </c>
      <c r="F1490" s="3">
        <f t="shared" si="23"/>
        <v>0.69286187886803297</v>
      </c>
      <c r="G1490" s="3">
        <f>parking_demand_data_2024_ver0!F1490</f>
        <v>0</v>
      </c>
      <c r="H1490" s="3">
        <f>parking_demand_data_2024_ver0!G1490</f>
        <v>0</v>
      </c>
      <c r="I1490" s="3">
        <f>parking_demand_data_2024_ver0!H1490</f>
        <v>0</v>
      </c>
      <c r="J1490" s="3">
        <f>parking_demand_data_2024_ver0!I1490</f>
        <v>0</v>
      </c>
      <c r="K1490" s="3">
        <f>parking_demand_data_2024_ver0!J1490</f>
        <v>0</v>
      </c>
      <c r="L1490" s="3">
        <f>parking_demand_data_2024_ver0!K1490</f>
        <v>0</v>
      </c>
      <c r="M1490" s="3">
        <f>parking_demand_data_2024_ver0!L1490</f>
        <v>0</v>
      </c>
      <c r="N1490" s="3">
        <f>parking_demand_data_2024_ver0!M1490</f>
        <v>0</v>
      </c>
      <c r="O1490" s="3">
        <f>parking_demand_data_2024_ver0!N1490</f>
        <v>0</v>
      </c>
      <c r="P1490" s="3">
        <f>parking_demand_data_2024_ver0!O1490</f>
        <v>0</v>
      </c>
      <c r="Q1490" s="3">
        <f>parking_demand_data_2024_ver0!P1490</f>
        <v>0</v>
      </c>
      <c r="R1490" s="3">
        <f>parking_demand_data_2024_ver0!Q1490</f>
        <v>0</v>
      </c>
      <c r="S1490" s="3">
        <f>parking_demand_data_2024_ver0!R1490</f>
        <v>0</v>
      </c>
      <c r="T1490" s="3">
        <f>parking_demand_data_2024_ver0!S1490</f>
        <v>0</v>
      </c>
    </row>
    <row r="1491" spans="1:20" x14ac:dyDescent="0.25">
      <c r="A1491">
        <v>18125</v>
      </c>
      <c r="B1491" t="s">
        <v>91</v>
      </c>
      <c r="C1491">
        <v>1</v>
      </c>
      <c r="D1491" s="3">
        <f>parking_demand_data_2024_ver0!D1491*calibration!$I$31</f>
        <v>0</v>
      </c>
      <c r="E1491" s="3">
        <f>parking_demand_data_2024_ver0!E1491*calibration!$I$31</f>
        <v>0.81513162219768598</v>
      </c>
      <c r="F1491" s="3">
        <f t="shared" si="23"/>
        <v>0.81513162219768598</v>
      </c>
      <c r="G1491" s="3">
        <f>parking_demand_data_2024_ver0!F1491</f>
        <v>0</v>
      </c>
      <c r="H1491" s="3">
        <f>parking_demand_data_2024_ver0!G1491</f>
        <v>0</v>
      </c>
      <c r="I1491" s="3">
        <f>parking_demand_data_2024_ver0!H1491</f>
        <v>0</v>
      </c>
      <c r="J1491" s="3">
        <f>parking_demand_data_2024_ver0!I1491</f>
        <v>0</v>
      </c>
      <c r="K1491" s="3">
        <f>parking_demand_data_2024_ver0!J1491</f>
        <v>0</v>
      </c>
      <c r="L1491" s="3">
        <f>parking_demand_data_2024_ver0!K1491</f>
        <v>0</v>
      </c>
      <c r="M1491" s="3">
        <f>parking_demand_data_2024_ver0!L1491</f>
        <v>0</v>
      </c>
      <c r="N1491" s="3">
        <f>parking_demand_data_2024_ver0!M1491</f>
        <v>0</v>
      </c>
      <c r="O1491" s="3">
        <f>parking_demand_data_2024_ver0!N1491</f>
        <v>0</v>
      </c>
      <c r="P1491" s="3">
        <f>parking_demand_data_2024_ver0!O1491</f>
        <v>0</v>
      </c>
      <c r="Q1491" s="3">
        <f>parking_demand_data_2024_ver0!P1491</f>
        <v>0</v>
      </c>
      <c r="R1491" s="3">
        <f>parking_demand_data_2024_ver0!Q1491</f>
        <v>0</v>
      </c>
      <c r="S1491" s="3">
        <f>parking_demand_data_2024_ver0!R1491</f>
        <v>0</v>
      </c>
      <c r="T1491" s="3">
        <f>parking_demand_data_2024_ver0!S1491</f>
        <v>0</v>
      </c>
    </row>
    <row r="1492" spans="1:20" x14ac:dyDescent="0.25">
      <c r="A1492">
        <v>18125</v>
      </c>
      <c r="B1492" t="s">
        <v>91</v>
      </c>
      <c r="C1492">
        <v>2</v>
      </c>
      <c r="D1492" s="3">
        <f>parking_demand_data_2024_ver0!D1492*calibration!$I$31</f>
        <v>0</v>
      </c>
      <c r="E1492" s="3">
        <f>parking_demand_data_2024_ver0!E1492*calibration!$I$31</f>
        <v>0.978157946637224</v>
      </c>
      <c r="F1492" s="3">
        <f t="shared" si="23"/>
        <v>0.978157946637224</v>
      </c>
      <c r="G1492" s="3">
        <f>parking_demand_data_2024_ver0!F1492</f>
        <v>0</v>
      </c>
      <c r="H1492" s="3">
        <f>parking_demand_data_2024_ver0!G1492</f>
        <v>0</v>
      </c>
      <c r="I1492" s="3">
        <f>parking_demand_data_2024_ver0!H1492</f>
        <v>0</v>
      </c>
      <c r="J1492" s="3">
        <f>parking_demand_data_2024_ver0!I1492</f>
        <v>0</v>
      </c>
      <c r="K1492" s="3">
        <f>parking_demand_data_2024_ver0!J1492</f>
        <v>0</v>
      </c>
      <c r="L1492" s="3">
        <f>parking_demand_data_2024_ver0!K1492</f>
        <v>0</v>
      </c>
      <c r="M1492" s="3">
        <f>parking_demand_data_2024_ver0!L1492</f>
        <v>0</v>
      </c>
      <c r="N1492" s="3">
        <f>parking_demand_data_2024_ver0!M1492</f>
        <v>0</v>
      </c>
      <c r="O1492" s="3">
        <f>parking_demand_data_2024_ver0!N1492</f>
        <v>0</v>
      </c>
      <c r="P1492" s="3">
        <f>parking_demand_data_2024_ver0!O1492</f>
        <v>0</v>
      </c>
      <c r="Q1492" s="3">
        <f>parking_demand_data_2024_ver0!P1492</f>
        <v>0</v>
      </c>
      <c r="R1492" s="3">
        <f>parking_demand_data_2024_ver0!Q1492</f>
        <v>0</v>
      </c>
      <c r="S1492" s="3">
        <f>parking_demand_data_2024_ver0!R1492</f>
        <v>0</v>
      </c>
      <c r="T1492" s="3">
        <f>parking_demand_data_2024_ver0!S1492</f>
        <v>0</v>
      </c>
    </row>
    <row r="1493" spans="1:20" x14ac:dyDescent="0.25">
      <c r="A1493">
        <v>18125</v>
      </c>
      <c r="B1493" t="s">
        <v>91</v>
      </c>
      <c r="C1493">
        <v>3</v>
      </c>
      <c r="D1493" s="3">
        <f>parking_demand_data_2024_ver0!D1493*calibration!$I$31</f>
        <v>0</v>
      </c>
      <c r="E1493" s="3">
        <f>parking_demand_data_2024_ver0!E1493*calibration!$I$31</f>
        <v>1.1004276899668699</v>
      </c>
      <c r="F1493" s="3">
        <f t="shared" si="23"/>
        <v>1.1004276899668699</v>
      </c>
      <c r="G1493" s="3">
        <f>parking_demand_data_2024_ver0!F1493</f>
        <v>0</v>
      </c>
      <c r="H1493" s="3">
        <f>parking_demand_data_2024_ver0!G1493</f>
        <v>0</v>
      </c>
      <c r="I1493" s="3">
        <f>parking_demand_data_2024_ver0!H1493</f>
        <v>0</v>
      </c>
      <c r="J1493" s="3">
        <f>parking_demand_data_2024_ver0!I1493</f>
        <v>0</v>
      </c>
      <c r="K1493" s="3">
        <f>parking_demand_data_2024_ver0!J1493</f>
        <v>0</v>
      </c>
      <c r="L1493" s="3">
        <f>parking_demand_data_2024_ver0!K1493</f>
        <v>0</v>
      </c>
      <c r="M1493" s="3">
        <f>parking_demand_data_2024_ver0!L1493</f>
        <v>0</v>
      </c>
      <c r="N1493" s="3">
        <f>parking_demand_data_2024_ver0!M1493</f>
        <v>0</v>
      </c>
      <c r="O1493" s="3">
        <f>parking_demand_data_2024_ver0!N1493</f>
        <v>0</v>
      </c>
      <c r="P1493" s="3">
        <f>parking_demand_data_2024_ver0!O1493</f>
        <v>0</v>
      </c>
      <c r="Q1493" s="3">
        <f>parking_demand_data_2024_ver0!P1493</f>
        <v>0</v>
      </c>
      <c r="R1493" s="3">
        <f>parking_demand_data_2024_ver0!Q1493</f>
        <v>0</v>
      </c>
      <c r="S1493" s="3">
        <f>parking_demand_data_2024_ver0!R1493</f>
        <v>0</v>
      </c>
      <c r="T1493" s="3">
        <f>parking_demand_data_2024_ver0!S1493</f>
        <v>0</v>
      </c>
    </row>
    <row r="1494" spans="1:20" x14ac:dyDescent="0.25">
      <c r="A1494">
        <v>18125</v>
      </c>
      <c r="B1494" t="s">
        <v>91</v>
      </c>
      <c r="C1494">
        <v>4</v>
      </c>
      <c r="D1494" s="3">
        <f>parking_demand_data_2024_ver0!D1494*calibration!$I$31</f>
        <v>0</v>
      </c>
      <c r="E1494" s="3">
        <f>parking_demand_data_2024_ver0!E1494*calibration!$I$31</f>
        <v>0.93740136552733899</v>
      </c>
      <c r="F1494" s="3">
        <f t="shared" si="23"/>
        <v>0.93740136552733899</v>
      </c>
      <c r="G1494" s="3">
        <f>parking_demand_data_2024_ver0!F1494</f>
        <v>0</v>
      </c>
      <c r="H1494" s="3">
        <f>parking_demand_data_2024_ver0!G1494</f>
        <v>0</v>
      </c>
      <c r="I1494" s="3">
        <f>parking_demand_data_2024_ver0!H1494</f>
        <v>0</v>
      </c>
      <c r="J1494" s="3">
        <f>parking_demand_data_2024_ver0!I1494</f>
        <v>0</v>
      </c>
      <c r="K1494" s="3">
        <f>parking_demand_data_2024_ver0!J1494</f>
        <v>0</v>
      </c>
      <c r="L1494" s="3">
        <f>parking_demand_data_2024_ver0!K1494</f>
        <v>0</v>
      </c>
      <c r="M1494" s="3">
        <f>parking_demand_data_2024_ver0!L1494</f>
        <v>0</v>
      </c>
      <c r="N1494" s="3">
        <f>parking_demand_data_2024_ver0!M1494</f>
        <v>0</v>
      </c>
      <c r="O1494" s="3">
        <f>parking_demand_data_2024_ver0!N1494</f>
        <v>0</v>
      </c>
      <c r="P1494" s="3">
        <f>parking_demand_data_2024_ver0!O1494</f>
        <v>0</v>
      </c>
      <c r="Q1494" s="3">
        <f>parking_demand_data_2024_ver0!P1494</f>
        <v>0</v>
      </c>
      <c r="R1494" s="3">
        <f>parking_demand_data_2024_ver0!Q1494</f>
        <v>0</v>
      </c>
      <c r="S1494" s="3">
        <f>parking_demand_data_2024_ver0!R1494</f>
        <v>0</v>
      </c>
      <c r="T1494" s="3">
        <f>parking_demand_data_2024_ver0!S1494</f>
        <v>0</v>
      </c>
    </row>
    <row r="1495" spans="1:20" x14ac:dyDescent="0.25">
      <c r="A1495">
        <v>18125</v>
      </c>
      <c r="B1495" t="s">
        <v>91</v>
      </c>
      <c r="C1495">
        <v>5</v>
      </c>
      <c r="D1495" s="3">
        <f>parking_demand_data_2024_ver0!D1495*calibration!$I$31</f>
        <v>0</v>
      </c>
      <c r="E1495" s="3">
        <f>parking_demand_data_2024_ver0!E1495*calibration!$I$31</f>
        <v>1.0189145277470999</v>
      </c>
      <c r="F1495" s="3">
        <f t="shared" si="23"/>
        <v>1.0189145277470999</v>
      </c>
      <c r="G1495" s="3">
        <f>parking_demand_data_2024_ver0!F1495</f>
        <v>0</v>
      </c>
      <c r="H1495" s="3">
        <f>parking_demand_data_2024_ver0!G1495</f>
        <v>0</v>
      </c>
      <c r="I1495" s="3">
        <f>parking_demand_data_2024_ver0!H1495</f>
        <v>0</v>
      </c>
      <c r="J1495" s="3">
        <f>parking_demand_data_2024_ver0!I1495</f>
        <v>0</v>
      </c>
      <c r="K1495" s="3">
        <f>parking_demand_data_2024_ver0!J1495</f>
        <v>0</v>
      </c>
      <c r="L1495" s="3">
        <f>parking_demand_data_2024_ver0!K1495</f>
        <v>0</v>
      </c>
      <c r="M1495" s="3">
        <f>parking_demand_data_2024_ver0!L1495</f>
        <v>0</v>
      </c>
      <c r="N1495" s="3">
        <f>parking_demand_data_2024_ver0!M1495</f>
        <v>0</v>
      </c>
      <c r="O1495" s="3">
        <f>parking_demand_data_2024_ver0!N1495</f>
        <v>0</v>
      </c>
      <c r="P1495" s="3">
        <f>parking_demand_data_2024_ver0!O1495</f>
        <v>0</v>
      </c>
      <c r="Q1495" s="3">
        <f>parking_demand_data_2024_ver0!P1495</f>
        <v>0</v>
      </c>
      <c r="R1495" s="3">
        <f>parking_demand_data_2024_ver0!Q1495</f>
        <v>0</v>
      </c>
      <c r="S1495" s="3">
        <f>parking_demand_data_2024_ver0!R1495</f>
        <v>0</v>
      </c>
      <c r="T1495" s="3">
        <f>parking_demand_data_2024_ver0!S1495</f>
        <v>0</v>
      </c>
    </row>
    <row r="1496" spans="1:20" x14ac:dyDescent="0.25">
      <c r="A1496">
        <v>18125</v>
      </c>
      <c r="B1496" t="s">
        <v>91</v>
      </c>
      <c r="C1496">
        <v>6</v>
      </c>
      <c r="D1496" s="3">
        <f>parking_demand_data_2024_ver0!D1496*calibration!$I$31</f>
        <v>0</v>
      </c>
      <c r="E1496" s="3">
        <f>parking_demand_data_2024_ver0!E1496*calibration!$I$31</f>
        <v>1.3449671766261799</v>
      </c>
      <c r="F1496" s="3">
        <f t="shared" si="23"/>
        <v>1.3449671766261799</v>
      </c>
      <c r="G1496" s="3">
        <f>parking_demand_data_2024_ver0!F1496</f>
        <v>0</v>
      </c>
      <c r="H1496" s="3">
        <f>parking_demand_data_2024_ver0!G1496</f>
        <v>0</v>
      </c>
      <c r="I1496" s="3">
        <f>parking_demand_data_2024_ver0!H1496</f>
        <v>0</v>
      </c>
      <c r="J1496" s="3">
        <f>parking_demand_data_2024_ver0!I1496</f>
        <v>0</v>
      </c>
      <c r="K1496" s="3">
        <f>parking_demand_data_2024_ver0!J1496</f>
        <v>0</v>
      </c>
      <c r="L1496" s="3">
        <f>parking_demand_data_2024_ver0!K1496</f>
        <v>0</v>
      </c>
      <c r="M1496" s="3">
        <f>parking_demand_data_2024_ver0!L1496</f>
        <v>0</v>
      </c>
      <c r="N1496" s="3">
        <f>parking_demand_data_2024_ver0!M1496</f>
        <v>0</v>
      </c>
      <c r="O1496" s="3">
        <f>parking_demand_data_2024_ver0!N1496</f>
        <v>0</v>
      </c>
      <c r="P1496" s="3">
        <f>parking_demand_data_2024_ver0!O1496</f>
        <v>0</v>
      </c>
      <c r="Q1496" s="3">
        <f>parking_demand_data_2024_ver0!P1496</f>
        <v>0</v>
      </c>
      <c r="R1496" s="3">
        <f>parking_demand_data_2024_ver0!Q1496</f>
        <v>0</v>
      </c>
      <c r="S1496" s="3">
        <f>parking_demand_data_2024_ver0!R1496</f>
        <v>0</v>
      </c>
      <c r="T1496" s="3">
        <f>parking_demand_data_2024_ver0!S1496</f>
        <v>0</v>
      </c>
    </row>
    <row r="1497" spans="1:20" x14ac:dyDescent="0.25">
      <c r="A1497">
        <v>18125</v>
      </c>
      <c r="B1497" t="s">
        <v>91</v>
      </c>
      <c r="C1497">
        <v>7</v>
      </c>
      <c r="D1497" s="3">
        <f>parking_demand_data_2024_ver0!D1497*calibration!$I$31</f>
        <v>0</v>
      </c>
      <c r="E1497" s="3">
        <f>parking_demand_data_2024_ver0!E1497*calibration!$I$31</f>
        <v>2.5269080288128198</v>
      </c>
      <c r="F1497" s="3">
        <f t="shared" si="23"/>
        <v>2.5269080288128198</v>
      </c>
      <c r="G1497" s="3">
        <f>parking_demand_data_2024_ver0!F1497</f>
        <v>0</v>
      </c>
      <c r="H1497" s="3">
        <f>parking_demand_data_2024_ver0!G1497</f>
        <v>0</v>
      </c>
      <c r="I1497" s="3">
        <f>parking_demand_data_2024_ver0!H1497</f>
        <v>0</v>
      </c>
      <c r="J1497" s="3">
        <f>parking_demand_data_2024_ver0!I1497</f>
        <v>0</v>
      </c>
      <c r="K1497" s="3">
        <f>parking_demand_data_2024_ver0!J1497</f>
        <v>0</v>
      </c>
      <c r="L1497" s="3">
        <f>parking_demand_data_2024_ver0!K1497</f>
        <v>0</v>
      </c>
      <c r="M1497" s="3">
        <f>parking_demand_data_2024_ver0!L1497</f>
        <v>0</v>
      </c>
      <c r="N1497" s="3">
        <f>parking_demand_data_2024_ver0!M1497</f>
        <v>0</v>
      </c>
      <c r="O1497" s="3">
        <f>parking_demand_data_2024_ver0!N1497</f>
        <v>0</v>
      </c>
      <c r="P1497" s="3">
        <f>parking_demand_data_2024_ver0!O1497</f>
        <v>0</v>
      </c>
      <c r="Q1497" s="3">
        <f>parking_demand_data_2024_ver0!P1497</f>
        <v>0</v>
      </c>
      <c r="R1497" s="3">
        <f>parking_demand_data_2024_ver0!Q1497</f>
        <v>0</v>
      </c>
      <c r="S1497" s="3">
        <f>parking_demand_data_2024_ver0!R1497</f>
        <v>0</v>
      </c>
      <c r="T1497" s="3">
        <f>parking_demand_data_2024_ver0!S1497</f>
        <v>0</v>
      </c>
    </row>
    <row r="1498" spans="1:20" x14ac:dyDescent="0.25">
      <c r="A1498">
        <v>18125</v>
      </c>
      <c r="B1498" t="s">
        <v>91</v>
      </c>
      <c r="C1498">
        <v>8</v>
      </c>
      <c r="D1498" s="3">
        <f>parking_demand_data_2024_ver0!D1498*calibration!$I$31</f>
        <v>0</v>
      </c>
      <c r="E1498" s="3">
        <f>parking_demand_data_2024_ver0!E1498*calibration!$I$31</f>
        <v>2.2823685421535198</v>
      </c>
      <c r="F1498" s="3">
        <f t="shared" si="23"/>
        <v>2.2823685421535198</v>
      </c>
      <c r="G1498" s="3">
        <f>parking_demand_data_2024_ver0!F1498</f>
        <v>0</v>
      </c>
      <c r="H1498" s="3">
        <f>parking_demand_data_2024_ver0!G1498</f>
        <v>0</v>
      </c>
      <c r="I1498" s="3">
        <f>parking_demand_data_2024_ver0!H1498</f>
        <v>0</v>
      </c>
      <c r="J1498" s="3">
        <f>parking_demand_data_2024_ver0!I1498</f>
        <v>0</v>
      </c>
      <c r="K1498" s="3">
        <f>parking_demand_data_2024_ver0!J1498</f>
        <v>0</v>
      </c>
      <c r="L1498" s="3">
        <f>parking_demand_data_2024_ver0!K1498</f>
        <v>0</v>
      </c>
      <c r="M1498" s="3">
        <f>parking_demand_data_2024_ver0!L1498</f>
        <v>0</v>
      </c>
      <c r="N1498" s="3">
        <f>parking_demand_data_2024_ver0!M1498</f>
        <v>0</v>
      </c>
      <c r="O1498" s="3">
        <f>parking_demand_data_2024_ver0!N1498</f>
        <v>0</v>
      </c>
      <c r="P1498" s="3">
        <f>parking_demand_data_2024_ver0!O1498</f>
        <v>0</v>
      </c>
      <c r="Q1498" s="3">
        <f>parking_demand_data_2024_ver0!P1498</f>
        <v>0</v>
      </c>
      <c r="R1498" s="3">
        <f>parking_demand_data_2024_ver0!Q1498</f>
        <v>0</v>
      </c>
      <c r="S1498" s="3">
        <f>parking_demand_data_2024_ver0!R1498</f>
        <v>0</v>
      </c>
      <c r="T1498" s="3">
        <f>parking_demand_data_2024_ver0!S1498</f>
        <v>0</v>
      </c>
    </row>
    <row r="1499" spans="1:20" x14ac:dyDescent="0.25">
      <c r="A1499">
        <v>18125</v>
      </c>
      <c r="B1499" t="s">
        <v>91</v>
      </c>
      <c r="C1499">
        <v>9</v>
      </c>
      <c r="D1499" s="3">
        <f>parking_demand_data_2024_ver0!D1499*calibration!$I$31</f>
        <v>0</v>
      </c>
      <c r="E1499" s="3">
        <f>parking_demand_data_2024_ver0!E1499*calibration!$I$31</f>
        <v>1.75253298772502</v>
      </c>
      <c r="F1499" s="3">
        <f t="shared" si="23"/>
        <v>1.75253298772502</v>
      </c>
      <c r="G1499" s="3">
        <f>parking_demand_data_2024_ver0!F1499</f>
        <v>0</v>
      </c>
      <c r="H1499" s="3">
        <f>parking_demand_data_2024_ver0!G1499</f>
        <v>0</v>
      </c>
      <c r="I1499" s="3">
        <f>parking_demand_data_2024_ver0!H1499</f>
        <v>0</v>
      </c>
      <c r="J1499" s="3">
        <f>parking_demand_data_2024_ver0!I1499</f>
        <v>0</v>
      </c>
      <c r="K1499" s="3">
        <f>parking_demand_data_2024_ver0!J1499</f>
        <v>0</v>
      </c>
      <c r="L1499" s="3">
        <f>parking_demand_data_2024_ver0!K1499</f>
        <v>0</v>
      </c>
      <c r="M1499" s="3">
        <f>parking_demand_data_2024_ver0!L1499</f>
        <v>0</v>
      </c>
      <c r="N1499" s="3">
        <f>parking_demand_data_2024_ver0!M1499</f>
        <v>0</v>
      </c>
      <c r="O1499" s="3">
        <f>parking_demand_data_2024_ver0!N1499</f>
        <v>0</v>
      </c>
      <c r="P1499" s="3">
        <f>parking_demand_data_2024_ver0!O1499</f>
        <v>0</v>
      </c>
      <c r="Q1499" s="3">
        <f>parking_demand_data_2024_ver0!P1499</f>
        <v>0</v>
      </c>
      <c r="R1499" s="3">
        <f>parking_demand_data_2024_ver0!Q1499</f>
        <v>0</v>
      </c>
      <c r="S1499" s="3">
        <f>parking_demand_data_2024_ver0!R1499</f>
        <v>0</v>
      </c>
      <c r="T1499" s="3">
        <f>parking_demand_data_2024_ver0!S1499</f>
        <v>0</v>
      </c>
    </row>
    <row r="1500" spans="1:20" x14ac:dyDescent="0.25">
      <c r="A1500">
        <v>18125</v>
      </c>
      <c r="B1500" t="s">
        <v>91</v>
      </c>
      <c r="C1500">
        <v>10</v>
      </c>
      <c r="D1500" s="3">
        <f>parking_demand_data_2024_ver0!D1500*calibration!$I$31</f>
        <v>0</v>
      </c>
      <c r="E1500" s="3">
        <f>parking_demand_data_2024_ver0!E1500*calibration!$I$31</f>
        <v>1.1411842710767599</v>
      </c>
      <c r="F1500" s="3">
        <f t="shared" si="23"/>
        <v>1.1411842710767599</v>
      </c>
      <c r="G1500" s="3">
        <f>parking_demand_data_2024_ver0!F1500</f>
        <v>0</v>
      </c>
      <c r="H1500" s="3">
        <f>parking_demand_data_2024_ver0!G1500</f>
        <v>0</v>
      </c>
      <c r="I1500" s="3">
        <f>parking_demand_data_2024_ver0!H1500</f>
        <v>0</v>
      </c>
      <c r="J1500" s="3">
        <f>parking_demand_data_2024_ver0!I1500</f>
        <v>0</v>
      </c>
      <c r="K1500" s="3">
        <f>parking_demand_data_2024_ver0!J1500</f>
        <v>0</v>
      </c>
      <c r="L1500" s="3">
        <f>parking_demand_data_2024_ver0!K1500</f>
        <v>0</v>
      </c>
      <c r="M1500" s="3">
        <f>parking_demand_data_2024_ver0!L1500</f>
        <v>0</v>
      </c>
      <c r="N1500" s="3">
        <f>parking_demand_data_2024_ver0!M1500</f>
        <v>0</v>
      </c>
      <c r="O1500" s="3">
        <f>parking_demand_data_2024_ver0!N1500</f>
        <v>0</v>
      </c>
      <c r="P1500" s="3">
        <f>parking_demand_data_2024_ver0!O1500</f>
        <v>0</v>
      </c>
      <c r="Q1500" s="3">
        <f>parking_demand_data_2024_ver0!P1500</f>
        <v>0</v>
      </c>
      <c r="R1500" s="3">
        <f>parking_demand_data_2024_ver0!Q1500</f>
        <v>0</v>
      </c>
      <c r="S1500" s="3">
        <f>parking_demand_data_2024_ver0!R1500</f>
        <v>0</v>
      </c>
      <c r="T1500" s="3">
        <f>parking_demand_data_2024_ver0!S1500</f>
        <v>0</v>
      </c>
    </row>
    <row r="1501" spans="1:20" x14ac:dyDescent="0.25">
      <c r="A1501">
        <v>18125</v>
      </c>
      <c r="B1501" t="s">
        <v>91</v>
      </c>
      <c r="C1501">
        <v>11</v>
      </c>
      <c r="D1501" s="3">
        <f>parking_demand_data_2024_ver0!D1501*calibration!$I$31</f>
        <v>0</v>
      </c>
      <c r="E1501" s="3">
        <f>parking_demand_data_2024_ver0!E1501*calibration!$I$31</f>
        <v>0.85588820330757098</v>
      </c>
      <c r="F1501" s="3">
        <f t="shared" si="23"/>
        <v>0.85588820330757098</v>
      </c>
      <c r="G1501" s="3">
        <f>parking_demand_data_2024_ver0!F1501</f>
        <v>0</v>
      </c>
      <c r="H1501" s="3">
        <f>parking_demand_data_2024_ver0!G1501</f>
        <v>0</v>
      </c>
      <c r="I1501" s="3">
        <f>parking_demand_data_2024_ver0!H1501</f>
        <v>0</v>
      </c>
      <c r="J1501" s="3">
        <f>parking_demand_data_2024_ver0!I1501</f>
        <v>0</v>
      </c>
      <c r="K1501" s="3">
        <f>parking_demand_data_2024_ver0!J1501</f>
        <v>0</v>
      </c>
      <c r="L1501" s="3">
        <f>parking_demand_data_2024_ver0!K1501</f>
        <v>0</v>
      </c>
      <c r="M1501" s="3">
        <f>parking_demand_data_2024_ver0!L1501</f>
        <v>0</v>
      </c>
      <c r="N1501" s="3">
        <f>parking_demand_data_2024_ver0!M1501</f>
        <v>0</v>
      </c>
      <c r="O1501" s="3">
        <f>parking_demand_data_2024_ver0!N1501</f>
        <v>0</v>
      </c>
      <c r="P1501" s="3">
        <f>parking_demand_data_2024_ver0!O1501</f>
        <v>0</v>
      </c>
      <c r="Q1501" s="3">
        <f>parking_demand_data_2024_ver0!P1501</f>
        <v>0</v>
      </c>
      <c r="R1501" s="3">
        <f>parking_demand_data_2024_ver0!Q1501</f>
        <v>0</v>
      </c>
      <c r="S1501" s="3">
        <f>parking_demand_data_2024_ver0!R1501</f>
        <v>0</v>
      </c>
      <c r="T1501" s="3">
        <f>parking_demand_data_2024_ver0!S1501</f>
        <v>0</v>
      </c>
    </row>
    <row r="1502" spans="1:20" x14ac:dyDescent="0.25">
      <c r="A1502">
        <v>18125</v>
      </c>
      <c r="B1502" t="s">
        <v>91</v>
      </c>
      <c r="C1502">
        <v>12</v>
      </c>
      <c r="D1502" s="3">
        <f>parking_demand_data_2024_ver0!D1502*calibration!$I$31</f>
        <v>0</v>
      </c>
      <c r="E1502" s="3">
        <f>parking_demand_data_2024_ver0!E1502*calibration!$I$31</f>
        <v>0.978157946637224</v>
      </c>
      <c r="F1502" s="3">
        <f t="shared" si="23"/>
        <v>0.978157946637224</v>
      </c>
      <c r="G1502" s="3">
        <f>parking_demand_data_2024_ver0!F1502</f>
        <v>0</v>
      </c>
      <c r="H1502" s="3">
        <f>parking_demand_data_2024_ver0!G1502</f>
        <v>0</v>
      </c>
      <c r="I1502" s="3">
        <f>parking_demand_data_2024_ver0!H1502</f>
        <v>0</v>
      </c>
      <c r="J1502" s="3">
        <f>parking_demand_data_2024_ver0!I1502</f>
        <v>0</v>
      </c>
      <c r="K1502" s="3">
        <f>parking_demand_data_2024_ver0!J1502</f>
        <v>0</v>
      </c>
      <c r="L1502" s="3">
        <f>parking_demand_data_2024_ver0!K1502</f>
        <v>0</v>
      </c>
      <c r="M1502" s="3">
        <f>parking_demand_data_2024_ver0!L1502</f>
        <v>0</v>
      </c>
      <c r="N1502" s="3">
        <f>parking_demand_data_2024_ver0!M1502</f>
        <v>0</v>
      </c>
      <c r="O1502" s="3">
        <f>parking_demand_data_2024_ver0!N1502</f>
        <v>0</v>
      </c>
      <c r="P1502" s="3">
        <f>parking_demand_data_2024_ver0!O1502</f>
        <v>0</v>
      </c>
      <c r="Q1502" s="3">
        <f>parking_demand_data_2024_ver0!P1502</f>
        <v>0</v>
      </c>
      <c r="R1502" s="3">
        <f>parking_demand_data_2024_ver0!Q1502</f>
        <v>0</v>
      </c>
      <c r="S1502" s="3">
        <f>parking_demand_data_2024_ver0!R1502</f>
        <v>0</v>
      </c>
      <c r="T1502" s="3">
        <f>parking_demand_data_2024_ver0!S1502</f>
        <v>0</v>
      </c>
    </row>
    <row r="1503" spans="1:20" x14ac:dyDescent="0.25">
      <c r="A1503">
        <v>18125</v>
      </c>
      <c r="B1503" t="s">
        <v>91</v>
      </c>
      <c r="C1503">
        <v>13</v>
      </c>
      <c r="D1503" s="3">
        <f>parking_demand_data_2024_ver0!D1503*calibration!$I$31</f>
        <v>0</v>
      </c>
      <c r="E1503" s="3">
        <f>parking_demand_data_2024_ver0!E1503*calibration!$I$31</f>
        <v>0.77437504108780197</v>
      </c>
      <c r="F1503" s="3">
        <f t="shared" si="23"/>
        <v>0.77437504108780197</v>
      </c>
      <c r="G1503" s="3">
        <f>parking_demand_data_2024_ver0!F1503</f>
        <v>0</v>
      </c>
      <c r="H1503" s="3">
        <f>parking_demand_data_2024_ver0!G1503</f>
        <v>0</v>
      </c>
      <c r="I1503" s="3">
        <f>parking_demand_data_2024_ver0!H1503</f>
        <v>0</v>
      </c>
      <c r="J1503" s="3">
        <f>parking_demand_data_2024_ver0!I1503</f>
        <v>0</v>
      </c>
      <c r="K1503" s="3">
        <f>parking_demand_data_2024_ver0!J1503</f>
        <v>0</v>
      </c>
      <c r="L1503" s="3">
        <f>parking_demand_data_2024_ver0!K1503</f>
        <v>0</v>
      </c>
      <c r="M1503" s="3">
        <f>parking_demand_data_2024_ver0!L1503</f>
        <v>0</v>
      </c>
      <c r="N1503" s="3">
        <f>parking_demand_data_2024_ver0!M1503</f>
        <v>0</v>
      </c>
      <c r="O1503" s="3">
        <f>parking_demand_data_2024_ver0!N1503</f>
        <v>0</v>
      </c>
      <c r="P1503" s="3">
        <f>parking_demand_data_2024_ver0!O1503</f>
        <v>0</v>
      </c>
      <c r="Q1503" s="3">
        <f>parking_demand_data_2024_ver0!P1503</f>
        <v>0</v>
      </c>
      <c r="R1503" s="3">
        <f>parking_demand_data_2024_ver0!Q1503</f>
        <v>0</v>
      </c>
      <c r="S1503" s="3">
        <f>parking_demand_data_2024_ver0!R1503</f>
        <v>0</v>
      </c>
      <c r="T1503" s="3">
        <f>parking_demand_data_2024_ver0!S1503</f>
        <v>0</v>
      </c>
    </row>
    <row r="1504" spans="1:20" x14ac:dyDescent="0.25">
      <c r="A1504">
        <v>18125</v>
      </c>
      <c r="B1504" t="s">
        <v>91</v>
      </c>
      <c r="C1504">
        <v>14</v>
      </c>
      <c r="D1504" s="3">
        <f>parking_demand_data_2024_ver0!D1504*calibration!$I$31</f>
        <v>0</v>
      </c>
      <c r="E1504" s="3">
        <f>parking_demand_data_2024_ver0!E1504*calibration!$I$31</f>
        <v>0.73361845997791797</v>
      </c>
      <c r="F1504" s="3">
        <f t="shared" si="23"/>
        <v>0.73361845997791797</v>
      </c>
      <c r="G1504" s="3">
        <f>parking_demand_data_2024_ver0!F1504</f>
        <v>0</v>
      </c>
      <c r="H1504" s="3">
        <f>parking_demand_data_2024_ver0!G1504</f>
        <v>0</v>
      </c>
      <c r="I1504" s="3">
        <f>parking_demand_data_2024_ver0!H1504</f>
        <v>0</v>
      </c>
      <c r="J1504" s="3">
        <f>parking_demand_data_2024_ver0!I1504</f>
        <v>0</v>
      </c>
      <c r="K1504" s="3">
        <f>parking_demand_data_2024_ver0!J1504</f>
        <v>0</v>
      </c>
      <c r="L1504" s="3">
        <f>parking_demand_data_2024_ver0!K1504</f>
        <v>0</v>
      </c>
      <c r="M1504" s="3">
        <f>parking_demand_data_2024_ver0!L1504</f>
        <v>0</v>
      </c>
      <c r="N1504" s="3">
        <f>parking_demand_data_2024_ver0!M1504</f>
        <v>0</v>
      </c>
      <c r="O1504" s="3">
        <f>parking_demand_data_2024_ver0!N1504</f>
        <v>0</v>
      </c>
      <c r="P1504" s="3">
        <f>parking_demand_data_2024_ver0!O1504</f>
        <v>0</v>
      </c>
      <c r="Q1504" s="3">
        <f>parking_demand_data_2024_ver0!P1504</f>
        <v>0</v>
      </c>
      <c r="R1504" s="3">
        <f>parking_demand_data_2024_ver0!Q1504</f>
        <v>0</v>
      </c>
      <c r="S1504" s="3">
        <f>parking_demand_data_2024_ver0!R1504</f>
        <v>0</v>
      </c>
      <c r="T1504" s="3">
        <f>parking_demand_data_2024_ver0!S1504</f>
        <v>0</v>
      </c>
    </row>
    <row r="1505" spans="1:20" x14ac:dyDescent="0.25">
      <c r="A1505">
        <v>18125</v>
      </c>
      <c r="B1505" t="s">
        <v>91</v>
      </c>
      <c r="C1505">
        <v>15</v>
      </c>
      <c r="D1505" s="3">
        <f>parking_demand_data_2024_ver0!D1505*calibration!$I$31</f>
        <v>0</v>
      </c>
      <c r="E1505" s="3">
        <f>parking_demand_data_2024_ver0!E1505*calibration!$I$31</f>
        <v>0.81513162219768598</v>
      </c>
      <c r="F1505" s="3">
        <f t="shared" si="23"/>
        <v>0.81513162219768598</v>
      </c>
      <c r="G1505" s="3">
        <f>parking_demand_data_2024_ver0!F1505</f>
        <v>0</v>
      </c>
      <c r="H1505" s="3">
        <f>parking_demand_data_2024_ver0!G1505</f>
        <v>0</v>
      </c>
      <c r="I1505" s="3">
        <f>parking_demand_data_2024_ver0!H1505</f>
        <v>0</v>
      </c>
      <c r="J1505" s="3">
        <f>parking_demand_data_2024_ver0!I1505</f>
        <v>0</v>
      </c>
      <c r="K1505" s="3">
        <f>parking_demand_data_2024_ver0!J1505</f>
        <v>0</v>
      </c>
      <c r="L1505" s="3">
        <f>parking_demand_data_2024_ver0!K1505</f>
        <v>0</v>
      </c>
      <c r="M1505" s="3">
        <f>parking_demand_data_2024_ver0!L1505</f>
        <v>0</v>
      </c>
      <c r="N1505" s="3">
        <f>parking_demand_data_2024_ver0!M1505</f>
        <v>0</v>
      </c>
      <c r="O1505" s="3">
        <f>parking_demand_data_2024_ver0!N1505</f>
        <v>0</v>
      </c>
      <c r="P1505" s="3">
        <f>parking_demand_data_2024_ver0!O1505</f>
        <v>0</v>
      </c>
      <c r="Q1505" s="3">
        <f>parking_demand_data_2024_ver0!P1505</f>
        <v>0</v>
      </c>
      <c r="R1505" s="3">
        <f>parking_demand_data_2024_ver0!Q1505</f>
        <v>0</v>
      </c>
      <c r="S1505" s="3">
        <f>parking_demand_data_2024_ver0!R1505</f>
        <v>0</v>
      </c>
      <c r="T1505" s="3">
        <f>parking_demand_data_2024_ver0!S1505</f>
        <v>0</v>
      </c>
    </row>
    <row r="1506" spans="1:20" x14ac:dyDescent="0.25">
      <c r="A1506">
        <v>18125</v>
      </c>
      <c r="B1506" t="s">
        <v>91</v>
      </c>
      <c r="C1506">
        <v>16</v>
      </c>
      <c r="D1506" s="3">
        <f>parking_demand_data_2024_ver0!D1506*calibration!$I$31</f>
        <v>0</v>
      </c>
      <c r="E1506" s="3">
        <f>parking_demand_data_2024_ver0!E1506*calibration!$I$31</f>
        <v>0.489078973318612</v>
      </c>
      <c r="F1506" s="3">
        <f t="shared" si="23"/>
        <v>0.489078973318612</v>
      </c>
      <c r="G1506" s="3">
        <f>parking_demand_data_2024_ver0!F1506</f>
        <v>0</v>
      </c>
      <c r="H1506" s="3">
        <f>parking_demand_data_2024_ver0!G1506</f>
        <v>0</v>
      </c>
      <c r="I1506" s="3">
        <f>parking_demand_data_2024_ver0!H1506</f>
        <v>0</v>
      </c>
      <c r="J1506" s="3">
        <f>parking_demand_data_2024_ver0!I1506</f>
        <v>0</v>
      </c>
      <c r="K1506" s="3">
        <f>parking_demand_data_2024_ver0!J1506</f>
        <v>0</v>
      </c>
      <c r="L1506" s="3">
        <f>parking_demand_data_2024_ver0!K1506</f>
        <v>0</v>
      </c>
      <c r="M1506" s="3">
        <f>parking_demand_data_2024_ver0!L1506</f>
        <v>0</v>
      </c>
      <c r="N1506" s="3">
        <f>parking_demand_data_2024_ver0!M1506</f>
        <v>0</v>
      </c>
      <c r="O1506" s="3">
        <f>parking_demand_data_2024_ver0!N1506</f>
        <v>0</v>
      </c>
      <c r="P1506" s="3">
        <f>parking_demand_data_2024_ver0!O1506</f>
        <v>0</v>
      </c>
      <c r="Q1506" s="3">
        <f>parking_demand_data_2024_ver0!P1506</f>
        <v>0</v>
      </c>
      <c r="R1506" s="3">
        <f>parking_demand_data_2024_ver0!Q1506</f>
        <v>0</v>
      </c>
      <c r="S1506" s="3">
        <f>parking_demand_data_2024_ver0!R1506</f>
        <v>0</v>
      </c>
      <c r="T1506" s="3">
        <f>parking_demand_data_2024_ver0!S1506</f>
        <v>0</v>
      </c>
    </row>
    <row r="1507" spans="1:20" x14ac:dyDescent="0.25">
      <c r="A1507">
        <v>18125</v>
      </c>
      <c r="B1507" t="s">
        <v>91</v>
      </c>
      <c r="C1507">
        <v>17</v>
      </c>
      <c r="D1507" s="3">
        <f>parking_demand_data_2024_ver0!D1507*calibration!$I$31</f>
        <v>0</v>
      </c>
      <c r="E1507" s="3">
        <f>parking_demand_data_2024_ver0!E1507*calibration!$I$31</f>
        <v>0.36680922998895898</v>
      </c>
      <c r="F1507" s="3">
        <f t="shared" si="23"/>
        <v>0.36680922998895898</v>
      </c>
      <c r="G1507" s="3">
        <f>parking_demand_data_2024_ver0!F1507</f>
        <v>0</v>
      </c>
      <c r="H1507" s="3">
        <f>parking_demand_data_2024_ver0!G1507</f>
        <v>0</v>
      </c>
      <c r="I1507" s="3">
        <f>parking_demand_data_2024_ver0!H1507</f>
        <v>0</v>
      </c>
      <c r="J1507" s="3">
        <f>parking_demand_data_2024_ver0!I1507</f>
        <v>0</v>
      </c>
      <c r="K1507" s="3">
        <f>parking_demand_data_2024_ver0!J1507</f>
        <v>0</v>
      </c>
      <c r="L1507" s="3">
        <f>parking_demand_data_2024_ver0!K1507</f>
        <v>0</v>
      </c>
      <c r="M1507" s="3">
        <f>parking_demand_data_2024_ver0!L1507</f>
        <v>0</v>
      </c>
      <c r="N1507" s="3">
        <f>parking_demand_data_2024_ver0!M1507</f>
        <v>0</v>
      </c>
      <c r="O1507" s="3">
        <f>parking_demand_data_2024_ver0!N1507</f>
        <v>0</v>
      </c>
      <c r="P1507" s="3">
        <f>parking_demand_data_2024_ver0!O1507</f>
        <v>0</v>
      </c>
      <c r="Q1507" s="3">
        <f>parking_demand_data_2024_ver0!P1507</f>
        <v>0</v>
      </c>
      <c r="R1507" s="3">
        <f>parking_demand_data_2024_ver0!Q1507</f>
        <v>0</v>
      </c>
      <c r="S1507" s="3">
        <f>parking_demand_data_2024_ver0!R1507</f>
        <v>0</v>
      </c>
      <c r="T1507" s="3">
        <f>parking_demand_data_2024_ver0!S1507</f>
        <v>0</v>
      </c>
    </row>
    <row r="1508" spans="1:20" x14ac:dyDescent="0.25">
      <c r="A1508">
        <v>18125</v>
      </c>
      <c r="B1508" t="s">
        <v>91</v>
      </c>
      <c r="C1508">
        <v>18</v>
      </c>
      <c r="D1508" s="3">
        <f>parking_demand_data_2024_ver0!D1508*calibration!$I$31</f>
        <v>0</v>
      </c>
      <c r="E1508" s="3">
        <f>parking_demand_data_2024_ver0!E1508*calibration!$I$31</f>
        <v>0.28529606776918998</v>
      </c>
      <c r="F1508" s="3">
        <f t="shared" si="23"/>
        <v>0.28529606776918998</v>
      </c>
      <c r="G1508" s="3">
        <f>parking_demand_data_2024_ver0!F1508</f>
        <v>0</v>
      </c>
      <c r="H1508" s="3">
        <f>parking_demand_data_2024_ver0!G1508</f>
        <v>0</v>
      </c>
      <c r="I1508" s="3">
        <f>parking_demand_data_2024_ver0!H1508</f>
        <v>0</v>
      </c>
      <c r="J1508" s="3">
        <f>parking_demand_data_2024_ver0!I1508</f>
        <v>0</v>
      </c>
      <c r="K1508" s="3">
        <f>parking_demand_data_2024_ver0!J1508</f>
        <v>0</v>
      </c>
      <c r="L1508" s="3">
        <f>parking_demand_data_2024_ver0!K1508</f>
        <v>0</v>
      </c>
      <c r="M1508" s="3">
        <f>parking_demand_data_2024_ver0!L1508</f>
        <v>0</v>
      </c>
      <c r="N1508" s="3">
        <f>parking_demand_data_2024_ver0!M1508</f>
        <v>0</v>
      </c>
      <c r="O1508" s="3">
        <f>parking_demand_data_2024_ver0!N1508</f>
        <v>0</v>
      </c>
      <c r="P1508" s="3">
        <f>parking_demand_data_2024_ver0!O1508</f>
        <v>0</v>
      </c>
      <c r="Q1508" s="3">
        <f>parking_demand_data_2024_ver0!P1508</f>
        <v>0</v>
      </c>
      <c r="R1508" s="3">
        <f>parking_demand_data_2024_ver0!Q1508</f>
        <v>0</v>
      </c>
      <c r="S1508" s="3">
        <f>parking_demand_data_2024_ver0!R1508</f>
        <v>0</v>
      </c>
      <c r="T1508" s="3">
        <f>parking_demand_data_2024_ver0!S1508</f>
        <v>0</v>
      </c>
    </row>
    <row r="1509" spans="1:20" x14ac:dyDescent="0.25">
      <c r="A1509">
        <v>18125</v>
      </c>
      <c r="B1509" t="s">
        <v>91</v>
      </c>
      <c r="C1509">
        <v>19</v>
      </c>
      <c r="D1509" s="3">
        <f>parking_demand_data_2024_ver0!D1509*calibration!$I$31</f>
        <v>0</v>
      </c>
      <c r="E1509" s="3">
        <f>parking_demand_data_2024_ver0!E1509*calibration!$I$31</f>
        <v>0.203782905549421</v>
      </c>
      <c r="F1509" s="3">
        <f t="shared" si="23"/>
        <v>0.203782905549421</v>
      </c>
      <c r="G1509" s="3">
        <f>parking_demand_data_2024_ver0!F1509</f>
        <v>0</v>
      </c>
      <c r="H1509" s="3">
        <f>parking_demand_data_2024_ver0!G1509</f>
        <v>0</v>
      </c>
      <c r="I1509" s="3">
        <f>parking_demand_data_2024_ver0!H1509</f>
        <v>0</v>
      </c>
      <c r="J1509" s="3">
        <f>parking_demand_data_2024_ver0!I1509</f>
        <v>0</v>
      </c>
      <c r="K1509" s="3">
        <f>parking_demand_data_2024_ver0!J1509</f>
        <v>0</v>
      </c>
      <c r="L1509" s="3">
        <f>parking_demand_data_2024_ver0!K1509</f>
        <v>0</v>
      </c>
      <c r="M1509" s="3">
        <f>parking_demand_data_2024_ver0!L1509</f>
        <v>0</v>
      </c>
      <c r="N1509" s="3">
        <f>parking_demand_data_2024_ver0!M1509</f>
        <v>0</v>
      </c>
      <c r="O1509" s="3">
        <f>parking_demand_data_2024_ver0!N1509</f>
        <v>0</v>
      </c>
      <c r="P1509" s="3">
        <f>parking_demand_data_2024_ver0!O1509</f>
        <v>0</v>
      </c>
      <c r="Q1509" s="3">
        <f>parking_demand_data_2024_ver0!P1509</f>
        <v>0</v>
      </c>
      <c r="R1509" s="3">
        <f>parking_demand_data_2024_ver0!Q1509</f>
        <v>0</v>
      </c>
      <c r="S1509" s="3">
        <f>parking_demand_data_2024_ver0!R1509</f>
        <v>0</v>
      </c>
      <c r="T1509" s="3">
        <f>parking_demand_data_2024_ver0!S1509</f>
        <v>0</v>
      </c>
    </row>
    <row r="1510" spans="1:20" x14ac:dyDescent="0.25">
      <c r="A1510">
        <v>18125</v>
      </c>
      <c r="B1510" t="s">
        <v>91</v>
      </c>
      <c r="C1510">
        <v>20</v>
      </c>
      <c r="D1510" s="3">
        <f>parking_demand_data_2024_ver0!D1510*calibration!$I$31</f>
        <v>0</v>
      </c>
      <c r="E1510" s="3">
        <f>parking_demand_data_2024_ver0!E1510*calibration!$I$31</f>
        <v>0.40756581109884299</v>
      </c>
      <c r="F1510" s="3">
        <f t="shared" si="23"/>
        <v>0.40756581109884299</v>
      </c>
      <c r="G1510" s="3">
        <f>parking_demand_data_2024_ver0!F1510</f>
        <v>0</v>
      </c>
      <c r="H1510" s="3">
        <f>parking_demand_data_2024_ver0!G1510</f>
        <v>0</v>
      </c>
      <c r="I1510" s="3">
        <f>parking_demand_data_2024_ver0!H1510</f>
        <v>0</v>
      </c>
      <c r="J1510" s="3">
        <f>parking_demand_data_2024_ver0!I1510</f>
        <v>0</v>
      </c>
      <c r="K1510" s="3">
        <f>parking_demand_data_2024_ver0!J1510</f>
        <v>0</v>
      </c>
      <c r="L1510" s="3">
        <f>parking_demand_data_2024_ver0!K1510</f>
        <v>0</v>
      </c>
      <c r="M1510" s="3">
        <f>parking_demand_data_2024_ver0!L1510</f>
        <v>0</v>
      </c>
      <c r="N1510" s="3">
        <f>parking_demand_data_2024_ver0!M1510</f>
        <v>0</v>
      </c>
      <c r="O1510" s="3">
        <f>parking_demand_data_2024_ver0!N1510</f>
        <v>0</v>
      </c>
      <c r="P1510" s="3">
        <f>parking_demand_data_2024_ver0!O1510</f>
        <v>0</v>
      </c>
      <c r="Q1510" s="3">
        <f>parking_demand_data_2024_ver0!P1510</f>
        <v>0</v>
      </c>
      <c r="R1510" s="3">
        <f>parking_demand_data_2024_ver0!Q1510</f>
        <v>0</v>
      </c>
      <c r="S1510" s="3">
        <f>parking_demand_data_2024_ver0!R1510</f>
        <v>0</v>
      </c>
      <c r="T1510" s="3">
        <f>parking_demand_data_2024_ver0!S1510</f>
        <v>0</v>
      </c>
    </row>
    <row r="1511" spans="1:20" x14ac:dyDescent="0.25">
      <c r="A1511">
        <v>18125</v>
      </c>
      <c r="B1511" t="s">
        <v>91</v>
      </c>
      <c r="C1511">
        <v>21</v>
      </c>
      <c r="D1511" s="3">
        <f>parking_demand_data_2024_ver0!D1511*calibration!$I$31</f>
        <v>0</v>
      </c>
      <c r="E1511" s="3">
        <f>parking_demand_data_2024_ver0!E1511*calibration!$I$31</f>
        <v>0.44832239220872699</v>
      </c>
      <c r="F1511" s="3">
        <f t="shared" si="23"/>
        <v>0.44832239220872699</v>
      </c>
      <c r="G1511" s="3">
        <f>parking_demand_data_2024_ver0!F1511</f>
        <v>0</v>
      </c>
      <c r="H1511" s="3">
        <f>parking_demand_data_2024_ver0!G1511</f>
        <v>0</v>
      </c>
      <c r="I1511" s="3">
        <f>parking_demand_data_2024_ver0!H1511</f>
        <v>0</v>
      </c>
      <c r="J1511" s="3">
        <f>parking_demand_data_2024_ver0!I1511</f>
        <v>0</v>
      </c>
      <c r="K1511" s="3">
        <f>parking_demand_data_2024_ver0!J1511</f>
        <v>0</v>
      </c>
      <c r="L1511" s="3">
        <f>parking_demand_data_2024_ver0!K1511</f>
        <v>0</v>
      </c>
      <c r="M1511" s="3">
        <f>parking_demand_data_2024_ver0!L1511</f>
        <v>0</v>
      </c>
      <c r="N1511" s="3">
        <f>parking_demand_data_2024_ver0!M1511</f>
        <v>0</v>
      </c>
      <c r="O1511" s="3">
        <f>parking_demand_data_2024_ver0!N1511</f>
        <v>0</v>
      </c>
      <c r="P1511" s="3">
        <f>parking_demand_data_2024_ver0!O1511</f>
        <v>0</v>
      </c>
      <c r="Q1511" s="3">
        <f>parking_demand_data_2024_ver0!P1511</f>
        <v>0</v>
      </c>
      <c r="R1511" s="3">
        <f>parking_demand_data_2024_ver0!Q1511</f>
        <v>0</v>
      </c>
      <c r="S1511" s="3">
        <f>parking_demand_data_2024_ver0!R1511</f>
        <v>0</v>
      </c>
      <c r="T1511" s="3">
        <f>parking_demand_data_2024_ver0!S1511</f>
        <v>0</v>
      </c>
    </row>
    <row r="1512" spans="1:20" x14ac:dyDescent="0.25">
      <c r="A1512">
        <v>18125</v>
      </c>
      <c r="B1512" t="s">
        <v>91</v>
      </c>
      <c r="C1512">
        <v>22</v>
      </c>
      <c r="D1512" s="3">
        <f>parking_demand_data_2024_ver0!D1512*calibration!$I$31</f>
        <v>0</v>
      </c>
      <c r="E1512" s="3">
        <f>parking_demand_data_2024_ver0!E1512*calibration!$I$31</f>
        <v>0.81513162219768598</v>
      </c>
      <c r="F1512" s="3">
        <f t="shared" si="23"/>
        <v>0.81513162219768598</v>
      </c>
      <c r="G1512" s="3">
        <f>parking_demand_data_2024_ver0!F1512</f>
        <v>0</v>
      </c>
      <c r="H1512" s="3">
        <f>parking_demand_data_2024_ver0!G1512</f>
        <v>0</v>
      </c>
      <c r="I1512" s="3">
        <f>parking_demand_data_2024_ver0!H1512</f>
        <v>0</v>
      </c>
      <c r="J1512" s="3">
        <f>parking_demand_data_2024_ver0!I1512</f>
        <v>0</v>
      </c>
      <c r="K1512" s="3">
        <f>parking_demand_data_2024_ver0!J1512</f>
        <v>0</v>
      </c>
      <c r="L1512" s="3">
        <f>parking_demand_data_2024_ver0!K1512</f>
        <v>0</v>
      </c>
      <c r="M1512" s="3">
        <f>parking_demand_data_2024_ver0!L1512</f>
        <v>0</v>
      </c>
      <c r="N1512" s="3">
        <f>parking_demand_data_2024_ver0!M1512</f>
        <v>0</v>
      </c>
      <c r="O1512" s="3">
        <f>parking_demand_data_2024_ver0!N1512</f>
        <v>0</v>
      </c>
      <c r="P1512" s="3">
        <f>parking_demand_data_2024_ver0!O1512</f>
        <v>0</v>
      </c>
      <c r="Q1512" s="3">
        <f>parking_demand_data_2024_ver0!P1512</f>
        <v>0</v>
      </c>
      <c r="R1512" s="3">
        <f>parking_demand_data_2024_ver0!Q1512</f>
        <v>0</v>
      </c>
      <c r="S1512" s="3">
        <f>parking_demand_data_2024_ver0!R1512</f>
        <v>0</v>
      </c>
      <c r="T1512" s="3">
        <f>parking_demand_data_2024_ver0!S1512</f>
        <v>0</v>
      </c>
    </row>
    <row r="1513" spans="1:20" x14ac:dyDescent="0.25">
      <c r="A1513">
        <v>18125</v>
      </c>
      <c r="B1513" t="s">
        <v>91</v>
      </c>
      <c r="C1513">
        <v>23</v>
      </c>
      <c r="D1513" s="3">
        <f>parking_demand_data_2024_ver0!D1513*calibration!$I$31</f>
        <v>0</v>
      </c>
      <c r="E1513" s="3">
        <f>parking_demand_data_2024_ver0!E1513*calibration!$I$31</f>
        <v>0.77437504108780197</v>
      </c>
      <c r="F1513" s="3">
        <f t="shared" si="23"/>
        <v>0.77437504108780197</v>
      </c>
      <c r="G1513" s="3">
        <f>parking_demand_data_2024_ver0!F1513</f>
        <v>0</v>
      </c>
      <c r="H1513" s="3">
        <f>parking_demand_data_2024_ver0!G1513</f>
        <v>0</v>
      </c>
      <c r="I1513" s="3">
        <f>parking_demand_data_2024_ver0!H1513</f>
        <v>0</v>
      </c>
      <c r="J1513" s="3">
        <f>parking_demand_data_2024_ver0!I1513</f>
        <v>0</v>
      </c>
      <c r="K1513" s="3">
        <f>parking_demand_data_2024_ver0!J1513</f>
        <v>0</v>
      </c>
      <c r="L1513" s="3">
        <f>parking_demand_data_2024_ver0!K1513</f>
        <v>0</v>
      </c>
      <c r="M1513" s="3">
        <f>parking_demand_data_2024_ver0!L1513</f>
        <v>0</v>
      </c>
      <c r="N1513" s="3">
        <f>parking_demand_data_2024_ver0!M1513</f>
        <v>0</v>
      </c>
      <c r="O1513" s="3">
        <f>parking_demand_data_2024_ver0!N1513</f>
        <v>0</v>
      </c>
      <c r="P1513" s="3">
        <f>parking_demand_data_2024_ver0!O1513</f>
        <v>0</v>
      </c>
      <c r="Q1513" s="3">
        <f>parking_demand_data_2024_ver0!P1513</f>
        <v>0</v>
      </c>
      <c r="R1513" s="3">
        <f>parking_demand_data_2024_ver0!Q1513</f>
        <v>0</v>
      </c>
      <c r="S1513" s="3">
        <f>parking_demand_data_2024_ver0!R1513</f>
        <v>0</v>
      </c>
      <c r="T1513" s="3">
        <f>parking_demand_data_2024_ver0!S1513</f>
        <v>0</v>
      </c>
    </row>
    <row r="1514" spans="1:20" x14ac:dyDescent="0.25">
      <c r="A1514">
        <v>18127</v>
      </c>
      <c r="B1514" t="s">
        <v>92</v>
      </c>
      <c r="C1514">
        <v>0</v>
      </c>
      <c r="D1514" s="3">
        <f>parking_demand_data_2024_ver0!D1514*calibration!$I$31</f>
        <v>416.50633534455301</v>
      </c>
      <c r="E1514" s="3">
        <f>parking_demand_data_2024_ver0!E1514*calibration!$I$31</f>
        <v>5.3504763416957699</v>
      </c>
      <c r="F1514" s="3">
        <f t="shared" si="23"/>
        <v>421.85681168624876</v>
      </c>
      <c r="G1514" s="3">
        <f>parking_demand_data_2024_ver0!F1514</f>
        <v>6</v>
      </c>
      <c r="H1514" s="3">
        <f>parking_demand_data_2024_ver0!G1514</f>
        <v>2</v>
      </c>
      <c r="I1514" s="3">
        <f>parking_demand_data_2024_ver0!H1514</f>
        <v>0</v>
      </c>
      <c r="J1514" s="3">
        <f>parking_demand_data_2024_ver0!I1514</f>
        <v>2</v>
      </c>
      <c r="K1514" s="3">
        <f>parking_demand_data_2024_ver0!J1514</f>
        <v>0</v>
      </c>
      <c r="L1514" s="3">
        <f>parking_demand_data_2024_ver0!K1514</f>
        <v>2</v>
      </c>
      <c r="M1514" s="3">
        <f>parking_demand_data_2024_ver0!L1514</f>
        <v>0</v>
      </c>
      <c r="N1514" s="3">
        <f>parking_demand_data_2024_ver0!M1514</f>
        <v>364</v>
      </c>
      <c r="O1514" s="3">
        <f>parking_demand_data_2024_ver0!N1514</f>
        <v>220</v>
      </c>
      <c r="P1514" s="3">
        <f>parking_demand_data_2024_ver0!O1514</f>
        <v>0</v>
      </c>
      <c r="Q1514" s="3">
        <f>parking_demand_data_2024_ver0!P1514</f>
        <v>32</v>
      </c>
      <c r="R1514" s="3">
        <f>parking_demand_data_2024_ver0!Q1514</f>
        <v>0</v>
      </c>
      <c r="S1514" s="3">
        <f>parking_demand_data_2024_ver0!R1514</f>
        <v>112</v>
      </c>
      <c r="T1514" s="3">
        <f>parking_demand_data_2024_ver0!S1514</f>
        <v>0</v>
      </c>
    </row>
    <row r="1515" spans="1:20" x14ac:dyDescent="0.25">
      <c r="A1515">
        <v>18127</v>
      </c>
      <c r="B1515" t="s">
        <v>92</v>
      </c>
      <c r="C1515">
        <v>1</v>
      </c>
      <c r="D1515" s="3">
        <f>parking_demand_data_2024_ver0!D1515*calibration!$I$31</f>
        <v>417.43685296919602</v>
      </c>
      <c r="E1515" s="3">
        <f>parking_demand_data_2024_ver0!E1515*calibration!$I$31</f>
        <v>6.3474595109558498</v>
      </c>
      <c r="F1515" s="3">
        <f t="shared" si="23"/>
        <v>423.78431248015187</v>
      </c>
      <c r="G1515" s="3">
        <f>parking_demand_data_2024_ver0!F1515</f>
        <v>6</v>
      </c>
      <c r="H1515" s="3">
        <f>parking_demand_data_2024_ver0!G1515</f>
        <v>2</v>
      </c>
      <c r="I1515" s="3">
        <f>parking_demand_data_2024_ver0!H1515</f>
        <v>0</v>
      </c>
      <c r="J1515" s="3">
        <f>parking_demand_data_2024_ver0!I1515</f>
        <v>2</v>
      </c>
      <c r="K1515" s="3">
        <f>parking_demand_data_2024_ver0!J1515</f>
        <v>0</v>
      </c>
      <c r="L1515" s="3">
        <f>parking_demand_data_2024_ver0!K1515</f>
        <v>2</v>
      </c>
      <c r="M1515" s="3">
        <f>parking_demand_data_2024_ver0!L1515</f>
        <v>0</v>
      </c>
      <c r="N1515" s="3">
        <f>parking_demand_data_2024_ver0!M1515</f>
        <v>364</v>
      </c>
      <c r="O1515" s="3">
        <f>parking_demand_data_2024_ver0!N1515</f>
        <v>220</v>
      </c>
      <c r="P1515" s="3">
        <f>parking_demand_data_2024_ver0!O1515</f>
        <v>0</v>
      </c>
      <c r="Q1515" s="3">
        <f>parking_demand_data_2024_ver0!P1515</f>
        <v>32</v>
      </c>
      <c r="R1515" s="3">
        <f>parking_demand_data_2024_ver0!Q1515</f>
        <v>0</v>
      </c>
      <c r="S1515" s="3">
        <f>parking_demand_data_2024_ver0!R1515</f>
        <v>112</v>
      </c>
      <c r="T1515" s="3">
        <f>parking_demand_data_2024_ver0!S1515</f>
        <v>0</v>
      </c>
    </row>
    <row r="1516" spans="1:20" x14ac:dyDescent="0.25">
      <c r="A1516">
        <v>18127</v>
      </c>
      <c r="B1516" t="s">
        <v>92</v>
      </c>
      <c r="C1516">
        <v>2</v>
      </c>
      <c r="D1516" s="3">
        <f>parking_demand_data_2024_ver0!D1516*calibration!$I$31</f>
        <v>418.599999999999</v>
      </c>
      <c r="E1516" s="3">
        <f>parking_demand_data_2024_ver0!E1516*calibration!$I$31</f>
        <v>6.6133216894252103</v>
      </c>
      <c r="F1516" s="3">
        <f t="shared" si="23"/>
        <v>425.21332168942422</v>
      </c>
      <c r="G1516" s="3">
        <f>parking_demand_data_2024_ver0!F1516</f>
        <v>6</v>
      </c>
      <c r="H1516" s="3">
        <f>parking_demand_data_2024_ver0!G1516</f>
        <v>2</v>
      </c>
      <c r="I1516" s="3">
        <f>parking_demand_data_2024_ver0!H1516</f>
        <v>0</v>
      </c>
      <c r="J1516" s="3">
        <f>parking_demand_data_2024_ver0!I1516</f>
        <v>2</v>
      </c>
      <c r="K1516" s="3">
        <f>parking_demand_data_2024_ver0!J1516</f>
        <v>0</v>
      </c>
      <c r="L1516" s="3">
        <f>parking_demand_data_2024_ver0!K1516</f>
        <v>2</v>
      </c>
      <c r="M1516" s="3">
        <f>parking_demand_data_2024_ver0!L1516</f>
        <v>0</v>
      </c>
      <c r="N1516" s="3">
        <f>parking_demand_data_2024_ver0!M1516</f>
        <v>364</v>
      </c>
      <c r="O1516" s="3">
        <f>parking_demand_data_2024_ver0!N1516</f>
        <v>220</v>
      </c>
      <c r="P1516" s="3">
        <f>parking_demand_data_2024_ver0!O1516</f>
        <v>0</v>
      </c>
      <c r="Q1516" s="3">
        <f>parking_demand_data_2024_ver0!P1516</f>
        <v>32</v>
      </c>
      <c r="R1516" s="3">
        <f>parking_demand_data_2024_ver0!Q1516</f>
        <v>0</v>
      </c>
      <c r="S1516" s="3">
        <f>parking_demand_data_2024_ver0!R1516</f>
        <v>112</v>
      </c>
      <c r="T1516" s="3">
        <f>parking_demand_data_2024_ver0!S1516</f>
        <v>0</v>
      </c>
    </row>
    <row r="1517" spans="1:20" x14ac:dyDescent="0.25">
      <c r="A1517">
        <v>18127</v>
      </c>
      <c r="B1517" t="s">
        <v>92</v>
      </c>
      <c r="C1517">
        <v>3</v>
      </c>
      <c r="D1517" s="3">
        <f>parking_demand_data_2024_ver0!D1517*calibration!$I$31</f>
        <v>407.40055573197799</v>
      </c>
      <c r="E1517" s="3">
        <f>parking_demand_data_2024_ver0!E1517*calibration!$I$31</f>
        <v>7.0785805017465799</v>
      </c>
      <c r="F1517" s="3">
        <f t="shared" si="23"/>
        <v>414.47913623372455</v>
      </c>
      <c r="G1517" s="3">
        <f>parking_demand_data_2024_ver0!F1517</f>
        <v>6</v>
      </c>
      <c r="H1517" s="3">
        <f>parking_demand_data_2024_ver0!G1517</f>
        <v>2</v>
      </c>
      <c r="I1517" s="3">
        <f>parking_demand_data_2024_ver0!H1517</f>
        <v>0</v>
      </c>
      <c r="J1517" s="3">
        <f>parking_demand_data_2024_ver0!I1517</f>
        <v>2</v>
      </c>
      <c r="K1517" s="3">
        <f>parking_demand_data_2024_ver0!J1517</f>
        <v>0</v>
      </c>
      <c r="L1517" s="3">
        <f>parking_demand_data_2024_ver0!K1517</f>
        <v>2</v>
      </c>
      <c r="M1517" s="3">
        <f>parking_demand_data_2024_ver0!L1517</f>
        <v>0</v>
      </c>
      <c r="N1517" s="3">
        <f>parking_demand_data_2024_ver0!M1517</f>
        <v>364</v>
      </c>
      <c r="O1517" s="3">
        <f>parking_demand_data_2024_ver0!N1517</f>
        <v>220</v>
      </c>
      <c r="P1517" s="3">
        <f>parking_demand_data_2024_ver0!O1517</f>
        <v>0</v>
      </c>
      <c r="Q1517" s="3">
        <f>parking_demand_data_2024_ver0!P1517</f>
        <v>32</v>
      </c>
      <c r="R1517" s="3">
        <f>parking_demand_data_2024_ver0!Q1517</f>
        <v>0</v>
      </c>
      <c r="S1517" s="3">
        <f>parking_demand_data_2024_ver0!R1517</f>
        <v>112</v>
      </c>
      <c r="T1517" s="3">
        <f>parking_demand_data_2024_ver0!S1517</f>
        <v>0</v>
      </c>
    </row>
    <row r="1518" spans="1:20" x14ac:dyDescent="0.25">
      <c r="A1518">
        <v>18127</v>
      </c>
      <c r="B1518" t="s">
        <v>92</v>
      </c>
      <c r="C1518">
        <v>4</v>
      </c>
      <c r="D1518" s="3">
        <f>parking_demand_data_2024_ver0!D1518*calibration!$I$31</f>
        <v>385.034899968243</v>
      </c>
      <c r="E1518" s="3">
        <f>parking_demand_data_2024_ver0!E1518*calibration!$I$31</f>
        <v>7.0121149571292403</v>
      </c>
      <c r="F1518" s="3">
        <f t="shared" si="23"/>
        <v>392.04701492537225</v>
      </c>
      <c r="G1518" s="3">
        <f>parking_demand_data_2024_ver0!F1518</f>
        <v>6</v>
      </c>
      <c r="H1518" s="3">
        <f>parking_demand_data_2024_ver0!G1518</f>
        <v>2</v>
      </c>
      <c r="I1518" s="3">
        <f>parking_demand_data_2024_ver0!H1518</f>
        <v>0</v>
      </c>
      <c r="J1518" s="3">
        <f>parking_demand_data_2024_ver0!I1518</f>
        <v>2</v>
      </c>
      <c r="K1518" s="3">
        <f>parking_demand_data_2024_ver0!J1518</f>
        <v>0</v>
      </c>
      <c r="L1518" s="3">
        <f>parking_demand_data_2024_ver0!K1518</f>
        <v>2</v>
      </c>
      <c r="M1518" s="3">
        <f>parking_demand_data_2024_ver0!L1518</f>
        <v>0</v>
      </c>
      <c r="N1518" s="3">
        <f>parking_demand_data_2024_ver0!M1518</f>
        <v>364</v>
      </c>
      <c r="O1518" s="3">
        <f>parking_demand_data_2024_ver0!N1518</f>
        <v>220</v>
      </c>
      <c r="P1518" s="3">
        <f>parking_demand_data_2024_ver0!O1518</f>
        <v>0</v>
      </c>
      <c r="Q1518" s="3">
        <f>parking_demand_data_2024_ver0!P1518</f>
        <v>32</v>
      </c>
      <c r="R1518" s="3">
        <f>parking_demand_data_2024_ver0!Q1518</f>
        <v>0</v>
      </c>
      <c r="S1518" s="3">
        <f>parking_demand_data_2024_ver0!R1518</f>
        <v>112</v>
      </c>
      <c r="T1518" s="3">
        <f>parking_demand_data_2024_ver0!S1518</f>
        <v>0</v>
      </c>
    </row>
    <row r="1519" spans="1:20" x14ac:dyDescent="0.25">
      <c r="A1519">
        <v>18127</v>
      </c>
      <c r="B1519" t="s">
        <v>92</v>
      </c>
      <c r="C1519">
        <v>5</v>
      </c>
      <c r="D1519" s="3">
        <f>parking_demand_data_2024_ver0!D1519*calibration!$I$31</f>
        <v>348.44561765639799</v>
      </c>
      <c r="E1519" s="3">
        <f>parking_demand_data_2024_ver0!E1519*calibration!$I$31</f>
        <v>5.9154334709431504</v>
      </c>
      <c r="F1519" s="3">
        <f t="shared" si="23"/>
        <v>354.36105112734111</v>
      </c>
      <c r="G1519" s="3">
        <f>parking_demand_data_2024_ver0!F1519</f>
        <v>6</v>
      </c>
      <c r="H1519" s="3">
        <f>parking_demand_data_2024_ver0!G1519</f>
        <v>2</v>
      </c>
      <c r="I1519" s="3">
        <f>parking_demand_data_2024_ver0!H1519</f>
        <v>0</v>
      </c>
      <c r="J1519" s="3">
        <f>parking_demand_data_2024_ver0!I1519</f>
        <v>2</v>
      </c>
      <c r="K1519" s="3">
        <f>parking_demand_data_2024_ver0!J1519</f>
        <v>0</v>
      </c>
      <c r="L1519" s="3">
        <f>parking_demand_data_2024_ver0!K1519</f>
        <v>2</v>
      </c>
      <c r="M1519" s="3">
        <f>parking_demand_data_2024_ver0!L1519</f>
        <v>0</v>
      </c>
      <c r="N1519" s="3">
        <f>parking_demand_data_2024_ver0!M1519</f>
        <v>364</v>
      </c>
      <c r="O1519" s="3">
        <f>parking_demand_data_2024_ver0!N1519</f>
        <v>220</v>
      </c>
      <c r="P1519" s="3">
        <f>parking_demand_data_2024_ver0!O1519</f>
        <v>0</v>
      </c>
      <c r="Q1519" s="3">
        <f>parking_demand_data_2024_ver0!P1519</f>
        <v>32</v>
      </c>
      <c r="R1519" s="3">
        <f>parking_demand_data_2024_ver0!Q1519</f>
        <v>0</v>
      </c>
      <c r="S1519" s="3">
        <f>parking_demand_data_2024_ver0!R1519</f>
        <v>112</v>
      </c>
      <c r="T1519" s="3">
        <f>parking_demand_data_2024_ver0!S1519</f>
        <v>0</v>
      </c>
    </row>
    <row r="1520" spans="1:20" x14ac:dyDescent="0.25">
      <c r="A1520">
        <v>18127</v>
      </c>
      <c r="B1520" t="s">
        <v>92</v>
      </c>
      <c r="C1520">
        <v>6</v>
      </c>
      <c r="D1520" s="3">
        <f>parking_demand_data_2024_ver0!D1520*calibration!$I$31</f>
        <v>298.43029533185103</v>
      </c>
      <c r="E1520" s="3">
        <f>parking_demand_data_2024_ver0!E1520*calibration!$I$31</f>
        <v>5.7825023817084702</v>
      </c>
      <c r="F1520" s="3">
        <f t="shared" si="23"/>
        <v>304.2127977135595</v>
      </c>
      <c r="G1520" s="3">
        <f>parking_demand_data_2024_ver0!F1520</f>
        <v>6</v>
      </c>
      <c r="H1520" s="3">
        <f>parking_demand_data_2024_ver0!G1520</f>
        <v>2</v>
      </c>
      <c r="I1520" s="3">
        <f>parking_demand_data_2024_ver0!H1520</f>
        <v>0</v>
      </c>
      <c r="J1520" s="3">
        <f>parking_demand_data_2024_ver0!I1520</f>
        <v>2</v>
      </c>
      <c r="K1520" s="3">
        <f>parking_demand_data_2024_ver0!J1520</f>
        <v>0</v>
      </c>
      <c r="L1520" s="3">
        <f>parking_demand_data_2024_ver0!K1520</f>
        <v>2</v>
      </c>
      <c r="M1520" s="3">
        <f>parking_demand_data_2024_ver0!L1520</f>
        <v>0</v>
      </c>
      <c r="N1520" s="3">
        <f>parking_demand_data_2024_ver0!M1520</f>
        <v>364</v>
      </c>
      <c r="O1520" s="3">
        <f>parking_demand_data_2024_ver0!N1520</f>
        <v>220</v>
      </c>
      <c r="P1520" s="3">
        <f>parking_demand_data_2024_ver0!O1520</f>
        <v>0</v>
      </c>
      <c r="Q1520" s="3">
        <f>parking_demand_data_2024_ver0!P1520</f>
        <v>32</v>
      </c>
      <c r="R1520" s="3">
        <f>parking_demand_data_2024_ver0!Q1520</f>
        <v>0</v>
      </c>
      <c r="S1520" s="3">
        <f>parking_demand_data_2024_ver0!R1520</f>
        <v>112</v>
      </c>
      <c r="T1520" s="3">
        <f>parking_demand_data_2024_ver0!S1520</f>
        <v>0</v>
      </c>
    </row>
    <row r="1521" spans="1:20" x14ac:dyDescent="0.25">
      <c r="A1521">
        <v>18127</v>
      </c>
      <c r="B1521" t="s">
        <v>92</v>
      </c>
      <c r="C1521">
        <v>7</v>
      </c>
      <c r="D1521" s="3">
        <f>parking_demand_data_2024_ver0!D1521*calibration!$I$31</f>
        <v>239.34242616703699</v>
      </c>
      <c r="E1521" s="3">
        <f>parking_demand_data_2024_ver0!E1521*calibration!$I$31</f>
        <v>6.7130200063512202</v>
      </c>
      <c r="F1521" s="3">
        <f t="shared" si="23"/>
        <v>246.05544617338822</v>
      </c>
      <c r="G1521" s="3">
        <f>parking_demand_data_2024_ver0!F1521</f>
        <v>6</v>
      </c>
      <c r="H1521" s="3">
        <f>parking_demand_data_2024_ver0!G1521</f>
        <v>2</v>
      </c>
      <c r="I1521" s="3">
        <f>parking_demand_data_2024_ver0!H1521</f>
        <v>0</v>
      </c>
      <c r="J1521" s="3">
        <f>parking_demand_data_2024_ver0!I1521</f>
        <v>2</v>
      </c>
      <c r="K1521" s="3">
        <f>parking_demand_data_2024_ver0!J1521</f>
        <v>0</v>
      </c>
      <c r="L1521" s="3">
        <f>parking_demand_data_2024_ver0!K1521</f>
        <v>2</v>
      </c>
      <c r="M1521" s="3">
        <f>parking_demand_data_2024_ver0!L1521</f>
        <v>0</v>
      </c>
      <c r="N1521" s="3">
        <f>parking_demand_data_2024_ver0!M1521</f>
        <v>364</v>
      </c>
      <c r="O1521" s="3">
        <f>parking_demand_data_2024_ver0!N1521</f>
        <v>220</v>
      </c>
      <c r="P1521" s="3">
        <f>parking_demand_data_2024_ver0!O1521</f>
        <v>0</v>
      </c>
      <c r="Q1521" s="3">
        <f>parking_demand_data_2024_ver0!P1521</f>
        <v>32</v>
      </c>
      <c r="R1521" s="3">
        <f>parking_demand_data_2024_ver0!Q1521</f>
        <v>0</v>
      </c>
      <c r="S1521" s="3">
        <f>parking_demand_data_2024_ver0!R1521</f>
        <v>112</v>
      </c>
      <c r="T1521" s="3">
        <f>parking_demand_data_2024_ver0!S1521</f>
        <v>0</v>
      </c>
    </row>
    <row r="1522" spans="1:20" x14ac:dyDescent="0.25">
      <c r="A1522">
        <v>18127</v>
      </c>
      <c r="B1522" t="s">
        <v>92</v>
      </c>
      <c r="C1522">
        <v>8</v>
      </c>
      <c r="D1522" s="3">
        <f>parking_demand_data_2024_ver0!D1522*calibration!$I$31</f>
        <v>196.43891711654399</v>
      </c>
      <c r="E1522" s="3">
        <f>parking_demand_data_2024_ver0!E1522*calibration!$I$31</f>
        <v>9.7039695141314599</v>
      </c>
      <c r="F1522" s="3">
        <f t="shared" si="23"/>
        <v>206.14288663067546</v>
      </c>
      <c r="G1522" s="3">
        <f>parking_demand_data_2024_ver0!F1522</f>
        <v>6</v>
      </c>
      <c r="H1522" s="3">
        <f>parking_demand_data_2024_ver0!G1522</f>
        <v>2</v>
      </c>
      <c r="I1522" s="3">
        <f>parking_demand_data_2024_ver0!H1522</f>
        <v>0</v>
      </c>
      <c r="J1522" s="3">
        <f>parking_demand_data_2024_ver0!I1522</f>
        <v>2</v>
      </c>
      <c r="K1522" s="3">
        <f>parking_demand_data_2024_ver0!J1522</f>
        <v>0</v>
      </c>
      <c r="L1522" s="3">
        <f>parking_demand_data_2024_ver0!K1522</f>
        <v>2</v>
      </c>
      <c r="M1522" s="3">
        <f>parking_demand_data_2024_ver0!L1522</f>
        <v>0</v>
      </c>
      <c r="N1522" s="3">
        <f>parking_demand_data_2024_ver0!M1522</f>
        <v>364</v>
      </c>
      <c r="O1522" s="3">
        <f>parking_demand_data_2024_ver0!N1522</f>
        <v>220</v>
      </c>
      <c r="P1522" s="3">
        <f>parking_demand_data_2024_ver0!O1522</f>
        <v>0</v>
      </c>
      <c r="Q1522" s="3">
        <f>parking_demand_data_2024_ver0!P1522</f>
        <v>32</v>
      </c>
      <c r="R1522" s="3">
        <f>parking_demand_data_2024_ver0!Q1522</f>
        <v>0</v>
      </c>
      <c r="S1522" s="3">
        <f>parking_demand_data_2024_ver0!R1522</f>
        <v>112</v>
      </c>
      <c r="T1522" s="3">
        <f>parking_demand_data_2024_ver0!S1522</f>
        <v>0</v>
      </c>
    </row>
    <row r="1523" spans="1:20" x14ac:dyDescent="0.25">
      <c r="A1523">
        <v>18127</v>
      </c>
      <c r="B1523" t="s">
        <v>92</v>
      </c>
      <c r="C1523">
        <v>9</v>
      </c>
      <c r="D1523" s="3">
        <f>parking_demand_data_2024_ver0!D1523*calibration!$I$31</f>
        <v>170.949380755795</v>
      </c>
      <c r="E1523" s="3">
        <f>parking_demand_data_2024_ver0!E1523*calibration!$I$31</f>
        <v>10.867116544934801</v>
      </c>
      <c r="F1523" s="3">
        <f t="shared" si="23"/>
        <v>181.81649730072979</v>
      </c>
      <c r="G1523" s="3">
        <f>parking_demand_data_2024_ver0!F1523</f>
        <v>6</v>
      </c>
      <c r="H1523" s="3">
        <f>parking_demand_data_2024_ver0!G1523</f>
        <v>2</v>
      </c>
      <c r="I1523" s="3">
        <f>parking_demand_data_2024_ver0!H1523</f>
        <v>0</v>
      </c>
      <c r="J1523" s="3">
        <f>parking_demand_data_2024_ver0!I1523</f>
        <v>2</v>
      </c>
      <c r="K1523" s="3">
        <f>parking_demand_data_2024_ver0!J1523</f>
        <v>0</v>
      </c>
      <c r="L1523" s="3">
        <f>parking_demand_data_2024_ver0!K1523</f>
        <v>2</v>
      </c>
      <c r="M1523" s="3">
        <f>parking_demand_data_2024_ver0!L1523</f>
        <v>0</v>
      </c>
      <c r="N1523" s="3">
        <f>parking_demand_data_2024_ver0!M1523</f>
        <v>364</v>
      </c>
      <c r="O1523" s="3">
        <f>parking_demand_data_2024_ver0!N1523</f>
        <v>220</v>
      </c>
      <c r="P1523" s="3">
        <f>parking_demand_data_2024_ver0!O1523</f>
        <v>0</v>
      </c>
      <c r="Q1523" s="3">
        <f>parking_demand_data_2024_ver0!P1523</f>
        <v>32</v>
      </c>
      <c r="R1523" s="3">
        <f>parking_demand_data_2024_ver0!Q1523</f>
        <v>0</v>
      </c>
      <c r="S1523" s="3">
        <f>parking_demand_data_2024_ver0!R1523</f>
        <v>112</v>
      </c>
      <c r="T1523" s="3">
        <f>parking_demand_data_2024_ver0!S1523</f>
        <v>0</v>
      </c>
    </row>
    <row r="1524" spans="1:20" x14ac:dyDescent="0.25">
      <c r="A1524">
        <v>18127</v>
      </c>
      <c r="B1524" t="s">
        <v>92</v>
      </c>
      <c r="C1524">
        <v>10</v>
      </c>
      <c r="D1524" s="3">
        <f>parking_demand_data_2024_ver0!D1524*calibration!$I$31</f>
        <v>160.97954906319401</v>
      </c>
      <c r="E1524" s="3">
        <f>parking_demand_data_2024_ver0!E1524*calibration!$I$31</f>
        <v>9.8369006033661393</v>
      </c>
      <c r="F1524" s="3">
        <f t="shared" si="23"/>
        <v>170.81644966656015</v>
      </c>
      <c r="G1524" s="3">
        <f>parking_demand_data_2024_ver0!F1524</f>
        <v>6</v>
      </c>
      <c r="H1524" s="3">
        <f>parking_demand_data_2024_ver0!G1524</f>
        <v>2</v>
      </c>
      <c r="I1524" s="3">
        <f>parking_demand_data_2024_ver0!H1524</f>
        <v>0</v>
      </c>
      <c r="J1524" s="3">
        <f>parking_demand_data_2024_ver0!I1524</f>
        <v>2</v>
      </c>
      <c r="K1524" s="3">
        <f>parking_demand_data_2024_ver0!J1524</f>
        <v>0</v>
      </c>
      <c r="L1524" s="3">
        <f>parking_demand_data_2024_ver0!K1524</f>
        <v>2</v>
      </c>
      <c r="M1524" s="3">
        <f>parking_demand_data_2024_ver0!L1524</f>
        <v>0</v>
      </c>
      <c r="N1524" s="3">
        <f>parking_demand_data_2024_ver0!M1524</f>
        <v>364</v>
      </c>
      <c r="O1524" s="3">
        <f>parking_demand_data_2024_ver0!N1524</f>
        <v>220</v>
      </c>
      <c r="P1524" s="3">
        <f>parking_demand_data_2024_ver0!O1524</f>
        <v>0</v>
      </c>
      <c r="Q1524" s="3">
        <f>parking_demand_data_2024_ver0!P1524</f>
        <v>32</v>
      </c>
      <c r="R1524" s="3">
        <f>parking_demand_data_2024_ver0!Q1524</f>
        <v>0</v>
      </c>
      <c r="S1524" s="3">
        <f>parking_demand_data_2024_ver0!R1524</f>
        <v>112</v>
      </c>
      <c r="T1524" s="3">
        <f>parking_demand_data_2024_ver0!S1524</f>
        <v>0</v>
      </c>
    </row>
    <row r="1525" spans="1:20" x14ac:dyDescent="0.25">
      <c r="A1525">
        <v>18127</v>
      </c>
      <c r="B1525" t="s">
        <v>92</v>
      </c>
      <c r="C1525">
        <v>11</v>
      </c>
      <c r="D1525" s="3">
        <f>parking_demand_data_2024_ver0!D1525*calibration!$I$31</f>
        <v>164.07019688790001</v>
      </c>
      <c r="E1525" s="3">
        <f>parking_demand_data_2024_ver0!E1525*calibration!$I$31</f>
        <v>9.20547792950142</v>
      </c>
      <c r="F1525" s="3">
        <f t="shared" si="23"/>
        <v>173.27567481740144</v>
      </c>
      <c r="G1525" s="3">
        <f>parking_demand_data_2024_ver0!F1525</f>
        <v>6</v>
      </c>
      <c r="H1525" s="3">
        <f>parking_demand_data_2024_ver0!G1525</f>
        <v>2</v>
      </c>
      <c r="I1525" s="3">
        <f>parking_demand_data_2024_ver0!H1525</f>
        <v>0</v>
      </c>
      <c r="J1525" s="3">
        <f>parking_demand_data_2024_ver0!I1525</f>
        <v>2</v>
      </c>
      <c r="K1525" s="3">
        <f>parking_demand_data_2024_ver0!J1525</f>
        <v>0</v>
      </c>
      <c r="L1525" s="3">
        <f>parking_demand_data_2024_ver0!K1525</f>
        <v>2</v>
      </c>
      <c r="M1525" s="3">
        <f>parking_demand_data_2024_ver0!L1525</f>
        <v>0</v>
      </c>
      <c r="N1525" s="3">
        <f>parking_demand_data_2024_ver0!M1525</f>
        <v>364</v>
      </c>
      <c r="O1525" s="3">
        <f>parking_demand_data_2024_ver0!N1525</f>
        <v>220</v>
      </c>
      <c r="P1525" s="3">
        <f>parking_demand_data_2024_ver0!O1525</f>
        <v>0</v>
      </c>
      <c r="Q1525" s="3">
        <f>parking_demand_data_2024_ver0!P1525</f>
        <v>32</v>
      </c>
      <c r="R1525" s="3">
        <f>parking_demand_data_2024_ver0!Q1525</f>
        <v>0</v>
      </c>
      <c r="S1525" s="3">
        <f>parking_demand_data_2024_ver0!R1525</f>
        <v>112</v>
      </c>
      <c r="T1525" s="3">
        <f>parking_demand_data_2024_ver0!S1525</f>
        <v>0</v>
      </c>
    </row>
    <row r="1526" spans="1:20" x14ac:dyDescent="0.25">
      <c r="A1526">
        <v>18127</v>
      </c>
      <c r="B1526" t="s">
        <v>92</v>
      </c>
      <c r="C1526">
        <v>12</v>
      </c>
      <c r="D1526" s="3">
        <f>parking_demand_data_2024_ver0!D1526*calibration!$I$31</f>
        <v>171.414639568116</v>
      </c>
      <c r="E1526" s="3">
        <f>parking_demand_data_2024_ver0!E1526*calibration!$I$31</f>
        <v>7.0121149571292403</v>
      </c>
      <c r="F1526" s="3">
        <f t="shared" si="23"/>
        <v>178.42675452524523</v>
      </c>
      <c r="G1526" s="3">
        <f>parking_demand_data_2024_ver0!F1526</f>
        <v>6</v>
      </c>
      <c r="H1526" s="3">
        <f>parking_demand_data_2024_ver0!G1526</f>
        <v>2</v>
      </c>
      <c r="I1526" s="3">
        <f>parking_demand_data_2024_ver0!H1526</f>
        <v>0</v>
      </c>
      <c r="J1526" s="3">
        <f>parking_demand_data_2024_ver0!I1526</f>
        <v>2</v>
      </c>
      <c r="K1526" s="3">
        <f>parking_demand_data_2024_ver0!J1526</f>
        <v>0</v>
      </c>
      <c r="L1526" s="3">
        <f>parking_demand_data_2024_ver0!K1526</f>
        <v>2</v>
      </c>
      <c r="M1526" s="3">
        <f>parking_demand_data_2024_ver0!L1526</f>
        <v>0</v>
      </c>
      <c r="N1526" s="3">
        <f>parking_demand_data_2024_ver0!M1526</f>
        <v>364</v>
      </c>
      <c r="O1526" s="3">
        <f>parking_demand_data_2024_ver0!N1526</f>
        <v>220</v>
      </c>
      <c r="P1526" s="3">
        <f>parking_demand_data_2024_ver0!O1526</f>
        <v>0</v>
      </c>
      <c r="Q1526" s="3">
        <f>parking_demand_data_2024_ver0!P1526</f>
        <v>32</v>
      </c>
      <c r="R1526" s="3">
        <f>parking_demand_data_2024_ver0!Q1526</f>
        <v>0</v>
      </c>
      <c r="S1526" s="3">
        <f>parking_demand_data_2024_ver0!R1526</f>
        <v>112</v>
      </c>
      <c r="T1526" s="3">
        <f>parking_demand_data_2024_ver0!S1526</f>
        <v>0</v>
      </c>
    </row>
    <row r="1527" spans="1:20" x14ac:dyDescent="0.25">
      <c r="A1527">
        <v>18127</v>
      </c>
      <c r="B1527" t="s">
        <v>92</v>
      </c>
      <c r="C1527">
        <v>13</v>
      </c>
      <c r="D1527" s="3">
        <f>parking_demand_data_2024_ver0!D1527*calibration!$I$31</f>
        <v>178.89201333756699</v>
      </c>
      <c r="E1527" s="3">
        <f>parking_demand_data_2024_ver0!E1527*calibration!$I$31</f>
        <v>5.5498729755477898</v>
      </c>
      <c r="F1527" s="3">
        <f t="shared" si="23"/>
        <v>184.44188631311479</v>
      </c>
      <c r="G1527" s="3">
        <f>parking_demand_data_2024_ver0!F1527</f>
        <v>6</v>
      </c>
      <c r="H1527" s="3">
        <f>parking_demand_data_2024_ver0!G1527</f>
        <v>2</v>
      </c>
      <c r="I1527" s="3">
        <f>parking_demand_data_2024_ver0!H1527</f>
        <v>0</v>
      </c>
      <c r="J1527" s="3">
        <f>parking_demand_data_2024_ver0!I1527</f>
        <v>2</v>
      </c>
      <c r="K1527" s="3">
        <f>parking_demand_data_2024_ver0!J1527</f>
        <v>0</v>
      </c>
      <c r="L1527" s="3">
        <f>parking_demand_data_2024_ver0!K1527</f>
        <v>2</v>
      </c>
      <c r="M1527" s="3">
        <f>parking_demand_data_2024_ver0!L1527</f>
        <v>0</v>
      </c>
      <c r="N1527" s="3">
        <f>parking_demand_data_2024_ver0!M1527</f>
        <v>364</v>
      </c>
      <c r="O1527" s="3">
        <f>parking_demand_data_2024_ver0!N1527</f>
        <v>220</v>
      </c>
      <c r="P1527" s="3">
        <f>parking_demand_data_2024_ver0!O1527</f>
        <v>0</v>
      </c>
      <c r="Q1527" s="3">
        <f>parking_demand_data_2024_ver0!P1527</f>
        <v>32</v>
      </c>
      <c r="R1527" s="3">
        <f>parking_demand_data_2024_ver0!Q1527</f>
        <v>0</v>
      </c>
      <c r="S1527" s="3">
        <f>parking_demand_data_2024_ver0!R1527</f>
        <v>112</v>
      </c>
      <c r="T1527" s="3">
        <f>parking_demand_data_2024_ver0!S1527</f>
        <v>0</v>
      </c>
    </row>
    <row r="1528" spans="1:20" x14ac:dyDescent="0.25">
      <c r="A1528">
        <v>18127</v>
      </c>
      <c r="B1528" t="s">
        <v>92</v>
      </c>
      <c r="C1528">
        <v>14</v>
      </c>
      <c r="D1528" s="3">
        <f>parking_demand_data_2024_ver0!D1528*calibration!$I$31</f>
        <v>189.26063829787199</v>
      </c>
      <c r="E1528" s="3">
        <f>parking_demand_data_2024_ver0!E1528*calibration!$I$31</f>
        <v>4.1873293108923404</v>
      </c>
      <c r="F1528" s="3">
        <f t="shared" si="23"/>
        <v>193.44796760876434</v>
      </c>
      <c r="G1528" s="3">
        <f>parking_demand_data_2024_ver0!F1528</f>
        <v>6</v>
      </c>
      <c r="H1528" s="3">
        <f>parking_demand_data_2024_ver0!G1528</f>
        <v>2</v>
      </c>
      <c r="I1528" s="3">
        <f>parking_demand_data_2024_ver0!H1528</f>
        <v>0</v>
      </c>
      <c r="J1528" s="3">
        <f>parking_demand_data_2024_ver0!I1528</f>
        <v>2</v>
      </c>
      <c r="K1528" s="3">
        <f>parking_demand_data_2024_ver0!J1528</f>
        <v>0</v>
      </c>
      <c r="L1528" s="3">
        <f>parking_demand_data_2024_ver0!K1528</f>
        <v>2</v>
      </c>
      <c r="M1528" s="3">
        <f>parking_demand_data_2024_ver0!L1528</f>
        <v>0</v>
      </c>
      <c r="N1528" s="3">
        <f>parking_demand_data_2024_ver0!M1528</f>
        <v>364</v>
      </c>
      <c r="O1528" s="3">
        <f>parking_demand_data_2024_ver0!N1528</f>
        <v>220</v>
      </c>
      <c r="P1528" s="3">
        <f>parking_demand_data_2024_ver0!O1528</f>
        <v>0</v>
      </c>
      <c r="Q1528" s="3">
        <f>parking_demand_data_2024_ver0!P1528</f>
        <v>32</v>
      </c>
      <c r="R1528" s="3">
        <f>parking_demand_data_2024_ver0!Q1528</f>
        <v>0</v>
      </c>
      <c r="S1528" s="3">
        <f>parking_demand_data_2024_ver0!R1528</f>
        <v>112</v>
      </c>
      <c r="T1528" s="3">
        <f>parking_demand_data_2024_ver0!S1528</f>
        <v>0</v>
      </c>
    </row>
    <row r="1529" spans="1:20" x14ac:dyDescent="0.25">
      <c r="A1529">
        <v>18127</v>
      </c>
      <c r="B1529" t="s">
        <v>92</v>
      </c>
      <c r="C1529">
        <v>15</v>
      </c>
      <c r="D1529" s="3">
        <f>parking_demand_data_2024_ver0!D1529*calibration!$I$31</f>
        <v>210.49637980311201</v>
      </c>
      <c r="E1529" s="3">
        <f>parking_demand_data_2024_ver0!E1529*calibration!$I$31</f>
        <v>4.2537948555096801</v>
      </c>
      <c r="F1529" s="3">
        <f t="shared" si="23"/>
        <v>214.75017465862169</v>
      </c>
      <c r="G1529" s="3">
        <f>parking_demand_data_2024_ver0!F1529</f>
        <v>6</v>
      </c>
      <c r="H1529" s="3">
        <f>parking_demand_data_2024_ver0!G1529</f>
        <v>2</v>
      </c>
      <c r="I1529" s="3">
        <f>parking_demand_data_2024_ver0!H1529</f>
        <v>0</v>
      </c>
      <c r="J1529" s="3">
        <f>parking_demand_data_2024_ver0!I1529</f>
        <v>2</v>
      </c>
      <c r="K1529" s="3">
        <f>parking_demand_data_2024_ver0!J1529</f>
        <v>0</v>
      </c>
      <c r="L1529" s="3">
        <f>parking_demand_data_2024_ver0!K1529</f>
        <v>2</v>
      </c>
      <c r="M1529" s="3">
        <f>parking_demand_data_2024_ver0!L1529</f>
        <v>0</v>
      </c>
      <c r="N1529" s="3">
        <f>parking_demand_data_2024_ver0!M1529</f>
        <v>364</v>
      </c>
      <c r="O1529" s="3">
        <f>parking_demand_data_2024_ver0!N1529</f>
        <v>220</v>
      </c>
      <c r="P1529" s="3">
        <f>parking_demand_data_2024_ver0!O1529</f>
        <v>0</v>
      </c>
      <c r="Q1529" s="3">
        <f>parking_demand_data_2024_ver0!P1529</f>
        <v>32</v>
      </c>
      <c r="R1529" s="3">
        <f>parking_demand_data_2024_ver0!Q1529</f>
        <v>0</v>
      </c>
      <c r="S1529" s="3">
        <f>parking_demand_data_2024_ver0!R1529</f>
        <v>112</v>
      </c>
      <c r="T1529" s="3">
        <f>parking_demand_data_2024_ver0!S1529</f>
        <v>0</v>
      </c>
    </row>
    <row r="1530" spans="1:20" x14ac:dyDescent="0.25">
      <c r="A1530">
        <v>18127</v>
      </c>
      <c r="B1530" t="s">
        <v>92</v>
      </c>
      <c r="C1530">
        <v>16</v>
      </c>
      <c r="D1530" s="3">
        <f>parking_demand_data_2024_ver0!D1530*calibration!$I$31</f>
        <v>241.53578913940899</v>
      </c>
      <c r="E1530" s="3">
        <f>parking_demand_data_2024_ver0!E1530*calibration!$I$31</f>
        <v>3.3232772308669398</v>
      </c>
      <c r="F1530" s="3">
        <f t="shared" si="23"/>
        <v>244.85906637027594</v>
      </c>
      <c r="G1530" s="3">
        <f>parking_demand_data_2024_ver0!F1530</f>
        <v>6</v>
      </c>
      <c r="H1530" s="3">
        <f>parking_demand_data_2024_ver0!G1530</f>
        <v>2</v>
      </c>
      <c r="I1530" s="3">
        <f>parking_demand_data_2024_ver0!H1530</f>
        <v>0</v>
      </c>
      <c r="J1530" s="3">
        <f>parking_demand_data_2024_ver0!I1530</f>
        <v>2</v>
      </c>
      <c r="K1530" s="3">
        <f>parking_demand_data_2024_ver0!J1530</f>
        <v>0</v>
      </c>
      <c r="L1530" s="3">
        <f>parking_demand_data_2024_ver0!K1530</f>
        <v>2</v>
      </c>
      <c r="M1530" s="3">
        <f>parking_demand_data_2024_ver0!L1530</f>
        <v>0</v>
      </c>
      <c r="N1530" s="3">
        <f>parking_demand_data_2024_ver0!M1530</f>
        <v>364</v>
      </c>
      <c r="O1530" s="3">
        <f>parking_demand_data_2024_ver0!N1530</f>
        <v>220</v>
      </c>
      <c r="P1530" s="3">
        <f>parking_demand_data_2024_ver0!O1530</f>
        <v>0</v>
      </c>
      <c r="Q1530" s="3">
        <f>parking_demand_data_2024_ver0!P1530</f>
        <v>32</v>
      </c>
      <c r="R1530" s="3">
        <f>parking_demand_data_2024_ver0!Q1530</f>
        <v>0</v>
      </c>
      <c r="S1530" s="3">
        <f>parking_demand_data_2024_ver0!R1530</f>
        <v>112</v>
      </c>
      <c r="T1530" s="3">
        <f>parking_demand_data_2024_ver0!S1530</f>
        <v>0</v>
      </c>
    </row>
    <row r="1531" spans="1:20" x14ac:dyDescent="0.25">
      <c r="A1531">
        <v>18127</v>
      </c>
      <c r="B1531" t="s">
        <v>92</v>
      </c>
      <c r="C1531">
        <v>17</v>
      </c>
      <c r="D1531" s="3">
        <f>parking_demand_data_2024_ver0!D1531*calibration!$I$31</f>
        <v>282.245935217529</v>
      </c>
      <c r="E1531" s="3">
        <f>parking_demand_data_2024_ver0!E1531*calibration!$I$31</f>
        <v>3.7220704985709698</v>
      </c>
      <c r="F1531" s="3">
        <f t="shared" si="23"/>
        <v>285.96800571609998</v>
      </c>
      <c r="G1531" s="3">
        <f>parking_demand_data_2024_ver0!F1531</f>
        <v>6</v>
      </c>
      <c r="H1531" s="3">
        <f>parking_demand_data_2024_ver0!G1531</f>
        <v>2</v>
      </c>
      <c r="I1531" s="3">
        <f>parking_demand_data_2024_ver0!H1531</f>
        <v>0</v>
      </c>
      <c r="J1531" s="3">
        <f>parking_demand_data_2024_ver0!I1531</f>
        <v>2</v>
      </c>
      <c r="K1531" s="3">
        <f>parking_demand_data_2024_ver0!J1531</f>
        <v>0</v>
      </c>
      <c r="L1531" s="3">
        <f>parking_demand_data_2024_ver0!K1531</f>
        <v>2</v>
      </c>
      <c r="M1531" s="3">
        <f>parking_demand_data_2024_ver0!L1531</f>
        <v>0</v>
      </c>
      <c r="N1531" s="3">
        <f>parking_demand_data_2024_ver0!M1531</f>
        <v>364</v>
      </c>
      <c r="O1531" s="3">
        <f>parking_demand_data_2024_ver0!N1531</f>
        <v>220</v>
      </c>
      <c r="P1531" s="3">
        <f>parking_demand_data_2024_ver0!O1531</f>
        <v>0</v>
      </c>
      <c r="Q1531" s="3">
        <f>parking_demand_data_2024_ver0!P1531</f>
        <v>32</v>
      </c>
      <c r="R1531" s="3">
        <f>parking_demand_data_2024_ver0!Q1531</f>
        <v>0</v>
      </c>
      <c r="S1531" s="3">
        <f>parking_demand_data_2024_ver0!R1531</f>
        <v>112</v>
      </c>
      <c r="T1531" s="3">
        <f>parking_demand_data_2024_ver0!S1531</f>
        <v>0</v>
      </c>
    </row>
    <row r="1532" spans="1:20" x14ac:dyDescent="0.25">
      <c r="A1532">
        <v>18127</v>
      </c>
      <c r="B1532" t="s">
        <v>92</v>
      </c>
      <c r="C1532">
        <v>18</v>
      </c>
      <c r="D1532" s="3">
        <f>parking_demand_data_2024_ver0!D1532*calibration!$I$31</f>
        <v>321.92586535407997</v>
      </c>
      <c r="E1532" s="3">
        <f>parking_demand_data_2024_ver0!E1532*calibration!$I$31</f>
        <v>3.7885360431883099</v>
      </c>
      <c r="F1532" s="3">
        <f t="shared" si="23"/>
        <v>325.71440139726826</v>
      </c>
      <c r="G1532" s="3">
        <f>parking_demand_data_2024_ver0!F1532</f>
        <v>6</v>
      </c>
      <c r="H1532" s="3">
        <f>parking_demand_data_2024_ver0!G1532</f>
        <v>2</v>
      </c>
      <c r="I1532" s="3">
        <f>parking_demand_data_2024_ver0!H1532</f>
        <v>0</v>
      </c>
      <c r="J1532" s="3">
        <f>parking_demand_data_2024_ver0!I1532</f>
        <v>2</v>
      </c>
      <c r="K1532" s="3">
        <f>parking_demand_data_2024_ver0!J1532</f>
        <v>0</v>
      </c>
      <c r="L1532" s="3">
        <f>parking_demand_data_2024_ver0!K1532</f>
        <v>2</v>
      </c>
      <c r="M1532" s="3">
        <f>parking_demand_data_2024_ver0!L1532</f>
        <v>0</v>
      </c>
      <c r="N1532" s="3">
        <f>parking_demand_data_2024_ver0!M1532</f>
        <v>364</v>
      </c>
      <c r="O1532" s="3">
        <f>parking_demand_data_2024_ver0!N1532</f>
        <v>220</v>
      </c>
      <c r="P1532" s="3">
        <f>parking_demand_data_2024_ver0!O1532</f>
        <v>0</v>
      </c>
      <c r="Q1532" s="3">
        <f>parking_demand_data_2024_ver0!P1532</f>
        <v>32</v>
      </c>
      <c r="R1532" s="3">
        <f>parking_demand_data_2024_ver0!Q1532</f>
        <v>0</v>
      </c>
      <c r="S1532" s="3">
        <f>parking_demand_data_2024_ver0!R1532</f>
        <v>112</v>
      </c>
      <c r="T1532" s="3">
        <f>parking_demand_data_2024_ver0!S1532</f>
        <v>0</v>
      </c>
    </row>
    <row r="1533" spans="1:20" x14ac:dyDescent="0.25">
      <c r="A1533">
        <v>18127</v>
      </c>
      <c r="B1533" t="s">
        <v>92</v>
      </c>
      <c r="C1533">
        <v>19</v>
      </c>
      <c r="D1533" s="3">
        <f>parking_demand_data_2024_ver0!D1533*calibration!$I$31</f>
        <v>355.058939345824</v>
      </c>
      <c r="E1533" s="3">
        <f>parking_demand_data_2024_ver0!E1533*calibration!$I$31</f>
        <v>2.6586217846935498</v>
      </c>
      <c r="F1533" s="3">
        <f t="shared" si="23"/>
        <v>357.71756113051754</v>
      </c>
      <c r="G1533" s="3">
        <f>parking_demand_data_2024_ver0!F1533</f>
        <v>6</v>
      </c>
      <c r="H1533" s="3">
        <f>parking_demand_data_2024_ver0!G1533</f>
        <v>2</v>
      </c>
      <c r="I1533" s="3">
        <f>parking_demand_data_2024_ver0!H1533</f>
        <v>0</v>
      </c>
      <c r="J1533" s="3">
        <f>parking_demand_data_2024_ver0!I1533</f>
        <v>2</v>
      </c>
      <c r="K1533" s="3">
        <f>parking_demand_data_2024_ver0!J1533</f>
        <v>0</v>
      </c>
      <c r="L1533" s="3">
        <f>parking_demand_data_2024_ver0!K1533</f>
        <v>2</v>
      </c>
      <c r="M1533" s="3">
        <f>parking_demand_data_2024_ver0!L1533</f>
        <v>0</v>
      </c>
      <c r="N1533" s="3">
        <f>parking_demand_data_2024_ver0!M1533</f>
        <v>364</v>
      </c>
      <c r="O1533" s="3">
        <f>parking_demand_data_2024_ver0!N1533</f>
        <v>220</v>
      </c>
      <c r="P1533" s="3">
        <f>parking_demand_data_2024_ver0!O1533</f>
        <v>0</v>
      </c>
      <c r="Q1533" s="3">
        <f>parking_demand_data_2024_ver0!P1533</f>
        <v>32</v>
      </c>
      <c r="R1533" s="3">
        <f>parking_demand_data_2024_ver0!Q1533</f>
        <v>0</v>
      </c>
      <c r="S1533" s="3">
        <f>parking_demand_data_2024_ver0!R1533</f>
        <v>112</v>
      </c>
      <c r="T1533" s="3">
        <f>parking_demand_data_2024_ver0!S1533</f>
        <v>0</v>
      </c>
    </row>
    <row r="1534" spans="1:20" x14ac:dyDescent="0.25">
      <c r="A1534">
        <v>18127</v>
      </c>
      <c r="B1534" t="s">
        <v>92</v>
      </c>
      <c r="C1534">
        <v>20</v>
      </c>
      <c r="D1534" s="3">
        <f>parking_demand_data_2024_ver0!D1534*calibration!$I$31</f>
        <v>376.16174976182901</v>
      </c>
      <c r="E1534" s="3">
        <f>parking_demand_data_2024_ver0!E1534*calibration!$I$31</f>
        <v>2.8247856462368999</v>
      </c>
      <c r="F1534" s="3">
        <f t="shared" si="23"/>
        <v>378.98653540806589</v>
      </c>
      <c r="G1534" s="3">
        <f>parking_demand_data_2024_ver0!F1534</f>
        <v>6</v>
      </c>
      <c r="H1534" s="3">
        <f>parking_demand_data_2024_ver0!G1534</f>
        <v>2</v>
      </c>
      <c r="I1534" s="3">
        <f>parking_demand_data_2024_ver0!H1534</f>
        <v>0</v>
      </c>
      <c r="J1534" s="3">
        <f>parking_demand_data_2024_ver0!I1534</f>
        <v>2</v>
      </c>
      <c r="K1534" s="3">
        <f>parking_demand_data_2024_ver0!J1534</f>
        <v>0</v>
      </c>
      <c r="L1534" s="3">
        <f>parking_demand_data_2024_ver0!K1534</f>
        <v>2</v>
      </c>
      <c r="M1534" s="3">
        <f>parking_demand_data_2024_ver0!L1534</f>
        <v>0</v>
      </c>
      <c r="N1534" s="3">
        <f>parking_demand_data_2024_ver0!M1534</f>
        <v>364</v>
      </c>
      <c r="O1534" s="3">
        <f>parking_demand_data_2024_ver0!N1534</f>
        <v>220</v>
      </c>
      <c r="P1534" s="3">
        <f>parking_demand_data_2024_ver0!O1534</f>
        <v>0</v>
      </c>
      <c r="Q1534" s="3">
        <f>parking_demand_data_2024_ver0!P1534</f>
        <v>32</v>
      </c>
      <c r="R1534" s="3">
        <f>parking_demand_data_2024_ver0!Q1534</f>
        <v>0</v>
      </c>
      <c r="S1534" s="3">
        <f>parking_demand_data_2024_ver0!R1534</f>
        <v>112</v>
      </c>
      <c r="T1534" s="3">
        <f>parking_demand_data_2024_ver0!S1534</f>
        <v>0</v>
      </c>
    </row>
    <row r="1535" spans="1:20" x14ac:dyDescent="0.25">
      <c r="A1535">
        <v>18127</v>
      </c>
      <c r="B1535" t="s">
        <v>92</v>
      </c>
      <c r="C1535">
        <v>21</v>
      </c>
      <c r="D1535" s="3">
        <f>parking_demand_data_2024_ver0!D1535*calibration!$I$31</f>
        <v>391.14973007303797</v>
      </c>
      <c r="E1535" s="3">
        <f>parking_demand_data_2024_ver0!E1535*calibration!$I$31</f>
        <v>3.19034614163226</v>
      </c>
      <c r="F1535" s="3">
        <f t="shared" si="23"/>
        <v>394.3400762146702</v>
      </c>
      <c r="G1535" s="3">
        <f>parking_demand_data_2024_ver0!F1535</f>
        <v>6</v>
      </c>
      <c r="H1535" s="3">
        <f>parking_demand_data_2024_ver0!G1535</f>
        <v>2</v>
      </c>
      <c r="I1535" s="3">
        <f>parking_demand_data_2024_ver0!H1535</f>
        <v>0</v>
      </c>
      <c r="J1535" s="3">
        <f>parking_demand_data_2024_ver0!I1535</f>
        <v>2</v>
      </c>
      <c r="K1535" s="3">
        <f>parking_demand_data_2024_ver0!J1535</f>
        <v>0</v>
      </c>
      <c r="L1535" s="3">
        <f>parking_demand_data_2024_ver0!K1535</f>
        <v>2</v>
      </c>
      <c r="M1535" s="3">
        <f>parking_demand_data_2024_ver0!L1535</f>
        <v>0</v>
      </c>
      <c r="N1535" s="3">
        <f>parking_demand_data_2024_ver0!M1535</f>
        <v>364</v>
      </c>
      <c r="O1535" s="3">
        <f>parking_demand_data_2024_ver0!N1535</f>
        <v>220</v>
      </c>
      <c r="P1535" s="3">
        <f>parking_demand_data_2024_ver0!O1535</f>
        <v>0</v>
      </c>
      <c r="Q1535" s="3">
        <f>parking_demand_data_2024_ver0!P1535</f>
        <v>32</v>
      </c>
      <c r="R1535" s="3">
        <f>parking_demand_data_2024_ver0!Q1535</f>
        <v>0</v>
      </c>
      <c r="S1535" s="3">
        <f>parking_demand_data_2024_ver0!R1535</f>
        <v>112</v>
      </c>
      <c r="T1535" s="3">
        <f>parking_demand_data_2024_ver0!S1535</f>
        <v>0</v>
      </c>
    </row>
    <row r="1536" spans="1:20" x14ac:dyDescent="0.25">
      <c r="A1536">
        <v>18127</v>
      </c>
      <c r="B1536" t="s">
        <v>92</v>
      </c>
      <c r="C1536">
        <v>22</v>
      </c>
      <c r="D1536" s="3">
        <f>parking_demand_data_2024_ver0!D1536*calibration!$I$31</f>
        <v>404.07727850111098</v>
      </c>
      <c r="E1536" s="3">
        <f>parking_demand_data_2024_ver0!E1536*calibration!$I$31</f>
        <v>3.7220704985709698</v>
      </c>
      <c r="F1536" s="3">
        <f t="shared" si="23"/>
        <v>407.79934899968197</v>
      </c>
      <c r="G1536" s="3">
        <f>parking_demand_data_2024_ver0!F1536</f>
        <v>6</v>
      </c>
      <c r="H1536" s="3">
        <f>parking_demand_data_2024_ver0!G1536</f>
        <v>2</v>
      </c>
      <c r="I1536" s="3">
        <f>parking_demand_data_2024_ver0!H1536</f>
        <v>0</v>
      </c>
      <c r="J1536" s="3">
        <f>parking_demand_data_2024_ver0!I1536</f>
        <v>2</v>
      </c>
      <c r="K1536" s="3">
        <f>parking_demand_data_2024_ver0!J1536</f>
        <v>0</v>
      </c>
      <c r="L1536" s="3">
        <f>parking_demand_data_2024_ver0!K1536</f>
        <v>2</v>
      </c>
      <c r="M1536" s="3">
        <f>parking_demand_data_2024_ver0!L1536</f>
        <v>0</v>
      </c>
      <c r="N1536" s="3">
        <f>parking_demand_data_2024_ver0!M1536</f>
        <v>364</v>
      </c>
      <c r="O1536" s="3">
        <f>parking_demand_data_2024_ver0!N1536</f>
        <v>220</v>
      </c>
      <c r="P1536" s="3">
        <f>parking_demand_data_2024_ver0!O1536</f>
        <v>0</v>
      </c>
      <c r="Q1536" s="3">
        <f>parking_demand_data_2024_ver0!P1536</f>
        <v>32</v>
      </c>
      <c r="R1536" s="3">
        <f>parking_demand_data_2024_ver0!Q1536</f>
        <v>0</v>
      </c>
      <c r="S1536" s="3">
        <f>parking_demand_data_2024_ver0!R1536</f>
        <v>112</v>
      </c>
      <c r="T1536" s="3">
        <f>parking_demand_data_2024_ver0!S1536</f>
        <v>0</v>
      </c>
    </row>
    <row r="1537" spans="1:20" x14ac:dyDescent="0.25">
      <c r="A1537">
        <v>18127</v>
      </c>
      <c r="B1537" t="s">
        <v>92</v>
      </c>
      <c r="C1537">
        <v>23</v>
      </c>
      <c r="D1537" s="3">
        <f>parking_demand_data_2024_ver0!D1537*calibration!$I$31</f>
        <v>412.35223880596999</v>
      </c>
      <c r="E1537" s="3">
        <f>parking_demand_data_2024_ver0!E1537*calibration!$I$31</f>
        <v>4.4531914893617</v>
      </c>
      <c r="F1537" s="3">
        <f t="shared" si="23"/>
        <v>416.80543029533169</v>
      </c>
      <c r="G1537" s="3">
        <f>parking_demand_data_2024_ver0!F1537</f>
        <v>6</v>
      </c>
      <c r="H1537" s="3">
        <f>parking_demand_data_2024_ver0!G1537</f>
        <v>2</v>
      </c>
      <c r="I1537" s="3">
        <f>parking_demand_data_2024_ver0!H1537</f>
        <v>0</v>
      </c>
      <c r="J1537" s="3">
        <f>parking_demand_data_2024_ver0!I1537</f>
        <v>2</v>
      </c>
      <c r="K1537" s="3">
        <f>parking_demand_data_2024_ver0!J1537</f>
        <v>0</v>
      </c>
      <c r="L1537" s="3">
        <f>parking_demand_data_2024_ver0!K1537</f>
        <v>2</v>
      </c>
      <c r="M1537" s="3">
        <f>parking_demand_data_2024_ver0!L1537</f>
        <v>0</v>
      </c>
      <c r="N1537" s="3">
        <f>parking_demand_data_2024_ver0!M1537</f>
        <v>364</v>
      </c>
      <c r="O1537" s="3">
        <f>parking_demand_data_2024_ver0!N1537</f>
        <v>220</v>
      </c>
      <c r="P1537" s="3">
        <f>parking_demand_data_2024_ver0!O1537</f>
        <v>0</v>
      </c>
      <c r="Q1537" s="3">
        <f>parking_demand_data_2024_ver0!P1537</f>
        <v>32</v>
      </c>
      <c r="R1537" s="3">
        <f>parking_demand_data_2024_ver0!Q1537</f>
        <v>0</v>
      </c>
      <c r="S1537" s="3">
        <f>parking_demand_data_2024_ver0!R1537</f>
        <v>112</v>
      </c>
      <c r="T1537" s="3">
        <f>parking_demand_data_2024_ver0!S1537</f>
        <v>0</v>
      </c>
    </row>
    <row r="1538" spans="1:20" x14ac:dyDescent="0.25">
      <c r="A1538">
        <v>18129</v>
      </c>
      <c r="B1538" t="s">
        <v>93</v>
      </c>
      <c r="C1538">
        <v>0</v>
      </c>
      <c r="D1538" s="3">
        <f>parking_demand_data_2024_ver0!D1538*calibration!$I$31</f>
        <v>8.4236986474962894</v>
      </c>
      <c r="E1538" s="3">
        <f>parking_demand_data_2024_ver0!E1538*calibration!$I$31</f>
        <v>6.5639210240230801</v>
      </c>
      <c r="F1538" s="3">
        <f t="shared" si="23"/>
        <v>14.987619671519369</v>
      </c>
      <c r="G1538" s="3">
        <f>parking_demand_data_2024_ver0!F1538</f>
        <v>1</v>
      </c>
      <c r="H1538" s="3">
        <f>parking_demand_data_2024_ver0!G1538</f>
        <v>0</v>
      </c>
      <c r="I1538" s="3">
        <f>parking_demand_data_2024_ver0!H1538</f>
        <v>0</v>
      </c>
      <c r="J1538" s="3">
        <f>parking_demand_data_2024_ver0!I1538</f>
        <v>1</v>
      </c>
      <c r="K1538" s="3">
        <f>parking_demand_data_2024_ver0!J1538</f>
        <v>0</v>
      </c>
      <c r="L1538" s="3">
        <f>parking_demand_data_2024_ver0!K1538</f>
        <v>0</v>
      </c>
      <c r="M1538" s="3">
        <f>parking_demand_data_2024_ver0!L1538</f>
        <v>0</v>
      </c>
      <c r="N1538" s="3">
        <f>parking_demand_data_2024_ver0!M1538</f>
        <v>12</v>
      </c>
      <c r="O1538" s="3">
        <f>parking_demand_data_2024_ver0!N1538</f>
        <v>0</v>
      </c>
      <c r="P1538" s="3">
        <f>parking_demand_data_2024_ver0!O1538</f>
        <v>0</v>
      </c>
      <c r="Q1538" s="3">
        <f>parking_demand_data_2024_ver0!P1538</f>
        <v>12</v>
      </c>
      <c r="R1538" s="3">
        <f>parking_demand_data_2024_ver0!Q1538</f>
        <v>0</v>
      </c>
      <c r="S1538" s="3">
        <f>parking_demand_data_2024_ver0!R1538</f>
        <v>0</v>
      </c>
      <c r="T1538" s="3">
        <f>parking_demand_data_2024_ver0!S1538</f>
        <v>0</v>
      </c>
    </row>
    <row r="1539" spans="1:20" x14ac:dyDescent="0.25">
      <c r="A1539">
        <v>18129</v>
      </c>
      <c r="B1539" t="s">
        <v>93</v>
      </c>
      <c r="C1539">
        <v>1</v>
      </c>
      <c r="D1539" s="3">
        <f>parking_demand_data_2024_ver0!D1539*calibration!$I$31</f>
        <v>8.3142999637625703</v>
      </c>
      <c r="E1539" s="3">
        <f>parking_demand_data_2024_ver0!E1539*calibration!$I$31</f>
        <v>7.2203131264253901</v>
      </c>
      <c r="F1539" s="3">
        <f t="shared" ref="F1539:F1602" si="24">SUM(D1539:E1539)</f>
        <v>15.53461309018796</v>
      </c>
      <c r="G1539" s="3">
        <f>parking_demand_data_2024_ver0!F1539</f>
        <v>1</v>
      </c>
      <c r="H1539" s="3">
        <f>parking_demand_data_2024_ver0!G1539</f>
        <v>0</v>
      </c>
      <c r="I1539" s="3">
        <f>parking_demand_data_2024_ver0!H1539</f>
        <v>0</v>
      </c>
      <c r="J1539" s="3">
        <f>parking_demand_data_2024_ver0!I1539</f>
        <v>1</v>
      </c>
      <c r="K1539" s="3">
        <f>parking_demand_data_2024_ver0!J1539</f>
        <v>0</v>
      </c>
      <c r="L1539" s="3">
        <f>parking_demand_data_2024_ver0!K1539</f>
        <v>0</v>
      </c>
      <c r="M1539" s="3">
        <f>parking_demand_data_2024_ver0!L1539</f>
        <v>0</v>
      </c>
      <c r="N1539" s="3">
        <f>parking_demand_data_2024_ver0!M1539</f>
        <v>12</v>
      </c>
      <c r="O1539" s="3">
        <f>parking_demand_data_2024_ver0!N1539</f>
        <v>0</v>
      </c>
      <c r="P1539" s="3">
        <f>parking_demand_data_2024_ver0!O1539</f>
        <v>0</v>
      </c>
      <c r="Q1539" s="3">
        <f>parking_demand_data_2024_ver0!P1539</f>
        <v>12</v>
      </c>
      <c r="R1539" s="3">
        <f>parking_demand_data_2024_ver0!Q1539</f>
        <v>0</v>
      </c>
      <c r="S1539" s="3">
        <f>parking_demand_data_2024_ver0!R1539</f>
        <v>0</v>
      </c>
      <c r="T1539" s="3">
        <f>parking_demand_data_2024_ver0!S1539</f>
        <v>0</v>
      </c>
    </row>
    <row r="1540" spans="1:20" x14ac:dyDescent="0.25">
      <c r="A1540">
        <v>18129</v>
      </c>
      <c r="B1540" t="s">
        <v>93</v>
      </c>
      <c r="C1540">
        <v>2</v>
      </c>
      <c r="D1540" s="3">
        <f>parking_demand_data_2024_ver0!D1540*calibration!$I$31</f>
        <v>8.2049012800288494</v>
      </c>
      <c r="E1540" s="3">
        <f>parking_demand_data_2024_ver0!E1540*calibration!$I$31</f>
        <v>7.4391104938928203</v>
      </c>
      <c r="F1540" s="3">
        <f t="shared" si="24"/>
        <v>15.644011773921669</v>
      </c>
      <c r="G1540" s="3">
        <f>parking_demand_data_2024_ver0!F1540</f>
        <v>1</v>
      </c>
      <c r="H1540" s="3">
        <f>parking_demand_data_2024_ver0!G1540</f>
        <v>0</v>
      </c>
      <c r="I1540" s="3">
        <f>parking_demand_data_2024_ver0!H1540</f>
        <v>0</v>
      </c>
      <c r="J1540" s="3">
        <f>parking_demand_data_2024_ver0!I1540</f>
        <v>1</v>
      </c>
      <c r="K1540" s="3">
        <f>parking_demand_data_2024_ver0!J1540</f>
        <v>0</v>
      </c>
      <c r="L1540" s="3">
        <f>parking_demand_data_2024_ver0!K1540</f>
        <v>0</v>
      </c>
      <c r="M1540" s="3">
        <f>parking_demand_data_2024_ver0!L1540</f>
        <v>0</v>
      </c>
      <c r="N1540" s="3">
        <f>parking_demand_data_2024_ver0!M1540</f>
        <v>12</v>
      </c>
      <c r="O1540" s="3">
        <f>parking_demand_data_2024_ver0!N1540</f>
        <v>0</v>
      </c>
      <c r="P1540" s="3">
        <f>parking_demand_data_2024_ver0!O1540</f>
        <v>0</v>
      </c>
      <c r="Q1540" s="3">
        <f>parking_demand_data_2024_ver0!P1540</f>
        <v>12</v>
      </c>
      <c r="R1540" s="3">
        <f>parking_demand_data_2024_ver0!Q1540</f>
        <v>0</v>
      </c>
      <c r="S1540" s="3">
        <f>parking_demand_data_2024_ver0!R1540</f>
        <v>0</v>
      </c>
      <c r="T1540" s="3">
        <f>parking_demand_data_2024_ver0!S1540</f>
        <v>0</v>
      </c>
    </row>
    <row r="1541" spans="1:20" x14ac:dyDescent="0.25">
      <c r="A1541">
        <v>18129</v>
      </c>
      <c r="B1541" t="s">
        <v>93</v>
      </c>
      <c r="C1541">
        <v>3</v>
      </c>
      <c r="D1541" s="3">
        <f>parking_demand_data_2024_ver0!D1541*calibration!$I$31</f>
        <v>8.2049012800288494</v>
      </c>
      <c r="E1541" s="3">
        <f>parking_demand_data_2024_ver0!E1541*calibration!$I$31</f>
        <v>8.2049012800288494</v>
      </c>
      <c r="F1541" s="3">
        <f t="shared" si="24"/>
        <v>16.409802560057699</v>
      </c>
      <c r="G1541" s="3">
        <f>parking_demand_data_2024_ver0!F1541</f>
        <v>1</v>
      </c>
      <c r="H1541" s="3">
        <f>parking_demand_data_2024_ver0!G1541</f>
        <v>0</v>
      </c>
      <c r="I1541" s="3">
        <f>parking_demand_data_2024_ver0!H1541</f>
        <v>0</v>
      </c>
      <c r="J1541" s="3">
        <f>parking_demand_data_2024_ver0!I1541</f>
        <v>1</v>
      </c>
      <c r="K1541" s="3">
        <f>parking_demand_data_2024_ver0!J1541</f>
        <v>0</v>
      </c>
      <c r="L1541" s="3">
        <f>parking_demand_data_2024_ver0!K1541</f>
        <v>0</v>
      </c>
      <c r="M1541" s="3">
        <f>parking_demand_data_2024_ver0!L1541</f>
        <v>0</v>
      </c>
      <c r="N1541" s="3">
        <f>parking_demand_data_2024_ver0!M1541</f>
        <v>12</v>
      </c>
      <c r="O1541" s="3">
        <f>parking_demand_data_2024_ver0!N1541</f>
        <v>0</v>
      </c>
      <c r="P1541" s="3">
        <f>parking_demand_data_2024_ver0!O1541</f>
        <v>0</v>
      </c>
      <c r="Q1541" s="3">
        <f>parking_demand_data_2024_ver0!P1541</f>
        <v>12</v>
      </c>
      <c r="R1541" s="3">
        <f>parking_demand_data_2024_ver0!Q1541</f>
        <v>0</v>
      </c>
      <c r="S1541" s="3">
        <f>parking_demand_data_2024_ver0!R1541</f>
        <v>0</v>
      </c>
      <c r="T1541" s="3">
        <f>parking_demand_data_2024_ver0!S1541</f>
        <v>0</v>
      </c>
    </row>
    <row r="1542" spans="1:20" x14ac:dyDescent="0.25">
      <c r="A1542">
        <v>18129</v>
      </c>
      <c r="B1542" t="s">
        <v>93</v>
      </c>
      <c r="C1542">
        <v>4</v>
      </c>
      <c r="D1542" s="3">
        <f>parking_demand_data_2024_ver0!D1542*calibration!$I$31</f>
        <v>8.2049012800288494</v>
      </c>
      <c r="E1542" s="3">
        <f>parking_demand_data_2024_ver0!E1542*calibration!$I$31</f>
        <v>9.6270841685671904</v>
      </c>
      <c r="F1542" s="3">
        <f t="shared" si="24"/>
        <v>17.83198544859604</v>
      </c>
      <c r="G1542" s="3">
        <f>parking_demand_data_2024_ver0!F1542</f>
        <v>1</v>
      </c>
      <c r="H1542" s="3">
        <f>parking_demand_data_2024_ver0!G1542</f>
        <v>0</v>
      </c>
      <c r="I1542" s="3">
        <f>parking_demand_data_2024_ver0!H1542</f>
        <v>0</v>
      </c>
      <c r="J1542" s="3">
        <f>parking_demand_data_2024_ver0!I1542</f>
        <v>1</v>
      </c>
      <c r="K1542" s="3">
        <f>parking_demand_data_2024_ver0!J1542</f>
        <v>0</v>
      </c>
      <c r="L1542" s="3">
        <f>parking_demand_data_2024_ver0!K1542</f>
        <v>0</v>
      </c>
      <c r="M1542" s="3">
        <f>parking_demand_data_2024_ver0!L1542</f>
        <v>0</v>
      </c>
      <c r="N1542" s="3">
        <f>parking_demand_data_2024_ver0!M1542</f>
        <v>12</v>
      </c>
      <c r="O1542" s="3">
        <f>parking_demand_data_2024_ver0!N1542</f>
        <v>0</v>
      </c>
      <c r="P1542" s="3">
        <f>parking_demand_data_2024_ver0!O1542</f>
        <v>0</v>
      </c>
      <c r="Q1542" s="3">
        <f>parking_demand_data_2024_ver0!P1542</f>
        <v>12</v>
      </c>
      <c r="R1542" s="3">
        <f>parking_demand_data_2024_ver0!Q1542</f>
        <v>0</v>
      </c>
      <c r="S1542" s="3">
        <f>parking_demand_data_2024_ver0!R1542</f>
        <v>0</v>
      </c>
      <c r="T1542" s="3">
        <f>parking_demand_data_2024_ver0!S1542</f>
        <v>0</v>
      </c>
    </row>
    <row r="1543" spans="1:20" x14ac:dyDescent="0.25">
      <c r="A1543">
        <v>18129</v>
      </c>
      <c r="B1543" t="s">
        <v>93</v>
      </c>
      <c r="C1543">
        <v>5</v>
      </c>
      <c r="D1543" s="3">
        <f>parking_demand_data_2024_ver0!D1543*calibration!$I$31</f>
        <v>8.2049012800288494</v>
      </c>
      <c r="E1543" s="3">
        <f>parking_demand_data_2024_ver0!E1543*calibration!$I$31</f>
        <v>12.0338552107089</v>
      </c>
      <c r="F1543" s="3">
        <f t="shared" si="24"/>
        <v>20.23875649073775</v>
      </c>
      <c r="G1543" s="3">
        <f>parking_demand_data_2024_ver0!F1543</f>
        <v>1</v>
      </c>
      <c r="H1543" s="3">
        <f>parking_demand_data_2024_ver0!G1543</f>
        <v>0</v>
      </c>
      <c r="I1543" s="3">
        <f>parking_demand_data_2024_ver0!H1543</f>
        <v>0</v>
      </c>
      <c r="J1543" s="3">
        <f>parking_demand_data_2024_ver0!I1543</f>
        <v>1</v>
      </c>
      <c r="K1543" s="3">
        <f>parking_demand_data_2024_ver0!J1543</f>
        <v>0</v>
      </c>
      <c r="L1543" s="3">
        <f>parking_demand_data_2024_ver0!K1543</f>
        <v>0</v>
      </c>
      <c r="M1543" s="3">
        <f>parking_demand_data_2024_ver0!L1543</f>
        <v>0</v>
      </c>
      <c r="N1543" s="3">
        <f>parking_demand_data_2024_ver0!M1543</f>
        <v>12</v>
      </c>
      <c r="O1543" s="3">
        <f>parking_demand_data_2024_ver0!N1543</f>
        <v>0</v>
      </c>
      <c r="P1543" s="3">
        <f>parking_demand_data_2024_ver0!O1543</f>
        <v>0</v>
      </c>
      <c r="Q1543" s="3">
        <f>parking_demand_data_2024_ver0!P1543</f>
        <v>12</v>
      </c>
      <c r="R1543" s="3">
        <f>parking_demand_data_2024_ver0!Q1543</f>
        <v>0</v>
      </c>
      <c r="S1543" s="3">
        <f>parking_demand_data_2024_ver0!R1543</f>
        <v>0</v>
      </c>
      <c r="T1543" s="3">
        <f>parking_demand_data_2024_ver0!S1543</f>
        <v>0</v>
      </c>
    </row>
    <row r="1544" spans="1:20" x14ac:dyDescent="0.25">
      <c r="A1544">
        <v>18129</v>
      </c>
      <c r="B1544" t="s">
        <v>93</v>
      </c>
      <c r="C1544">
        <v>6</v>
      </c>
      <c r="D1544" s="3">
        <f>parking_demand_data_2024_ver0!D1544*calibration!$I$31</f>
        <v>8.4236986474962894</v>
      </c>
      <c r="E1544" s="3">
        <f>parking_demand_data_2024_ver0!E1544*calibration!$I$31</f>
        <v>13.3466394155136</v>
      </c>
      <c r="F1544" s="3">
        <f t="shared" si="24"/>
        <v>21.770338063009888</v>
      </c>
      <c r="G1544" s="3">
        <f>parking_demand_data_2024_ver0!F1544</f>
        <v>1</v>
      </c>
      <c r="H1544" s="3">
        <f>parking_demand_data_2024_ver0!G1544</f>
        <v>0</v>
      </c>
      <c r="I1544" s="3">
        <f>parking_demand_data_2024_ver0!H1544</f>
        <v>0</v>
      </c>
      <c r="J1544" s="3">
        <f>parking_demand_data_2024_ver0!I1544</f>
        <v>1</v>
      </c>
      <c r="K1544" s="3">
        <f>parking_demand_data_2024_ver0!J1544</f>
        <v>0</v>
      </c>
      <c r="L1544" s="3">
        <f>parking_demand_data_2024_ver0!K1544</f>
        <v>0</v>
      </c>
      <c r="M1544" s="3">
        <f>parking_demand_data_2024_ver0!L1544</f>
        <v>0</v>
      </c>
      <c r="N1544" s="3">
        <f>parking_demand_data_2024_ver0!M1544</f>
        <v>12</v>
      </c>
      <c r="O1544" s="3">
        <f>parking_demand_data_2024_ver0!N1544</f>
        <v>0</v>
      </c>
      <c r="P1544" s="3">
        <f>parking_demand_data_2024_ver0!O1544</f>
        <v>0</v>
      </c>
      <c r="Q1544" s="3">
        <f>parking_demand_data_2024_ver0!P1544</f>
        <v>12</v>
      </c>
      <c r="R1544" s="3">
        <f>parking_demand_data_2024_ver0!Q1544</f>
        <v>0</v>
      </c>
      <c r="S1544" s="3">
        <f>parking_demand_data_2024_ver0!R1544</f>
        <v>0</v>
      </c>
      <c r="T1544" s="3">
        <f>parking_demand_data_2024_ver0!S1544</f>
        <v>0</v>
      </c>
    </row>
    <row r="1545" spans="1:20" x14ac:dyDescent="0.25">
      <c r="A1545">
        <v>18129</v>
      </c>
      <c r="B1545" t="s">
        <v>93</v>
      </c>
      <c r="C1545">
        <v>7</v>
      </c>
      <c r="D1545" s="3">
        <f>parking_demand_data_2024_ver0!D1545*calibration!$I$31</f>
        <v>6.12632628908821</v>
      </c>
      <c r="E1545" s="3">
        <f>parking_demand_data_2024_ver0!E1545*calibration!$I$31</f>
        <v>14.0030315179159</v>
      </c>
      <c r="F1545" s="3">
        <f t="shared" si="24"/>
        <v>20.129357807004112</v>
      </c>
      <c r="G1545" s="3">
        <f>parking_demand_data_2024_ver0!F1545</f>
        <v>1</v>
      </c>
      <c r="H1545" s="3">
        <f>parking_demand_data_2024_ver0!G1545</f>
        <v>0</v>
      </c>
      <c r="I1545" s="3">
        <f>parking_demand_data_2024_ver0!H1545</f>
        <v>0</v>
      </c>
      <c r="J1545" s="3">
        <f>parking_demand_data_2024_ver0!I1545</f>
        <v>1</v>
      </c>
      <c r="K1545" s="3">
        <f>parking_demand_data_2024_ver0!J1545</f>
        <v>0</v>
      </c>
      <c r="L1545" s="3">
        <f>parking_demand_data_2024_ver0!K1545</f>
        <v>0</v>
      </c>
      <c r="M1545" s="3">
        <f>parking_demand_data_2024_ver0!L1545</f>
        <v>0</v>
      </c>
      <c r="N1545" s="3">
        <f>parking_demand_data_2024_ver0!M1545</f>
        <v>12</v>
      </c>
      <c r="O1545" s="3">
        <f>parking_demand_data_2024_ver0!N1545</f>
        <v>0</v>
      </c>
      <c r="P1545" s="3">
        <f>parking_demand_data_2024_ver0!O1545</f>
        <v>0</v>
      </c>
      <c r="Q1545" s="3">
        <f>parking_demand_data_2024_ver0!P1545</f>
        <v>12</v>
      </c>
      <c r="R1545" s="3">
        <f>parking_demand_data_2024_ver0!Q1545</f>
        <v>0</v>
      </c>
      <c r="S1545" s="3">
        <f>parking_demand_data_2024_ver0!R1545</f>
        <v>0</v>
      </c>
      <c r="T1545" s="3">
        <f>parking_demand_data_2024_ver0!S1545</f>
        <v>0</v>
      </c>
    </row>
    <row r="1546" spans="1:20" x14ac:dyDescent="0.25">
      <c r="A1546">
        <v>18129</v>
      </c>
      <c r="B1546" t="s">
        <v>93</v>
      </c>
      <c r="C1546">
        <v>8</v>
      </c>
      <c r="D1546" s="3">
        <f>parking_demand_data_2024_ver0!D1546*calibration!$I$31</f>
        <v>4.4853460330824397</v>
      </c>
      <c r="E1546" s="3">
        <f>parking_demand_data_2024_ver0!E1546*calibration!$I$31</f>
        <v>17.722586764862299</v>
      </c>
      <c r="F1546" s="3">
        <f t="shared" si="24"/>
        <v>22.207932797944739</v>
      </c>
      <c r="G1546" s="3">
        <f>parking_demand_data_2024_ver0!F1546</f>
        <v>1</v>
      </c>
      <c r="H1546" s="3">
        <f>parking_demand_data_2024_ver0!G1546</f>
        <v>0</v>
      </c>
      <c r="I1546" s="3">
        <f>parking_demand_data_2024_ver0!H1546</f>
        <v>0</v>
      </c>
      <c r="J1546" s="3">
        <f>parking_demand_data_2024_ver0!I1546</f>
        <v>1</v>
      </c>
      <c r="K1546" s="3">
        <f>parking_demand_data_2024_ver0!J1546</f>
        <v>0</v>
      </c>
      <c r="L1546" s="3">
        <f>parking_demand_data_2024_ver0!K1546</f>
        <v>0</v>
      </c>
      <c r="M1546" s="3">
        <f>parking_demand_data_2024_ver0!L1546</f>
        <v>0</v>
      </c>
      <c r="N1546" s="3">
        <f>parking_demand_data_2024_ver0!M1546</f>
        <v>12</v>
      </c>
      <c r="O1546" s="3">
        <f>parking_demand_data_2024_ver0!N1546</f>
        <v>0</v>
      </c>
      <c r="P1546" s="3">
        <f>parking_demand_data_2024_ver0!O1546</f>
        <v>0</v>
      </c>
      <c r="Q1546" s="3">
        <f>parking_demand_data_2024_ver0!P1546</f>
        <v>12</v>
      </c>
      <c r="R1546" s="3">
        <f>parking_demand_data_2024_ver0!Q1546</f>
        <v>0</v>
      </c>
      <c r="S1546" s="3">
        <f>parking_demand_data_2024_ver0!R1546</f>
        <v>0</v>
      </c>
      <c r="T1546" s="3">
        <f>parking_demand_data_2024_ver0!S1546</f>
        <v>0</v>
      </c>
    </row>
    <row r="1547" spans="1:20" x14ac:dyDescent="0.25">
      <c r="A1547">
        <v>18129</v>
      </c>
      <c r="B1547" t="s">
        <v>93</v>
      </c>
      <c r="C1547">
        <v>9</v>
      </c>
      <c r="D1547" s="3">
        <f>parking_demand_data_2024_ver0!D1547*calibration!$I$31</f>
        <v>6.6733197077568001</v>
      </c>
      <c r="E1547" s="3">
        <f>parking_demand_data_2024_ver0!E1547*calibration!$I$31</f>
        <v>15.6440117739216</v>
      </c>
      <c r="F1547" s="3">
        <f t="shared" si="24"/>
        <v>22.317331481678401</v>
      </c>
      <c r="G1547" s="3">
        <f>parking_demand_data_2024_ver0!F1547</f>
        <v>1</v>
      </c>
      <c r="H1547" s="3">
        <f>parking_demand_data_2024_ver0!G1547</f>
        <v>0</v>
      </c>
      <c r="I1547" s="3">
        <f>parking_demand_data_2024_ver0!H1547</f>
        <v>0</v>
      </c>
      <c r="J1547" s="3">
        <f>parking_demand_data_2024_ver0!I1547</f>
        <v>1</v>
      </c>
      <c r="K1547" s="3">
        <f>parking_demand_data_2024_ver0!J1547</f>
        <v>0</v>
      </c>
      <c r="L1547" s="3">
        <f>parking_demand_data_2024_ver0!K1547</f>
        <v>0</v>
      </c>
      <c r="M1547" s="3">
        <f>parking_demand_data_2024_ver0!L1547</f>
        <v>0</v>
      </c>
      <c r="N1547" s="3">
        <f>parking_demand_data_2024_ver0!M1547</f>
        <v>12</v>
      </c>
      <c r="O1547" s="3">
        <f>parking_demand_data_2024_ver0!N1547</f>
        <v>0</v>
      </c>
      <c r="P1547" s="3">
        <f>parking_demand_data_2024_ver0!O1547</f>
        <v>0</v>
      </c>
      <c r="Q1547" s="3">
        <f>parking_demand_data_2024_ver0!P1547</f>
        <v>12</v>
      </c>
      <c r="R1547" s="3">
        <f>parking_demand_data_2024_ver0!Q1547</f>
        <v>0</v>
      </c>
      <c r="S1547" s="3">
        <f>parking_demand_data_2024_ver0!R1547</f>
        <v>0</v>
      </c>
      <c r="T1547" s="3">
        <f>parking_demand_data_2024_ver0!S1547</f>
        <v>0</v>
      </c>
    </row>
    <row r="1548" spans="1:20" x14ac:dyDescent="0.25">
      <c r="A1548">
        <v>18129</v>
      </c>
      <c r="B1548" t="s">
        <v>93</v>
      </c>
      <c r="C1548">
        <v>10</v>
      </c>
      <c r="D1548" s="3">
        <f>parking_demand_data_2024_ver0!D1548*calibration!$I$31</f>
        <v>7.8767052288277002</v>
      </c>
      <c r="E1548" s="3">
        <f>parking_demand_data_2024_ver0!E1548*calibration!$I$31</f>
        <v>13.3466394155136</v>
      </c>
      <c r="F1548" s="3">
        <f t="shared" si="24"/>
        <v>21.223344644341299</v>
      </c>
      <c r="G1548" s="3">
        <f>parking_demand_data_2024_ver0!F1548</f>
        <v>1</v>
      </c>
      <c r="H1548" s="3">
        <f>parking_demand_data_2024_ver0!G1548</f>
        <v>0</v>
      </c>
      <c r="I1548" s="3">
        <f>parking_demand_data_2024_ver0!H1548</f>
        <v>0</v>
      </c>
      <c r="J1548" s="3">
        <f>parking_demand_data_2024_ver0!I1548</f>
        <v>1</v>
      </c>
      <c r="K1548" s="3">
        <f>parking_demand_data_2024_ver0!J1548</f>
        <v>0</v>
      </c>
      <c r="L1548" s="3">
        <f>parking_demand_data_2024_ver0!K1548</f>
        <v>0</v>
      </c>
      <c r="M1548" s="3">
        <f>parking_demand_data_2024_ver0!L1548</f>
        <v>0</v>
      </c>
      <c r="N1548" s="3">
        <f>parking_demand_data_2024_ver0!M1548</f>
        <v>12</v>
      </c>
      <c r="O1548" s="3">
        <f>parking_demand_data_2024_ver0!N1548</f>
        <v>0</v>
      </c>
      <c r="P1548" s="3">
        <f>parking_demand_data_2024_ver0!O1548</f>
        <v>0</v>
      </c>
      <c r="Q1548" s="3">
        <f>parking_demand_data_2024_ver0!P1548</f>
        <v>12</v>
      </c>
      <c r="R1548" s="3">
        <f>parking_demand_data_2024_ver0!Q1548</f>
        <v>0</v>
      </c>
      <c r="S1548" s="3">
        <f>parking_demand_data_2024_ver0!R1548</f>
        <v>0</v>
      </c>
      <c r="T1548" s="3">
        <f>parking_demand_data_2024_ver0!S1548</f>
        <v>0</v>
      </c>
    </row>
    <row r="1549" spans="1:20" x14ac:dyDescent="0.25">
      <c r="A1549">
        <v>18129</v>
      </c>
      <c r="B1549" t="s">
        <v>93</v>
      </c>
      <c r="C1549">
        <v>11</v>
      </c>
      <c r="D1549" s="3">
        <f>parking_demand_data_2024_ver0!D1549*calibration!$I$31</f>
        <v>6.8921170752242302</v>
      </c>
      <c r="E1549" s="3">
        <f>parking_demand_data_2024_ver0!E1549*calibration!$I$31</f>
        <v>14.8782209877856</v>
      </c>
      <c r="F1549" s="3">
        <f t="shared" si="24"/>
        <v>21.770338063009831</v>
      </c>
      <c r="G1549" s="3">
        <f>parking_demand_data_2024_ver0!F1549</f>
        <v>1</v>
      </c>
      <c r="H1549" s="3">
        <f>parking_demand_data_2024_ver0!G1549</f>
        <v>0</v>
      </c>
      <c r="I1549" s="3">
        <f>parking_demand_data_2024_ver0!H1549</f>
        <v>0</v>
      </c>
      <c r="J1549" s="3">
        <f>parking_demand_data_2024_ver0!I1549</f>
        <v>1</v>
      </c>
      <c r="K1549" s="3">
        <f>parking_demand_data_2024_ver0!J1549</f>
        <v>0</v>
      </c>
      <c r="L1549" s="3">
        <f>parking_demand_data_2024_ver0!K1549</f>
        <v>0</v>
      </c>
      <c r="M1549" s="3">
        <f>parking_demand_data_2024_ver0!L1549</f>
        <v>0</v>
      </c>
      <c r="N1549" s="3">
        <f>parking_demand_data_2024_ver0!M1549</f>
        <v>12</v>
      </c>
      <c r="O1549" s="3">
        <f>parking_demand_data_2024_ver0!N1549</f>
        <v>0</v>
      </c>
      <c r="P1549" s="3">
        <f>parking_demand_data_2024_ver0!O1549</f>
        <v>0</v>
      </c>
      <c r="Q1549" s="3">
        <f>parking_demand_data_2024_ver0!P1549</f>
        <v>12</v>
      </c>
      <c r="R1549" s="3">
        <f>parking_demand_data_2024_ver0!Q1549</f>
        <v>0</v>
      </c>
      <c r="S1549" s="3">
        <f>parking_demand_data_2024_ver0!R1549</f>
        <v>0</v>
      </c>
      <c r="T1549" s="3">
        <f>parking_demand_data_2024_ver0!S1549</f>
        <v>0</v>
      </c>
    </row>
    <row r="1550" spans="1:20" x14ac:dyDescent="0.25">
      <c r="A1550">
        <v>18129</v>
      </c>
      <c r="B1550" t="s">
        <v>93</v>
      </c>
      <c r="C1550">
        <v>12</v>
      </c>
      <c r="D1550" s="3">
        <f>parking_demand_data_2024_ver0!D1550*calibration!$I$31</f>
        <v>6.12632628908821</v>
      </c>
      <c r="E1550" s="3">
        <f>parking_demand_data_2024_ver0!E1550*calibration!$I$31</f>
        <v>13.0184433643124</v>
      </c>
      <c r="F1550" s="3">
        <f t="shared" si="24"/>
        <v>19.144769653400608</v>
      </c>
      <c r="G1550" s="3">
        <f>parking_demand_data_2024_ver0!F1550</f>
        <v>1</v>
      </c>
      <c r="H1550" s="3">
        <f>parking_demand_data_2024_ver0!G1550</f>
        <v>0</v>
      </c>
      <c r="I1550" s="3">
        <f>parking_demand_data_2024_ver0!H1550</f>
        <v>0</v>
      </c>
      <c r="J1550" s="3">
        <f>parking_demand_data_2024_ver0!I1550</f>
        <v>1</v>
      </c>
      <c r="K1550" s="3">
        <f>parking_demand_data_2024_ver0!J1550</f>
        <v>0</v>
      </c>
      <c r="L1550" s="3">
        <f>parking_demand_data_2024_ver0!K1550</f>
        <v>0</v>
      </c>
      <c r="M1550" s="3">
        <f>parking_demand_data_2024_ver0!L1550</f>
        <v>0</v>
      </c>
      <c r="N1550" s="3">
        <f>parking_demand_data_2024_ver0!M1550</f>
        <v>12</v>
      </c>
      <c r="O1550" s="3">
        <f>parking_demand_data_2024_ver0!N1550</f>
        <v>0</v>
      </c>
      <c r="P1550" s="3">
        <f>parking_demand_data_2024_ver0!O1550</f>
        <v>0</v>
      </c>
      <c r="Q1550" s="3">
        <f>parking_demand_data_2024_ver0!P1550</f>
        <v>12</v>
      </c>
      <c r="R1550" s="3">
        <f>parking_demand_data_2024_ver0!Q1550</f>
        <v>0</v>
      </c>
      <c r="S1550" s="3">
        <f>parking_demand_data_2024_ver0!R1550</f>
        <v>0</v>
      </c>
      <c r="T1550" s="3">
        <f>parking_demand_data_2024_ver0!S1550</f>
        <v>0</v>
      </c>
    </row>
    <row r="1551" spans="1:20" x14ac:dyDescent="0.25">
      <c r="A1551">
        <v>18129</v>
      </c>
      <c r="B1551" t="s">
        <v>93</v>
      </c>
      <c r="C1551">
        <v>13</v>
      </c>
      <c r="D1551" s="3">
        <f>parking_demand_data_2024_ver0!D1551*calibration!$I$31</f>
        <v>5.7981302378870501</v>
      </c>
      <c r="E1551" s="3">
        <f>parking_demand_data_2024_ver0!E1551*calibration!$I$31</f>
        <v>10.9398683733718</v>
      </c>
      <c r="F1551" s="3">
        <f t="shared" si="24"/>
        <v>16.737998611258849</v>
      </c>
      <c r="G1551" s="3">
        <f>parking_demand_data_2024_ver0!F1551</f>
        <v>1</v>
      </c>
      <c r="H1551" s="3">
        <f>parking_demand_data_2024_ver0!G1551</f>
        <v>0</v>
      </c>
      <c r="I1551" s="3">
        <f>parking_demand_data_2024_ver0!H1551</f>
        <v>0</v>
      </c>
      <c r="J1551" s="3">
        <f>parking_demand_data_2024_ver0!I1551</f>
        <v>1</v>
      </c>
      <c r="K1551" s="3">
        <f>parking_demand_data_2024_ver0!J1551</f>
        <v>0</v>
      </c>
      <c r="L1551" s="3">
        <f>parking_demand_data_2024_ver0!K1551</f>
        <v>0</v>
      </c>
      <c r="M1551" s="3">
        <f>parking_demand_data_2024_ver0!L1551</f>
        <v>0</v>
      </c>
      <c r="N1551" s="3">
        <f>parking_demand_data_2024_ver0!M1551</f>
        <v>12</v>
      </c>
      <c r="O1551" s="3">
        <f>parking_demand_data_2024_ver0!N1551</f>
        <v>0</v>
      </c>
      <c r="P1551" s="3">
        <f>parking_demand_data_2024_ver0!O1551</f>
        <v>0</v>
      </c>
      <c r="Q1551" s="3">
        <f>parking_demand_data_2024_ver0!P1551</f>
        <v>12</v>
      </c>
      <c r="R1551" s="3">
        <f>parking_demand_data_2024_ver0!Q1551</f>
        <v>0</v>
      </c>
      <c r="S1551" s="3">
        <f>parking_demand_data_2024_ver0!R1551</f>
        <v>0</v>
      </c>
      <c r="T1551" s="3">
        <f>parking_demand_data_2024_ver0!S1551</f>
        <v>0</v>
      </c>
    </row>
    <row r="1552" spans="1:20" x14ac:dyDescent="0.25">
      <c r="A1552">
        <v>18129</v>
      </c>
      <c r="B1552" t="s">
        <v>93</v>
      </c>
      <c r="C1552">
        <v>14</v>
      </c>
      <c r="D1552" s="3">
        <f>parking_demand_data_2024_ver0!D1552*calibration!$I$31</f>
        <v>4.4853460330824397</v>
      </c>
      <c r="E1552" s="3">
        <f>parking_demand_data_2024_ver0!E1552*calibration!$I$31</f>
        <v>8.2049012800288494</v>
      </c>
      <c r="F1552" s="3">
        <f t="shared" si="24"/>
        <v>12.690247313111289</v>
      </c>
      <c r="G1552" s="3">
        <f>parking_demand_data_2024_ver0!F1552</f>
        <v>1</v>
      </c>
      <c r="H1552" s="3">
        <f>parking_demand_data_2024_ver0!G1552</f>
        <v>0</v>
      </c>
      <c r="I1552" s="3">
        <f>parking_demand_data_2024_ver0!H1552</f>
        <v>0</v>
      </c>
      <c r="J1552" s="3">
        <f>parking_demand_data_2024_ver0!I1552</f>
        <v>1</v>
      </c>
      <c r="K1552" s="3">
        <f>parking_demand_data_2024_ver0!J1552</f>
        <v>0</v>
      </c>
      <c r="L1552" s="3">
        <f>parking_demand_data_2024_ver0!K1552</f>
        <v>0</v>
      </c>
      <c r="M1552" s="3">
        <f>parking_demand_data_2024_ver0!L1552</f>
        <v>0</v>
      </c>
      <c r="N1552" s="3">
        <f>parking_demand_data_2024_ver0!M1552</f>
        <v>12</v>
      </c>
      <c r="O1552" s="3">
        <f>parking_demand_data_2024_ver0!N1552</f>
        <v>0</v>
      </c>
      <c r="P1552" s="3">
        <f>parking_demand_data_2024_ver0!O1552</f>
        <v>0</v>
      </c>
      <c r="Q1552" s="3">
        <f>parking_demand_data_2024_ver0!P1552</f>
        <v>12</v>
      </c>
      <c r="R1552" s="3">
        <f>parking_demand_data_2024_ver0!Q1552</f>
        <v>0</v>
      </c>
      <c r="S1552" s="3">
        <f>parking_demand_data_2024_ver0!R1552</f>
        <v>0</v>
      </c>
      <c r="T1552" s="3">
        <f>parking_demand_data_2024_ver0!S1552</f>
        <v>0</v>
      </c>
    </row>
    <row r="1553" spans="1:20" x14ac:dyDescent="0.25">
      <c r="A1553">
        <v>18129</v>
      </c>
      <c r="B1553" t="s">
        <v>93</v>
      </c>
      <c r="C1553">
        <v>15</v>
      </c>
      <c r="D1553" s="3">
        <f>parking_demand_data_2024_ver0!D1553*calibration!$I$31</f>
        <v>4.1571499818812798</v>
      </c>
      <c r="E1553" s="3">
        <f>parking_demand_data_2024_ver0!E1553*calibration!$I$31</f>
        <v>7.6579078613602602</v>
      </c>
      <c r="F1553" s="3">
        <f t="shared" si="24"/>
        <v>11.81505784324154</v>
      </c>
      <c r="G1553" s="3">
        <f>parking_demand_data_2024_ver0!F1553</f>
        <v>1</v>
      </c>
      <c r="H1553" s="3">
        <f>parking_demand_data_2024_ver0!G1553</f>
        <v>0</v>
      </c>
      <c r="I1553" s="3">
        <f>parking_demand_data_2024_ver0!H1553</f>
        <v>0</v>
      </c>
      <c r="J1553" s="3">
        <f>parking_demand_data_2024_ver0!I1553</f>
        <v>1</v>
      </c>
      <c r="K1553" s="3">
        <f>parking_demand_data_2024_ver0!J1553</f>
        <v>0</v>
      </c>
      <c r="L1553" s="3">
        <f>parking_demand_data_2024_ver0!K1553</f>
        <v>0</v>
      </c>
      <c r="M1553" s="3">
        <f>parking_demand_data_2024_ver0!L1553</f>
        <v>0</v>
      </c>
      <c r="N1553" s="3">
        <f>parking_demand_data_2024_ver0!M1553</f>
        <v>12</v>
      </c>
      <c r="O1553" s="3">
        <f>parking_demand_data_2024_ver0!N1553</f>
        <v>0</v>
      </c>
      <c r="P1553" s="3">
        <f>parking_demand_data_2024_ver0!O1553</f>
        <v>0</v>
      </c>
      <c r="Q1553" s="3">
        <f>parking_demand_data_2024_ver0!P1553</f>
        <v>12</v>
      </c>
      <c r="R1553" s="3">
        <f>parking_demand_data_2024_ver0!Q1553</f>
        <v>0</v>
      </c>
      <c r="S1553" s="3">
        <f>parking_demand_data_2024_ver0!R1553</f>
        <v>0</v>
      </c>
      <c r="T1553" s="3">
        <f>parking_demand_data_2024_ver0!S1553</f>
        <v>0</v>
      </c>
    </row>
    <row r="1554" spans="1:20" x14ac:dyDescent="0.25">
      <c r="A1554">
        <v>18129</v>
      </c>
      <c r="B1554" t="s">
        <v>93</v>
      </c>
      <c r="C1554">
        <v>16</v>
      </c>
      <c r="D1554" s="3">
        <f>parking_demand_data_2024_ver0!D1554*calibration!$I$31</f>
        <v>4.7041434005498699</v>
      </c>
      <c r="E1554" s="3">
        <f>parking_demand_data_2024_ver0!E1554*calibration!$I$31</f>
        <v>5.1417381354847498</v>
      </c>
      <c r="F1554" s="3">
        <f t="shared" si="24"/>
        <v>9.8458815360346197</v>
      </c>
      <c r="G1554" s="3">
        <f>parking_demand_data_2024_ver0!F1554</f>
        <v>1</v>
      </c>
      <c r="H1554" s="3">
        <f>parking_demand_data_2024_ver0!G1554</f>
        <v>0</v>
      </c>
      <c r="I1554" s="3">
        <f>parking_demand_data_2024_ver0!H1554</f>
        <v>0</v>
      </c>
      <c r="J1554" s="3">
        <f>parking_demand_data_2024_ver0!I1554</f>
        <v>1</v>
      </c>
      <c r="K1554" s="3">
        <f>parking_demand_data_2024_ver0!J1554</f>
        <v>0</v>
      </c>
      <c r="L1554" s="3">
        <f>parking_demand_data_2024_ver0!K1554</f>
        <v>0</v>
      </c>
      <c r="M1554" s="3">
        <f>parking_demand_data_2024_ver0!L1554</f>
        <v>0</v>
      </c>
      <c r="N1554" s="3">
        <f>parking_demand_data_2024_ver0!M1554</f>
        <v>12</v>
      </c>
      <c r="O1554" s="3">
        <f>parking_demand_data_2024_ver0!N1554</f>
        <v>0</v>
      </c>
      <c r="P1554" s="3">
        <f>parking_demand_data_2024_ver0!O1554</f>
        <v>0</v>
      </c>
      <c r="Q1554" s="3">
        <f>parking_demand_data_2024_ver0!P1554</f>
        <v>12</v>
      </c>
      <c r="R1554" s="3">
        <f>parking_demand_data_2024_ver0!Q1554</f>
        <v>0</v>
      </c>
      <c r="S1554" s="3">
        <f>parking_demand_data_2024_ver0!R1554</f>
        <v>0</v>
      </c>
      <c r="T1554" s="3">
        <f>parking_demand_data_2024_ver0!S1554</f>
        <v>0</v>
      </c>
    </row>
    <row r="1555" spans="1:20" x14ac:dyDescent="0.25">
      <c r="A1555">
        <v>18129</v>
      </c>
      <c r="B1555" t="s">
        <v>93</v>
      </c>
      <c r="C1555">
        <v>17</v>
      </c>
      <c r="D1555" s="3">
        <f>parking_demand_data_2024_ver0!D1555*calibration!$I$31</f>
        <v>4.8135420842835899</v>
      </c>
      <c r="E1555" s="3">
        <f>parking_demand_data_2024_ver0!E1555*calibration!$I$31</f>
        <v>2.73496709334295</v>
      </c>
      <c r="F1555" s="3">
        <f t="shared" si="24"/>
        <v>7.5485091776265403</v>
      </c>
      <c r="G1555" s="3">
        <f>parking_demand_data_2024_ver0!F1555</f>
        <v>1</v>
      </c>
      <c r="H1555" s="3">
        <f>parking_demand_data_2024_ver0!G1555</f>
        <v>0</v>
      </c>
      <c r="I1555" s="3">
        <f>parking_demand_data_2024_ver0!H1555</f>
        <v>0</v>
      </c>
      <c r="J1555" s="3">
        <f>parking_demand_data_2024_ver0!I1555</f>
        <v>1</v>
      </c>
      <c r="K1555" s="3">
        <f>parking_demand_data_2024_ver0!J1555</f>
        <v>0</v>
      </c>
      <c r="L1555" s="3">
        <f>parking_demand_data_2024_ver0!K1555</f>
        <v>0</v>
      </c>
      <c r="M1555" s="3">
        <f>parking_demand_data_2024_ver0!L1555</f>
        <v>0</v>
      </c>
      <c r="N1555" s="3">
        <f>parking_demand_data_2024_ver0!M1555</f>
        <v>12</v>
      </c>
      <c r="O1555" s="3">
        <f>parking_demand_data_2024_ver0!N1555</f>
        <v>0</v>
      </c>
      <c r="P1555" s="3">
        <f>parking_demand_data_2024_ver0!O1555</f>
        <v>0</v>
      </c>
      <c r="Q1555" s="3">
        <f>parking_demand_data_2024_ver0!P1555</f>
        <v>12</v>
      </c>
      <c r="R1555" s="3">
        <f>parking_demand_data_2024_ver0!Q1555</f>
        <v>0</v>
      </c>
      <c r="S1555" s="3">
        <f>parking_demand_data_2024_ver0!R1555</f>
        <v>0</v>
      </c>
      <c r="T1555" s="3">
        <f>parking_demand_data_2024_ver0!S1555</f>
        <v>0</v>
      </c>
    </row>
    <row r="1556" spans="1:20" x14ac:dyDescent="0.25">
      <c r="A1556">
        <v>18129</v>
      </c>
      <c r="B1556" t="s">
        <v>93</v>
      </c>
      <c r="C1556">
        <v>18</v>
      </c>
      <c r="D1556" s="3">
        <f>parking_demand_data_2024_ver0!D1556*calibration!$I$31</f>
        <v>5.4699341866858999</v>
      </c>
      <c r="E1556" s="3">
        <f>parking_demand_data_2024_ver0!E1556*calibration!$I$31</f>
        <v>2.62556840960923</v>
      </c>
      <c r="F1556" s="3">
        <f t="shared" si="24"/>
        <v>8.0955025962951304</v>
      </c>
      <c r="G1556" s="3">
        <f>parking_demand_data_2024_ver0!F1556</f>
        <v>1</v>
      </c>
      <c r="H1556" s="3">
        <f>parking_demand_data_2024_ver0!G1556</f>
        <v>0</v>
      </c>
      <c r="I1556" s="3">
        <f>parking_demand_data_2024_ver0!H1556</f>
        <v>0</v>
      </c>
      <c r="J1556" s="3">
        <f>parking_demand_data_2024_ver0!I1556</f>
        <v>1</v>
      </c>
      <c r="K1556" s="3">
        <f>parking_demand_data_2024_ver0!J1556</f>
        <v>0</v>
      </c>
      <c r="L1556" s="3">
        <f>parking_demand_data_2024_ver0!K1556</f>
        <v>0</v>
      </c>
      <c r="M1556" s="3">
        <f>parking_demand_data_2024_ver0!L1556</f>
        <v>0</v>
      </c>
      <c r="N1556" s="3">
        <f>parking_demand_data_2024_ver0!M1556</f>
        <v>12</v>
      </c>
      <c r="O1556" s="3">
        <f>parking_demand_data_2024_ver0!N1556</f>
        <v>0</v>
      </c>
      <c r="P1556" s="3">
        <f>parking_demand_data_2024_ver0!O1556</f>
        <v>0</v>
      </c>
      <c r="Q1556" s="3">
        <f>parking_demand_data_2024_ver0!P1556</f>
        <v>12</v>
      </c>
      <c r="R1556" s="3">
        <f>parking_demand_data_2024_ver0!Q1556</f>
        <v>0</v>
      </c>
      <c r="S1556" s="3">
        <f>parking_demand_data_2024_ver0!R1556</f>
        <v>0</v>
      </c>
      <c r="T1556" s="3">
        <f>parking_demand_data_2024_ver0!S1556</f>
        <v>0</v>
      </c>
    </row>
    <row r="1557" spans="1:20" x14ac:dyDescent="0.25">
      <c r="A1557">
        <v>18129</v>
      </c>
      <c r="B1557" t="s">
        <v>93</v>
      </c>
      <c r="C1557">
        <v>19</v>
      </c>
      <c r="D1557" s="3">
        <f>parking_demand_data_2024_ver0!D1557*calibration!$I$31</f>
        <v>6.12632628908821</v>
      </c>
      <c r="E1557" s="3">
        <f>parking_demand_data_2024_ver0!E1557*calibration!$I$31</f>
        <v>1.5315815722720501</v>
      </c>
      <c r="F1557" s="3">
        <f t="shared" si="24"/>
        <v>7.6579078613602602</v>
      </c>
      <c r="G1557" s="3">
        <f>parking_demand_data_2024_ver0!F1557</f>
        <v>1</v>
      </c>
      <c r="H1557" s="3">
        <f>parking_demand_data_2024_ver0!G1557</f>
        <v>0</v>
      </c>
      <c r="I1557" s="3">
        <f>parking_demand_data_2024_ver0!H1557</f>
        <v>0</v>
      </c>
      <c r="J1557" s="3">
        <f>parking_demand_data_2024_ver0!I1557</f>
        <v>1</v>
      </c>
      <c r="K1557" s="3">
        <f>parking_demand_data_2024_ver0!J1557</f>
        <v>0</v>
      </c>
      <c r="L1557" s="3">
        <f>parking_demand_data_2024_ver0!K1557</f>
        <v>0</v>
      </c>
      <c r="M1557" s="3">
        <f>parking_demand_data_2024_ver0!L1557</f>
        <v>0</v>
      </c>
      <c r="N1557" s="3">
        <f>parking_demand_data_2024_ver0!M1557</f>
        <v>12</v>
      </c>
      <c r="O1557" s="3">
        <f>parking_demand_data_2024_ver0!N1557</f>
        <v>0</v>
      </c>
      <c r="P1557" s="3">
        <f>parking_demand_data_2024_ver0!O1557</f>
        <v>0</v>
      </c>
      <c r="Q1557" s="3">
        <f>parking_demand_data_2024_ver0!P1557</f>
        <v>12</v>
      </c>
      <c r="R1557" s="3">
        <f>parking_demand_data_2024_ver0!Q1557</f>
        <v>0</v>
      </c>
      <c r="S1557" s="3">
        <f>parking_demand_data_2024_ver0!R1557</f>
        <v>0</v>
      </c>
      <c r="T1557" s="3">
        <f>parking_demand_data_2024_ver0!S1557</f>
        <v>0</v>
      </c>
    </row>
    <row r="1558" spans="1:20" x14ac:dyDescent="0.25">
      <c r="A1558">
        <v>18129</v>
      </c>
      <c r="B1558" t="s">
        <v>93</v>
      </c>
      <c r="C1558">
        <v>20</v>
      </c>
      <c r="D1558" s="3">
        <f>parking_demand_data_2024_ver0!D1558*calibration!$I$31</f>
        <v>7.0015157589579502</v>
      </c>
      <c r="E1558" s="3">
        <f>parking_demand_data_2024_ver0!E1558*calibration!$I$31</f>
        <v>3.1725618282778201</v>
      </c>
      <c r="F1558" s="3">
        <f t="shared" si="24"/>
        <v>10.17407758723577</v>
      </c>
      <c r="G1558" s="3">
        <f>parking_demand_data_2024_ver0!F1558</f>
        <v>1</v>
      </c>
      <c r="H1558" s="3">
        <f>parking_demand_data_2024_ver0!G1558</f>
        <v>0</v>
      </c>
      <c r="I1558" s="3">
        <f>parking_demand_data_2024_ver0!H1558</f>
        <v>0</v>
      </c>
      <c r="J1558" s="3">
        <f>parking_demand_data_2024_ver0!I1558</f>
        <v>1</v>
      </c>
      <c r="K1558" s="3">
        <f>parking_demand_data_2024_ver0!J1558</f>
        <v>0</v>
      </c>
      <c r="L1558" s="3">
        <f>parking_demand_data_2024_ver0!K1558</f>
        <v>0</v>
      </c>
      <c r="M1558" s="3">
        <f>parking_demand_data_2024_ver0!L1558</f>
        <v>0</v>
      </c>
      <c r="N1558" s="3">
        <f>parking_demand_data_2024_ver0!M1558</f>
        <v>12</v>
      </c>
      <c r="O1558" s="3">
        <f>parking_demand_data_2024_ver0!N1558</f>
        <v>0</v>
      </c>
      <c r="P1558" s="3">
        <f>parking_demand_data_2024_ver0!O1558</f>
        <v>0</v>
      </c>
      <c r="Q1558" s="3">
        <f>parking_demand_data_2024_ver0!P1558</f>
        <v>12</v>
      </c>
      <c r="R1558" s="3">
        <f>parking_demand_data_2024_ver0!Q1558</f>
        <v>0</v>
      </c>
      <c r="S1558" s="3">
        <f>parking_demand_data_2024_ver0!R1558</f>
        <v>0</v>
      </c>
      <c r="T1558" s="3">
        <f>parking_demand_data_2024_ver0!S1558</f>
        <v>0</v>
      </c>
    </row>
    <row r="1559" spans="1:20" x14ac:dyDescent="0.25">
      <c r="A1559">
        <v>18129</v>
      </c>
      <c r="B1559" t="s">
        <v>93</v>
      </c>
      <c r="C1559">
        <v>21</v>
      </c>
      <c r="D1559" s="3">
        <f>parking_demand_data_2024_ver0!D1559*calibration!$I$31</f>
        <v>7.3297118101591101</v>
      </c>
      <c r="E1559" s="3">
        <f>parking_demand_data_2024_ver0!E1559*calibration!$I$31</f>
        <v>4.0477512981475599</v>
      </c>
      <c r="F1559" s="3">
        <f t="shared" si="24"/>
        <v>11.377463108306671</v>
      </c>
      <c r="G1559" s="3">
        <f>parking_demand_data_2024_ver0!F1559</f>
        <v>1</v>
      </c>
      <c r="H1559" s="3">
        <f>parking_demand_data_2024_ver0!G1559</f>
        <v>0</v>
      </c>
      <c r="I1559" s="3">
        <f>parking_demand_data_2024_ver0!H1559</f>
        <v>0</v>
      </c>
      <c r="J1559" s="3">
        <f>parking_demand_data_2024_ver0!I1559</f>
        <v>1</v>
      </c>
      <c r="K1559" s="3">
        <f>parking_demand_data_2024_ver0!J1559</f>
        <v>0</v>
      </c>
      <c r="L1559" s="3">
        <f>parking_demand_data_2024_ver0!K1559</f>
        <v>0</v>
      </c>
      <c r="M1559" s="3">
        <f>parking_demand_data_2024_ver0!L1559</f>
        <v>0</v>
      </c>
      <c r="N1559" s="3">
        <f>parking_demand_data_2024_ver0!M1559</f>
        <v>12</v>
      </c>
      <c r="O1559" s="3">
        <f>parking_demand_data_2024_ver0!N1559</f>
        <v>0</v>
      </c>
      <c r="P1559" s="3">
        <f>parking_demand_data_2024_ver0!O1559</f>
        <v>0</v>
      </c>
      <c r="Q1559" s="3">
        <f>parking_demand_data_2024_ver0!P1559</f>
        <v>12</v>
      </c>
      <c r="R1559" s="3">
        <f>parking_demand_data_2024_ver0!Q1559</f>
        <v>0</v>
      </c>
      <c r="S1559" s="3">
        <f>parking_demand_data_2024_ver0!R1559</f>
        <v>0</v>
      </c>
      <c r="T1559" s="3">
        <f>parking_demand_data_2024_ver0!S1559</f>
        <v>0</v>
      </c>
    </row>
    <row r="1560" spans="1:20" x14ac:dyDescent="0.25">
      <c r="A1560">
        <v>18129</v>
      </c>
      <c r="B1560" t="s">
        <v>93</v>
      </c>
      <c r="C1560">
        <v>22</v>
      </c>
      <c r="D1560" s="3">
        <f>parking_demand_data_2024_ver0!D1560*calibration!$I$31</f>
        <v>7.7673065450939802</v>
      </c>
      <c r="E1560" s="3">
        <f>parking_demand_data_2024_ver0!E1560*calibration!$I$31</f>
        <v>5.1417381354847498</v>
      </c>
      <c r="F1560" s="3">
        <f t="shared" si="24"/>
        <v>12.909044680578731</v>
      </c>
      <c r="G1560" s="3">
        <f>parking_demand_data_2024_ver0!F1560</f>
        <v>1</v>
      </c>
      <c r="H1560" s="3">
        <f>parking_demand_data_2024_ver0!G1560</f>
        <v>0</v>
      </c>
      <c r="I1560" s="3">
        <f>parking_demand_data_2024_ver0!H1560</f>
        <v>0</v>
      </c>
      <c r="J1560" s="3">
        <f>parking_demand_data_2024_ver0!I1560</f>
        <v>1</v>
      </c>
      <c r="K1560" s="3">
        <f>parking_demand_data_2024_ver0!J1560</f>
        <v>0</v>
      </c>
      <c r="L1560" s="3">
        <f>parking_demand_data_2024_ver0!K1560</f>
        <v>0</v>
      </c>
      <c r="M1560" s="3">
        <f>parking_demand_data_2024_ver0!L1560</f>
        <v>0</v>
      </c>
      <c r="N1560" s="3">
        <f>parking_demand_data_2024_ver0!M1560</f>
        <v>12</v>
      </c>
      <c r="O1560" s="3">
        <f>parking_demand_data_2024_ver0!N1560</f>
        <v>0</v>
      </c>
      <c r="P1560" s="3">
        <f>parking_demand_data_2024_ver0!O1560</f>
        <v>0</v>
      </c>
      <c r="Q1560" s="3">
        <f>parking_demand_data_2024_ver0!P1560</f>
        <v>12</v>
      </c>
      <c r="R1560" s="3">
        <f>parking_demand_data_2024_ver0!Q1560</f>
        <v>0</v>
      </c>
      <c r="S1560" s="3">
        <f>parking_demand_data_2024_ver0!R1560</f>
        <v>0</v>
      </c>
      <c r="T1560" s="3">
        <f>parking_demand_data_2024_ver0!S1560</f>
        <v>0</v>
      </c>
    </row>
    <row r="1561" spans="1:20" x14ac:dyDescent="0.25">
      <c r="A1561">
        <v>18129</v>
      </c>
      <c r="B1561" t="s">
        <v>93</v>
      </c>
      <c r="C1561">
        <v>23</v>
      </c>
      <c r="D1561" s="3">
        <f>parking_demand_data_2024_ver0!D1561*calibration!$I$31</f>
        <v>8.0955025962951304</v>
      </c>
      <c r="E1561" s="3">
        <f>parking_demand_data_2024_ver0!E1561*calibration!$I$31</f>
        <v>6.6733197077568001</v>
      </c>
      <c r="F1561" s="3">
        <f t="shared" si="24"/>
        <v>14.76882230405193</v>
      </c>
      <c r="G1561" s="3">
        <f>parking_demand_data_2024_ver0!F1561</f>
        <v>1</v>
      </c>
      <c r="H1561" s="3">
        <f>parking_demand_data_2024_ver0!G1561</f>
        <v>0</v>
      </c>
      <c r="I1561" s="3">
        <f>parking_demand_data_2024_ver0!H1561</f>
        <v>0</v>
      </c>
      <c r="J1561" s="3">
        <f>parking_demand_data_2024_ver0!I1561</f>
        <v>1</v>
      </c>
      <c r="K1561" s="3">
        <f>parking_demand_data_2024_ver0!J1561</f>
        <v>0</v>
      </c>
      <c r="L1561" s="3">
        <f>parking_demand_data_2024_ver0!K1561</f>
        <v>0</v>
      </c>
      <c r="M1561" s="3">
        <f>parking_demand_data_2024_ver0!L1561</f>
        <v>0</v>
      </c>
      <c r="N1561" s="3">
        <f>parking_demand_data_2024_ver0!M1561</f>
        <v>12</v>
      </c>
      <c r="O1561" s="3">
        <f>parking_demand_data_2024_ver0!N1561</f>
        <v>0</v>
      </c>
      <c r="P1561" s="3">
        <f>parking_demand_data_2024_ver0!O1561</f>
        <v>0</v>
      </c>
      <c r="Q1561" s="3">
        <f>parking_demand_data_2024_ver0!P1561</f>
        <v>12</v>
      </c>
      <c r="R1561" s="3">
        <f>parking_demand_data_2024_ver0!Q1561</f>
        <v>0</v>
      </c>
      <c r="S1561" s="3">
        <f>parking_demand_data_2024_ver0!R1561</f>
        <v>0</v>
      </c>
      <c r="T1561" s="3">
        <f>parking_demand_data_2024_ver0!S1561</f>
        <v>0</v>
      </c>
    </row>
    <row r="1562" spans="1:20" x14ac:dyDescent="0.25">
      <c r="A1562">
        <v>18131</v>
      </c>
      <c r="B1562" t="s">
        <v>94</v>
      </c>
      <c r="C1562">
        <v>0</v>
      </c>
      <c r="D1562" s="3">
        <f>parking_demand_data_2024_ver0!D1562*calibration!$I$31</f>
        <v>1.79958909349284</v>
      </c>
      <c r="E1562" s="3">
        <f>parking_demand_data_2024_ver0!E1562*calibration!$I$31</f>
        <v>0</v>
      </c>
      <c r="F1562" s="3">
        <f t="shared" si="24"/>
        <v>1.79958909349284</v>
      </c>
      <c r="G1562" s="3">
        <f>parking_demand_data_2024_ver0!F1562</f>
        <v>1</v>
      </c>
      <c r="H1562" s="3">
        <f>parking_demand_data_2024_ver0!G1562</f>
        <v>0</v>
      </c>
      <c r="I1562" s="3">
        <f>parking_demand_data_2024_ver0!H1562</f>
        <v>0</v>
      </c>
      <c r="J1562" s="3">
        <f>parking_demand_data_2024_ver0!I1562</f>
        <v>1</v>
      </c>
      <c r="K1562" s="3">
        <f>parking_demand_data_2024_ver0!J1562</f>
        <v>0</v>
      </c>
      <c r="L1562" s="3">
        <f>parking_demand_data_2024_ver0!K1562</f>
        <v>0</v>
      </c>
      <c r="M1562" s="3">
        <f>parking_demand_data_2024_ver0!L1562</f>
        <v>0</v>
      </c>
      <c r="N1562" s="3">
        <f>parking_demand_data_2024_ver0!M1562</f>
        <v>25</v>
      </c>
      <c r="O1562" s="3">
        <f>parking_demand_data_2024_ver0!N1562</f>
        <v>0</v>
      </c>
      <c r="P1562" s="3">
        <f>parking_demand_data_2024_ver0!O1562</f>
        <v>0</v>
      </c>
      <c r="Q1562" s="3">
        <f>parking_demand_data_2024_ver0!P1562</f>
        <v>25</v>
      </c>
      <c r="R1562" s="3">
        <f>parking_demand_data_2024_ver0!Q1562</f>
        <v>0</v>
      </c>
      <c r="S1562" s="3">
        <f>parking_demand_data_2024_ver0!R1562</f>
        <v>0</v>
      </c>
      <c r="T1562" s="3">
        <f>parking_demand_data_2024_ver0!S1562</f>
        <v>0</v>
      </c>
    </row>
    <row r="1563" spans="1:20" x14ac:dyDescent="0.25">
      <c r="A1563">
        <v>18131</v>
      </c>
      <c r="B1563" t="s">
        <v>94</v>
      </c>
      <c r="C1563">
        <v>1</v>
      </c>
      <c r="D1563" s="3">
        <f>parking_demand_data_2024_ver0!D1563*calibration!$I$31</f>
        <v>1.8495776794231999</v>
      </c>
      <c r="E1563" s="3">
        <f>parking_demand_data_2024_ver0!E1563*calibration!$I$31</f>
        <v>0</v>
      </c>
      <c r="F1563" s="3">
        <f t="shared" si="24"/>
        <v>1.8495776794231999</v>
      </c>
      <c r="G1563" s="3">
        <f>parking_demand_data_2024_ver0!F1563</f>
        <v>1</v>
      </c>
      <c r="H1563" s="3">
        <f>parking_demand_data_2024_ver0!G1563</f>
        <v>0</v>
      </c>
      <c r="I1563" s="3">
        <f>parking_demand_data_2024_ver0!H1563</f>
        <v>0</v>
      </c>
      <c r="J1563" s="3">
        <f>parking_demand_data_2024_ver0!I1563</f>
        <v>1</v>
      </c>
      <c r="K1563" s="3">
        <f>parking_demand_data_2024_ver0!J1563</f>
        <v>0</v>
      </c>
      <c r="L1563" s="3">
        <f>parking_demand_data_2024_ver0!K1563</f>
        <v>0</v>
      </c>
      <c r="M1563" s="3">
        <f>parking_demand_data_2024_ver0!L1563</f>
        <v>0</v>
      </c>
      <c r="N1563" s="3">
        <f>parking_demand_data_2024_ver0!M1563</f>
        <v>25</v>
      </c>
      <c r="O1563" s="3">
        <f>parking_demand_data_2024_ver0!N1563</f>
        <v>0</v>
      </c>
      <c r="P1563" s="3">
        <f>parking_demand_data_2024_ver0!O1563</f>
        <v>0</v>
      </c>
      <c r="Q1563" s="3">
        <f>parking_demand_data_2024_ver0!P1563</f>
        <v>25</v>
      </c>
      <c r="R1563" s="3">
        <f>parking_demand_data_2024_ver0!Q1563</f>
        <v>0</v>
      </c>
      <c r="S1563" s="3">
        <f>parking_demand_data_2024_ver0!R1563</f>
        <v>0</v>
      </c>
      <c r="T1563" s="3">
        <f>parking_demand_data_2024_ver0!S1563</f>
        <v>0</v>
      </c>
    </row>
    <row r="1564" spans="1:20" x14ac:dyDescent="0.25">
      <c r="A1564">
        <v>18131</v>
      </c>
      <c r="B1564" t="s">
        <v>94</v>
      </c>
      <c r="C1564">
        <v>2</v>
      </c>
      <c r="D1564" s="3">
        <f>parking_demand_data_2024_ver0!D1564*calibration!$I$31</f>
        <v>1.99954343721427</v>
      </c>
      <c r="E1564" s="3">
        <f>parking_demand_data_2024_ver0!E1564*calibration!$I$31</f>
        <v>0</v>
      </c>
      <c r="F1564" s="3">
        <f t="shared" si="24"/>
        <v>1.99954343721427</v>
      </c>
      <c r="G1564" s="3">
        <f>parking_demand_data_2024_ver0!F1564</f>
        <v>1</v>
      </c>
      <c r="H1564" s="3">
        <f>parking_demand_data_2024_ver0!G1564</f>
        <v>0</v>
      </c>
      <c r="I1564" s="3">
        <f>parking_demand_data_2024_ver0!H1564</f>
        <v>0</v>
      </c>
      <c r="J1564" s="3">
        <f>parking_demand_data_2024_ver0!I1564</f>
        <v>1</v>
      </c>
      <c r="K1564" s="3">
        <f>parking_demand_data_2024_ver0!J1564</f>
        <v>0</v>
      </c>
      <c r="L1564" s="3">
        <f>parking_demand_data_2024_ver0!K1564</f>
        <v>0</v>
      </c>
      <c r="M1564" s="3">
        <f>parking_demand_data_2024_ver0!L1564</f>
        <v>0</v>
      </c>
      <c r="N1564" s="3">
        <f>parking_demand_data_2024_ver0!M1564</f>
        <v>25</v>
      </c>
      <c r="O1564" s="3">
        <f>parking_demand_data_2024_ver0!N1564</f>
        <v>0</v>
      </c>
      <c r="P1564" s="3">
        <f>parking_demand_data_2024_ver0!O1564</f>
        <v>0</v>
      </c>
      <c r="Q1564" s="3">
        <f>parking_demand_data_2024_ver0!P1564</f>
        <v>25</v>
      </c>
      <c r="R1564" s="3">
        <f>parking_demand_data_2024_ver0!Q1564</f>
        <v>0</v>
      </c>
      <c r="S1564" s="3">
        <f>parking_demand_data_2024_ver0!R1564</f>
        <v>0</v>
      </c>
      <c r="T1564" s="3">
        <f>parking_demand_data_2024_ver0!S1564</f>
        <v>0</v>
      </c>
    </row>
    <row r="1565" spans="1:20" x14ac:dyDescent="0.25">
      <c r="A1565">
        <v>18131</v>
      </c>
      <c r="B1565" t="s">
        <v>94</v>
      </c>
      <c r="C1565">
        <v>3</v>
      </c>
      <c r="D1565" s="3">
        <f>parking_demand_data_2024_ver0!D1565*calibration!$I$31</f>
        <v>2.0995206090749798</v>
      </c>
      <c r="E1565" s="3">
        <f>parking_demand_data_2024_ver0!E1565*calibration!$I$31</f>
        <v>0</v>
      </c>
      <c r="F1565" s="3">
        <f t="shared" si="24"/>
        <v>2.0995206090749798</v>
      </c>
      <c r="G1565" s="3">
        <f>parking_demand_data_2024_ver0!F1565</f>
        <v>1</v>
      </c>
      <c r="H1565" s="3">
        <f>parking_demand_data_2024_ver0!G1565</f>
        <v>0</v>
      </c>
      <c r="I1565" s="3">
        <f>parking_demand_data_2024_ver0!H1565</f>
        <v>0</v>
      </c>
      <c r="J1565" s="3">
        <f>parking_demand_data_2024_ver0!I1565</f>
        <v>1</v>
      </c>
      <c r="K1565" s="3">
        <f>parking_demand_data_2024_ver0!J1565</f>
        <v>0</v>
      </c>
      <c r="L1565" s="3">
        <f>parking_demand_data_2024_ver0!K1565</f>
        <v>0</v>
      </c>
      <c r="M1565" s="3">
        <f>parking_demand_data_2024_ver0!L1565</f>
        <v>0</v>
      </c>
      <c r="N1565" s="3">
        <f>parking_demand_data_2024_ver0!M1565</f>
        <v>25</v>
      </c>
      <c r="O1565" s="3">
        <f>parking_demand_data_2024_ver0!N1565</f>
        <v>0</v>
      </c>
      <c r="P1565" s="3">
        <f>parking_demand_data_2024_ver0!O1565</f>
        <v>0</v>
      </c>
      <c r="Q1565" s="3">
        <f>parking_demand_data_2024_ver0!P1565</f>
        <v>25</v>
      </c>
      <c r="R1565" s="3">
        <f>parking_demand_data_2024_ver0!Q1565</f>
        <v>0</v>
      </c>
      <c r="S1565" s="3">
        <f>parking_demand_data_2024_ver0!R1565</f>
        <v>0</v>
      </c>
      <c r="T1565" s="3">
        <f>parking_demand_data_2024_ver0!S1565</f>
        <v>0</v>
      </c>
    </row>
    <row r="1566" spans="1:20" x14ac:dyDescent="0.25">
      <c r="A1566">
        <v>18131</v>
      </c>
      <c r="B1566" t="s">
        <v>94</v>
      </c>
      <c r="C1566">
        <v>4</v>
      </c>
      <c r="D1566" s="3">
        <f>parking_demand_data_2024_ver0!D1566*calibration!$I$31</f>
        <v>2.1994977809357001</v>
      </c>
      <c r="E1566" s="3">
        <f>parking_demand_data_2024_ver0!E1566*calibration!$I$31</f>
        <v>0</v>
      </c>
      <c r="F1566" s="3">
        <f t="shared" si="24"/>
        <v>2.1994977809357001</v>
      </c>
      <c r="G1566" s="3">
        <f>parking_demand_data_2024_ver0!F1566</f>
        <v>1</v>
      </c>
      <c r="H1566" s="3">
        <f>parking_demand_data_2024_ver0!G1566</f>
        <v>0</v>
      </c>
      <c r="I1566" s="3">
        <f>parking_demand_data_2024_ver0!H1566</f>
        <v>0</v>
      </c>
      <c r="J1566" s="3">
        <f>parking_demand_data_2024_ver0!I1566</f>
        <v>1</v>
      </c>
      <c r="K1566" s="3">
        <f>parking_demand_data_2024_ver0!J1566</f>
        <v>0</v>
      </c>
      <c r="L1566" s="3">
        <f>parking_demand_data_2024_ver0!K1566</f>
        <v>0</v>
      </c>
      <c r="M1566" s="3">
        <f>parking_demand_data_2024_ver0!L1566</f>
        <v>0</v>
      </c>
      <c r="N1566" s="3">
        <f>parking_demand_data_2024_ver0!M1566</f>
        <v>25</v>
      </c>
      <c r="O1566" s="3">
        <f>parking_demand_data_2024_ver0!N1566</f>
        <v>0</v>
      </c>
      <c r="P1566" s="3">
        <f>parking_demand_data_2024_ver0!O1566</f>
        <v>0</v>
      </c>
      <c r="Q1566" s="3">
        <f>parking_demand_data_2024_ver0!P1566</f>
        <v>25</v>
      </c>
      <c r="R1566" s="3">
        <f>parking_demand_data_2024_ver0!Q1566</f>
        <v>0</v>
      </c>
      <c r="S1566" s="3">
        <f>parking_demand_data_2024_ver0!R1566</f>
        <v>0</v>
      </c>
      <c r="T1566" s="3">
        <f>parking_demand_data_2024_ver0!S1566</f>
        <v>0</v>
      </c>
    </row>
    <row r="1567" spans="1:20" x14ac:dyDescent="0.25">
      <c r="A1567">
        <v>18131</v>
      </c>
      <c r="B1567" t="s">
        <v>94</v>
      </c>
      <c r="C1567">
        <v>5</v>
      </c>
      <c r="D1567" s="3">
        <f>parking_demand_data_2024_ver0!D1567*calibration!$I$31</f>
        <v>2.44944071058748</v>
      </c>
      <c r="E1567" s="3">
        <f>parking_demand_data_2024_ver0!E1567*calibration!$I$31</f>
        <v>0</v>
      </c>
      <c r="F1567" s="3">
        <f t="shared" si="24"/>
        <v>2.44944071058748</v>
      </c>
      <c r="G1567" s="3">
        <f>parking_demand_data_2024_ver0!F1567</f>
        <v>1</v>
      </c>
      <c r="H1567" s="3">
        <f>parking_demand_data_2024_ver0!G1567</f>
        <v>0</v>
      </c>
      <c r="I1567" s="3">
        <f>parking_demand_data_2024_ver0!H1567</f>
        <v>0</v>
      </c>
      <c r="J1567" s="3">
        <f>parking_demand_data_2024_ver0!I1567</f>
        <v>1</v>
      </c>
      <c r="K1567" s="3">
        <f>parking_demand_data_2024_ver0!J1567</f>
        <v>0</v>
      </c>
      <c r="L1567" s="3">
        <f>parking_demand_data_2024_ver0!K1567</f>
        <v>0</v>
      </c>
      <c r="M1567" s="3">
        <f>parking_demand_data_2024_ver0!L1567</f>
        <v>0</v>
      </c>
      <c r="N1567" s="3">
        <f>parking_demand_data_2024_ver0!M1567</f>
        <v>25</v>
      </c>
      <c r="O1567" s="3">
        <f>parking_demand_data_2024_ver0!N1567</f>
        <v>0</v>
      </c>
      <c r="P1567" s="3">
        <f>parking_demand_data_2024_ver0!O1567</f>
        <v>0</v>
      </c>
      <c r="Q1567" s="3">
        <f>parking_demand_data_2024_ver0!P1567</f>
        <v>25</v>
      </c>
      <c r="R1567" s="3">
        <f>parking_demand_data_2024_ver0!Q1567</f>
        <v>0</v>
      </c>
      <c r="S1567" s="3">
        <f>parking_demand_data_2024_ver0!R1567</f>
        <v>0</v>
      </c>
      <c r="T1567" s="3">
        <f>parking_demand_data_2024_ver0!S1567</f>
        <v>0</v>
      </c>
    </row>
    <row r="1568" spans="1:20" x14ac:dyDescent="0.25">
      <c r="A1568">
        <v>18131</v>
      </c>
      <c r="B1568" t="s">
        <v>94</v>
      </c>
      <c r="C1568">
        <v>6</v>
      </c>
      <c r="D1568" s="3">
        <f>parking_demand_data_2024_ver0!D1568*calibration!$I$31</f>
        <v>2.94932656989105</v>
      </c>
      <c r="E1568" s="3">
        <f>parking_demand_data_2024_ver0!E1568*calibration!$I$31</f>
        <v>0</v>
      </c>
      <c r="F1568" s="3">
        <f t="shared" si="24"/>
        <v>2.94932656989105</v>
      </c>
      <c r="G1568" s="3">
        <f>parking_demand_data_2024_ver0!F1568</f>
        <v>1</v>
      </c>
      <c r="H1568" s="3">
        <f>parking_demand_data_2024_ver0!G1568</f>
        <v>0</v>
      </c>
      <c r="I1568" s="3">
        <f>parking_demand_data_2024_ver0!H1568</f>
        <v>0</v>
      </c>
      <c r="J1568" s="3">
        <f>parking_demand_data_2024_ver0!I1568</f>
        <v>1</v>
      </c>
      <c r="K1568" s="3">
        <f>parking_demand_data_2024_ver0!J1568</f>
        <v>0</v>
      </c>
      <c r="L1568" s="3">
        <f>parking_demand_data_2024_ver0!K1568</f>
        <v>0</v>
      </c>
      <c r="M1568" s="3">
        <f>parking_demand_data_2024_ver0!L1568</f>
        <v>0</v>
      </c>
      <c r="N1568" s="3">
        <f>parking_demand_data_2024_ver0!M1568</f>
        <v>25</v>
      </c>
      <c r="O1568" s="3">
        <f>parking_demand_data_2024_ver0!N1568</f>
        <v>0</v>
      </c>
      <c r="P1568" s="3">
        <f>parking_demand_data_2024_ver0!O1568</f>
        <v>0</v>
      </c>
      <c r="Q1568" s="3">
        <f>parking_demand_data_2024_ver0!P1568</f>
        <v>25</v>
      </c>
      <c r="R1568" s="3">
        <f>parking_demand_data_2024_ver0!Q1568</f>
        <v>0</v>
      </c>
      <c r="S1568" s="3">
        <f>parking_demand_data_2024_ver0!R1568</f>
        <v>0</v>
      </c>
      <c r="T1568" s="3">
        <f>parking_demand_data_2024_ver0!S1568</f>
        <v>0</v>
      </c>
    </row>
    <row r="1569" spans="1:20" x14ac:dyDescent="0.25">
      <c r="A1569">
        <v>18131</v>
      </c>
      <c r="B1569" t="s">
        <v>94</v>
      </c>
      <c r="C1569">
        <v>7</v>
      </c>
      <c r="D1569" s="3">
        <f>parking_demand_data_2024_ver0!D1569*calibration!$I$31</f>
        <v>1.94955485128391</v>
      </c>
      <c r="E1569" s="3">
        <f>parking_demand_data_2024_ver0!E1569*calibration!$I$31</f>
        <v>9.9977171860713601E-2</v>
      </c>
      <c r="F1569" s="3">
        <f t="shared" si="24"/>
        <v>2.0495320231446237</v>
      </c>
      <c r="G1569" s="3">
        <f>parking_demand_data_2024_ver0!F1569</f>
        <v>1</v>
      </c>
      <c r="H1569" s="3">
        <f>parking_demand_data_2024_ver0!G1569</f>
        <v>0</v>
      </c>
      <c r="I1569" s="3">
        <f>parking_demand_data_2024_ver0!H1569</f>
        <v>0</v>
      </c>
      <c r="J1569" s="3">
        <f>parking_demand_data_2024_ver0!I1569</f>
        <v>1</v>
      </c>
      <c r="K1569" s="3">
        <f>parking_demand_data_2024_ver0!J1569</f>
        <v>0</v>
      </c>
      <c r="L1569" s="3">
        <f>parking_demand_data_2024_ver0!K1569</f>
        <v>0</v>
      </c>
      <c r="M1569" s="3">
        <f>parking_demand_data_2024_ver0!L1569</f>
        <v>0</v>
      </c>
      <c r="N1569" s="3">
        <f>parking_demand_data_2024_ver0!M1569</f>
        <v>25</v>
      </c>
      <c r="O1569" s="3">
        <f>parking_demand_data_2024_ver0!N1569</f>
        <v>0</v>
      </c>
      <c r="P1569" s="3">
        <f>parking_demand_data_2024_ver0!O1569</f>
        <v>0</v>
      </c>
      <c r="Q1569" s="3">
        <f>parking_demand_data_2024_ver0!P1569</f>
        <v>25</v>
      </c>
      <c r="R1569" s="3">
        <f>parking_demand_data_2024_ver0!Q1569</f>
        <v>0</v>
      </c>
      <c r="S1569" s="3">
        <f>parking_demand_data_2024_ver0!R1569</f>
        <v>0</v>
      </c>
      <c r="T1569" s="3">
        <f>parking_demand_data_2024_ver0!S1569</f>
        <v>0</v>
      </c>
    </row>
    <row r="1570" spans="1:20" x14ac:dyDescent="0.25">
      <c r="A1570">
        <v>18131</v>
      </c>
      <c r="B1570" t="s">
        <v>94</v>
      </c>
      <c r="C1570">
        <v>8</v>
      </c>
      <c r="D1570" s="3">
        <f>parking_demand_data_2024_ver0!D1570*calibration!$I$31</f>
        <v>2.0495320231446299</v>
      </c>
      <c r="E1570" s="3">
        <f>parking_demand_data_2024_ver0!E1570*calibration!$I$31</f>
        <v>0.14996575779106999</v>
      </c>
      <c r="F1570" s="3">
        <f t="shared" si="24"/>
        <v>2.1994977809356997</v>
      </c>
      <c r="G1570" s="3">
        <f>parking_demand_data_2024_ver0!F1570</f>
        <v>1</v>
      </c>
      <c r="H1570" s="3">
        <f>parking_demand_data_2024_ver0!G1570</f>
        <v>0</v>
      </c>
      <c r="I1570" s="3">
        <f>parking_demand_data_2024_ver0!H1570</f>
        <v>0</v>
      </c>
      <c r="J1570" s="3">
        <f>parking_demand_data_2024_ver0!I1570</f>
        <v>1</v>
      </c>
      <c r="K1570" s="3">
        <f>parking_demand_data_2024_ver0!J1570</f>
        <v>0</v>
      </c>
      <c r="L1570" s="3">
        <f>parking_demand_data_2024_ver0!K1570</f>
        <v>0</v>
      </c>
      <c r="M1570" s="3">
        <f>parking_demand_data_2024_ver0!L1570</f>
        <v>0</v>
      </c>
      <c r="N1570" s="3">
        <f>parking_demand_data_2024_ver0!M1570</f>
        <v>25</v>
      </c>
      <c r="O1570" s="3">
        <f>parking_demand_data_2024_ver0!N1570</f>
        <v>0</v>
      </c>
      <c r="P1570" s="3">
        <f>parking_demand_data_2024_ver0!O1570</f>
        <v>0</v>
      </c>
      <c r="Q1570" s="3">
        <f>parking_demand_data_2024_ver0!P1570</f>
        <v>25</v>
      </c>
      <c r="R1570" s="3">
        <f>parking_demand_data_2024_ver0!Q1570</f>
        <v>0</v>
      </c>
      <c r="S1570" s="3">
        <f>parking_demand_data_2024_ver0!R1570</f>
        <v>0</v>
      </c>
      <c r="T1570" s="3">
        <f>parking_demand_data_2024_ver0!S1570</f>
        <v>0</v>
      </c>
    </row>
    <row r="1571" spans="1:20" x14ac:dyDescent="0.25">
      <c r="A1571">
        <v>18131</v>
      </c>
      <c r="B1571" t="s">
        <v>94</v>
      </c>
      <c r="C1571">
        <v>9</v>
      </c>
      <c r="D1571" s="3">
        <f>parking_demand_data_2024_ver0!D1571*calibration!$I$31</f>
        <v>3.1992694995428299</v>
      </c>
      <c r="E1571" s="3">
        <f>parking_demand_data_2024_ver0!E1571*calibration!$I$31</f>
        <v>0</v>
      </c>
      <c r="F1571" s="3">
        <f t="shared" si="24"/>
        <v>3.1992694995428299</v>
      </c>
      <c r="G1571" s="3">
        <f>parking_demand_data_2024_ver0!F1571</f>
        <v>1</v>
      </c>
      <c r="H1571" s="3">
        <f>parking_demand_data_2024_ver0!G1571</f>
        <v>0</v>
      </c>
      <c r="I1571" s="3">
        <f>parking_demand_data_2024_ver0!H1571</f>
        <v>0</v>
      </c>
      <c r="J1571" s="3">
        <f>parking_demand_data_2024_ver0!I1571</f>
        <v>1</v>
      </c>
      <c r="K1571" s="3">
        <f>parking_demand_data_2024_ver0!J1571</f>
        <v>0</v>
      </c>
      <c r="L1571" s="3">
        <f>parking_demand_data_2024_ver0!K1571</f>
        <v>0</v>
      </c>
      <c r="M1571" s="3">
        <f>parking_demand_data_2024_ver0!L1571</f>
        <v>0</v>
      </c>
      <c r="N1571" s="3">
        <f>parking_demand_data_2024_ver0!M1571</f>
        <v>25</v>
      </c>
      <c r="O1571" s="3">
        <f>parking_demand_data_2024_ver0!N1571</f>
        <v>0</v>
      </c>
      <c r="P1571" s="3">
        <f>parking_demand_data_2024_ver0!O1571</f>
        <v>0</v>
      </c>
      <c r="Q1571" s="3">
        <f>parking_demand_data_2024_ver0!P1571</f>
        <v>25</v>
      </c>
      <c r="R1571" s="3">
        <f>parking_demand_data_2024_ver0!Q1571</f>
        <v>0</v>
      </c>
      <c r="S1571" s="3">
        <f>parking_demand_data_2024_ver0!R1571</f>
        <v>0</v>
      </c>
      <c r="T1571" s="3">
        <f>parking_demand_data_2024_ver0!S1571</f>
        <v>0</v>
      </c>
    </row>
    <row r="1572" spans="1:20" x14ac:dyDescent="0.25">
      <c r="A1572">
        <v>18131</v>
      </c>
      <c r="B1572" t="s">
        <v>94</v>
      </c>
      <c r="C1572">
        <v>10</v>
      </c>
      <c r="D1572" s="3">
        <f>parking_demand_data_2024_ver0!D1572*calibration!$I$31</f>
        <v>2.9993151558214102</v>
      </c>
      <c r="E1572" s="3">
        <f>parking_demand_data_2024_ver0!E1572*calibration!$I$31</f>
        <v>9.9977171860713601E-2</v>
      </c>
      <c r="F1572" s="3">
        <f t="shared" si="24"/>
        <v>3.0992923276821238</v>
      </c>
      <c r="G1572" s="3">
        <f>parking_demand_data_2024_ver0!F1572</f>
        <v>1</v>
      </c>
      <c r="H1572" s="3">
        <f>parking_demand_data_2024_ver0!G1572</f>
        <v>0</v>
      </c>
      <c r="I1572" s="3">
        <f>parking_demand_data_2024_ver0!H1572</f>
        <v>0</v>
      </c>
      <c r="J1572" s="3">
        <f>parking_demand_data_2024_ver0!I1572</f>
        <v>1</v>
      </c>
      <c r="K1572" s="3">
        <f>parking_demand_data_2024_ver0!J1572</f>
        <v>0</v>
      </c>
      <c r="L1572" s="3">
        <f>parking_demand_data_2024_ver0!K1572</f>
        <v>0</v>
      </c>
      <c r="M1572" s="3">
        <f>parking_demand_data_2024_ver0!L1572</f>
        <v>0</v>
      </c>
      <c r="N1572" s="3">
        <f>parking_demand_data_2024_ver0!M1572</f>
        <v>25</v>
      </c>
      <c r="O1572" s="3">
        <f>parking_demand_data_2024_ver0!N1572</f>
        <v>0</v>
      </c>
      <c r="P1572" s="3">
        <f>parking_demand_data_2024_ver0!O1572</f>
        <v>0</v>
      </c>
      <c r="Q1572" s="3">
        <f>parking_demand_data_2024_ver0!P1572</f>
        <v>25</v>
      </c>
      <c r="R1572" s="3">
        <f>parking_demand_data_2024_ver0!Q1572</f>
        <v>0</v>
      </c>
      <c r="S1572" s="3">
        <f>parking_demand_data_2024_ver0!R1572</f>
        <v>0</v>
      </c>
      <c r="T1572" s="3">
        <f>parking_demand_data_2024_ver0!S1572</f>
        <v>0</v>
      </c>
    </row>
    <row r="1573" spans="1:20" x14ac:dyDescent="0.25">
      <c r="A1573">
        <v>18131</v>
      </c>
      <c r="B1573" t="s">
        <v>94</v>
      </c>
      <c r="C1573">
        <v>11</v>
      </c>
      <c r="D1573" s="3">
        <f>parking_demand_data_2024_ver0!D1573*calibration!$I$31</f>
        <v>2.64939505430891</v>
      </c>
      <c r="E1573" s="3">
        <f>parking_demand_data_2024_ver0!E1573*calibration!$I$31</f>
        <v>0.19995434372142701</v>
      </c>
      <c r="F1573" s="3">
        <f t="shared" si="24"/>
        <v>2.8493493980303368</v>
      </c>
      <c r="G1573" s="3">
        <f>parking_demand_data_2024_ver0!F1573</f>
        <v>1</v>
      </c>
      <c r="H1573" s="3">
        <f>parking_demand_data_2024_ver0!G1573</f>
        <v>0</v>
      </c>
      <c r="I1573" s="3">
        <f>parking_demand_data_2024_ver0!H1573</f>
        <v>0</v>
      </c>
      <c r="J1573" s="3">
        <f>parking_demand_data_2024_ver0!I1573</f>
        <v>1</v>
      </c>
      <c r="K1573" s="3">
        <f>parking_demand_data_2024_ver0!J1573</f>
        <v>0</v>
      </c>
      <c r="L1573" s="3">
        <f>parking_demand_data_2024_ver0!K1573</f>
        <v>0</v>
      </c>
      <c r="M1573" s="3">
        <f>parking_demand_data_2024_ver0!L1573</f>
        <v>0</v>
      </c>
      <c r="N1573" s="3">
        <f>parking_demand_data_2024_ver0!M1573</f>
        <v>25</v>
      </c>
      <c r="O1573" s="3">
        <f>parking_demand_data_2024_ver0!N1573</f>
        <v>0</v>
      </c>
      <c r="P1573" s="3">
        <f>parking_demand_data_2024_ver0!O1573</f>
        <v>0</v>
      </c>
      <c r="Q1573" s="3">
        <f>parking_demand_data_2024_ver0!P1573</f>
        <v>25</v>
      </c>
      <c r="R1573" s="3">
        <f>parking_demand_data_2024_ver0!Q1573</f>
        <v>0</v>
      </c>
      <c r="S1573" s="3">
        <f>parking_demand_data_2024_ver0!R1573</f>
        <v>0</v>
      </c>
      <c r="T1573" s="3">
        <f>parking_demand_data_2024_ver0!S1573</f>
        <v>0</v>
      </c>
    </row>
    <row r="1574" spans="1:20" x14ac:dyDescent="0.25">
      <c r="A1574">
        <v>18131</v>
      </c>
      <c r="B1574" t="s">
        <v>94</v>
      </c>
      <c r="C1574">
        <v>12</v>
      </c>
      <c r="D1574" s="3">
        <f>parking_demand_data_2024_ver0!D1574*calibration!$I$31</f>
        <v>2.2494863668660501</v>
      </c>
      <c r="E1574" s="3">
        <f>parking_demand_data_2024_ver0!E1574*calibration!$I$31</f>
        <v>9.9977171860713601E-2</v>
      </c>
      <c r="F1574" s="3">
        <f t="shared" si="24"/>
        <v>2.3494635387267637</v>
      </c>
      <c r="G1574" s="3">
        <f>parking_demand_data_2024_ver0!F1574</f>
        <v>1</v>
      </c>
      <c r="H1574" s="3">
        <f>parking_demand_data_2024_ver0!G1574</f>
        <v>0</v>
      </c>
      <c r="I1574" s="3">
        <f>parking_demand_data_2024_ver0!H1574</f>
        <v>0</v>
      </c>
      <c r="J1574" s="3">
        <f>parking_demand_data_2024_ver0!I1574</f>
        <v>1</v>
      </c>
      <c r="K1574" s="3">
        <f>parking_demand_data_2024_ver0!J1574</f>
        <v>0</v>
      </c>
      <c r="L1574" s="3">
        <f>parking_demand_data_2024_ver0!K1574</f>
        <v>0</v>
      </c>
      <c r="M1574" s="3">
        <f>parking_demand_data_2024_ver0!L1574</f>
        <v>0</v>
      </c>
      <c r="N1574" s="3">
        <f>parking_demand_data_2024_ver0!M1574</f>
        <v>25</v>
      </c>
      <c r="O1574" s="3">
        <f>parking_demand_data_2024_ver0!N1574</f>
        <v>0</v>
      </c>
      <c r="P1574" s="3">
        <f>parking_demand_data_2024_ver0!O1574</f>
        <v>0</v>
      </c>
      <c r="Q1574" s="3">
        <f>parking_demand_data_2024_ver0!P1574</f>
        <v>25</v>
      </c>
      <c r="R1574" s="3">
        <f>parking_demand_data_2024_ver0!Q1574</f>
        <v>0</v>
      </c>
      <c r="S1574" s="3">
        <f>parking_demand_data_2024_ver0!R1574</f>
        <v>0</v>
      </c>
      <c r="T1574" s="3">
        <f>parking_demand_data_2024_ver0!S1574</f>
        <v>0</v>
      </c>
    </row>
    <row r="1575" spans="1:20" x14ac:dyDescent="0.25">
      <c r="A1575">
        <v>18131</v>
      </c>
      <c r="B1575" t="s">
        <v>94</v>
      </c>
      <c r="C1575">
        <v>13</v>
      </c>
      <c r="D1575" s="3">
        <f>parking_demand_data_2024_ver0!D1575*calibration!$I$31</f>
        <v>1.34969182011963</v>
      </c>
      <c r="E1575" s="3">
        <f>parking_demand_data_2024_ver0!E1575*calibration!$I$31</f>
        <v>0.29993151558214098</v>
      </c>
      <c r="F1575" s="3">
        <f t="shared" si="24"/>
        <v>1.6496233357017709</v>
      </c>
      <c r="G1575" s="3">
        <f>parking_demand_data_2024_ver0!F1575</f>
        <v>1</v>
      </c>
      <c r="H1575" s="3">
        <f>parking_demand_data_2024_ver0!G1575</f>
        <v>0</v>
      </c>
      <c r="I1575" s="3">
        <f>parking_demand_data_2024_ver0!H1575</f>
        <v>0</v>
      </c>
      <c r="J1575" s="3">
        <f>parking_demand_data_2024_ver0!I1575</f>
        <v>1</v>
      </c>
      <c r="K1575" s="3">
        <f>parking_demand_data_2024_ver0!J1575</f>
        <v>0</v>
      </c>
      <c r="L1575" s="3">
        <f>parking_demand_data_2024_ver0!K1575</f>
        <v>0</v>
      </c>
      <c r="M1575" s="3">
        <f>parking_demand_data_2024_ver0!L1575</f>
        <v>0</v>
      </c>
      <c r="N1575" s="3">
        <f>parking_demand_data_2024_ver0!M1575</f>
        <v>25</v>
      </c>
      <c r="O1575" s="3">
        <f>parking_demand_data_2024_ver0!N1575</f>
        <v>0</v>
      </c>
      <c r="P1575" s="3">
        <f>parking_demand_data_2024_ver0!O1575</f>
        <v>0</v>
      </c>
      <c r="Q1575" s="3">
        <f>parking_demand_data_2024_ver0!P1575</f>
        <v>25</v>
      </c>
      <c r="R1575" s="3">
        <f>parking_demand_data_2024_ver0!Q1575</f>
        <v>0</v>
      </c>
      <c r="S1575" s="3">
        <f>parking_demand_data_2024_ver0!R1575</f>
        <v>0</v>
      </c>
      <c r="T1575" s="3">
        <f>parking_demand_data_2024_ver0!S1575</f>
        <v>0</v>
      </c>
    </row>
    <row r="1576" spans="1:20" x14ac:dyDescent="0.25">
      <c r="A1576">
        <v>18131</v>
      </c>
      <c r="B1576" t="s">
        <v>94</v>
      </c>
      <c r="C1576">
        <v>14</v>
      </c>
      <c r="D1576" s="3">
        <f>parking_demand_data_2024_ver0!D1576*calibration!$I$31</f>
        <v>0.79981737488570903</v>
      </c>
      <c r="E1576" s="3">
        <f>parking_demand_data_2024_ver0!E1576*calibration!$I$31</f>
        <v>0.29993151558214098</v>
      </c>
      <c r="F1576" s="3">
        <f t="shared" si="24"/>
        <v>1.0997488904678501</v>
      </c>
      <c r="G1576" s="3">
        <f>parking_demand_data_2024_ver0!F1576</f>
        <v>1</v>
      </c>
      <c r="H1576" s="3">
        <f>parking_demand_data_2024_ver0!G1576</f>
        <v>0</v>
      </c>
      <c r="I1576" s="3">
        <f>parking_demand_data_2024_ver0!H1576</f>
        <v>0</v>
      </c>
      <c r="J1576" s="3">
        <f>parking_demand_data_2024_ver0!I1576</f>
        <v>1</v>
      </c>
      <c r="K1576" s="3">
        <f>parking_demand_data_2024_ver0!J1576</f>
        <v>0</v>
      </c>
      <c r="L1576" s="3">
        <f>parking_demand_data_2024_ver0!K1576</f>
        <v>0</v>
      </c>
      <c r="M1576" s="3">
        <f>parking_demand_data_2024_ver0!L1576</f>
        <v>0</v>
      </c>
      <c r="N1576" s="3">
        <f>parking_demand_data_2024_ver0!M1576</f>
        <v>25</v>
      </c>
      <c r="O1576" s="3">
        <f>parking_demand_data_2024_ver0!N1576</f>
        <v>0</v>
      </c>
      <c r="P1576" s="3">
        <f>parking_demand_data_2024_ver0!O1576</f>
        <v>0</v>
      </c>
      <c r="Q1576" s="3">
        <f>parking_demand_data_2024_ver0!P1576</f>
        <v>25</v>
      </c>
      <c r="R1576" s="3">
        <f>parking_demand_data_2024_ver0!Q1576</f>
        <v>0</v>
      </c>
      <c r="S1576" s="3">
        <f>parking_demand_data_2024_ver0!R1576</f>
        <v>0</v>
      </c>
      <c r="T1576" s="3">
        <f>parking_demand_data_2024_ver0!S1576</f>
        <v>0</v>
      </c>
    </row>
    <row r="1577" spans="1:20" x14ac:dyDescent="0.25">
      <c r="A1577">
        <v>18131</v>
      </c>
      <c r="B1577" t="s">
        <v>94</v>
      </c>
      <c r="C1577">
        <v>15</v>
      </c>
      <c r="D1577" s="3">
        <f>parking_demand_data_2024_ver0!D1577*calibration!$I$31</f>
        <v>0.99977171860713598</v>
      </c>
      <c r="E1577" s="3">
        <f>parking_demand_data_2024_ver0!E1577*calibration!$I$31</f>
        <v>0.29993151558214098</v>
      </c>
      <c r="F1577" s="3">
        <f t="shared" si="24"/>
        <v>1.2997032341892769</v>
      </c>
      <c r="G1577" s="3">
        <f>parking_demand_data_2024_ver0!F1577</f>
        <v>1</v>
      </c>
      <c r="H1577" s="3">
        <f>parking_demand_data_2024_ver0!G1577</f>
        <v>0</v>
      </c>
      <c r="I1577" s="3">
        <f>parking_demand_data_2024_ver0!H1577</f>
        <v>0</v>
      </c>
      <c r="J1577" s="3">
        <f>parking_demand_data_2024_ver0!I1577</f>
        <v>1</v>
      </c>
      <c r="K1577" s="3">
        <f>parking_demand_data_2024_ver0!J1577</f>
        <v>0</v>
      </c>
      <c r="L1577" s="3">
        <f>parking_demand_data_2024_ver0!K1577</f>
        <v>0</v>
      </c>
      <c r="M1577" s="3">
        <f>parking_demand_data_2024_ver0!L1577</f>
        <v>0</v>
      </c>
      <c r="N1577" s="3">
        <f>parking_demand_data_2024_ver0!M1577</f>
        <v>25</v>
      </c>
      <c r="O1577" s="3">
        <f>parking_demand_data_2024_ver0!N1577</f>
        <v>0</v>
      </c>
      <c r="P1577" s="3">
        <f>parking_demand_data_2024_ver0!O1577</f>
        <v>0</v>
      </c>
      <c r="Q1577" s="3">
        <f>parking_demand_data_2024_ver0!P1577</f>
        <v>25</v>
      </c>
      <c r="R1577" s="3">
        <f>parking_demand_data_2024_ver0!Q1577</f>
        <v>0</v>
      </c>
      <c r="S1577" s="3">
        <f>parking_demand_data_2024_ver0!R1577</f>
        <v>0</v>
      </c>
      <c r="T1577" s="3">
        <f>parking_demand_data_2024_ver0!S1577</f>
        <v>0</v>
      </c>
    </row>
    <row r="1578" spans="1:20" x14ac:dyDescent="0.25">
      <c r="A1578">
        <v>18131</v>
      </c>
      <c r="B1578" t="s">
        <v>94</v>
      </c>
      <c r="C1578">
        <v>16</v>
      </c>
      <c r="D1578" s="3">
        <f>parking_demand_data_2024_ver0!D1578*calibration!$I$31</f>
        <v>1.0497603045374899</v>
      </c>
      <c r="E1578" s="3">
        <f>parking_demand_data_2024_ver0!E1578*calibration!$I$31</f>
        <v>0.19995434372142701</v>
      </c>
      <c r="F1578" s="3">
        <f t="shared" si="24"/>
        <v>1.249714648258917</v>
      </c>
      <c r="G1578" s="3">
        <f>parking_demand_data_2024_ver0!F1578</f>
        <v>1</v>
      </c>
      <c r="H1578" s="3">
        <f>parking_demand_data_2024_ver0!G1578</f>
        <v>0</v>
      </c>
      <c r="I1578" s="3">
        <f>parking_demand_data_2024_ver0!H1578</f>
        <v>0</v>
      </c>
      <c r="J1578" s="3">
        <f>parking_demand_data_2024_ver0!I1578</f>
        <v>1</v>
      </c>
      <c r="K1578" s="3">
        <f>parking_demand_data_2024_ver0!J1578</f>
        <v>0</v>
      </c>
      <c r="L1578" s="3">
        <f>parking_demand_data_2024_ver0!K1578</f>
        <v>0</v>
      </c>
      <c r="M1578" s="3">
        <f>parking_demand_data_2024_ver0!L1578</f>
        <v>0</v>
      </c>
      <c r="N1578" s="3">
        <f>parking_demand_data_2024_ver0!M1578</f>
        <v>25</v>
      </c>
      <c r="O1578" s="3">
        <f>parking_demand_data_2024_ver0!N1578</f>
        <v>0</v>
      </c>
      <c r="P1578" s="3">
        <f>parking_demand_data_2024_ver0!O1578</f>
        <v>0</v>
      </c>
      <c r="Q1578" s="3">
        <f>parking_demand_data_2024_ver0!P1578</f>
        <v>25</v>
      </c>
      <c r="R1578" s="3">
        <f>parking_demand_data_2024_ver0!Q1578</f>
        <v>0</v>
      </c>
      <c r="S1578" s="3">
        <f>parking_demand_data_2024_ver0!R1578</f>
        <v>0</v>
      </c>
      <c r="T1578" s="3">
        <f>parking_demand_data_2024_ver0!S1578</f>
        <v>0</v>
      </c>
    </row>
    <row r="1579" spans="1:20" x14ac:dyDescent="0.25">
      <c r="A1579">
        <v>18131</v>
      </c>
      <c r="B1579" t="s">
        <v>94</v>
      </c>
      <c r="C1579">
        <v>17</v>
      </c>
      <c r="D1579" s="3">
        <f>parking_demand_data_2024_ver0!D1579*calibration!$I$31</f>
        <v>1.4996575779107</v>
      </c>
      <c r="E1579" s="3">
        <f>parking_demand_data_2024_ver0!E1579*calibration!$I$31</f>
        <v>0.14996575779106999</v>
      </c>
      <c r="F1579" s="3">
        <f t="shared" si="24"/>
        <v>1.64962333570177</v>
      </c>
      <c r="G1579" s="3">
        <f>parking_demand_data_2024_ver0!F1579</f>
        <v>1</v>
      </c>
      <c r="H1579" s="3">
        <f>parking_demand_data_2024_ver0!G1579</f>
        <v>0</v>
      </c>
      <c r="I1579" s="3">
        <f>parking_demand_data_2024_ver0!H1579</f>
        <v>0</v>
      </c>
      <c r="J1579" s="3">
        <f>parking_demand_data_2024_ver0!I1579</f>
        <v>1</v>
      </c>
      <c r="K1579" s="3">
        <f>parking_demand_data_2024_ver0!J1579</f>
        <v>0</v>
      </c>
      <c r="L1579" s="3">
        <f>parking_demand_data_2024_ver0!K1579</f>
        <v>0</v>
      </c>
      <c r="M1579" s="3">
        <f>parking_demand_data_2024_ver0!L1579</f>
        <v>0</v>
      </c>
      <c r="N1579" s="3">
        <f>parking_demand_data_2024_ver0!M1579</f>
        <v>25</v>
      </c>
      <c r="O1579" s="3">
        <f>parking_demand_data_2024_ver0!N1579</f>
        <v>0</v>
      </c>
      <c r="P1579" s="3">
        <f>parking_demand_data_2024_ver0!O1579</f>
        <v>0</v>
      </c>
      <c r="Q1579" s="3">
        <f>parking_demand_data_2024_ver0!P1579</f>
        <v>25</v>
      </c>
      <c r="R1579" s="3">
        <f>parking_demand_data_2024_ver0!Q1579</f>
        <v>0</v>
      </c>
      <c r="S1579" s="3">
        <f>parking_demand_data_2024_ver0!R1579</f>
        <v>0</v>
      </c>
      <c r="T1579" s="3">
        <f>parking_demand_data_2024_ver0!S1579</f>
        <v>0</v>
      </c>
    </row>
    <row r="1580" spans="1:20" x14ac:dyDescent="0.25">
      <c r="A1580">
        <v>18131</v>
      </c>
      <c r="B1580" t="s">
        <v>94</v>
      </c>
      <c r="C1580">
        <v>18</v>
      </c>
      <c r="D1580" s="3">
        <f>parking_demand_data_2024_ver0!D1580*calibration!$I$31</f>
        <v>1.5996347497714101</v>
      </c>
      <c r="E1580" s="3">
        <f>parking_demand_data_2024_ver0!E1580*calibration!$I$31</f>
        <v>0</v>
      </c>
      <c r="F1580" s="3">
        <f t="shared" si="24"/>
        <v>1.5996347497714101</v>
      </c>
      <c r="G1580" s="3">
        <f>parking_demand_data_2024_ver0!F1580</f>
        <v>1</v>
      </c>
      <c r="H1580" s="3">
        <f>parking_demand_data_2024_ver0!G1580</f>
        <v>0</v>
      </c>
      <c r="I1580" s="3">
        <f>parking_demand_data_2024_ver0!H1580</f>
        <v>0</v>
      </c>
      <c r="J1580" s="3">
        <f>parking_demand_data_2024_ver0!I1580</f>
        <v>1</v>
      </c>
      <c r="K1580" s="3">
        <f>parking_demand_data_2024_ver0!J1580</f>
        <v>0</v>
      </c>
      <c r="L1580" s="3">
        <f>parking_demand_data_2024_ver0!K1580</f>
        <v>0</v>
      </c>
      <c r="M1580" s="3">
        <f>parking_demand_data_2024_ver0!L1580</f>
        <v>0</v>
      </c>
      <c r="N1580" s="3">
        <f>parking_demand_data_2024_ver0!M1580</f>
        <v>25</v>
      </c>
      <c r="O1580" s="3">
        <f>parking_demand_data_2024_ver0!N1580</f>
        <v>0</v>
      </c>
      <c r="P1580" s="3">
        <f>parking_demand_data_2024_ver0!O1580</f>
        <v>0</v>
      </c>
      <c r="Q1580" s="3">
        <f>parking_demand_data_2024_ver0!P1580</f>
        <v>25</v>
      </c>
      <c r="R1580" s="3">
        <f>parking_demand_data_2024_ver0!Q1580</f>
        <v>0</v>
      </c>
      <c r="S1580" s="3">
        <f>parking_demand_data_2024_ver0!R1580</f>
        <v>0</v>
      </c>
      <c r="T1580" s="3">
        <f>parking_demand_data_2024_ver0!S1580</f>
        <v>0</v>
      </c>
    </row>
    <row r="1581" spans="1:20" x14ac:dyDescent="0.25">
      <c r="A1581">
        <v>18131</v>
      </c>
      <c r="B1581" t="s">
        <v>94</v>
      </c>
      <c r="C1581">
        <v>19</v>
      </c>
      <c r="D1581" s="3">
        <f>parking_demand_data_2024_ver0!D1581*calibration!$I$31</f>
        <v>1.3996804060499899</v>
      </c>
      <c r="E1581" s="3">
        <f>parking_demand_data_2024_ver0!E1581*calibration!$I$31</f>
        <v>0</v>
      </c>
      <c r="F1581" s="3">
        <f t="shared" si="24"/>
        <v>1.3996804060499899</v>
      </c>
      <c r="G1581" s="3">
        <f>parking_demand_data_2024_ver0!F1581</f>
        <v>1</v>
      </c>
      <c r="H1581" s="3">
        <f>parking_demand_data_2024_ver0!G1581</f>
        <v>0</v>
      </c>
      <c r="I1581" s="3">
        <f>parking_demand_data_2024_ver0!H1581</f>
        <v>0</v>
      </c>
      <c r="J1581" s="3">
        <f>parking_demand_data_2024_ver0!I1581</f>
        <v>1</v>
      </c>
      <c r="K1581" s="3">
        <f>parking_demand_data_2024_ver0!J1581</f>
        <v>0</v>
      </c>
      <c r="L1581" s="3">
        <f>parking_demand_data_2024_ver0!K1581</f>
        <v>0</v>
      </c>
      <c r="M1581" s="3">
        <f>parking_demand_data_2024_ver0!L1581</f>
        <v>0</v>
      </c>
      <c r="N1581" s="3">
        <f>parking_demand_data_2024_ver0!M1581</f>
        <v>25</v>
      </c>
      <c r="O1581" s="3">
        <f>parking_demand_data_2024_ver0!N1581</f>
        <v>0</v>
      </c>
      <c r="P1581" s="3">
        <f>parking_demand_data_2024_ver0!O1581</f>
        <v>0</v>
      </c>
      <c r="Q1581" s="3">
        <f>parking_demand_data_2024_ver0!P1581</f>
        <v>25</v>
      </c>
      <c r="R1581" s="3">
        <f>parking_demand_data_2024_ver0!Q1581</f>
        <v>0</v>
      </c>
      <c r="S1581" s="3">
        <f>parking_demand_data_2024_ver0!R1581</f>
        <v>0</v>
      </c>
      <c r="T1581" s="3">
        <f>parking_demand_data_2024_ver0!S1581</f>
        <v>0</v>
      </c>
    </row>
    <row r="1582" spans="1:20" x14ac:dyDescent="0.25">
      <c r="A1582">
        <v>18131</v>
      </c>
      <c r="B1582" t="s">
        <v>94</v>
      </c>
      <c r="C1582">
        <v>20</v>
      </c>
      <c r="D1582" s="3">
        <f>parking_demand_data_2024_ver0!D1582*calibration!$I$31</f>
        <v>1.5496461638410599</v>
      </c>
      <c r="E1582" s="3">
        <f>parking_demand_data_2024_ver0!E1582*calibration!$I$31</f>
        <v>0</v>
      </c>
      <c r="F1582" s="3">
        <f t="shared" si="24"/>
        <v>1.5496461638410599</v>
      </c>
      <c r="G1582" s="3">
        <f>parking_demand_data_2024_ver0!F1582</f>
        <v>1</v>
      </c>
      <c r="H1582" s="3">
        <f>parking_demand_data_2024_ver0!G1582</f>
        <v>0</v>
      </c>
      <c r="I1582" s="3">
        <f>parking_demand_data_2024_ver0!H1582</f>
        <v>0</v>
      </c>
      <c r="J1582" s="3">
        <f>parking_demand_data_2024_ver0!I1582</f>
        <v>1</v>
      </c>
      <c r="K1582" s="3">
        <f>parking_demand_data_2024_ver0!J1582</f>
        <v>0</v>
      </c>
      <c r="L1582" s="3">
        <f>parking_demand_data_2024_ver0!K1582</f>
        <v>0</v>
      </c>
      <c r="M1582" s="3">
        <f>parking_demand_data_2024_ver0!L1582</f>
        <v>0</v>
      </c>
      <c r="N1582" s="3">
        <f>parking_demand_data_2024_ver0!M1582</f>
        <v>25</v>
      </c>
      <c r="O1582" s="3">
        <f>parking_demand_data_2024_ver0!N1582</f>
        <v>0</v>
      </c>
      <c r="P1582" s="3">
        <f>parking_demand_data_2024_ver0!O1582</f>
        <v>0</v>
      </c>
      <c r="Q1582" s="3">
        <f>parking_demand_data_2024_ver0!P1582</f>
        <v>25</v>
      </c>
      <c r="R1582" s="3">
        <f>parking_demand_data_2024_ver0!Q1582</f>
        <v>0</v>
      </c>
      <c r="S1582" s="3">
        <f>parking_demand_data_2024_ver0!R1582</f>
        <v>0</v>
      </c>
      <c r="T1582" s="3">
        <f>parking_demand_data_2024_ver0!S1582</f>
        <v>0</v>
      </c>
    </row>
    <row r="1583" spans="1:20" x14ac:dyDescent="0.25">
      <c r="A1583">
        <v>18131</v>
      </c>
      <c r="B1583" t="s">
        <v>94</v>
      </c>
      <c r="C1583">
        <v>21</v>
      </c>
      <c r="D1583" s="3">
        <f>parking_demand_data_2024_ver0!D1583*calibration!$I$31</f>
        <v>1.64962333570177</v>
      </c>
      <c r="E1583" s="3">
        <f>parking_demand_data_2024_ver0!E1583*calibration!$I$31</f>
        <v>0</v>
      </c>
      <c r="F1583" s="3">
        <f t="shared" si="24"/>
        <v>1.64962333570177</v>
      </c>
      <c r="G1583" s="3">
        <f>parking_demand_data_2024_ver0!F1583</f>
        <v>1</v>
      </c>
      <c r="H1583" s="3">
        <f>parking_demand_data_2024_ver0!G1583</f>
        <v>0</v>
      </c>
      <c r="I1583" s="3">
        <f>parking_demand_data_2024_ver0!H1583</f>
        <v>0</v>
      </c>
      <c r="J1583" s="3">
        <f>parking_demand_data_2024_ver0!I1583</f>
        <v>1</v>
      </c>
      <c r="K1583" s="3">
        <f>parking_demand_data_2024_ver0!J1583</f>
        <v>0</v>
      </c>
      <c r="L1583" s="3">
        <f>parking_demand_data_2024_ver0!K1583</f>
        <v>0</v>
      </c>
      <c r="M1583" s="3">
        <f>parking_demand_data_2024_ver0!L1583</f>
        <v>0</v>
      </c>
      <c r="N1583" s="3">
        <f>parking_demand_data_2024_ver0!M1583</f>
        <v>25</v>
      </c>
      <c r="O1583" s="3">
        <f>parking_demand_data_2024_ver0!N1583</f>
        <v>0</v>
      </c>
      <c r="P1583" s="3">
        <f>parking_demand_data_2024_ver0!O1583</f>
        <v>0</v>
      </c>
      <c r="Q1583" s="3">
        <f>parking_demand_data_2024_ver0!P1583</f>
        <v>25</v>
      </c>
      <c r="R1583" s="3">
        <f>parking_demand_data_2024_ver0!Q1583</f>
        <v>0</v>
      </c>
      <c r="S1583" s="3">
        <f>parking_demand_data_2024_ver0!R1583</f>
        <v>0</v>
      </c>
      <c r="T1583" s="3">
        <f>parking_demand_data_2024_ver0!S1583</f>
        <v>0</v>
      </c>
    </row>
    <row r="1584" spans="1:20" x14ac:dyDescent="0.25">
      <c r="A1584">
        <v>18131</v>
      </c>
      <c r="B1584" t="s">
        <v>94</v>
      </c>
      <c r="C1584">
        <v>22</v>
      </c>
      <c r="D1584" s="3">
        <f>parking_demand_data_2024_ver0!D1584*calibration!$I$31</f>
        <v>1.5996347497714101</v>
      </c>
      <c r="E1584" s="3">
        <f>parking_demand_data_2024_ver0!E1584*calibration!$I$31</f>
        <v>0</v>
      </c>
      <c r="F1584" s="3">
        <f t="shared" si="24"/>
        <v>1.5996347497714101</v>
      </c>
      <c r="G1584" s="3">
        <f>parking_demand_data_2024_ver0!F1584</f>
        <v>1</v>
      </c>
      <c r="H1584" s="3">
        <f>parking_demand_data_2024_ver0!G1584</f>
        <v>0</v>
      </c>
      <c r="I1584" s="3">
        <f>parking_demand_data_2024_ver0!H1584</f>
        <v>0</v>
      </c>
      <c r="J1584" s="3">
        <f>parking_demand_data_2024_ver0!I1584</f>
        <v>1</v>
      </c>
      <c r="K1584" s="3">
        <f>parking_demand_data_2024_ver0!J1584</f>
        <v>0</v>
      </c>
      <c r="L1584" s="3">
        <f>parking_demand_data_2024_ver0!K1584</f>
        <v>0</v>
      </c>
      <c r="M1584" s="3">
        <f>parking_demand_data_2024_ver0!L1584</f>
        <v>0</v>
      </c>
      <c r="N1584" s="3">
        <f>parking_demand_data_2024_ver0!M1584</f>
        <v>25</v>
      </c>
      <c r="O1584" s="3">
        <f>parking_demand_data_2024_ver0!N1584</f>
        <v>0</v>
      </c>
      <c r="P1584" s="3">
        <f>parking_demand_data_2024_ver0!O1584</f>
        <v>0</v>
      </c>
      <c r="Q1584" s="3">
        <f>parking_demand_data_2024_ver0!P1584</f>
        <v>25</v>
      </c>
      <c r="R1584" s="3">
        <f>parking_demand_data_2024_ver0!Q1584</f>
        <v>0</v>
      </c>
      <c r="S1584" s="3">
        <f>parking_demand_data_2024_ver0!R1584</f>
        <v>0</v>
      </c>
      <c r="T1584" s="3">
        <f>parking_demand_data_2024_ver0!S1584</f>
        <v>0</v>
      </c>
    </row>
    <row r="1585" spans="1:20" x14ac:dyDescent="0.25">
      <c r="A1585">
        <v>18131</v>
      </c>
      <c r="B1585" t="s">
        <v>94</v>
      </c>
      <c r="C1585">
        <v>23</v>
      </c>
      <c r="D1585" s="3">
        <f>parking_demand_data_2024_ver0!D1585*calibration!$I$31</f>
        <v>1.6996119216321299</v>
      </c>
      <c r="E1585" s="3">
        <f>parking_demand_data_2024_ver0!E1585*calibration!$I$31</f>
        <v>0</v>
      </c>
      <c r="F1585" s="3">
        <f t="shared" si="24"/>
        <v>1.6996119216321299</v>
      </c>
      <c r="G1585" s="3">
        <f>parking_demand_data_2024_ver0!F1585</f>
        <v>1</v>
      </c>
      <c r="H1585" s="3">
        <f>parking_demand_data_2024_ver0!G1585</f>
        <v>0</v>
      </c>
      <c r="I1585" s="3">
        <f>parking_demand_data_2024_ver0!H1585</f>
        <v>0</v>
      </c>
      <c r="J1585" s="3">
        <f>parking_demand_data_2024_ver0!I1585</f>
        <v>1</v>
      </c>
      <c r="K1585" s="3">
        <f>parking_demand_data_2024_ver0!J1585</f>
        <v>0</v>
      </c>
      <c r="L1585" s="3">
        <f>parking_demand_data_2024_ver0!K1585</f>
        <v>0</v>
      </c>
      <c r="M1585" s="3">
        <f>parking_demand_data_2024_ver0!L1585</f>
        <v>0</v>
      </c>
      <c r="N1585" s="3">
        <f>parking_demand_data_2024_ver0!M1585</f>
        <v>25</v>
      </c>
      <c r="O1585" s="3">
        <f>parking_demand_data_2024_ver0!N1585</f>
        <v>0</v>
      </c>
      <c r="P1585" s="3">
        <f>parking_demand_data_2024_ver0!O1585</f>
        <v>0</v>
      </c>
      <c r="Q1585" s="3">
        <f>parking_demand_data_2024_ver0!P1585</f>
        <v>25</v>
      </c>
      <c r="R1585" s="3">
        <f>parking_demand_data_2024_ver0!Q1585</f>
        <v>0</v>
      </c>
      <c r="S1585" s="3">
        <f>parking_demand_data_2024_ver0!R1585</f>
        <v>0</v>
      </c>
      <c r="T1585" s="3">
        <f>parking_demand_data_2024_ver0!S1585</f>
        <v>0</v>
      </c>
    </row>
    <row r="1586" spans="1:20" x14ac:dyDescent="0.25">
      <c r="A1586">
        <v>18133</v>
      </c>
      <c r="B1586" t="s">
        <v>95</v>
      </c>
      <c r="C1586">
        <v>0</v>
      </c>
      <c r="D1586" s="3">
        <f>parking_demand_data_2024_ver0!D1586*calibration!$I$31</f>
        <v>51.010908907888002</v>
      </c>
      <c r="E1586" s="3">
        <f>parking_demand_data_2024_ver0!E1586*calibration!$I$31</f>
        <v>8.1261933294457602</v>
      </c>
      <c r="F1586" s="3">
        <f t="shared" si="24"/>
        <v>59.137102237333764</v>
      </c>
      <c r="G1586" s="3">
        <f>parking_demand_data_2024_ver0!F1586</f>
        <v>2</v>
      </c>
      <c r="H1586" s="3">
        <f>parking_demand_data_2024_ver0!G1586</f>
        <v>0</v>
      </c>
      <c r="I1586" s="3">
        <f>parking_demand_data_2024_ver0!H1586</f>
        <v>1</v>
      </c>
      <c r="J1586" s="3">
        <f>parking_demand_data_2024_ver0!I1586</f>
        <v>1</v>
      </c>
      <c r="K1586" s="3">
        <f>parking_demand_data_2024_ver0!J1586</f>
        <v>0</v>
      </c>
      <c r="L1586" s="3">
        <f>parking_demand_data_2024_ver0!K1586</f>
        <v>0</v>
      </c>
      <c r="M1586" s="3">
        <f>parking_demand_data_2024_ver0!L1586</f>
        <v>0</v>
      </c>
      <c r="N1586" s="3">
        <f>parking_demand_data_2024_ver0!M1586</f>
        <v>100</v>
      </c>
      <c r="O1586" s="3">
        <f>parking_demand_data_2024_ver0!N1586</f>
        <v>0</v>
      </c>
      <c r="P1586" s="3">
        <f>parking_demand_data_2024_ver0!O1586</f>
        <v>90</v>
      </c>
      <c r="Q1586" s="3">
        <f>parking_demand_data_2024_ver0!P1586</f>
        <v>10</v>
      </c>
      <c r="R1586" s="3">
        <f>parking_demand_data_2024_ver0!Q1586</f>
        <v>0</v>
      </c>
      <c r="S1586" s="3">
        <f>parking_demand_data_2024_ver0!R1586</f>
        <v>0</v>
      </c>
      <c r="T1586" s="3">
        <f>parking_demand_data_2024_ver0!S1586</f>
        <v>0</v>
      </c>
    </row>
    <row r="1587" spans="1:20" x14ac:dyDescent="0.25">
      <c r="A1587">
        <v>18133</v>
      </c>
      <c r="B1587" t="s">
        <v>95</v>
      </c>
      <c r="C1587">
        <v>1</v>
      </c>
      <c r="D1587" s="3">
        <f>parking_demand_data_2024_ver0!D1587*calibration!$I$31</f>
        <v>52.375855443693297</v>
      </c>
      <c r="E1587" s="3">
        <f>parking_demand_data_2024_ver0!E1587*calibration!$I$31</f>
        <v>9.3006822090922192</v>
      </c>
      <c r="F1587" s="3">
        <f t="shared" si="24"/>
        <v>61.676537652785512</v>
      </c>
      <c r="G1587" s="3">
        <f>parking_demand_data_2024_ver0!F1587</f>
        <v>2</v>
      </c>
      <c r="H1587" s="3">
        <f>parking_demand_data_2024_ver0!G1587</f>
        <v>0</v>
      </c>
      <c r="I1587" s="3">
        <f>parking_demand_data_2024_ver0!H1587</f>
        <v>1</v>
      </c>
      <c r="J1587" s="3">
        <f>parking_demand_data_2024_ver0!I1587</f>
        <v>1</v>
      </c>
      <c r="K1587" s="3">
        <f>parking_demand_data_2024_ver0!J1587</f>
        <v>0</v>
      </c>
      <c r="L1587" s="3">
        <f>parking_demand_data_2024_ver0!K1587</f>
        <v>0</v>
      </c>
      <c r="M1587" s="3">
        <f>parking_demand_data_2024_ver0!L1587</f>
        <v>0</v>
      </c>
      <c r="N1587" s="3">
        <f>parking_demand_data_2024_ver0!M1587</f>
        <v>100</v>
      </c>
      <c r="O1587" s="3">
        <f>parking_demand_data_2024_ver0!N1587</f>
        <v>0</v>
      </c>
      <c r="P1587" s="3">
        <f>parking_demand_data_2024_ver0!O1587</f>
        <v>90</v>
      </c>
      <c r="Q1587" s="3">
        <f>parking_demand_data_2024_ver0!P1587</f>
        <v>10</v>
      </c>
      <c r="R1587" s="3">
        <f>parking_demand_data_2024_ver0!Q1587</f>
        <v>0</v>
      </c>
      <c r="S1587" s="3">
        <f>parking_demand_data_2024_ver0!R1587</f>
        <v>0</v>
      </c>
      <c r="T1587" s="3">
        <f>parking_demand_data_2024_ver0!S1587</f>
        <v>0</v>
      </c>
    </row>
    <row r="1588" spans="1:20" x14ac:dyDescent="0.25">
      <c r="A1588">
        <v>18133</v>
      </c>
      <c r="B1588" t="s">
        <v>95</v>
      </c>
      <c r="C1588">
        <v>2</v>
      </c>
      <c r="D1588" s="3">
        <f>parking_demand_data_2024_ver0!D1588*calibration!$I$31</f>
        <v>50.788708309035997</v>
      </c>
      <c r="E1588" s="3">
        <f>parking_demand_data_2024_ver0!E1588*calibration!$I$31</f>
        <v>9.8720551775688694</v>
      </c>
      <c r="F1588" s="3">
        <f t="shared" si="24"/>
        <v>60.660763486604864</v>
      </c>
      <c r="G1588" s="3">
        <f>parking_demand_data_2024_ver0!F1588</f>
        <v>2</v>
      </c>
      <c r="H1588" s="3">
        <f>parking_demand_data_2024_ver0!G1588</f>
        <v>0</v>
      </c>
      <c r="I1588" s="3">
        <f>parking_demand_data_2024_ver0!H1588</f>
        <v>1</v>
      </c>
      <c r="J1588" s="3">
        <f>parking_demand_data_2024_ver0!I1588</f>
        <v>1</v>
      </c>
      <c r="K1588" s="3">
        <f>parking_demand_data_2024_ver0!J1588</f>
        <v>0</v>
      </c>
      <c r="L1588" s="3">
        <f>parking_demand_data_2024_ver0!K1588</f>
        <v>0</v>
      </c>
      <c r="M1588" s="3">
        <f>parking_demand_data_2024_ver0!L1588</f>
        <v>0</v>
      </c>
      <c r="N1588" s="3">
        <f>parking_demand_data_2024_ver0!M1588</f>
        <v>100</v>
      </c>
      <c r="O1588" s="3">
        <f>parking_demand_data_2024_ver0!N1588</f>
        <v>0</v>
      </c>
      <c r="P1588" s="3">
        <f>parking_demand_data_2024_ver0!O1588</f>
        <v>90</v>
      </c>
      <c r="Q1588" s="3">
        <f>parking_demand_data_2024_ver0!P1588</f>
        <v>10</v>
      </c>
      <c r="R1588" s="3">
        <f>parking_demand_data_2024_ver0!Q1588</f>
        <v>0</v>
      </c>
      <c r="S1588" s="3">
        <f>parking_demand_data_2024_ver0!R1588</f>
        <v>0</v>
      </c>
      <c r="T1588" s="3">
        <f>parking_demand_data_2024_ver0!S1588</f>
        <v>0</v>
      </c>
    </row>
    <row r="1589" spans="1:20" x14ac:dyDescent="0.25">
      <c r="A1589">
        <v>18133</v>
      </c>
      <c r="B1589" t="s">
        <v>95</v>
      </c>
      <c r="C1589">
        <v>3</v>
      </c>
      <c r="D1589" s="3">
        <f>parking_demand_data_2024_ver0!D1589*calibration!$I$31</f>
        <v>50.249078283252501</v>
      </c>
      <c r="E1589" s="3">
        <f>parking_demand_data_2024_ver0!E1589*calibration!$I$31</f>
        <v>11.6496599683851</v>
      </c>
      <c r="F1589" s="3">
        <f t="shared" si="24"/>
        <v>61.898738251637603</v>
      </c>
      <c r="G1589" s="3">
        <f>parking_demand_data_2024_ver0!F1589</f>
        <v>2</v>
      </c>
      <c r="H1589" s="3">
        <f>parking_demand_data_2024_ver0!G1589</f>
        <v>0</v>
      </c>
      <c r="I1589" s="3">
        <f>parking_demand_data_2024_ver0!H1589</f>
        <v>1</v>
      </c>
      <c r="J1589" s="3">
        <f>parking_demand_data_2024_ver0!I1589</f>
        <v>1</v>
      </c>
      <c r="K1589" s="3">
        <f>parking_demand_data_2024_ver0!J1589</f>
        <v>0</v>
      </c>
      <c r="L1589" s="3">
        <f>parking_demand_data_2024_ver0!K1589</f>
        <v>0</v>
      </c>
      <c r="M1589" s="3">
        <f>parking_demand_data_2024_ver0!L1589</f>
        <v>0</v>
      </c>
      <c r="N1589" s="3">
        <f>parking_demand_data_2024_ver0!M1589</f>
        <v>100</v>
      </c>
      <c r="O1589" s="3">
        <f>parking_demand_data_2024_ver0!N1589</f>
        <v>0</v>
      </c>
      <c r="P1589" s="3">
        <f>parking_demand_data_2024_ver0!O1589</f>
        <v>90</v>
      </c>
      <c r="Q1589" s="3">
        <f>parking_demand_data_2024_ver0!P1589</f>
        <v>10</v>
      </c>
      <c r="R1589" s="3">
        <f>parking_demand_data_2024_ver0!Q1589</f>
        <v>0</v>
      </c>
      <c r="S1589" s="3">
        <f>parking_demand_data_2024_ver0!R1589</f>
        <v>0</v>
      </c>
      <c r="T1589" s="3">
        <f>parking_demand_data_2024_ver0!S1589</f>
        <v>0</v>
      </c>
    </row>
    <row r="1590" spans="1:20" x14ac:dyDescent="0.25">
      <c r="A1590">
        <v>18133</v>
      </c>
      <c r="B1590" t="s">
        <v>95</v>
      </c>
      <c r="C1590">
        <v>4</v>
      </c>
      <c r="D1590" s="3">
        <f>parking_demand_data_2024_ver0!D1590*calibration!$I$31</f>
        <v>49.487247658616901</v>
      </c>
      <c r="E1590" s="3">
        <f>parking_demand_data_2024_ver0!E1590*calibration!$I$31</f>
        <v>13.0146065041904</v>
      </c>
      <c r="F1590" s="3">
        <f t="shared" si="24"/>
        <v>62.501854162807305</v>
      </c>
      <c r="G1590" s="3">
        <f>parking_demand_data_2024_ver0!F1590</f>
        <v>2</v>
      </c>
      <c r="H1590" s="3">
        <f>parking_demand_data_2024_ver0!G1590</f>
        <v>0</v>
      </c>
      <c r="I1590" s="3">
        <f>parking_demand_data_2024_ver0!H1590</f>
        <v>1</v>
      </c>
      <c r="J1590" s="3">
        <f>parking_demand_data_2024_ver0!I1590</f>
        <v>1</v>
      </c>
      <c r="K1590" s="3">
        <f>parking_demand_data_2024_ver0!J1590</f>
        <v>0</v>
      </c>
      <c r="L1590" s="3">
        <f>parking_demand_data_2024_ver0!K1590</f>
        <v>0</v>
      </c>
      <c r="M1590" s="3">
        <f>parking_demand_data_2024_ver0!L1590</f>
        <v>0</v>
      </c>
      <c r="N1590" s="3">
        <f>parking_demand_data_2024_ver0!M1590</f>
        <v>100</v>
      </c>
      <c r="O1590" s="3">
        <f>parking_demand_data_2024_ver0!N1590</f>
        <v>0</v>
      </c>
      <c r="P1590" s="3">
        <f>parking_demand_data_2024_ver0!O1590</f>
        <v>90</v>
      </c>
      <c r="Q1590" s="3">
        <f>parking_demand_data_2024_ver0!P1590</f>
        <v>10</v>
      </c>
      <c r="R1590" s="3">
        <f>parking_demand_data_2024_ver0!Q1590</f>
        <v>0</v>
      </c>
      <c r="S1590" s="3">
        <f>parking_demand_data_2024_ver0!R1590</f>
        <v>0</v>
      </c>
      <c r="T1590" s="3">
        <f>parking_demand_data_2024_ver0!S1590</f>
        <v>0</v>
      </c>
    </row>
    <row r="1591" spans="1:20" x14ac:dyDescent="0.25">
      <c r="A1591">
        <v>18133</v>
      </c>
      <c r="B1591" t="s">
        <v>95</v>
      </c>
      <c r="C1591">
        <v>5</v>
      </c>
      <c r="D1591" s="3">
        <f>parking_demand_data_2024_ver0!D1591*calibration!$I$31</f>
        <v>47.455699326255498</v>
      </c>
      <c r="E1591" s="3">
        <f>parking_demand_data_2024_ver0!E1591*calibration!$I$31</f>
        <v>11.4274593695331</v>
      </c>
      <c r="F1591" s="3">
        <f t="shared" si="24"/>
        <v>58.883158695788595</v>
      </c>
      <c r="G1591" s="3">
        <f>parking_demand_data_2024_ver0!F1591</f>
        <v>2</v>
      </c>
      <c r="H1591" s="3">
        <f>parking_demand_data_2024_ver0!G1591</f>
        <v>0</v>
      </c>
      <c r="I1591" s="3">
        <f>parking_demand_data_2024_ver0!H1591</f>
        <v>1</v>
      </c>
      <c r="J1591" s="3">
        <f>parking_demand_data_2024_ver0!I1591</f>
        <v>1</v>
      </c>
      <c r="K1591" s="3">
        <f>parking_demand_data_2024_ver0!J1591</f>
        <v>0</v>
      </c>
      <c r="L1591" s="3">
        <f>parking_demand_data_2024_ver0!K1591</f>
        <v>0</v>
      </c>
      <c r="M1591" s="3">
        <f>parking_demand_data_2024_ver0!L1591</f>
        <v>0</v>
      </c>
      <c r="N1591" s="3">
        <f>parking_demand_data_2024_ver0!M1591</f>
        <v>100</v>
      </c>
      <c r="O1591" s="3">
        <f>parking_demand_data_2024_ver0!N1591</f>
        <v>0</v>
      </c>
      <c r="P1591" s="3">
        <f>parking_demand_data_2024_ver0!O1591</f>
        <v>90</v>
      </c>
      <c r="Q1591" s="3">
        <f>parking_demand_data_2024_ver0!P1591</f>
        <v>10</v>
      </c>
      <c r="R1591" s="3">
        <f>parking_demand_data_2024_ver0!Q1591</f>
        <v>0</v>
      </c>
      <c r="S1591" s="3">
        <f>parking_demand_data_2024_ver0!R1591</f>
        <v>0</v>
      </c>
      <c r="T1591" s="3">
        <f>parking_demand_data_2024_ver0!S1591</f>
        <v>0</v>
      </c>
    </row>
    <row r="1592" spans="1:20" x14ac:dyDescent="0.25">
      <c r="A1592">
        <v>18133</v>
      </c>
      <c r="B1592" t="s">
        <v>95</v>
      </c>
      <c r="C1592">
        <v>6</v>
      </c>
      <c r="D1592" s="3">
        <f>parking_demand_data_2024_ver0!D1592*calibration!$I$31</f>
        <v>43.741775031157196</v>
      </c>
      <c r="E1592" s="3">
        <f>parking_demand_data_2024_ver0!E1592*calibration!$I$31</f>
        <v>11.903603509930299</v>
      </c>
      <c r="F1592" s="3">
        <f t="shared" si="24"/>
        <v>55.645378541087496</v>
      </c>
      <c r="G1592" s="3">
        <f>parking_demand_data_2024_ver0!F1592</f>
        <v>2</v>
      </c>
      <c r="H1592" s="3">
        <f>parking_demand_data_2024_ver0!G1592</f>
        <v>0</v>
      </c>
      <c r="I1592" s="3">
        <f>parking_demand_data_2024_ver0!H1592</f>
        <v>1</v>
      </c>
      <c r="J1592" s="3">
        <f>parking_demand_data_2024_ver0!I1592</f>
        <v>1</v>
      </c>
      <c r="K1592" s="3">
        <f>parking_demand_data_2024_ver0!J1592</f>
        <v>0</v>
      </c>
      <c r="L1592" s="3">
        <f>parking_demand_data_2024_ver0!K1592</f>
        <v>0</v>
      </c>
      <c r="M1592" s="3">
        <f>parking_demand_data_2024_ver0!L1592</f>
        <v>0</v>
      </c>
      <c r="N1592" s="3">
        <f>parking_demand_data_2024_ver0!M1592</f>
        <v>100</v>
      </c>
      <c r="O1592" s="3">
        <f>parking_demand_data_2024_ver0!N1592</f>
        <v>0</v>
      </c>
      <c r="P1592" s="3">
        <f>parking_demand_data_2024_ver0!O1592</f>
        <v>90</v>
      </c>
      <c r="Q1592" s="3">
        <f>parking_demand_data_2024_ver0!P1592</f>
        <v>10</v>
      </c>
      <c r="R1592" s="3">
        <f>parking_demand_data_2024_ver0!Q1592</f>
        <v>0</v>
      </c>
      <c r="S1592" s="3">
        <f>parking_demand_data_2024_ver0!R1592</f>
        <v>0</v>
      </c>
      <c r="T1592" s="3">
        <f>parking_demand_data_2024_ver0!S1592</f>
        <v>0</v>
      </c>
    </row>
    <row r="1593" spans="1:20" x14ac:dyDescent="0.25">
      <c r="A1593">
        <v>18133</v>
      </c>
      <c r="B1593" t="s">
        <v>95</v>
      </c>
      <c r="C1593">
        <v>7</v>
      </c>
      <c r="D1593" s="3">
        <f>parking_demand_data_2024_ver0!D1593*calibration!$I$31</f>
        <v>37.520158263300303</v>
      </c>
      <c r="E1593" s="3">
        <f>parking_demand_data_2024_ver0!E1593*calibration!$I$31</f>
        <v>10.983058171829001</v>
      </c>
      <c r="F1593" s="3">
        <f t="shared" si="24"/>
        <v>48.503216435129303</v>
      </c>
      <c r="G1593" s="3">
        <f>parking_demand_data_2024_ver0!F1593</f>
        <v>2</v>
      </c>
      <c r="H1593" s="3">
        <f>parking_demand_data_2024_ver0!G1593</f>
        <v>0</v>
      </c>
      <c r="I1593" s="3">
        <f>parking_demand_data_2024_ver0!H1593</f>
        <v>1</v>
      </c>
      <c r="J1593" s="3">
        <f>parking_demand_data_2024_ver0!I1593</f>
        <v>1</v>
      </c>
      <c r="K1593" s="3">
        <f>parking_demand_data_2024_ver0!J1593</f>
        <v>0</v>
      </c>
      <c r="L1593" s="3">
        <f>parking_demand_data_2024_ver0!K1593</f>
        <v>0</v>
      </c>
      <c r="M1593" s="3">
        <f>parking_demand_data_2024_ver0!L1593</f>
        <v>0</v>
      </c>
      <c r="N1593" s="3">
        <f>parking_demand_data_2024_ver0!M1593</f>
        <v>100</v>
      </c>
      <c r="O1593" s="3">
        <f>parking_demand_data_2024_ver0!N1593</f>
        <v>0</v>
      </c>
      <c r="P1593" s="3">
        <f>parking_demand_data_2024_ver0!O1593</f>
        <v>90</v>
      </c>
      <c r="Q1593" s="3">
        <f>parking_demand_data_2024_ver0!P1593</f>
        <v>10</v>
      </c>
      <c r="R1593" s="3">
        <f>parking_demand_data_2024_ver0!Q1593</f>
        <v>0</v>
      </c>
      <c r="S1593" s="3">
        <f>parking_demand_data_2024_ver0!R1593</f>
        <v>0</v>
      </c>
      <c r="T1593" s="3">
        <f>parking_demand_data_2024_ver0!S1593</f>
        <v>0</v>
      </c>
    </row>
    <row r="1594" spans="1:20" x14ac:dyDescent="0.25">
      <c r="A1594">
        <v>18133</v>
      </c>
      <c r="B1594" t="s">
        <v>95</v>
      </c>
      <c r="C1594">
        <v>8</v>
      </c>
      <c r="D1594" s="3">
        <f>parking_demand_data_2024_ver0!D1594*calibration!$I$31</f>
        <v>28.568648423832698</v>
      </c>
      <c r="E1594" s="3">
        <f>parking_demand_data_2024_ver0!E1594*calibration!$I$31</f>
        <v>9.5546257506374008</v>
      </c>
      <c r="F1594" s="3">
        <f t="shared" si="24"/>
        <v>38.123274174470097</v>
      </c>
      <c r="G1594" s="3">
        <f>parking_demand_data_2024_ver0!F1594</f>
        <v>2</v>
      </c>
      <c r="H1594" s="3">
        <f>parking_demand_data_2024_ver0!G1594</f>
        <v>0</v>
      </c>
      <c r="I1594" s="3">
        <f>parking_demand_data_2024_ver0!H1594</f>
        <v>1</v>
      </c>
      <c r="J1594" s="3">
        <f>parking_demand_data_2024_ver0!I1594</f>
        <v>1</v>
      </c>
      <c r="K1594" s="3">
        <f>parking_demand_data_2024_ver0!J1594</f>
        <v>0</v>
      </c>
      <c r="L1594" s="3">
        <f>parking_demand_data_2024_ver0!K1594</f>
        <v>0</v>
      </c>
      <c r="M1594" s="3">
        <f>parking_demand_data_2024_ver0!L1594</f>
        <v>0</v>
      </c>
      <c r="N1594" s="3">
        <f>parking_demand_data_2024_ver0!M1594</f>
        <v>100</v>
      </c>
      <c r="O1594" s="3">
        <f>parking_demand_data_2024_ver0!N1594</f>
        <v>0</v>
      </c>
      <c r="P1594" s="3">
        <f>parking_demand_data_2024_ver0!O1594</f>
        <v>90</v>
      </c>
      <c r="Q1594" s="3">
        <f>parking_demand_data_2024_ver0!P1594</f>
        <v>10</v>
      </c>
      <c r="R1594" s="3">
        <f>parking_demand_data_2024_ver0!Q1594</f>
        <v>0</v>
      </c>
      <c r="S1594" s="3">
        <f>parking_demand_data_2024_ver0!R1594</f>
        <v>0</v>
      </c>
      <c r="T1594" s="3">
        <f>parking_demand_data_2024_ver0!S1594</f>
        <v>0</v>
      </c>
    </row>
    <row r="1595" spans="1:20" x14ac:dyDescent="0.25">
      <c r="A1595">
        <v>18133</v>
      </c>
      <c r="B1595" t="s">
        <v>95</v>
      </c>
      <c r="C1595">
        <v>9</v>
      </c>
      <c r="D1595" s="3">
        <f>parking_demand_data_2024_ver0!D1595*calibration!$I$31</f>
        <v>22.759689910986701</v>
      </c>
      <c r="E1595" s="3">
        <f>parking_demand_data_2024_ver0!E1595*calibration!$I$31</f>
        <v>9.2371963237059198</v>
      </c>
      <c r="F1595" s="3">
        <f t="shared" si="24"/>
        <v>31.996886234692621</v>
      </c>
      <c r="G1595" s="3">
        <f>parking_demand_data_2024_ver0!F1595</f>
        <v>2</v>
      </c>
      <c r="H1595" s="3">
        <f>parking_demand_data_2024_ver0!G1595</f>
        <v>0</v>
      </c>
      <c r="I1595" s="3">
        <f>parking_demand_data_2024_ver0!H1595</f>
        <v>1</v>
      </c>
      <c r="J1595" s="3">
        <f>parking_demand_data_2024_ver0!I1595</f>
        <v>1</v>
      </c>
      <c r="K1595" s="3">
        <f>parking_demand_data_2024_ver0!J1595</f>
        <v>0</v>
      </c>
      <c r="L1595" s="3">
        <f>parking_demand_data_2024_ver0!K1595</f>
        <v>0</v>
      </c>
      <c r="M1595" s="3">
        <f>parking_demand_data_2024_ver0!L1595</f>
        <v>0</v>
      </c>
      <c r="N1595" s="3">
        <f>parking_demand_data_2024_ver0!M1595</f>
        <v>100</v>
      </c>
      <c r="O1595" s="3">
        <f>parking_demand_data_2024_ver0!N1595</f>
        <v>0</v>
      </c>
      <c r="P1595" s="3">
        <f>parking_demand_data_2024_ver0!O1595</f>
        <v>90</v>
      </c>
      <c r="Q1595" s="3">
        <f>parking_demand_data_2024_ver0!P1595</f>
        <v>10</v>
      </c>
      <c r="R1595" s="3">
        <f>parking_demand_data_2024_ver0!Q1595</f>
        <v>0</v>
      </c>
      <c r="S1595" s="3">
        <f>parking_demand_data_2024_ver0!R1595</f>
        <v>0</v>
      </c>
      <c r="T1595" s="3">
        <f>parking_demand_data_2024_ver0!S1595</f>
        <v>0</v>
      </c>
    </row>
    <row r="1596" spans="1:20" x14ac:dyDescent="0.25">
      <c r="A1596">
        <v>18133</v>
      </c>
      <c r="B1596" t="s">
        <v>95</v>
      </c>
      <c r="C1596">
        <v>10</v>
      </c>
      <c r="D1596" s="3">
        <f>parking_demand_data_2024_ver0!D1596*calibration!$I$31</f>
        <v>19.172737386661002</v>
      </c>
      <c r="E1596" s="3">
        <f>parking_demand_data_2024_ver0!E1596*calibration!$I$31</f>
        <v>8.03096450136632</v>
      </c>
      <c r="F1596" s="3">
        <f t="shared" si="24"/>
        <v>27.203701888027322</v>
      </c>
      <c r="G1596" s="3">
        <f>parking_demand_data_2024_ver0!F1596</f>
        <v>2</v>
      </c>
      <c r="H1596" s="3">
        <f>parking_demand_data_2024_ver0!G1596</f>
        <v>0</v>
      </c>
      <c r="I1596" s="3">
        <f>parking_demand_data_2024_ver0!H1596</f>
        <v>1</v>
      </c>
      <c r="J1596" s="3">
        <f>parking_demand_data_2024_ver0!I1596</f>
        <v>1</v>
      </c>
      <c r="K1596" s="3">
        <f>parking_demand_data_2024_ver0!J1596</f>
        <v>0</v>
      </c>
      <c r="L1596" s="3">
        <f>parking_demand_data_2024_ver0!K1596</f>
        <v>0</v>
      </c>
      <c r="M1596" s="3">
        <f>parking_demand_data_2024_ver0!L1596</f>
        <v>0</v>
      </c>
      <c r="N1596" s="3">
        <f>parking_demand_data_2024_ver0!M1596</f>
        <v>100</v>
      </c>
      <c r="O1596" s="3">
        <f>parking_demand_data_2024_ver0!N1596</f>
        <v>0</v>
      </c>
      <c r="P1596" s="3">
        <f>parking_demand_data_2024_ver0!O1596</f>
        <v>90</v>
      </c>
      <c r="Q1596" s="3">
        <f>parking_demand_data_2024_ver0!P1596</f>
        <v>10</v>
      </c>
      <c r="R1596" s="3">
        <f>parking_demand_data_2024_ver0!Q1596</f>
        <v>0</v>
      </c>
      <c r="S1596" s="3">
        <f>parking_demand_data_2024_ver0!R1596</f>
        <v>0</v>
      </c>
      <c r="T1596" s="3">
        <f>parking_demand_data_2024_ver0!S1596</f>
        <v>0</v>
      </c>
    </row>
    <row r="1597" spans="1:20" x14ac:dyDescent="0.25">
      <c r="A1597">
        <v>18133</v>
      </c>
      <c r="B1597" t="s">
        <v>95</v>
      </c>
      <c r="C1597">
        <v>11</v>
      </c>
      <c r="D1597" s="3">
        <f>parking_demand_data_2024_ver0!D1597*calibration!$I$31</f>
        <v>17.458618481231099</v>
      </c>
      <c r="E1597" s="3">
        <f>parking_demand_data_2024_ver0!E1597*calibration!$I$31</f>
        <v>5.8407014555391399</v>
      </c>
      <c r="F1597" s="3">
        <f t="shared" si="24"/>
        <v>23.299319936770239</v>
      </c>
      <c r="G1597" s="3">
        <f>parking_demand_data_2024_ver0!F1597</f>
        <v>2</v>
      </c>
      <c r="H1597" s="3">
        <f>parking_demand_data_2024_ver0!G1597</f>
        <v>0</v>
      </c>
      <c r="I1597" s="3">
        <f>parking_demand_data_2024_ver0!H1597</f>
        <v>1</v>
      </c>
      <c r="J1597" s="3">
        <f>parking_demand_data_2024_ver0!I1597</f>
        <v>1</v>
      </c>
      <c r="K1597" s="3">
        <f>parking_demand_data_2024_ver0!J1597</f>
        <v>0</v>
      </c>
      <c r="L1597" s="3">
        <f>parking_demand_data_2024_ver0!K1597</f>
        <v>0</v>
      </c>
      <c r="M1597" s="3">
        <f>parking_demand_data_2024_ver0!L1597</f>
        <v>0</v>
      </c>
      <c r="N1597" s="3">
        <f>parking_demand_data_2024_ver0!M1597</f>
        <v>100</v>
      </c>
      <c r="O1597" s="3">
        <f>parking_demand_data_2024_ver0!N1597</f>
        <v>0</v>
      </c>
      <c r="P1597" s="3">
        <f>parking_demand_data_2024_ver0!O1597</f>
        <v>90</v>
      </c>
      <c r="Q1597" s="3">
        <f>parking_demand_data_2024_ver0!P1597</f>
        <v>10</v>
      </c>
      <c r="R1597" s="3">
        <f>parking_demand_data_2024_ver0!Q1597</f>
        <v>0</v>
      </c>
      <c r="S1597" s="3">
        <f>parking_demand_data_2024_ver0!R1597</f>
        <v>0</v>
      </c>
      <c r="T1597" s="3">
        <f>parking_demand_data_2024_ver0!S1597</f>
        <v>0</v>
      </c>
    </row>
    <row r="1598" spans="1:20" x14ac:dyDescent="0.25">
      <c r="A1598">
        <v>18133</v>
      </c>
      <c r="B1598" t="s">
        <v>95</v>
      </c>
      <c r="C1598">
        <v>12</v>
      </c>
      <c r="D1598" s="3">
        <f>parking_demand_data_2024_ver0!D1598*calibration!$I$31</f>
        <v>16.823759627368101</v>
      </c>
      <c r="E1598" s="3">
        <f>parking_demand_data_2024_ver0!E1598*calibration!$I$31</f>
        <v>4.7296984612789696</v>
      </c>
      <c r="F1598" s="3">
        <f t="shared" si="24"/>
        <v>21.553458088647069</v>
      </c>
      <c r="G1598" s="3">
        <f>parking_demand_data_2024_ver0!F1598</f>
        <v>2</v>
      </c>
      <c r="H1598" s="3">
        <f>parking_demand_data_2024_ver0!G1598</f>
        <v>0</v>
      </c>
      <c r="I1598" s="3">
        <f>parking_demand_data_2024_ver0!H1598</f>
        <v>1</v>
      </c>
      <c r="J1598" s="3">
        <f>parking_demand_data_2024_ver0!I1598</f>
        <v>1</v>
      </c>
      <c r="K1598" s="3">
        <f>parking_demand_data_2024_ver0!J1598</f>
        <v>0</v>
      </c>
      <c r="L1598" s="3">
        <f>parking_demand_data_2024_ver0!K1598</f>
        <v>0</v>
      </c>
      <c r="M1598" s="3">
        <f>parking_demand_data_2024_ver0!L1598</f>
        <v>0</v>
      </c>
      <c r="N1598" s="3">
        <f>parking_demand_data_2024_ver0!M1598</f>
        <v>100</v>
      </c>
      <c r="O1598" s="3">
        <f>parking_demand_data_2024_ver0!N1598</f>
        <v>0</v>
      </c>
      <c r="P1598" s="3">
        <f>parking_demand_data_2024_ver0!O1598</f>
        <v>90</v>
      </c>
      <c r="Q1598" s="3">
        <f>parking_demand_data_2024_ver0!P1598</f>
        <v>10</v>
      </c>
      <c r="R1598" s="3">
        <f>parking_demand_data_2024_ver0!Q1598</f>
        <v>0</v>
      </c>
      <c r="S1598" s="3">
        <f>parking_demand_data_2024_ver0!R1598</f>
        <v>0</v>
      </c>
      <c r="T1598" s="3">
        <f>parking_demand_data_2024_ver0!S1598</f>
        <v>0</v>
      </c>
    </row>
    <row r="1599" spans="1:20" x14ac:dyDescent="0.25">
      <c r="A1599">
        <v>18133</v>
      </c>
      <c r="B1599" t="s">
        <v>95</v>
      </c>
      <c r="C1599">
        <v>13</v>
      </c>
      <c r="D1599" s="3">
        <f>parking_demand_data_2024_ver0!D1599*calibration!$I$31</f>
        <v>16.823759627368101</v>
      </c>
      <c r="E1599" s="3">
        <f>parking_demand_data_2024_ver0!E1599*calibration!$I$31</f>
        <v>3.4282378108599301</v>
      </c>
      <c r="F1599" s="3">
        <f t="shared" si="24"/>
        <v>20.251997438228031</v>
      </c>
      <c r="G1599" s="3">
        <f>parking_demand_data_2024_ver0!F1599</f>
        <v>2</v>
      </c>
      <c r="H1599" s="3">
        <f>parking_demand_data_2024_ver0!G1599</f>
        <v>0</v>
      </c>
      <c r="I1599" s="3">
        <f>parking_demand_data_2024_ver0!H1599</f>
        <v>1</v>
      </c>
      <c r="J1599" s="3">
        <f>parking_demand_data_2024_ver0!I1599</f>
        <v>1</v>
      </c>
      <c r="K1599" s="3">
        <f>parking_demand_data_2024_ver0!J1599</f>
        <v>0</v>
      </c>
      <c r="L1599" s="3">
        <f>parking_demand_data_2024_ver0!K1599</f>
        <v>0</v>
      </c>
      <c r="M1599" s="3">
        <f>parking_demand_data_2024_ver0!L1599</f>
        <v>0</v>
      </c>
      <c r="N1599" s="3">
        <f>parking_demand_data_2024_ver0!M1599</f>
        <v>100</v>
      </c>
      <c r="O1599" s="3">
        <f>parking_demand_data_2024_ver0!N1599</f>
        <v>0</v>
      </c>
      <c r="P1599" s="3">
        <f>parking_demand_data_2024_ver0!O1599</f>
        <v>90</v>
      </c>
      <c r="Q1599" s="3">
        <f>parking_demand_data_2024_ver0!P1599</f>
        <v>10</v>
      </c>
      <c r="R1599" s="3">
        <f>parking_demand_data_2024_ver0!Q1599</f>
        <v>0</v>
      </c>
      <c r="S1599" s="3">
        <f>parking_demand_data_2024_ver0!R1599</f>
        <v>0</v>
      </c>
      <c r="T1599" s="3">
        <f>parking_demand_data_2024_ver0!S1599</f>
        <v>0</v>
      </c>
    </row>
    <row r="1600" spans="1:20" x14ac:dyDescent="0.25">
      <c r="A1600">
        <v>18133</v>
      </c>
      <c r="B1600" t="s">
        <v>95</v>
      </c>
      <c r="C1600">
        <v>14</v>
      </c>
      <c r="D1600" s="3">
        <f>parking_demand_data_2024_ver0!D1600*calibration!$I$31</f>
        <v>17.236417882379001</v>
      </c>
      <c r="E1600" s="3">
        <f>parking_demand_data_2024_ver0!E1600*calibration!$I$31</f>
        <v>3.8726390085639899</v>
      </c>
      <c r="F1600" s="3">
        <f t="shared" si="24"/>
        <v>21.109056890942991</v>
      </c>
      <c r="G1600" s="3">
        <f>parking_demand_data_2024_ver0!F1600</f>
        <v>2</v>
      </c>
      <c r="H1600" s="3">
        <f>parking_demand_data_2024_ver0!G1600</f>
        <v>0</v>
      </c>
      <c r="I1600" s="3">
        <f>parking_demand_data_2024_ver0!H1600</f>
        <v>1</v>
      </c>
      <c r="J1600" s="3">
        <f>parking_demand_data_2024_ver0!I1600</f>
        <v>1</v>
      </c>
      <c r="K1600" s="3">
        <f>parking_demand_data_2024_ver0!J1600</f>
        <v>0</v>
      </c>
      <c r="L1600" s="3">
        <f>parking_demand_data_2024_ver0!K1600</f>
        <v>0</v>
      </c>
      <c r="M1600" s="3">
        <f>parking_demand_data_2024_ver0!L1600</f>
        <v>0</v>
      </c>
      <c r="N1600" s="3">
        <f>parking_demand_data_2024_ver0!M1600</f>
        <v>100</v>
      </c>
      <c r="O1600" s="3">
        <f>parking_demand_data_2024_ver0!N1600</f>
        <v>0</v>
      </c>
      <c r="P1600" s="3">
        <f>parking_demand_data_2024_ver0!O1600</f>
        <v>90</v>
      </c>
      <c r="Q1600" s="3">
        <f>parking_demand_data_2024_ver0!P1600</f>
        <v>10</v>
      </c>
      <c r="R1600" s="3">
        <f>parking_demand_data_2024_ver0!Q1600</f>
        <v>0</v>
      </c>
      <c r="S1600" s="3">
        <f>parking_demand_data_2024_ver0!R1600</f>
        <v>0</v>
      </c>
      <c r="T1600" s="3">
        <f>parking_demand_data_2024_ver0!S1600</f>
        <v>0</v>
      </c>
    </row>
    <row r="1601" spans="1:20" x14ac:dyDescent="0.25">
      <c r="A1601">
        <v>18133</v>
      </c>
      <c r="B1601" t="s">
        <v>95</v>
      </c>
      <c r="C1601">
        <v>15</v>
      </c>
      <c r="D1601" s="3">
        <f>parking_demand_data_2024_ver0!D1601*calibration!$I$31</f>
        <v>17.871276736241999</v>
      </c>
      <c r="E1601" s="3">
        <f>parking_demand_data_2024_ver0!E1601*calibration!$I$31</f>
        <v>3.45998075355307</v>
      </c>
      <c r="F1601" s="3">
        <f t="shared" si="24"/>
        <v>21.331257489795068</v>
      </c>
      <c r="G1601" s="3">
        <f>parking_demand_data_2024_ver0!F1601</f>
        <v>2</v>
      </c>
      <c r="H1601" s="3">
        <f>parking_demand_data_2024_ver0!G1601</f>
        <v>0</v>
      </c>
      <c r="I1601" s="3">
        <f>parking_demand_data_2024_ver0!H1601</f>
        <v>1</v>
      </c>
      <c r="J1601" s="3">
        <f>parking_demand_data_2024_ver0!I1601</f>
        <v>1</v>
      </c>
      <c r="K1601" s="3">
        <f>parking_demand_data_2024_ver0!J1601</f>
        <v>0</v>
      </c>
      <c r="L1601" s="3">
        <f>parking_demand_data_2024_ver0!K1601</f>
        <v>0</v>
      </c>
      <c r="M1601" s="3">
        <f>parking_demand_data_2024_ver0!L1601</f>
        <v>0</v>
      </c>
      <c r="N1601" s="3">
        <f>parking_demand_data_2024_ver0!M1601</f>
        <v>100</v>
      </c>
      <c r="O1601" s="3">
        <f>parking_demand_data_2024_ver0!N1601</f>
        <v>0</v>
      </c>
      <c r="P1601" s="3">
        <f>parking_demand_data_2024_ver0!O1601</f>
        <v>90</v>
      </c>
      <c r="Q1601" s="3">
        <f>parking_demand_data_2024_ver0!P1601</f>
        <v>10</v>
      </c>
      <c r="R1601" s="3">
        <f>parking_demand_data_2024_ver0!Q1601</f>
        <v>0</v>
      </c>
      <c r="S1601" s="3">
        <f>parking_demand_data_2024_ver0!R1601</f>
        <v>0</v>
      </c>
      <c r="T1601" s="3">
        <f>parking_demand_data_2024_ver0!S1601</f>
        <v>0</v>
      </c>
    </row>
    <row r="1602" spans="1:20" x14ac:dyDescent="0.25">
      <c r="A1602">
        <v>18133</v>
      </c>
      <c r="B1602" t="s">
        <v>95</v>
      </c>
      <c r="C1602">
        <v>16</v>
      </c>
      <c r="D1602" s="3">
        <f>parking_demand_data_2024_ver0!D1602*calibration!$I$31</f>
        <v>19.077508558581599</v>
      </c>
      <c r="E1602" s="3">
        <f>parking_demand_data_2024_ver0!E1602*calibration!$I$31</f>
        <v>3.0790654412352998</v>
      </c>
      <c r="F1602" s="3">
        <f t="shared" si="24"/>
        <v>22.156573999816899</v>
      </c>
      <c r="G1602" s="3">
        <f>parking_demand_data_2024_ver0!F1602</f>
        <v>2</v>
      </c>
      <c r="H1602" s="3">
        <f>parking_demand_data_2024_ver0!G1602</f>
        <v>0</v>
      </c>
      <c r="I1602" s="3">
        <f>parking_demand_data_2024_ver0!H1602</f>
        <v>1</v>
      </c>
      <c r="J1602" s="3">
        <f>parking_demand_data_2024_ver0!I1602</f>
        <v>1</v>
      </c>
      <c r="K1602" s="3">
        <f>parking_demand_data_2024_ver0!J1602</f>
        <v>0</v>
      </c>
      <c r="L1602" s="3">
        <f>parking_demand_data_2024_ver0!K1602</f>
        <v>0</v>
      </c>
      <c r="M1602" s="3">
        <f>parking_demand_data_2024_ver0!L1602</f>
        <v>0</v>
      </c>
      <c r="N1602" s="3">
        <f>parking_demand_data_2024_ver0!M1602</f>
        <v>100</v>
      </c>
      <c r="O1602" s="3">
        <f>parking_demand_data_2024_ver0!N1602</f>
        <v>0</v>
      </c>
      <c r="P1602" s="3">
        <f>parking_demand_data_2024_ver0!O1602</f>
        <v>90</v>
      </c>
      <c r="Q1602" s="3">
        <f>parking_demand_data_2024_ver0!P1602</f>
        <v>10</v>
      </c>
      <c r="R1602" s="3">
        <f>parking_demand_data_2024_ver0!Q1602</f>
        <v>0</v>
      </c>
      <c r="S1602" s="3">
        <f>parking_demand_data_2024_ver0!R1602</f>
        <v>0</v>
      </c>
      <c r="T1602" s="3">
        <f>parking_demand_data_2024_ver0!S1602</f>
        <v>0</v>
      </c>
    </row>
    <row r="1603" spans="1:20" x14ac:dyDescent="0.25">
      <c r="A1603">
        <v>18133</v>
      </c>
      <c r="B1603" t="s">
        <v>95</v>
      </c>
      <c r="C1603">
        <v>17</v>
      </c>
      <c r="D1603" s="3">
        <f>parking_demand_data_2024_ver0!D1603*calibration!$I$31</f>
        <v>22.696204025600402</v>
      </c>
      <c r="E1603" s="3">
        <f>parking_demand_data_2024_ver0!E1603*calibration!$I$31</f>
        <v>3.1108083839284499</v>
      </c>
      <c r="F1603" s="3">
        <f t="shared" ref="F1603:F1666" si="25">SUM(D1603:E1603)</f>
        <v>25.807012409528852</v>
      </c>
      <c r="G1603" s="3">
        <f>parking_demand_data_2024_ver0!F1603</f>
        <v>2</v>
      </c>
      <c r="H1603" s="3">
        <f>parking_demand_data_2024_ver0!G1603</f>
        <v>0</v>
      </c>
      <c r="I1603" s="3">
        <f>parking_demand_data_2024_ver0!H1603</f>
        <v>1</v>
      </c>
      <c r="J1603" s="3">
        <f>parking_demand_data_2024_ver0!I1603</f>
        <v>1</v>
      </c>
      <c r="K1603" s="3">
        <f>parking_demand_data_2024_ver0!J1603</f>
        <v>0</v>
      </c>
      <c r="L1603" s="3">
        <f>parking_demand_data_2024_ver0!K1603</f>
        <v>0</v>
      </c>
      <c r="M1603" s="3">
        <f>parking_demand_data_2024_ver0!L1603</f>
        <v>0</v>
      </c>
      <c r="N1603" s="3">
        <f>parking_demand_data_2024_ver0!M1603</f>
        <v>100</v>
      </c>
      <c r="O1603" s="3">
        <f>parking_demand_data_2024_ver0!N1603</f>
        <v>0</v>
      </c>
      <c r="P1603" s="3">
        <f>parking_demand_data_2024_ver0!O1603</f>
        <v>90</v>
      </c>
      <c r="Q1603" s="3">
        <f>parking_demand_data_2024_ver0!P1603</f>
        <v>10</v>
      </c>
      <c r="R1603" s="3">
        <f>parking_demand_data_2024_ver0!Q1603</f>
        <v>0</v>
      </c>
      <c r="S1603" s="3">
        <f>parking_demand_data_2024_ver0!R1603</f>
        <v>0</v>
      </c>
      <c r="T1603" s="3">
        <f>parking_demand_data_2024_ver0!S1603</f>
        <v>0</v>
      </c>
    </row>
    <row r="1604" spans="1:20" x14ac:dyDescent="0.25">
      <c r="A1604">
        <v>18133</v>
      </c>
      <c r="B1604" t="s">
        <v>95</v>
      </c>
      <c r="C1604">
        <v>18</v>
      </c>
      <c r="D1604" s="3">
        <f>parking_demand_data_2024_ver0!D1604*calibration!$I$31</f>
        <v>28.632134309219001</v>
      </c>
      <c r="E1604" s="3">
        <f>parking_demand_data_2024_ver0!E1604*calibration!$I$31</f>
        <v>3.4282378108599301</v>
      </c>
      <c r="F1604" s="3">
        <f t="shared" si="25"/>
        <v>32.060372120078931</v>
      </c>
      <c r="G1604" s="3">
        <f>parking_demand_data_2024_ver0!F1604</f>
        <v>2</v>
      </c>
      <c r="H1604" s="3">
        <f>parking_demand_data_2024_ver0!G1604</f>
        <v>0</v>
      </c>
      <c r="I1604" s="3">
        <f>parking_demand_data_2024_ver0!H1604</f>
        <v>1</v>
      </c>
      <c r="J1604" s="3">
        <f>parking_demand_data_2024_ver0!I1604</f>
        <v>1</v>
      </c>
      <c r="K1604" s="3">
        <f>parking_demand_data_2024_ver0!J1604</f>
        <v>0</v>
      </c>
      <c r="L1604" s="3">
        <f>parking_demand_data_2024_ver0!K1604</f>
        <v>0</v>
      </c>
      <c r="M1604" s="3">
        <f>parking_demand_data_2024_ver0!L1604</f>
        <v>0</v>
      </c>
      <c r="N1604" s="3">
        <f>parking_demand_data_2024_ver0!M1604</f>
        <v>100</v>
      </c>
      <c r="O1604" s="3">
        <f>parking_demand_data_2024_ver0!N1604</f>
        <v>0</v>
      </c>
      <c r="P1604" s="3">
        <f>parking_demand_data_2024_ver0!O1604</f>
        <v>90</v>
      </c>
      <c r="Q1604" s="3">
        <f>parking_demand_data_2024_ver0!P1604</f>
        <v>10</v>
      </c>
      <c r="R1604" s="3">
        <f>parking_demand_data_2024_ver0!Q1604</f>
        <v>0</v>
      </c>
      <c r="S1604" s="3">
        <f>parking_demand_data_2024_ver0!R1604</f>
        <v>0</v>
      </c>
      <c r="T1604" s="3">
        <f>parking_demand_data_2024_ver0!S1604</f>
        <v>0</v>
      </c>
    </row>
    <row r="1605" spans="1:20" x14ac:dyDescent="0.25">
      <c r="A1605">
        <v>18133</v>
      </c>
      <c r="B1605" t="s">
        <v>95</v>
      </c>
      <c r="C1605">
        <v>19</v>
      </c>
      <c r="D1605" s="3">
        <f>parking_demand_data_2024_ver0!D1605*calibration!$I$31</f>
        <v>34.155406337826697</v>
      </c>
      <c r="E1605" s="3">
        <f>parking_demand_data_2024_ver0!E1605*calibration!$I$31</f>
        <v>2.9203507277695699</v>
      </c>
      <c r="F1605" s="3">
        <f t="shared" si="25"/>
        <v>37.075757065596264</v>
      </c>
      <c r="G1605" s="3">
        <f>parking_demand_data_2024_ver0!F1605</f>
        <v>2</v>
      </c>
      <c r="H1605" s="3">
        <f>parking_demand_data_2024_ver0!G1605</f>
        <v>0</v>
      </c>
      <c r="I1605" s="3">
        <f>parking_demand_data_2024_ver0!H1605</f>
        <v>1</v>
      </c>
      <c r="J1605" s="3">
        <f>parking_demand_data_2024_ver0!I1605</f>
        <v>1</v>
      </c>
      <c r="K1605" s="3">
        <f>parking_demand_data_2024_ver0!J1605</f>
        <v>0</v>
      </c>
      <c r="L1605" s="3">
        <f>parking_demand_data_2024_ver0!K1605</f>
        <v>0</v>
      </c>
      <c r="M1605" s="3">
        <f>parking_demand_data_2024_ver0!L1605</f>
        <v>0</v>
      </c>
      <c r="N1605" s="3">
        <f>parking_demand_data_2024_ver0!M1605</f>
        <v>100</v>
      </c>
      <c r="O1605" s="3">
        <f>parking_demand_data_2024_ver0!N1605</f>
        <v>0</v>
      </c>
      <c r="P1605" s="3">
        <f>parking_demand_data_2024_ver0!O1605</f>
        <v>90</v>
      </c>
      <c r="Q1605" s="3">
        <f>parking_demand_data_2024_ver0!P1605</f>
        <v>10</v>
      </c>
      <c r="R1605" s="3">
        <f>parking_demand_data_2024_ver0!Q1605</f>
        <v>0</v>
      </c>
      <c r="S1605" s="3">
        <f>parking_demand_data_2024_ver0!R1605</f>
        <v>0</v>
      </c>
      <c r="T1605" s="3">
        <f>parking_demand_data_2024_ver0!S1605</f>
        <v>0</v>
      </c>
    </row>
    <row r="1606" spans="1:20" x14ac:dyDescent="0.25">
      <c r="A1606">
        <v>18133</v>
      </c>
      <c r="B1606" t="s">
        <v>95</v>
      </c>
      <c r="C1606">
        <v>20</v>
      </c>
      <c r="D1606" s="3">
        <f>parking_demand_data_2024_ver0!D1606*calibration!$I$31</f>
        <v>38.345474773322103</v>
      </c>
      <c r="E1606" s="3">
        <f>parking_demand_data_2024_ver0!E1606*calibration!$I$31</f>
        <v>3.0155795558490102</v>
      </c>
      <c r="F1606" s="3">
        <f t="shared" si="25"/>
        <v>41.361054329171111</v>
      </c>
      <c r="G1606" s="3">
        <f>parking_demand_data_2024_ver0!F1606</f>
        <v>2</v>
      </c>
      <c r="H1606" s="3">
        <f>parking_demand_data_2024_ver0!G1606</f>
        <v>0</v>
      </c>
      <c r="I1606" s="3">
        <f>parking_demand_data_2024_ver0!H1606</f>
        <v>1</v>
      </c>
      <c r="J1606" s="3">
        <f>parking_demand_data_2024_ver0!I1606</f>
        <v>1</v>
      </c>
      <c r="K1606" s="3">
        <f>parking_demand_data_2024_ver0!J1606</f>
        <v>0</v>
      </c>
      <c r="L1606" s="3">
        <f>parking_demand_data_2024_ver0!K1606</f>
        <v>0</v>
      </c>
      <c r="M1606" s="3">
        <f>parking_demand_data_2024_ver0!L1606</f>
        <v>0</v>
      </c>
      <c r="N1606" s="3">
        <f>parking_demand_data_2024_ver0!M1606</f>
        <v>100</v>
      </c>
      <c r="O1606" s="3">
        <f>parking_demand_data_2024_ver0!N1606</f>
        <v>0</v>
      </c>
      <c r="P1606" s="3">
        <f>parking_demand_data_2024_ver0!O1606</f>
        <v>90</v>
      </c>
      <c r="Q1606" s="3">
        <f>parking_demand_data_2024_ver0!P1606</f>
        <v>10</v>
      </c>
      <c r="R1606" s="3">
        <f>parking_demand_data_2024_ver0!Q1606</f>
        <v>0</v>
      </c>
      <c r="S1606" s="3">
        <f>parking_demand_data_2024_ver0!R1606</f>
        <v>0</v>
      </c>
      <c r="T1606" s="3">
        <f>parking_demand_data_2024_ver0!S1606</f>
        <v>0</v>
      </c>
    </row>
    <row r="1607" spans="1:20" x14ac:dyDescent="0.25">
      <c r="A1607">
        <v>18133</v>
      </c>
      <c r="B1607" t="s">
        <v>95</v>
      </c>
      <c r="C1607">
        <v>21</v>
      </c>
      <c r="D1607" s="3">
        <f>parking_demand_data_2024_ver0!D1607*calibration!$I$31</f>
        <v>42.345085552658702</v>
      </c>
      <c r="E1607" s="3">
        <f>parking_demand_data_2024_ver0!E1607*calibration!$I$31</f>
        <v>3.5869525243256599</v>
      </c>
      <c r="F1607" s="3">
        <f t="shared" si="25"/>
        <v>45.932038076984362</v>
      </c>
      <c r="G1607" s="3">
        <f>parking_demand_data_2024_ver0!F1607</f>
        <v>2</v>
      </c>
      <c r="H1607" s="3">
        <f>parking_demand_data_2024_ver0!G1607</f>
        <v>0</v>
      </c>
      <c r="I1607" s="3">
        <f>parking_demand_data_2024_ver0!H1607</f>
        <v>1</v>
      </c>
      <c r="J1607" s="3">
        <f>parking_demand_data_2024_ver0!I1607</f>
        <v>1</v>
      </c>
      <c r="K1607" s="3">
        <f>parking_demand_data_2024_ver0!J1607</f>
        <v>0</v>
      </c>
      <c r="L1607" s="3">
        <f>parking_demand_data_2024_ver0!K1607</f>
        <v>0</v>
      </c>
      <c r="M1607" s="3">
        <f>parking_demand_data_2024_ver0!L1607</f>
        <v>0</v>
      </c>
      <c r="N1607" s="3">
        <f>parking_demand_data_2024_ver0!M1607</f>
        <v>100</v>
      </c>
      <c r="O1607" s="3">
        <f>parking_demand_data_2024_ver0!N1607</f>
        <v>0</v>
      </c>
      <c r="P1607" s="3">
        <f>parking_demand_data_2024_ver0!O1607</f>
        <v>90</v>
      </c>
      <c r="Q1607" s="3">
        <f>parking_demand_data_2024_ver0!P1607</f>
        <v>10</v>
      </c>
      <c r="R1607" s="3">
        <f>parking_demand_data_2024_ver0!Q1607</f>
        <v>0</v>
      </c>
      <c r="S1607" s="3">
        <f>parking_demand_data_2024_ver0!R1607</f>
        <v>0</v>
      </c>
      <c r="T1607" s="3">
        <f>parking_demand_data_2024_ver0!S1607</f>
        <v>0</v>
      </c>
    </row>
    <row r="1608" spans="1:20" x14ac:dyDescent="0.25">
      <c r="A1608">
        <v>18133</v>
      </c>
      <c r="B1608" t="s">
        <v>95</v>
      </c>
      <c r="C1608">
        <v>22</v>
      </c>
      <c r="D1608" s="3">
        <f>parking_demand_data_2024_ver0!D1608*calibration!$I$31</f>
        <v>45.582865707359801</v>
      </c>
      <c r="E1608" s="3">
        <f>parking_demand_data_2024_ver0!E1608*calibration!$I$31</f>
        <v>4.5709837478132398</v>
      </c>
      <c r="F1608" s="3">
        <f t="shared" si="25"/>
        <v>50.153849455173038</v>
      </c>
      <c r="G1608" s="3">
        <f>parking_demand_data_2024_ver0!F1608</f>
        <v>2</v>
      </c>
      <c r="H1608" s="3">
        <f>parking_demand_data_2024_ver0!G1608</f>
        <v>0</v>
      </c>
      <c r="I1608" s="3">
        <f>parking_demand_data_2024_ver0!H1608</f>
        <v>1</v>
      </c>
      <c r="J1608" s="3">
        <f>parking_demand_data_2024_ver0!I1608</f>
        <v>1</v>
      </c>
      <c r="K1608" s="3">
        <f>parking_demand_data_2024_ver0!J1608</f>
        <v>0</v>
      </c>
      <c r="L1608" s="3">
        <f>parking_demand_data_2024_ver0!K1608</f>
        <v>0</v>
      </c>
      <c r="M1608" s="3">
        <f>parking_demand_data_2024_ver0!L1608</f>
        <v>0</v>
      </c>
      <c r="N1608" s="3">
        <f>parking_demand_data_2024_ver0!M1608</f>
        <v>100</v>
      </c>
      <c r="O1608" s="3">
        <f>parking_demand_data_2024_ver0!N1608</f>
        <v>0</v>
      </c>
      <c r="P1608" s="3">
        <f>parking_demand_data_2024_ver0!O1608</f>
        <v>90</v>
      </c>
      <c r="Q1608" s="3">
        <f>parking_demand_data_2024_ver0!P1608</f>
        <v>10</v>
      </c>
      <c r="R1608" s="3">
        <f>parking_demand_data_2024_ver0!Q1608</f>
        <v>0</v>
      </c>
      <c r="S1608" s="3">
        <f>parking_demand_data_2024_ver0!R1608</f>
        <v>0</v>
      </c>
      <c r="T1608" s="3">
        <f>parking_demand_data_2024_ver0!S1608</f>
        <v>0</v>
      </c>
    </row>
    <row r="1609" spans="1:20" x14ac:dyDescent="0.25">
      <c r="A1609">
        <v>18133</v>
      </c>
      <c r="B1609" t="s">
        <v>95</v>
      </c>
      <c r="C1609">
        <v>23</v>
      </c>
      <c r="D1609" s="3">
        <f>parking_demand_data_2024_ver0!D1609*calibration!$I$31</f>
        <v>48.915874690140299</v>
      </c>
      <c r="E1609" s="3">
        <f>parking_demand_data_2024_ver0!E1609*calibration!$I$31</f>
        <v>5.9676732263117298</v>
      </c>
      <c r="F1609" s="3">
        <f t="shared" si="25"/>
        <v>54.883547916452031</v>
      </c>
      <c r="G1609" s="3">
        <f>parking_demand_data_2024_ver0!F1609</f>
        <v>2</v>
      </c>
      <c r="H1609" s="3">
        <f>parking_demand_data_2024_ver0!G1609</f>
        <v>0</v>
      </c>
      <c r="I1609" s="3">
        <f>parking_demand_data_2024_ver0!H1609</f>
        <v>1</v>
      </c>
      <c r="J1609" s="3">
        <f>parking_demand_data_2024_ver0!I1609</f>
        <v>1</v>
      </c>
      <c r="K1609" s="3">
        <f>parking_demand_data_2024_ver0!J1609</f>
        <v>0</v>
      </c>
      <c r="L1609" s="3">
        <f>parking_demand_data_2024_ver0!K1609</f>
        <v>0</v>
      </c>
      <c r="M1609" s="3">
        <f>parking_demand_data_2024_ver0!L1609</f>
        <v>0</v>
      </c>
      <c r="N1609" s="3">
        <f>parking_demand_data_2024_ver0!M1609</f>
        <v>100</v>
      </c>
      <c r="O1609" s="3">
        <f>parking_demand_data_2024_ver0!N1609</f>
        <v>0</v>
      </c>
      <c r="P1609" s="3">
        <f>parking_demand_data_2024_ver0!O1609</f>
        <v>90</v>
      </c>
      <c r="Q1609" s="3">
        <f>parking_demand_data_2024_ver0!P1609</f>
        <v>10</v>
      </c>
      <c r="R1609" s="3">
        <f>parking_demand_data_2024_ver0!Q1609</f>
        <v>0</v>
      </c>
      <c r="S1609" s="3">
        <f>parking_demand_data_2024_ver0!R1609</f>
        <v>0</v>
      </c>
      <c r="T1609" s="3">
        <f>parking_demand_data_2024_ver0!S1609</f>
        <v>0</v>
      </c>
    </row>
    <row r="1610" spans="1:20" x14ac:dyDescent="0.25">
      <c r="A1610">
        <v>18135</v>
      </c>
      <c r="B1610" t="s">
        <v>96</v>
      </c>
      <c r="C1610">
        <v>0</v>
      </c>
      <c r="D1610" s="3">
        <f>parking_demand_data_2024_ver0!D1610*calibration!$I$31</f>
        <v>2.8958230631929598</v>
      </c>
      <c r="E1610" s="3">
        <f>parking_demand_data_2024_ver0!E1610*calibration!$I$31</f>
        <v>0.292836040098164</v>
      </c>
      <c r="F1610" s="3">
        <f t="shared" si="25"/>
        <v>3.1886591032911236</v>
      </c>
      <c r="G1610" s="3">
        <f>parking_demand_data_2024_ver0!F1610</f>
        <v>1</v>
      </c>
      <c r="H1610" s="3">
        <f>parking_demand_data_2024_ver0!G1610</f>
        <v>0</v>
      </c>
      <c r="I1610" s="3">
        <f>parking_demand_data_2024_ver0!H1610</f>
        <v>0</v>
      </c>
      <c r="J1610" s="3">
        <f>parking_demand_data_2024_ver0!I1610</f>
        <v>1</v>
      </c>
      <c r="K1610" s="3">
        <f>parking_demand_data_2024_ver0!J1610</f>
        <v>0</v>
      </c>
      <c r="L1610" s="3">
        <f>parking_demand_data_2024_ver0!K1610</f>
        <v>0</v>
      </c>
      <c r="M1610" s="3">
        <f>parking_demand_data_2024_ver0!L1610</f>
        <v>0</v>
      </c>
      <c r="N1610" s="3">
        <f>parking_demand_data_2024_ver0!M1610</f>
        <v>30</v>
      </c>
      <c r="O1610" s="3">
        <f>parking_demand_data_2024_ver0!N1610</f>
        <v>0</v>
      </c>
      <c r="P1610" s="3">
        <f>parking_demand_data_2024_ver0!O1610</f>
        <v>0</v>
      </c>
      <c r="Q1610" s="3">
        <f>parking_demand_data_2024_ver0!P1610</f>
        <v>30</v>
      </c>
      <c r="R1610" s="3">
        <f>parking_demand_data_2024_ver0!Q1610</f>
        <v>0</v>
      </c>
      <c r="S1610" s="3">
        <f>parking_demand_data_2024_ver0!R1610</f>
        <v>0</v>
      </c>
      <c r="T1610" s="3">
        <f>parking_demand_data_2024_ver0!S1610</f>
        <v>0</v>
      </c>
    </row>
    <row r="1611" spans="1:20" x14ac:dyDescent="0.25">
      <c r="A1611">
        <v>18135</v>
      </c>
      <c r="B1611" t="s">
        <v>96</v>
      </c>
      <c r="C1611">
        <v>1</v>
      </c>
      <c r="D1611" s="3">
        <f>parking_demand_data_2024_ver0!D1611*calibration!$I$31</f>
        <v>2.9608977387703299</v>
      </c>
      <c r="E1611" s="3">
        <f>parking_demand_data_2024_ver0!E1611*calibration!$I$31</f>
        <v>0.292836040098164</v>
      </c>
      <c r="F1611" s="3">
        <f t="shared" si="25"/>
        <v>3.2537337788684937</v>
      </c>
      <c r="G1611" s="3">
        <f>parking_demand_data_2024_ver0!F1611</f>
        <v>1</v>
      </c>
      <c r="H1611" s="3">
        <f>parking_demand_data_2024_ver0!G1611</f>
        <v>0</v>
      </c>
      <c r="I1611" s="3">
        <f>parking_demand_data_2024_ver0!H1611</f>
        <v>0</v>
      </c>
      <c r="J1611" s="3">
        <f>parking_demand_data_2024_ver0!I1611</f>
        <v>1</v>
      </c>
      <c r="K1611" s="3">
        <f>parking_demand_data_2024_ver0!J1611</f>
        <v>0</v>
      </c>
      <c r="L1611" s="3">
        <f>parking_demand_data_2024_ver0!K1611</f>
        <v>0</v>
      </c>
      <c r="M1611" s="3">
        <f>parking_demand_data_2024_ver0!L1611</f>
        <v>0</v>
      </c>
      <c r="N1611" s="3">
        <f>parking_demand_data_2024_ver0!M1611</f>
        <v>30</v>
      </c>
      <c r="O1611" s="3">
        <f>parking_demand_data_2024_ver0!N1611</f>
        <v>0</v>
      </c>
      <c r="P1611" s="3">
        <f>parking_demand_data_2024_ver0!O1611</f>
        <v>0</v>
      </c>
      <c r="Q1611" s="3">
        <f>parking_demand_data_2024_ver0!P1611</f>
        <v>30</v>
      </c>
      <c r="R1611" s="3">
        <f>parking_demand_data_2024_ver0!Q1611</f>
        <v>0</v>
      </c>
      <c r="S1611" s="3">
        <f>parking_demand_data_2024_ver0!R1611</f>
        <v>0</v>
      </c>
      <c r="T1611" s="3">
        <f>parking_demand_data_2024_ver0!S1611</f>
        <v>0</v>
      </c>
    </row>
    <row r="1612" spans="1:20" x14ac:dyDescent="0.25">
      <c r="A1612">
        <v>18135</v>
      </c>
      <c r="B1612" t="s">
        <v>96</v>
      </c>
      <c r="C1612">
        <v>2</v>
      </c>
      <c r="D1612" s="3">
        <f>parking_demand_data_2024_ver0!D1612*calibration!$I$31</f>
        <v>3.0585097521363802</v>
      </c>
      <c r="E1612" s="3">
        <f>parking_demand_data_2024_ver0!E1612*calibration!$I$31</f>
        <v>0.292836040098164</v>
      </c>
      <c r="F1612" s="3">
        <f t="shared" si="25"/>
        <v>3.351345792234544</v>
      </c>
      <c r="G1612" s="3">
        <f>parking_demand_data_2024_ver0!F1612</f>
        <v>1</v>
      </c>
      <c r="H1612" s="3">
        <f>parking_demand_data_2024_ver0!G1612</f>
        <v>0</v>
      </c>
      <c r="I1612" s="3">
        <f>parking_demand_data_2024_ver0!H1612</f>
        <v>0</v>
      </c>
      <c r="J1612" s="3">
        <f>parking_demand_data_2024_ver0!I1612</f>
        <v>1</v>
      </c>
      <c r="K1612" s="3">
        <f>parking_demand_data_2024_ver0!J1612</f>
        <v>0</v>
      </c>
      <c r="L1612" s="3">
        <f>parking_demand_data_2024_ver0!K1612</f>
        <v>0</v>
      </c>
      <c r="M1612" s="3">
        <f>parking_demand_data_2024_ver0!L1612</f>
        <v>0</v>
      </c>
      <c r="N1612" s="3">
        <f>parking_demand_data_2024_ver0!M1612</f>
        <v>30</v>
      </c>
      <c r="O1612" s="3">
        <f>parking_demand_data_2024_ver0!N1612</f>
        <v>0</v>
      </c>
      <c r="P1612" s="3">
        <f>parking_demand_data_2024_ver0!O1612</f>
        <v>0</v>
      </c>
      <c r="Q1612" s="3">
        <f>parking_demand_data_2024_ver0!P1612</f>
        <v>30</v>
      </c>
      <c r="R1612" s="3">
        <f>parking_demand_data_2024_ver0!Q1612</f>
        <v>0</v>
      </c>
      <c r="S1612" s="3">
        <f>parking_demand_data_2024_ver0!R1612</f>
        <v>0</v>
      </c>
      <c r="T1612" s="3">
        <f>parking_demand_data_2024_ver0!S1612</f>
        <v>0</v>
      </c>
    </row>
    <row r="1613" spans="1:20" x14ac:dyDescent="0.25">
      <c r="A1613">
        <v>18135</v>
      </c>
      <c r="B1613" t="s">
        <v>96</v>
      </c>
      <c r="C1613">
        <v>3</v>
      </c>
      <c r="D1613" s="3">
        <f>parking_demand_data_2024_ver0!D1613*calibration!$I$31</f>
        <v>3.2211964410798002</v>
      </c>
      <c r="E1613" s="3">
        <f>parking_demand_data_2024_ver0!E1613*calibration!$I$31</f>
        <v>0.292836040098164</v>
      </c>
      <c r="F1613" s="3">
        <f t="shared" si="25"/>
        <v>3.5140324811779644</v>
      </c>
      <c r="G1613" s="3">
        <f>parking_demand_data_2024_ver0!F1613</f>
        <v>1</v>
      </c>
      <c r="H1613" s="3">
        <f>parking_demand_data_2024_ver0!G1613</f>
        <v>0</v>
      </c>
      <c r="I1613" s="3">
        <f>parking_demand_data_2024_ver0!H1613</f>
        <v>0</v>
      </c>
      <c r="J1613" s="3">
        <f>parking_demand_data_2024_ver0!I1613</f>
        <v>1</v>
      </c>
      <c r="K1613" s="3">
        <f>parking_demand_data_2024_ver0!J1613</f>
        <v>0</v>
      </c>
      <c r="L1613" s="3">
        <f>parking_demand_data_2024_ver0!K1613</f>
        <v>0</v>
      </c>
      <c r="M1613" s="3">
        <f>parking_demand_data_2024_ver0!L1613</f>
        <v>0</v>
      </c>
      <c r="N1613" s="3">
        <f>parking_demand_data_2024_ver0!M1613</f>
        <v>30</v>
      </c>
      <c r="O1613" s="3">
        <f>parking_demand_data_2024_ver0!N1613</f>
        <v>0</v>
      </c>
      <c r="P1613" s="3">
        <f>parking_demand_data_2024_ver0!O1613</f>
        <v>0</v>
      </c>
      <c r="Q1613" s="3">
        <f>parking_demand_data_2024_ver0!P1613</f>
        <v>30</v>
      </c>
      <c r="R1613" s="3">
        <f>parking_demand_data_2024_ver0!Q1613</f>
        <v>0</v>
      </c>
      <c r="S1613" s="3">
        <f>parking_demand_data_2024_ver0!R1613</f>
        <v>0</v>
      </c>
      <c r="T1613" s="3">
        <f>parking_demand_data_2024_ver0!S1613</f>
        <v>0</v>
      </c>
    </row>
    <row r="1614" spans="1:20" x14ac:dyDescent="0.25">
      <c r="A1614">
        <v>18135</v>
      </c>
      <c r="B1614" t="s">
        <v>96</v>
      </c>
      <c r="C1614">
        <v>4</v>
      </c>
      <c r="D1614" s="3">
        <f>parking_demand_data_2024_ver0!D1614*calibration!$I$31</f>
        <v>3.4164204678119101</v>
      </c>
      <c r="E1614" s="3">
        <f>parking_demand_data_2024_ver0!E1614*calibration!$I$31</f>
        <v>0.325373377886849</v>
      </c>
      <c r="F1614" s="3">
        <f t="shared" si="25"/>
        <v>3.7417938456987589</v>
      </c>
      <c r="G1614" s="3">
        <f>parking_demand_data_2024_ver0!F1614</f>
        <v>1</v>
      </c>
      <c r="H1614" s="3">
        <f>parking_demand_data_2024_ver0!G1614</f>
        <v>0</v>
      </c>
      <c r="I1614" s="3">
        <f>parking_demand_data_2024_ver0!H1614</f>
        <v>0</v>
      </c>
      <c r="J1614" s="3">
        <f>parking_demand_data_2024_ver0!I1614</f>
        <v>1</v>
      </c>
      <c r="K1614" s="3">
        <f>parking_demand_data_2024_ver0!J1614</f>
        <v>0</v>
      </c>
      <c r="L1614" s="3">
        <f>parking_demand_data_2024_ver0!K1614</f>
        <v>0</v>
      </c>
      <c r="M1614" s="3">
        <f>parking_demand_data_2024_ver0!L1614</f>
        <v>0</v>
      </c>
      <c r="N1614" s="3">
        <f>parking_demand_data_2024_ver0!M1614</f>
        <v>30</v>
      </c>
      <c r="O1614" s="3">
        <f>parking_demand_data_2024_ver0!N1614</f>
        <v>0</v>
      </c>
      <c r="P1614" s="3">
        <f>parking_demand_data_2024_ver0!O1614</f>
        <v>0</v>
      </c>
      <c r="Q1614" s="3">
        <f>parking_demand_data_2024_ver0!P1614</f>
        <v>30</v>
      </c>
      <c r="R1614" s="3">
        <f>parking_demand_data_2024_ver0!Q1614</f>
        <v>0</v>
      </c>
      <c r="S1614" s="3">
        <f>parking_demand_data_2024_ver0!R1614</f>
        <v>0</v>
      </c>
      <c r="T1614" s="3">
        <f>parking_demand_data_2024_ver0!S1614</f>
        <v>0</v>
      </c>
    </row>
    <row r="1615" spans="1:20" x14ac:dyDescent="0.25">
      <c r="A1615">
        <v>18135</v>
      </c>
      <c r="B1615" t="s">
        <v>96</v>
      </c>
      <c r="C1615">
        <v>5</v>
      </c>
      <c r="D1615" s="3">
        <f>parking_demand_data_2024_ver0!D1615*calibration!$I$31</f>
        <v>3.1235844277137499</v>
      </c>
      <c r="E1615" s="3">
        <f>parking_demand_data_2024_ver0!E1615*calibration!$I$31</f>
        <v>0.39044805346421901</v>
      </c>
      <c r="F1615" s="3">
        <f t="shared" si="25"/>
        <v>3.5140324811779688</v>
      </c>
      <c r="G1615" s="3">
        <f>parking_demand_data_2024_ver0!F1615</f>
        <v>1</v>
      </c>
      <c r="H1615" s="3">
        <f>parking_demand_data_2024_ver0!G1615</f>
        <v>0</v>
      </c>
      <c r="I1615" s="3">
        <f>parking_demand_data_2024_ver0!H1615</f>
        <v>0</v>
      </c>
      <c r="J1615" s="3">
        <f>parking_demand_data_2024_ver0!I1615</f>
        <v>1</v>
      </c>
      <c r="K1615" s="3">
        <f>parking_demand_data_2024_ver0!J1615</f>
        <v>0</v>
      </c>
      <c r="L1615" s="3">
        <f>parking_demand_data_2024_ver0!K1615</f>
        <v>0</v>
      </c>
      <c r="M1615" s="3">
        <f>parking_demand_data_2024_ver0!L1615</f>
        <v>0</v>
      </c>
      <c r="N1615" s="3">
        <f>parking_demand_data_2024_ver0!M1615</f>
        <v>30</v>
      </c>
      <c r="O1615" s="3">
        <f>parking_demand_data_2024_ver0!N1615</f>
        <v>0</v>
      </c>
      <c r="P1615" s="3">
        <f>parking_demand_data_2024_ver0!O1615</f>
        <v>0</v>
      </c>
      <c r="Q1615" s="3">
        <f>parking_demand_data_2024_ver0!P1615</f>
        <v>30</v>
      </c>
      <c r="R1615" s="3">
        <f>parking_demand_data_2024_ver0!Q1615</f>
        <v>0</v>
      </c>
      <c r="S1615" s="3">
        <f>parking_demand_data_2024_ver0!R1615</f>
        <v>0</v>
      </c>
      <c r="T1615" s="3">
        <f>parking_demand_data_2024_ver0!S1615</f>
        <v>0</v>
      </c>
    </row>
    <row r="1616" spans="1:20" x14ac:dyDescent="0.25">
      <c r="A1616">
        <v>18135</v>
      </c>
      <c r="B1616" t="s">
        <v>96</v>
      </c>
      <c r="C1616">
        <v>6</v>
      </c>
      <c r="D1616" s="3">
        <f>parking_demand_data_2024_ver0!D1616*calibration!$I$31</f>
        <v>3.80686852127613</v>
      </c>
      <c r="E1616" s="3">
        <f>parking_demand_data_2024_ver0!E1616*calibration!$I$31</f>
        <v>0.55313474240764404</v>
      </c>
      <c r="F1616" s="3">
        <f t="shared" si="25"/>
        <v>4.3600032636837742</v>
      </c>
      <c r="G1616" s="3">
        <f>parking_demand_data_2024_ver0!F1616</f>
        <v>1</v>
      </c>
      <c r="H1616" s="3">
        <f>parking_demand_data_2024_ver0!G1616</f>
        <v>0</v>
      </c>
      <c r="I1616" s="3">
        <f>parking_demand_data_2024_ver0!H1616</f>
        <v>0</v>
      </c>
      <c r="J1616" s="3">
        <f>parking_demand_data_2024_ver0!I1616</f>
        <v>1</v>
      </c>
      <c r="K1616" s="3">
        <f>parking_demand_data_2024_ver0!J1616</f>
        <v>0</v>
      </c>
      <c r="L1616" s="3">
        <f>parking_demand_data_2024_ver0!K1616</f>
        <v>0</v>
      </c>
      <c r="M1616" s="3">
        <f>parking_demand_data_2024_ver0!L1616</f>
        <v>0</v>
      </c>
      <c r="N1616" s="3">
        <f>parking_demand_data_2024_ver0!M1616</f>
        <v>30</v>
      </c>
      <c r="O1616" s="3">
        <f>parking_demand_data_2024_ver0!N1616</f>
        <v>0</v>
      </c>
      <c r="P1616" s="3">
        <f>parking_demand_data_2024_ver0!O1616</f>
        <v>0</v>
      </c>
      <c r="Q1616" s="3">
        <f>parking_demand_data_2024_ver0!P1616</f>
        <v>30</v>
      </c>
      <c r="R1616" s="3">
        <f>parking_demand_data_2024_ver0!Q1616</f>
        <v>0</v>
      </c>
      <c r="S1616" s="3">
        <f>parking_demand_data_2024_ver0!R1616</f>
        <v>0</v>
      </c>
      <c r="T1616" s="3">
        <f>parking_demand_data_2024_ver0!S1616</f>
        <v>0</v>
      </c>
    </row>
    <row r="1617" spans="1:20" x14ac:dyDescent="0.25">
      <c r="A1617">
        <v>18135</v>
      </c>
      <c r="B1617" t="s">
        <v>96</v>
      </c>
      <c r="C1617">
        <v>7</v>
      </c>
      <c r="D1617" s="3">
        <f>parking_demand_data_2024_ver0!D1617*calibration!$I$31</f>
        <v>3.6767191701213902</v>
      </c>
      <c r="E1617" s="3">
        <f>parking_demand_data_2024_ver0!E1617*calibration!$I$31</f>
        <v>2.6029870230947898</v>
      </c>
      <c r="F1617" s="3">
        <f t="shared" si="25"/>
        <v>6.27970619321618</v>
      </c>
      <c r="G1617" s="3">
        <f>parking_demand_data_2024_ver0!F1617</f>
        <v>1</v>
      </c>
      <c r="H1617" s="3">
        <f>parking_demand_data_2024_ver0!G1617</f>
        <v>0</v>
      </c>
      <c r="I1617" s="3">
        <f>parking_demand_data_2024_ver0!H1617</f>
        <v>0</v>
      </c>
      <c r="J1617" s="3">
        <f>parking_demand_data_2024_ver0!I1617</f>
        <v>1</v>
      </c>
      <c r="K1617" s="3">
        <f>parking_demand_data_2024_ver0!J1617</f>
        <v>0</v>
      </c>
      <c r="L1617" s="3">
        <f>parking_demand_data_2024_ver0!K1617</f>
        <v>0</v>
      </c>
      <c r="M1617" s="3">
        <f>parking_demand_data_2024_ver0!L1617</f>
        <v>0</v>
      </c>
      <c r="N1617" s="3">
        <f>parking_demand_data_2024_ver0!M1617</f>
        <v>30</v>
      </c>
      <c r="O1617" s="3">
        <f>parking_demand_data_2024_ver0!N1617</f>
        <v>0</v>
      </c>
      <c r="P1617" s="3">
        <f>parking_demand_data_2024_ver0!O1617</f>
        <v>0</v>
      </c>
      <c r="Q1617" s="3">
        <f>parking_demand_data_2024_ver0!P1617</f>
        <v>30</v>
      </c>
      <c r="R1617" s="3">
        <f>parking_demand_data_2024_ver0!Q1617</f>
        <v>0</v>
      </c>
      <c r="S1617" s="3">
        <f>parking_demand_data_2024_ver0!R1617</f>
        <v>0</v>
      </c>
      <c r="T1617" s="3">
        <f>parking_demand_data_2024_ver0!S1617</f>
        <v>0</v>
      </c>
    </row>
    <row r="1618" spans="1:20" x14ac:dyDescent="0.25">
      <c r="A1618">
        <v>18135</v>
      </c>
      <c r="B1618" t="s">
        <v>96</v>
      </c>
      <c r="C1618">
        <v>8</v>
      </c>
      <c r="D1618" s="3">
        <f>parking_demand_data_2024_ver0!D1618*calibration!$I$31</f>
        <v>3.35134579223454</v>
      </c>
      <c r="E1618" s="3">
        <f>parking_demand_data_2024_ver0!E1618*calibration!$I$31</f>
        <v>4.4901526148385198</v>
      </c>
      <c r="F1618" s="3">
        <f t="shared" si="25"/>
        <v>7.8414984070730593</v>
      </c>
      <c r="G1618" s="3">
        <f>parking_demand_data_2024_ver0!F1618</f>
        <v>1</v>
      </c>
      <c r="H1618" s="3">
        <f>parking_demand_data_2024_ver0!G1618</f>
        <v>0</v>
      </c>
      <c r="I1618" s="3">
        <f>parking_demand_data_2024_ver0!H1618</f>
        <v>0</v>
      </c>
      <c r="J1618" s="3">
        <f>parking_demand_data_2024_ver0!I1618</f>
        <v>1</v>
      </c>
      <c r="K1618" s="3">
        <f>parking_demand_data_2024_ver0!J1618</f>
        <v>0</v>
      </c>
      <c r="L1618" s="3">
        <f>parking_demand_data_2024_ver0!K1618</f>
        <v>0</v>
      </c>
      <c r="M1618" s="3">
        <f>parking_demand_data_2024_ver0!L1618</f>
        <v>0</v>
      </c>
      <c r="N1618" s="3">
        <f>parking_demand_data_2024_ver0!M1618</f>
        <v>30</v>
      </c>
      <c r="O1618" s="3">
        <f>parking_demand_data_2024_ver0!N1618</f>
        <v>0</v>
      </c>
      <c r="P1618" s="3">
        <f>parking_demand_data_2024_ver0!O1618</f>
        <v>0</v>
      </c>
      <c r="Q1618" s="3">
        <f>parking_demand_data_2024_ver0!P1618</f>
        <v>30</v>
      </c>
      <c r="R1618" s="3">
        <f>parking_demand_data_2024_ver0!Q1618</f>
        <v>0</v>
      </c>
      <c r="S1618" s="3">
        <f>parking_demand_data_2024_ver0!R1618</f>
        <v>0</v>
      </c>
      <c r="T1618" s="3">
        <f>parking_demand_data_2024_ver0!S1618</f>
        <v>0</v>
      </c>
    </row>
    <row r="1619" spans="1:20" x14ac:dyDescent="0.25">
      <c r="A1619">
        <v>18135</v>
      </c>
      <c r="B1619" t="s">
        <v>96</v>
      </c>
      <c r="C1619">
        <v>9</v>
      </c>
      <c r="D1619" s="3">
        <f>parking_demand_data_2024_ver0!D1619*calibration!$I$31</f>
        <v>2.9934350765590101</v>
      </c>
      <c r="E1619" s="3">
        <f>parking_demand_data_2024_ver0!E1619*calibration!$I$31</f>
        <v>6.7026915844690897</v>
      </c>
      <c r="F1619" s="3">
        <f t="shared" si="25"/>
        <v>9.6961266610280994</v>
      </c>
      <c r="G1619" s="3">
        <f>parking_demand_data_2024_ver0!F1619</f>
        <v>1</v>
      </c>
      <c r="H1619" s="3">
        <f>parking_demand_data_2024_ver0!G1619</f>
        <v>0</v>
      </c>
      <c r="I1619" s="3">
        <f>parking_demand_data_2024_ver0!H1619</f>
        <v>0</v>
      </c>
      <c r="J1619" s="3">
        <f>parking_demand_data_2024_ver0!I1619</f>
        <v>1</v>
      </c>
      <c r="K1619" s="3">
        <f>parking_demand_data_2024_ver0!J1619</f>
        <v>0</v>
      </c>
      <c r="L1619" s="3">
        <f>parking_demand_data_2024_ver0!K1619</f>
        <v>0</v>
      </c>
      <c r="M1619" s="3">
        <f>parking_demand_data_2024_ver0!L1619</f>
        <v>0</v>
      </c>
      <c r="N1619" s="3">
        <f>parking_demand_data_2024_ver0!M1619</f>
        <v>30</v>
      </c>
      <c r="O1619" s="3">
        <f>parking_demand_data_2024_ver0!N1619</f>
        <v>0</v>
      </c>
      <c r="P1619" s="3">
        <f>parking_demand_data_2024_ver0!O1619</f>
        <v>0</v>
      </c>
      <c r="Q1619" s="3">
        <f>parking_demand_data_2024_ver0!P1619</f>
        <v>30</v>
      </c>
      <c r="R1619" s="3">
        <f>parking_demand_data_2024_ver0!Q1619</f>
        <v>0</v>
      </c>
      <c r="S1619" s="3">
        <f>parking_demand_data_2024_ver0!R1619</f>
        <v>0</v>
      </c>
      <c r="T1619" s="3">
        <f>parking_demand_data_2024_ver0!S1619</f>
        <v>0</v>
      </c>
    </row>
    <row r="1620" spans="1:20" x14ac:dyDescent="0.25">
      <c r="A1620">
        <v>18135</v>
      </c>
      <c r="B1620" t="s">
        <v>96</v>
      </c>
      <c r="C1620">
        <v>10</v>
      </c>
      <c r="D1620" s="3">
        <f>parking_demand_data_2024_ver0!D1620*calibration!$I$31</f>
        <v>2.9608977387703299</v>
      </c>
      <c r="E1620" s="3">
        <f>parking_demand_data_2024_ver0!E1620*calibration!$I$31</f>
        <v>7.3209010024541099</v>
      </c>
      <c r="F1620" s="3">
        <f t="shared" si="25"/>
        <v>10.28179874122444</v>
      </c>
      <c r="G1620" s="3">
        <f>parking_demand_data_2024_ver0!F1620</f>
        <v>1</v>
      </c>
      <c r="H1620" s="3">
        <f>parking_demand_data_2024_ver0!G1620</f>
        <v>0</v>
      </c>
      <c r="I1620" s="3">
        <f>parking_demand_data_2024_ver0!H1620</f>
        <v>0</v>
      </c>
      <c r="J1620" s="3">
        <f>parking_demand_data_2024_ver0!I1620</f>
        <v>1</v>
      </c>
      <c r="K1620" s="3">
        <f>parking_demand_data_2024_ver0!J1620</f>
        <v>0</v>
      </c>
      <c r="L1620" s="3">
        <f>parking_demand_data_2024_ver0!K1620</f>
        <v>0</v>
      </c>
      <c r="M1620" s="3">
        <f>parking_demand_data_2024_ver0!L1620</f>
        <v>0</v>
      </c>
      <c r="N1620" s="3">
        <f>parking_demand_data_2024_ver0!M1620</f>
        <v>30</v>
      </c>
      <c r="O1620" s="3">
        <f>parking_demand_data_2024_ver0!N1620</f>
        <v>0</v>
      </c>
      <c r="P1620" s="3">
        <f>parking_demand_data_2024_ver0!O1620</f>
        <v>0</v>
      </c>
      <c r="Q1620" s="3">
        <f>parking_demand_data_2024_ver0!P1620</f>
        <v>30</v>
      </c>
      <c r="R1620" s="3">
        <f>parking_demand_data_2024_ver0!Q1620</f>
        <v>0</v>
      </c>
      <c r="S1620" s="3">
        <f>parking_demand_data_2024_ver0!R1620</f>
        <v>0</v>
      </c>
      <c r="T1620" s="3">
        <f>parking_demand_data_2024_ver0!S1620</f>
        <v>0</v>
      </c>
    </row>
    <row r="1621" spans="1:20" x14ac:dyDescent="0.25">
      <c r="A1621">
        <v>18135</v>
      </c>
      <c r="B1621" t="s">
        <v>96</v>
      </c>
      <c r="C1621">
        <v>11</v>
      </c>
      <c r="D1621" s="3">
        <f>parking_demand_data_2024_ver0!D1621*calibration!$I$31</f>
        <v>3.4164204678119101</v>
      </c>
      <c r="E1621" s="3">
        <f>parking_demand_data_2024_ver0!E1621*calibration!$I$31</f>
        <v>6.4749302199483001</v>
      </c>
      <c r="F1621" s="3">
        <f t="shared" si="25"/>
        <v>9.8913506877602106</v>
      </c>
      <c r="G1621" s="3">
        <f>parking_demand_data_2024_ver0!F1621</f>
        <v>1</v>
      </c>
      <c r="H1621" s="3">
        <f>parking_demand_data_2024_ver0!G1621</f>
        <v>0</v>
      </c>
      <c r="I1621" s="3">
        <f>parking_demand_data_2024_ver0!H1621</f>
        <v>0</v>
      </c>
      <c r="J1621" s="3">
        <f>parking_demand_data_2024_ver0!I1621</f>
        <v>1</v>
      </c>
      <c r="K1621" s="3">
        <f>parking_demand_data_2024_ver0!J1621</f>
        <v>0</v>
      </c>
      <c r="L1621" s="3">
        <f>parking_demand_data_2024_ver0!K1621</f>
        <v>0</v>
      </c>
      <c r="M1621" s="3">
        <f>parking_demand_data_2024_ver0!L1621</f>
        <v>0</v>
      </c>
      <c r="N1621" s="3">
        <f>parking_demand_data_2024_ver0!M1621</f>
        <v>30</v>
      </c>
      <c r="O1621" s="3">
        <f>parking_demand_data_2024_ver0!N1621</f>
        <v>0</v>
      </c>
      <c r="P1621" s="3">
        <f>parking_demand_data_2024_ver0!O1621</f>
        <v>0</v>
      </c>
      <c r="Q1621" s="3">
        <f>parking_demand_data_2024_ver0!P1621</f>
        <v>30</v>
      </c>
      <c r="R1621" s="3">
        <f>parking_demand_data_2024_ver0!Q1621</f>
        <v>0</v>
      </c>
      <c r="S1621" s="3">
        <f>parking_demand_data_2024_ver0!R1621</f>
        <v>0</v>
      </c>
      <c r="T1621" s="3">
        <f>parking_demand_data_2024_ver0!S1621</f>
        <v>0</v>
      </c>
    </row>
    <row r="1622" spans="1:20" x14ac:dyDescent="0.25">
      <c r="A1622">
        <v>18135</v>
      </c>
      <c r="B1622" t="s">
        <v>96</v>
      </c>
      <c r="C1622">
        <v>12</v>
      </c>
      <c r="D1622" s="3">
        <f>parking_demand_data_2024_ver0!D1622*calibration!$I$31</f>
        <v>3.80686852127613</v>
      </c>
      <c r="E1622" s="3">
        <f>parking_demand_data_2024_ver0!E1622*calibration!$I$31</f>
        <v>5.2059740461895903</v>
      </c>
      <c r="F1622" s="3">
        <f t="shared" si="25"/>
        <v>9.0128425674657198</v>
      </c>
      <c r="G1622" s="3">
        <f>parking_demand_data_2024_ver0!F1622</f>
        <v>1</v>
      </c>
      <c r="H1622" s="3">
        <f>parking_demand_data_2024_ver0!G1622</f>
        <v>0</v>
      </c>
      <c r="I1622" s="3">
        <f>parking_demand_data_2024_ver0!H1622</f>
        <v>0</v>
      </c>
      <c r="J1622" s="3">
        <f>parking_demand_data_2024_ver0!I1622</f>
        <v>1</v>
      </c>
      <c r="K1622" s="3">
        <f>parking_demand_data_2024_ver0!J1622</f>
        <v>0</v>
      </c>
      <c r="L1622" s="3">
        <f>parking_demand_data_2024_ver0!K1622</f>
        <v>0</v>
      </c>
      <c r="M1622" s="3">
        <f>parking_demand_data_2024_ver0!L1622</f>
        <v>0</v>
      </c>
      <c r="N1622" s="3">
        <f>parking_demand_data_2024_ver0!M1622</f>
        <v>30</v>
      </c>
      <c r="O1622" s="3">
        <f>parking_demand_data_2024_ver0!N1622</f>
        <v>0</v>
      </c>
      <c r="P1622" s="3">
        <f>parking_demand_data_2024_ver0!O1622</f>
        <v>0</v>
      </c>
      <c r="Q1622" s="3">
        <f>parking_demand_data_2024_ver0!P1622</f>
        <v>30</v>
      </c>
      <c r="R1622" s="3">
        <f>parking_demand_data_2024_ver0!Q1622</f>
        <v>0</v>
      </c>
      <c r="S1622" s="3">
        <f>parking_demand_data_2024_ver0!R1622</f>
        <v>0</v>
      </c>
      <c r="T1622" s="3">
        <f>parking_demand_data_2024_ver0!S1622</f>
        <v>0</v>
      </c>
    </row>
    <row r="1623" spans="1:20" x14ac:dyDescent="0.25">
      <c r="A1623">
        <v>18135</v>
      </c>
      <c r="B1623" t="s">
        <v>96</v>
      </c>
      <c r="C1623">
        <v>13</v>
      </c>
      <c r="D1623" s="3">
        <f>parking_demand_data_2024_ver0!D1623*calibration!$I$31</f>
        <v>4.06716722358561</v>
      </c>
      <c r="E1623" s="3">
        <f>parking_demand_data_2024_ver0!E1623*calibration!$I$31</f>
        <v>4.1973165747403502</v>
      </c>
      <c r="F1623" s="3">
        <f t="shared" si="25"/>
        <v>8.2644837983259603</v>
      </c>
      <c r="G1623" s="3">
        <f>parking_demand_data_2024_ver0!F1623</f>
        <v>1</v>
      </c>
      <c r="H1623" s="3">
        <f>parking_demand_data_2024_ver0!G1623</f>
        <v>0</v>
      </c>
      <c r="I1623" s="3">
        <f>parking_demand_data_2024_ver0!H1623</f>
        <v>0</v>
      </c>
      <c r="J1623" s="3">
        <f>parking_demand_data_2024_ver0!I1623</f>
        <v>1</v>
      </c>
      <c r="K1623" s="3">
        <f>parking_demand_data_2024_ver0!J1623</f>
        <v>0</v>
      </c>
      <c r="L1623" s="3">
        <f>parking_demand_data_2024_ver0!K1623</f>
        <v>0</v>
      </c>
      <c r="M1623" s="3">
        <f>parking_demand_data_2024_ver0!L1623</f>
        <v>0</v>
      </c>
      <c r="N1623" s="3">
        <f>parking_demand_data_2024_ver0!M1623</f>
        <v>30</v>
      </c>
      <c r="O1623" s="3">
        <f>parking_demand_data_2024_ver0!N1623</f>
        <v>0</v>
      </c>
      <c r="P1623" s="3">
        <f>parking_demand_data_2024_ver0!O1623</f>
        <v>0</v>
      </c>
      <c r="Q1623" s="3">
        <f>parking_demand_data_2024_ver0!P1623</f>
        <v>30</v>
      </c>
      <c r="R1623" s="3">
        <f>parking_demand_data_2024_ver0!Q1623</f>
        <v>0</v>
      </c>
      <c r="S1623" s="3">
        <f>parking_demand_data_2024_ver0!R1623</f>
        <v>0</v>
      </c>
      <c r="T1623" s="3">
        <f>parking_demand_data_2024_ver0!S1623</f>
        <v>0</v>
      </c>
    </row>
    <row r="1624" spans="1:20" x14ac:dyDescent="0.25">
      <c r="A1624">
        <v>18135</v>
      </c>
      <c r="B1624" t="s">
        <v>96</v>
      </c>
      <c r="C1624">
        <v>14</v>
      </c>
      <c r="D1624" s="3">
        <f>parking_demand_data_2024_ver0!D1624*calibration!$I$31</f>
        <v>3.4489578056006001</v>
      </c>
      <c r="E1624" s="3">
        <f>parking_demand_data_2024_ver0!E1624*calibration!$I$31</f>
        <v>3.7092565079100801</v>
      </c>
      <c r="F1624" s="3">
        <f t="shared" si="25"/>
        <v>7.1582143135106797</v>
      </c>
      <c r="G1624" s="3">
        <f>parking_demand_data_2024_ver0!F1624</f>
        <v>1</v>
      </c>
      <c r="H1624" s="3">
        <f>parking_demand_data_2024_ver0!G1624</f>
        <v>0</v>
      </c>
      <c r="I1624" s="3">
        <f>parking_demand_data_2024_ver0!H1624</f>
        <v>0</v>
      </c>
      <c r="J1624" s="3">
        <f>parking_demand_data_2024_ver0!I1624</f>
        <v>1</v>
      </c>
      <c r="K1624" s="3">
        <f>parking_demand_data_2024_ver0!J1624</f>
        <v>0</v>
      </c>
      <c r="L1624" s="3">
        <f>parking_demand_data_2024_ver0!K1624</f>
        <v>0</v>
      </c>
      <c r="M1624" s="3">
        <f>parking_demand_data_2024_ver0!L1624</f>
        <v>0</v>
      </c>
      <c r="N1624" s="3">
        <f>parking_demand_data_2024_ver0!M1624</f>
        <v>30</v>
      </c>
      <c r="O1624" s="3">
        <f>parking_demand_data_2024_ver0!N1624</f>
        <v>0</v>
      </c>
      <c r="P1624" s="3">
        <f>parking_demand_data_2024_ver0!O1624</f>
        <v>0</v>
      </c>
      <c r="Q1624" s="3">
        <f>parking_demand_data_2024_ver0!P1624</f>
        <v>30</v>
      </c>
      <c r="R1624" s="3">
        <f>parking_demand_data_2024_ver0!Q1624</f>
        <v>0</v>
      </c>
      <c r="S1624" s="3">
        <f>parking_demand_data_2024_ver0!R1624</f>
        <v>0</v>
      </c>
      <c r="T1624" s="3">
        <f>parking_demand_data_2024_ver0!S1624</f>
        <v>0</v>
      </c>
    </row>
    <row r="1625" spans="1:20" x14ac:dyDescent="0.25">
      <c r="A1625">
        <v>18135</v>
      </c>
      <c r="B1625" t="s">
        <v>96</v>
      </c>
      <c r="C1625">
        <v>15</v>
      </c>
      <c r="D1625" s="3">
        <f>parking_demand_data_2024_ver0!D1625*calibration!$I$31</f>
        <v>2.47283767194005</v>
      </c>
      <c r="E1625" s="3">
        <f>parking_demand_data_2024_ver0!E1625*calibration!$I$31</f>
        <v>1.8220909161663501</v>
      </c>
      <c r="F1625" s="3">
        <f t="shared" si="25"/>
        <v>4.2949285881063997</v>
      </c>
      <c r="G1625" s="3">
        <f>parking_demand_data_2024_ver0!F1625</f>
        <v>1</v>
      </c>
      <c r="H1625" s="3">
        <f>parking_demand_data_2024_ver0!G1625</f>
        <v>0</v>
      </c>
      <c r="I1625" s="3">
        <f>parking_demand_data_2024_ver0!H1625</f>
        <v>0</v>
      </c>
      <c r="J1625" s="3">
        <f>parking_demand_data_2024_ver0!I1625</f>
        <v>1</v>
      </c>
      <c r="K1625" s="3">
        <f>parking_demand_data_2024_ver0!J1625</f>
        <v>0</v>
      </c>
      <c r="L1625" s="3">
        <f>parking_demand_data_2024_ver0!K1625</f>
        <v>0</v>
      </c>
      <c r="M1625" s="3">
        <f>parking_demand_data_2024_ver0!L1625</f>
        <v>0</v>
      </c>
      <c r="N1625" s="3">
        <f>parking_demand_data_2024_ver0!M1625</f>
        <v>30</v>
      </c>
      <c r="O1625" s="3">
        <f>parking_demand_data_2024_ver0!N1625</f>
        <v>0</v>
      </c>
      <c r="P1625" s="3">
        <f>parking_demand_data_2024_ver0!O1625</f>
        <v>0</v>
      </c>
      <c r="Q1625" s="3">
        <f>parking_demand_data_2024_ver0!P1625</f>
        <v>30</v>
      </c>
      <c r="R1625" s="3">
        <f>parking_demand_data_2024_ver0!Q1625</f>
        <v>0</v>
      </c>
      <c r="S1625" s="3">
        <f>parking_demand_data_2024_ver0!R1625</f>
        <v>0</v>
      </c>
      <c r="T1625" s="3">
        <f>parking_demand_data_2024_ver0!S1625</f>
        <v>0</v>
      </c>
    </row>
    <row r="1626" spans="1:20" x14ac:dyDescent="0.25">
      <c r="A1626">
        <v>18135</v>
      </c>
      <c r="B1626" t="s">
        <v>96</v>
      </c>
      <c r="C1626">
        <v>16</v>
      </c>
      <c r="D1626" s="3">
        <f>parking_demand_data_2024_ver0!D1626*calibration!$I$31</f>
        <v>1.9847776051097801</v>
      </c>
      <c r="E1626" s="3">
        <f>parking_demand_data_2024_ver0!E1626*calibration!$I$31</f>
        <v>1.5617922138568701</v>
      </c>
      <c r="F1626" s="3">
        <f t="shared" si="25"/>
        <v>3.5465698189666499</v>
      </c>
      <c r="G1626" s="3">
        <f>parking_demand_data_2024_ver0!F1626</f>
        <v>1</v>
      </c>
      <c r="H1626" s="3">
        <f>parking_demand_data_2024_ver0!G1626</f>
        <v>0</v>
      </c>
      <c r="I1626" s="3">
        <f>parking_demand_data_2024_ver0!H1626</f>
        <v>0</v>
      </c>
      <c r="J1626" s="3">
        <f>parking_demand_data_2024_ver0!I1626</f>
        <v>1</v>
      </c>
      <c r="K1626" s="3">
        <f>parking_demand_data_2024_ver0!J1626</f>
        <v>0</v>
      </c>
      <c r="L1626" s="3">
        <f>parking_demand_data_2024_ver0!K1626</f>
        <v>0</v>
      </c>
      <c r="M1626" s="3">
        <f>parking_demand_data_2024_ver0!L1626</f>
        <v>0</v>
      </c>
      <c r="N1626" s="3">
        <f>parking_demand_data_2024_ver0!M1626</f>
        <v>30</v>
      </c>
      <c r="O1626" s="3">
        <f>parking_demand_data_2024_ver0!N1626</f>
        <v>0</v>
      </c>
      <c r="P1626" s="3">
        <f>parking_demand_data_2024_ver0!O1626</f>
        <v>0</v>
      </c>
      <c r="Q1626" s="3">
        <f>parking_demand_data_2024_ver0!P1626</f>
        <v>30</v>
      </c>
      <c r="R1626" s="3">
        <f>parking_demand_data_2024_ver0!Q1626</f>
        <v>0</v>
      </c>
      <c r="S1626" s="3">
        <f>parking_demand_data_2024_ver0!R1626</f>
        <v>0</v>
      </c>
      <c r="T1626" s="3">
        <f>parking_demand_data_2024_ver0!S1626</f>
        <v>0</v>
      </c>
    </row>
    <row r="1627" spans="1:20" x14ac:dyDescent="0.25">
      <c r="A1627">
        <v>18135</v>
      </c>
      <c r="B1627" t="s">
        <v>96</v>
      </c>
      <c r="C1627">
        <v>17</v>
      </c>
      <c r="D1627" s="3">
        <f>parking_demand_data_2024_ver0!D1627*calibration!$I$31</f>
        <v>2.04985228068715</v>
      </c>
      <c r="E1627" s="3">
        <f>parking_demand_data_2024_ver0!E1627*calibration!$I$31</f>
        <v>0.74835876913975297</v>
      </c>
      <c r="F1627" s="3">
        <f t="shared" si="25"/>
        <v>2.7982110498269028</v>
      </c>
      <c r="G1627" s="3">
        <f>parking_demand_data_2024_ver0!F1627</f>
        <v>1</v>
      </c>
      <c r="H1627" s="3">
        <f>parking_demand_data_2024_ver0!G1627</f>
        <v>0</v>
      </c>
      <c r="I1627" s="3">
        <f>parking_demand_data_2024_ver0!H1627</f>
        <v>0</v>
      </c>
      <c r="J1627" s="3">
        <f>parking_demand_data_2024_ver0!I1627</f>
        <v>1</v>
      </c>
      <c r="K1627" s="3">
        <f>parking_demand_data_2024_ver0!J1627</f>
        <v>0</v>
      </c>
      <c r="L1627" s="3">
        <f>parking_demand_data_2024_ver0!K1627</f>
        <v>0</v>
      </c>
      <c r="M1627" s="3">
        <f>parking_demand_data_2024_ver0!L1627</f>
        <v>0</v>
      </c>
      <c r="N1627" s="3">
        <f>parking_demand_data_2024_ver0!M1627</f>
        <v>30</v>
      </c>
      <c r="O1627" s="3">
        <f>parking_demand_data_2024_ver0!N1627</f>
        <v>0</v>
      </c>
      <c r="P1627" s="3">
        <f>parking_demand_data_2024_ver0!O1627</f>
        <v>0</v>
      </c>
      <c r="Q1627" s="3">
        <f>parking_demand_data_2024_ver0!P1627</f>
        <v>30</v>
      </c>
      <c r="R1627" s="3">
        <f>parking_demand_data_2024_ver0!Q1627</f>
        <v>0</v>
      </c>
      <c r="S1627" s="3">
        <f>parking_demand_data_2024_ver0!R1627</f>
        <v>0</v>
      </c>
      <c r="T1627" s="3">
        <f>parking_demand_data_2024_ver0!S1627</f>
        <v>0</v>
      </c>
    </row>
    <row r="1628" spans="1:20" x14ac:dyDescent="0.25">
      <c r="A1628">
        <v>18135</v>
      </c>
      <c r="B1628" t="s">
        <v>96</v>
      </c>
      <c r="C1628">
        <v>18</v>
      </c>
      <c r="D1628" s="3">
        <f>parking_demand_data_2024_ver0!D1628*calibration!$I$31</f>
        <v>2.3426883207853102</v>
      </c>
      <c r="E1628" s="3">
        <f>parking_demand_data_2024_ver0!E1628*calibration!$I$31</f>
        <v>0.68328409356238295</v>
      </c>
      <c r="F1628" s="3">
        <f t="shared" si="25"/>
        <v>3.0259724143476934</v>
      </c>
      <c r="G1628" s="3">
        <f>parking_demand_data_2024_ver0!F1628</f>
        <v>1</v>
      </c>
      <c r="H1628" s="3">
        <f>parking_demand_data_2024_ver0!G1628</f>
        <v>0</v>
      </c>
      <c r="I1628" s="3">
        <f>parking_demand_data_2024_ver0!H1628</f>
        <v>0</v>
      </c>
      <c r="J1628" s="3">
        <f>parking_demand_data_2024_ver0!I1628</f>
        <v>1</v>
      </c>
      <c r="K1628" s="3">
        <f>parking_demand_data_2024_ver0!J1628</f>
        <v>0</v>
      </c>
      <c r="L1628" s="3">
        <f>parking_demand_data_2024_ver0!K1628</f>
        <v>0</v>
      </c>
      <c r="M1628" s="3">
        <f>parking_demand_data_2024_ver0!L1628</f>
        <v>0</v>
      </c>
      <c r="N1628" s="3">
        <f>parking_demand_data_2024_ver0!M1628</f>
        <v>30</v>
      </c>
      <c r="O1628" s="3">
        <f>parking_demand_data_2024_ver0!N1628</f>
        <v>0</v>
      </c>
      <c r="P1628" s="3">
        <f>parking_demand_data_2024_ver0!O1628</f>
        <v>0</v>
      </c>
      <c r="Q1628" s="3">
        <f>parking_demand_data_2024_ver0!P1628</f>
        <v>30</v>
      </c>
      <c r="R1628" s="3">
        <f>parking_demand_data_2024_ver0!Q1628</f>
        <v>0</v>
      </c>
      <c r="S1628" s="3">
        <f>parking_demand_data_2024_ver0!R1628</f>
        <v>0</v>
      </c>
      <c r="T1628" s="3">
        <f>parking_demand_data_2024_ver0!S1628</f>
        <v>0</v>
      </c>
    </row>
    <row r="1629" spans="1:20" x14ac:dyDescent="0.25">
      <c r="A1629">
        <v>18135</v>
      </c>
      <c r="B1629" t="s">
        <v>96</v>
      </c>
      <c r="C1629">
        <v>19</v>
      </c>
      <c r="D1629" s="3">
        <f>parking_demand_data_2024_ver0!D1629*calibration!$I$31</f>
        <v>2.1800016318418902</v>
      </c>
      <c r="E1629" s="3">
        <f>parking_demand_data_2024_ver0!E1629*calibration!$I$31</f>
        <v>0.650746755773698</v>
      </c>
      <c r="F1629" s="3">
        <f t="shared" si="25"/>
        <v>2.8307483876155883</v>
      </c>
      <c r="G1629" s="3">
        <f>parking_demand_data_2024_ver0!F1629</f>
        <v>1</v>
      </c>
      <c r="H1629" s="3">
        <f>parking_demand_data_2024_ver0!G1629</f>
        <v>0</v>
      </c>
      <c r="I1629" s="3">
        <f>parking_demand_data_2024_ver0!H1629</f>
        <v>0</v>
      </c>
      <c r="J1629" s="3">
        <f>parking_demand_data_2024_ver0!I1629</f>
        <v>1</v>
      </c>
      <c r="K1629" s="3">
        <f>parking_demand_data_2024_ver0!J1629</f>
        <v>0</v>
      </c>
      <c r="L1629" s="3">
        <f>parking_demand_data_2024_ver0!K1629</f>
        <v>0</v>
      </c>
      <c r="M1629" s="3">
        <f>parking_demand_data_2024_ver0!L1629</f>
        <v>0</v>
      </c>
      <c r="N1629" s="3">
        <f>parking_demand_data_2024_ver0!M1629</f>
        <v>30</v>
      </c>
      <c r="O1629" s="3">
        <f>parking_demand_data_2024_ver0!N1629</f>
        <v>0</v>
      </c>
      <c r="P1629" s="3">
        <f>parking_demand_data_2024_ver0!O1629</f>
        <v>0</v>
      </c>
      <c r="Q1629" s="3">
        <f>parking_demand_data_2024_ver0!P1629</f>
        <v>30</v>
      </c>
      <c r="R1629" s="3">
        <f>parking_demand_data_2024_ver0!Q1629</f>
        <v>0</v>
      </c>
      <c r="S1629" s="3">
        <f>parking_demand_data_2024_ver0!R1629</f>
        <v>0</v>
      </c>
      <c r="T1629" s="3">
        <f>parking_demand_data_2024_ver0!S1629</f>
        <v>0</v>
      </c>
    </row>
    <row r="1630" spans="1:20" x14ac:dyDescent="0.25">
      <c r="A1630">
        <v>18135</v>
      </c>
      <c r="B1630" t="s">
        <v>96</v>
      </c>
      <c r="C1630">
        <v>20</v>
      </c>
      <c r="D1630" s="3">
        <f>parking_demand_data_2024_ver0!D1630*calibration!$I$31</f>
        <v>2.4077629963626799</v>
      </c>
      <c r="E1630" s="3">
        <f>parking_demand_data_2024_ver0!E1630*calibration!$I$31</f>
        <v>0.52059740461895898</v>
      </c>
      <c r="F1630" s="3">
        <f t="shared" si="25"/>
        <v>2.9283604009816386</v>
      </c>
      <c r="G1630" s="3">
        <f>parking_demand_data_2024_ver0!F1630</f>
        <v>1</v>
      </c>
      <c r="H1630" s="3">
        <f>parking_demand_data_2024_ver0!G1630</f>
        <v>0</v>
      </c>
      <c r="I1630" s="3">
        <f>parking_demand_data_2024_ver0!H1630</f>
        <v>0</v>
      </c>
      <c r="J1630" s="3">
        <f>parking_demand_data_2024_ver0!I1630</f>
        <v>1</v>
      </c>
      <c r="K1630" s="3">
        <f>parking_demand_data_2024_ver0!J1630</f>
        <v>0</v>
      </c>
      <c r="L1630" s="3">
        <f>parking_demand_data_2024_ver0!K1630</f>
        <v>0</v>
      </c>
      <c r="M1630" s="3">
        <f>parking_demand_data_2024_ver0!L1630</f>
        <v>0</v>
      </c>
      <c r="N1630" s="3">
        <f>parking_demand_data_2024_ver0!M1630</f>
        <v>30</v>
      </c>
      <c r="O1630" s="3">
        <f>parking_demand_data_2024_ver0!N1630</f>
        <v>0</v>
      </c>
      <c r="P1630" s="3">
        <f>parking_demand_data_2024_ver0!O1630</f>
        <v>0</v>
      </c>
      <c r="Q1630" s="3">
        <f>parking_demand_data_2024_ver0!P1630</f>
        <v>30</v>
      </c>
      <c r="R1630" s="3">
        <f>parking_demand_data_2024_ver0!Q1630</f>
        <v>0</v>
      </c>
      <c r="S1630" s="3">
        <f>parking_demand_data_2024_ver0!R1630</f>
        <v>0</v>
      </c>
      <c r="T1630" s="3">
        <f>parking_demand_data_2024_ver0!S1630</f>
        <v>0</v>
      </c>
    </row>
    <row r="1631" spans="1:20" x14ac:dyDescent="0.25">
      <c r="A1631">
        <v>18135</v>
      </c>
      <c r="B1631" t="s">
        <v>96</v>
      </c>
      <c r="C1631">
        <v>21</v>
      </c>
      <c r="D1631" s="3">
        <f>parking_demand_data_2024_ver0!D1631*calibration!$I$31</f>
        <v>2.6680616986721599</v>
      </c>
      <c r="E1631" s="3">
        <f>parking_demand_data_2024_ver0!E1631*calibration!$I$31</f>
        <v>0.292836040098164</v>
      </c>
      <c r="F1631" s="3">
        <f t="shared" si="25"/>
        <v>2.9608977387703241</v>
      </c>
      <c r="G1631" s="3">
        <f>parking_demand_data_2024_ver0!F1631</f>
        <v>1</v>
      </c>
      <c r="H1631" s="3">
        <f>parking_demand_data_2024_ver0!G1631</f>
        <v>0</v>
      </c>
      <c r="I1631" s="3">
        <f>parking_demand_data_2024_ver0!H1631</f>
        <v>0</v>
      </c>
      <c r="J1631" s="3">
        <f>parking_demand_data_2024_ver0!I1631</f>
        <v>1</v>
      </c>
      <c r="K1631" s="3">
        <f>parking_demand_data_2024_ver0!J1631</f>
        <v>0</v>
      </c>
      <c r="L1631" s="3">
        <f>parking_demand_data_2024_ver0!K1631</f>
        <v>0</v>
      </c>
      <c r="M1631" s="3">
        <f>parking_demand_data_2024_ver0!L1631</f>
        <v>0</v>
      </c>
      <c r="N1631" s="3">
        <f>parking_demand_data_2024_ver0!M1631</f>
        <v>30</v>
      </c>
      <c r="O1631" s="3">
        <f>parking_demand_data_2024_ver0!N1631</f>
        <v>0</v>
      </c>
      <c r="P1631" s="3">
        <f>parking_demand_data_2024_ver0!O1631</f>
        <v>0</v>
      </c>
      <c r="Q1631" s="3">
        <f>parking_demand_data_2024_ver0!P1631</f>
        <v>30</v>
      </c>
      <c r="R1631" s="3">
        <f>parking_demand_data_2024_ver0!Q1631</f>
        <v>0</v>
      </c>
      <c r="S1631" s="3">
        <f>parking_demand_data_2024_ver0!R1631</f>
        <v>0</v>
      </c>
      <c r="T1631" s="3">
        <f>parking_demand_data_2024_ver0!S1631</f>
        <v>0</v>
      </c>
    </row>
    <row r="1632" spans="1:20" x14ac:dyDescent="0.25">
      <c r="A1632">
        <v>18135</v>
      </c>
      <c r="B1632" t="s">
        <v>96</v>
      </c>
      <c r="C1632">
        <v>22</v>
      </c>
      <c r="D1632" s="3">
        <f>parking_demand_data_2024_ver0!D1632*calibration!$I$31</f>
        <v>2.76567371203822</v>
      </c>
      <c r="E1632" s="3">
        <f>parking_demand_data_2024_ver0!E1632*calibration!$I$31</f>
        <v>0.292836040098164</v>
      </c>
      <c r="F1632" s="3">
        <f t="shared" si="25"/>
        <v>3.0585097521363842</v>
      </c>
      <c r="G1632" s="3">
        <f>parking_demand_data_2024_ver0!F1632</f>
        <v>1</v>
      </c>
      <c r="H1632" s="3">
        <f>parking_demand_data_2024_ver0!G1632</f>
        <v>0</v>
      </c>
      <c r="I1632" s="3">
        <f>parking_demand_data_2024_ver0!H1632</f>
        <v>0</v>
      </c>
      <c r="J1632" s="3">
        <f>parking_demand_data_2024_ver0!I1632</f>
        <v>1</v>
      </c>
      <c r="K1632" s="3">
        <f>parking_demand_data_2024_ver0!J1632</f>
        <v>0</v>
      </c>
      <c r="L1632" s="3">
        <f>parking_demand_data_2024_ver0!K1632</f>
        <v>0</v>
      </c>
      <c r="M1632" s="3">
        <f>parking_demand_data_2024_ver0!L1632</f>
        <v>0</v>
      </c>
      <c r="N1632" s="3">
        <f>parking_demand_data_2024_ver0!M1632</f>
        <v>30</v>
      </c>
      <c r="O1632" s="3">
        <f>parking_demand_data_2024_ver0!N1632</f>
        <v>0</v>
      </c>
      <c r="P1632" s="3">
        <f>parking_demand_data_2024_ver0!O1632</f>
        <v>0</v>
      </c>
      <c r="Q1632" s="3">
        <f>parking_demand_data_2024_ver0!P1632</f>
        <v>30</v>
      </c>
      <c r="R1632" s="3">
        <f>parking_demand_data_2024_ver0!Q1632</f>
        <v>0</v>
      </c>
      <c r="S1632" s="3">
        <f>parking_demand_data_2024_ver0!R1632</f>
        <v>0</v>
      </c>
      <c r="T1632" s="3">
        <f>parking_demand_data_2024_ver0!S1632</f>
        <v>0</v>
      </c>
    </row>
    <row r="1633" spans="1:20" x14ac:dyDescent="0.25">
      <c r="A1633">
        <v>18135</v>
      </c>
      <c r="B1633" t="s">
        <v>96</v>
      </c>
      <c r="C1633">
        <v>23</v>
      </c>
      <c r="D1633" s="3">
        <f>parking_demand_data_2024_ver0!D1633*calibration!$I$31</f>
        <v>2.8307483876155901</v>
      </c>
      <c r="E1633" s="3">
        <f>parking_demand_data_2024_ver0!E1633*calibration!$I$31</f>
        <v>0.292836040098164</v>
      </c>
      <c r="F1633" s="3">
        <f t="shared" si="25"/>
        <v>3.1235844277137543</v>
      </c>
      <c r="G1633" s="3">
        <f>parking_demand_data_2024_ver0!F1633</f>
        <v>1</v>
      </c>
      <c r="H1633" s="3">
        <f>parking_demand_data_2024_ver0!G1633</f>
        <v>0</v>
      </c>
      <c r="I1633" s="3">
        <f>parking_demand_data_2024_ver0!H1633</f>
        <v>0</v>
      </c>
      <c r="J1633" s="3">
        <f>parking_demand_data_2024_ver0!I1633</f>
        <v>1</v>
      </c>
      <c r="K1633" s="3">
        <f>parking_demand_data_2024_ver0!J1633</f>
        <v>0</v>
      </c>
      <c r="L1633" s="3">
        <f>parking_demand_data_2024_ver0!K1633</f>
        <v>0</v>
      </c>
      <c r="M1633" s="3">
        <f>parking_demand_data_2024_ver0!L1633</f>
        <v>0</v>
      </c>
      <c r="N1633" s="3">
        <f>parking_demand_data_2024_ver0!M1633</f>
        <v>30</v>
      </c>
      <c r="O1633" s="3">
        <f>parking_demand_data_2024_ver0!N1633</f>
        <v>0</v>
      </c>
      <c r="P1633" s="3">
        <f>parking_demand_data_2024_ver0!O1633</f>
        <v>0</v>
      </c>
      <c r="Q1633" s="3">
        <f>parking_demand_data_2024_ver0!P1633</f>
        <v>30</v>
      </c>
      <c r="R1633" s="3">
        <f>parking_demand_data_2024_ver0!Q1633</f>
        <v>0</v>
      </c>
      <c r="S1633" s="3">
        <f>parking_demand_data_2024_ver0!R1633</f>
        <v>0</v>
      </c>
      <c r="T1633" s="3">
        <f>parking_demand_data_2024_ver0!S1633</f>
        <v>0</v>
      </c>
    </row>
    <row r="1634" spans="1:20" x14ac:dyDescent="0.25">
      <c r="A1634">
        <v>18137</v>
      </c>
      <c r="B1634" t="s">
        <v>97</v>
      </c>
      <c r="C1634">
        <v>0</v>
      </c>
      <c r="D1634" s="3">
        <f>parking_demand_data_2024_ver0!D1634*calibration!$I$31</f>
        <v>44.521548575602601</v>
      </c>
      <c r="E1634" s="3">
        <f>parking_demand_data_2024_ver0!E1634*calibration!$I$31</f>
        <v>2.9233016800584299</v>
      </c>
      <c r="F1634" s="3">
        <f t="shared" si="25"/>
        <v>47.444850255661031</v>
      </c>
      <c r="G1634" s="3">
        <f>parking_demand_data_2024_ver0!F1634</f>
        <v>1</v>
      </c>
      <c r="H1634" s="3">
        <f>parking_demand_data_2024_ver0!G1634</f>
        <v>0</v>
      </c>
      <c r="I1634" s="3">
        <f>parking_demand_data_2024_ver0!H1634</f>
        <v>0</v>
      </c>
      <c r="J1634" s="3">
        <f>parking_demand_data_2024_ver0!I1634</f>
        <v>0</v>
      </c>
      <c r="K1634" s="3">
        <f>parking_demand_data_2024_ver0!J1634</f>
        <v>0</v>
      </c>
      <c r="L1634" s="3">
        <f>parking_demand_data_2024_ver0!K1634</f>
        <v>0</v>
      </c>
      <c r="M1634" s="3">
        <f>parking_demand_data_2024_ver0!L1634</f>
        <v>1</v>
      </c>
      <c r="N1634" s="3">
        <f>parking_demand_data_2024_ver0!M1634</f>
        <v>40</v>
      </c>
      <c r="O1634" s="3">
        <f>parking_demand_data_2024_ver0!N1634</f>
        <v>0</v>
      </c>
      <c r="P1634" s="3">
        <f>parking_demand_data_2024_ver0!O1634</f>
        <v>0</v>
      </c>
      <c r="Q1634" s="3">
        <f>parking_demand_data_2024_ver0!P1634</f>
        <v>0</v>
      </c>
      <c r="R1634" s="3">
        <f>parking_demand_data_2024_ver0!Q1634</f>
        <v>0</v>
      </c>
      <c r="S1634" s="3">
        <f>parking_demand_data_2024_ver0!R1634</f>
        <v>0</v>
      </c>
      <c r="T1634" s="3">
        <f>parking_demand_data_2024_ver0!S1634</f>
        <v>40</v>
      </c>
    </row>
    <row r="1635" spans="1:20" x14ac:dyDescent="0.25">
      <c r="A1635">
        <v>18137</v>
      </c>
      <c r="B1635" t="s">
        <v>97</v>
      </c>
      <c r="C1635">
        <v>1</v>
      </c>
      <c r="D1635" s="3">
        <f>parking_demand_data_2024_ver0!D1635*calibration!$I$31</f>
        <v>45.227173119065</v>
      </c>
      <c r="E1635" s="3">
        <f>parking_demand_data_2024_ver0!E1635*calibration!$I$31</f>
        <v>3.7297297297297201</v>
      </c>
      <c r="F1635" s="3">
        <f t="shared" si="25"/>
        <v>48.956902848794719</v>
      </c>
      <c r="G1635" s="3">
        <f>parking_demand_data_2024_ver0!F1635</f>
        <v>1</v>
      </c>
      <c r="H1635" s="3">
        <f>parking_demand_data_2024_ver0!G1635</f>
        <v>0</v>
      </c>
      <c r="I1635" s="3">
        <f>parking_demand_data_2024_ver0!H1635</f>
        <v>0</v>
      </c>
      <c r="J1635" s="3">
        <f>parking_demand_data_2024_ver0!I1635</f>
        <v>0</v>
      </c>
      <c r="K1635" s="3">
        <f>parking_demand_data_2024_ver0!J1635</f>
        <v>0</v>
      </c>
      <c r="L1635" s="3">
        <f>parking_demand_data_2024_ver0!K1635</f>
        <v>0</v>
      </c>
      <c r="M1635" s="3">
        <f>parking_demand_data_2024_ver0!L1635</f>
        <v>1</v>
      </c>
      <c r="N1635" s="3">
        <f>parking_demand_data_2024_ver0!M1635</f>
        <v>40</v>
      </c>
      <c r="O1635" s="3">
        <f>parking_demand_data_2024_ver0!N1635</f>
        <v>0</v>
      </c>
      <c r="P1635" s="3">
        <f>parking_demand_data_2024_ver0!O1635</f>
        <v>0</v>
      </c>
      <c r="Q1635" s="3">
        <f>parking_demand_data_2024_ver0!P1635</f>
        <v>0</v>
      </c>
      <c r="R1635" s="3">
        <f>parking_demand_data_2024_ver0!Q1635</f>
        <v>0</v>
      </c>
      <c r="S1635" s="3">
        <f>parking_demand_data_2024_ver0!R1635</f>
        <v>0</v>
      </c>
      <c r="T1635" s="3">
        <f>parking_demand_data_2024_ver0!S1635</f>
        <v>40</v>
      </c>
    </row>
    <row r="1636" spans="1:20" x14ac:dyDescent="0.25">
      <c r="A1636">
        <v>18137</v>
      </c>
      <c r="B1636" t="s">
        <v>97</v>
      </c>
      <c r="C1636">
        <v>2</v>
      </c>
      <c r="D1636" s="3">
        <f>parking_demand_data_2024_ver0!D1636*calibration!$I$31</f>
        <v>46</v>
      </c>
      <c r="E1636" s="3">
        <f>parking_demand_data_2024_ver0!E1636*calibration!$I$31</f>
        <v>4.2337472607742797</v>
      </c>
      <c r="F1636" s="3">
        <f t="shared" si="25"/>
        <v>50.23374726077428</v>
      </c>
      <c r="G1636" s="3">
        <f>parking_demand_data_2024_ver0!F1636</f>
        <v>1</v>
      </c>
      <c r="H1636" s="3">
        <f>parking_demand_data_2024_ver0!G1636</f>
        <v>0</v>
      </c>
      <c r="I1636" s="3">
        <f>parking_demand_data_2024_ver0!H1636</f>
        <v>0</v>
      </c>
      <c r="J1636" s="3">
        <f>parking_demand_data_2024_ver0!I1636</f>
        <v>0</v>
      </c>
      <c r="K1636" s="3">
        <f>parking_demand_data_2024_ver0!J1636</f>
        <v>0</v>
      </c>
      <c r="L1636" s="3">
        <f>parking_demand_data_2024_ver0!K1636</f>
        <v>0</v>
      </c>
      <c r="M1636" s="3">
        <f>parking_demand_data_2024_ver0!L1636</f>
        <v>1</v>
      </c>
      <c r="N1636" s="3">
        <f>parking_demand_data_2024_ver0!M1636</f>
        <v>40</v>
      </c>
      <c r="O1636" s="3">
        <f>parking_demand_data_2024_ver0!N1636</f>
        <v>0</v>
      </c>
      <c r="P1636" s="3">
        <f>parking_demand_data_2024_ver0!O1636</f>
        <v>0</v>
      </c>
      <c r="Q1636" s="3">
        <f>parking_demand_data_2024_ver0!P1636</f>
        <v>0</v>
      </c>
      <c r="R1636" s="3">
        <f>parking_demand_data_2024_ver0!Q1636</f>
        <v>0</v>
      </c>
      <c r="S1636" s="3">
        <f>parking_demand_data_2024_ver0!R1636</f>
        <v>0</v>
      </c>
      <c r="T1636" s="3">
        <f>parking_demand_data_2024_ver0!S1636</f>
        <v>40</v>
      </c>
    </row>
    <row r="1637" spans="1:20" x14ac:dyDescent="0.25">
      <c r="A1637">
        <v>18137</v>
      </c>
      <c r="B1637" t="s">
        <v>97</v>
      </c>
      <c r="C1637">
        <v>3</v>
      </c>
      <c r="D1637" s="3">
        <f>parking_demand_data_2024_ver0!D1637*calibration!$I$31</f>
        <v>45.663988312636903</v>
      </c>
      <c r="E1637" s="3">
        <f>parking_demand_data_2024_ver0!E1637*calibration!$I$31</f>
        <v>4.56975894813732</v>
      </c>
      <c r="F1637" s="3">
        <f t="shared" si="25"/>
        <v>50.233747260774223</v>
      </c>
      <c r="G1637" s="3">
        <f>parking_demand_data_2024_ver0!F1637</f>
        <v>1</v>
      </c>
      <c r="H1637" s="3">
        <f>parking_demand_data_2024_ver0!G1637</f>
        <v>0</v>
      </c>
      <c r="I1637" s="3">
        <f>parking_demand_data_2024_ver0!H1637</f>
        <v>0</v>
      </c>
      <c r="J1637" s="3">
        <f>parking_demand_data_2024_ver0!I1637</f>
        <v>0</v>
      </c>
      <c r="K1637" s="3">
        <f>parking_demand_data_2024_ver0!J1637</f>
        <v>0</v>
      </c>
      <c r="L1637" s="3">
        <f>parking_demand_data_2024_ver0!K1637</f>
        <v>0</v>
      </c>
      <c r="M1637" s="3">
        <f>parking_demand_data_2024_ver0!L1637</f>
        <v>1</v>
      </c>
      <c r="N1637" s="3">
        <f>parking_demand_data_2024_ver0!M1637</f>
        <v>40</v>
      </c>
      <c r="O1637" s="3">
        <f>parking_demand_data_2024_ver0!N1637</f>
        <v>0</v>
      </c>
      <c r="P1637" s="3">
        <f>parking_demand_data_2024_ver0!O1637</f>
        <v>0</v>
      </c>
      <c r="Q1637" s="3">
        <f>parking_demand_data_2024_ver0!P1637</f>
        <v>0</v>
      </c>
      <c r="R1637" s="3">
        <f>parking_demand_data_2024_ver0!Q1637</f>
        <v>0</v>
      </c>
      <c r="S1637" s="3">
        <f>parking_demand_data_2024_ver0!R1637</f>
        <v>0</v>
      </c>
      <c r="T1637" s="3">
        <f>parking_demand_data_2024_ver0!S1637</f>
        <v>40</v>
      </c>
    </row>
    <row r="1638" spans="1:20" x14ac:dyDescent="0.25">
      <c r="A1638">
        <v>18137</v>
      </c>
      <c r="B1638" t="s">
        <v>97</v>
      </c>
      <c r="C1638">
        <v>4</v>
      </c>
      <c r="D1638" s="3">
        <f>parking_demand_data_2024_ver0!D1638*calibration!$I$31</f>
        <v>44.487947406866297</v>
      </c>
      <c r="E1638" s="3">
        <f>parking_demand_data_2024_ver0!E1638*calibration!$I$31</f>
        <v>4.4017531044557998</v>
      </c>
      <c r="F1638" s="3">
        <f t="shared" si="25"/>
        <v>48.889700511322097</v>
      </c>
      <c r="G1638" s="3">
        <f>parking_demand_data_2024_ver0!F1638</f>
        <v>1</v>
      </c>
      <c r="H1638" s="3">
        <f>parking_demand_data_2024_ver0!G1638</f>
        <v>0</v>
      </c>
      <c r="I1638" s="3">
        <f>parking_demand_data_2024_ver0!H1638</f>
        <v>0</v>
      </c>
      <c r="J1638" s="3">
        <f>parking_demand_data_2024_ver0!I1638</f>
        <v>0</v>
      </c>
      <c r="K1638" s="3">
        <f>parking_demand_data_2024_ver0!J1638</f>
        <v>0</v>
      </c>
      <c r="L1638" s="3">
        <f>parking_demand_data_2024_ver0!K1638</f>
        <v>0</v>
      </c>
      <c r="M1638" s="3">
        <f>parking_demand_data_2024_ver0!L1638</f>
        <v>1</v>
      </c>
      <c r="N1638" s="3">
        <f>parking_demand_data_2024_ver0!M1638</f>
        <v>40</v>
      </c>
      <c r="O1638" s="3">
        <f>parking_demand_data_2024_ver0!N1638</f>
        <v>0</v>
      </c>
      <c r="P1638" s="3">
        <f>parking_demand_data_2024_ver0!O1638</f>
        <v>0</v>
      </c>
      <c r="Q1638" s="3">
        <f>parking_demand_data_2024_ver0!P1638</f>
        <v>0</v>
      </c>
      <c r="R1638" s="3">
        <f>parking_demand_data_2024_ver0!Q1638</f>
        <v>0</v>
      </c>
      <c r="S1638" s="3">
        <f>parking_demand_data_2024_ver0!R1638</f>
        <v>0</v>
      </c>
      <c r="T1638" s="3">
        <f>parking_demand_data_2024_ver0!S1638</f>
        <v>40</v>
      </c>
    </row>
    <row r="1639" spans="1:20" x14ac:dyDescent="0.25">
      <c r="A1639">
        <v>18137</v>
      </c>
      <c r="B1639" t="s">
        <v>97</v>
      </c>
      <c r="C1639">
        <v>5</v>
      </c>
      <c r="D1639" s="3">
        <f>parking_demand_data_2024_ver0!D1639*calibration!$I$31</f>
        <v>43.883126369612803</v>
      </c>
      <c r="E1639" s="3">
        <f>parking_demand_data_2024_ver0!E1639*calibration!$I$31</f>
        <v>4.8385682980277496</v>
      </c>
      <c r="F1639" s="3">
        <f t="shared" si="25"/>
        <v>48.721694667640556</v>
      </c>
      <c r="G1639" s="3">
        <f>parking_demand_data_2024_ver0!F1639</f>
        <v>1</v>
      </c>
      <c r="H1639" s="3">
        <f>parking_demand_data_2024_ver0!G1639</f>
        <v>0</v>
      </c>
      <c r="I1639" s="3">
        <f>parking_demand_data_2024_ver0!H1639</f>
        <v>0</v>
      </c>
      <c r="J1639" s="3">
        <f>parking_demand_data_2024_ver0!I1639</f>
        <v>0</v>
      </c>
      <c r="K1639" s="3">
        <f>parking_demand_data_2024_ver0!J1639</f>
        <v>0</v>
      </c>
      <c r="L1639" s="3">
        <f>parking_demand_data_2024_ver0!K1639</f>
        <v>0</v>
      </c>
      <c r="M1639" s="3">
        <f>parking_demand_data_2024_ver0!L1639</f>
        <v>1</v>
      </c>
      <c r="N1639" s="3">
        <f>parking_demand_data_2024_ver0!M1639</f>
        <v>40</v>
      </c>
      <c r="O1639" s="3">
        <f>parking_demand_data_2024_ver0!N1639</f>
        <v>0</v>
      </c>
      <c r="P1639" s="3">
        <f>parking_demand_data_2024_ver0!O1639</f>
        <v>0</v>
      </c>
      <c r="Q1639" s="3">
        <f>parking_demand_data_2024_ver0!P1639</f>
        <v>0</v>
      </c>
      <c r="R1639" s="3">
        <f>parking_demand_data_2024_ver0!Q1639</f>
        <v>0</v>
      </c>
      <c r="S1639" s="3">
        <f>parking_demand_data_2024_ver0!R1639</f>
        <v>0</v>
      </c>
      <c r="T1639" s="3">
        <f>parking_demand_data_2024_ver0!S1639</f>
        <v>40</v>
      </c>
    </row>
    <row r="1640" spans="1:20" x14ac:dyDescent="0.25">
      <c r="A1640">
        <v>18137</v>
      </c>
      <c r="B1640" t="s">
        <v>97</v>
      </c>
      <c r="C1640">
        <v>6</v>
      </c>
      <c r="D1640" s="3">
        <f>parking_demand_data_2024_ver0!D1640*calibration!$I$31</f>
        <v>40.623813002191298</v>
      </c>
      <c r="E1640" s="3">
        <f>parking_demand_data_2024_ver0!E1640*calibration!$I$31</f>
        <v>5.6113951789627396</v>
      </c>
      <c r="F1640" s="3">
        <f t="shared" si="25"/>
        <v>46.235208181154036</v>
      </c>
      <c r="G1640" s="3">
        <f>parking_demand_data_2024_ver0!F1640</f>
        <v>1</v>
      </c>
      <c r="H1640" s="3">
        <f>parking_demand_data_2024_ver0!G1640</f>
        <v>0</v>
      </c>
      <c r="I1640" s="3">
        <f>parking_demand_data_2024_ver0!H1640</f>
        <v>0</v>
      </c>
      <c r="J1640" s="3">
        <f>parking_demand_data_2024_ver0!I1640</f>
        <v>0</v>
      </c>
      <c r="K1640" s="3">
        <f>parking_demand_data_2024_ver0!J1640</f>
        <v>0</v>
      </c>
      <c r="L1640" s="3">
        <f>parking_demand_data_2024_ver0!K1640</f>
        <v>0</v>
      </c>
      <c r="M1640" s="3">
        <f>parking_demand_data_2024_ver0!L1640</f>
        <v>1</v>
      </c>
      <c r="N1640" s="3">
        <f>parking_demand_data_2024_ver0!M1640</f>
        <v>40</v>
      </c>
      <c r="O1640" s="3">
        <f>parking_demand_data_2024_ver0!N1640</f>
        <v>0</v>
      </c>
      <c r="P1640" s="3">
        <f>parking_demand_data_2024_ver0!O1640</f>
        <v>0</v>
      </c>
      <c r="Q1640" s="3">
        <f>parking_demand_data_2024_ver0!P1640</f>
        <v>0</v>
      </c>
      <c r="R1640" s="3">
        <f>parking_demand_data_2024_ver0!Q1640</f>
        <v>0</v>
      </c>
      <c r="S1640" s="3">
        <f>parking_demand_data_2024_ver0!R1640</f>
        <v>0</v>
      </c>
      <c r="T1640" s="3">
        <f>parking_demand_data_2024_ver0!S1640</f>
        <v>40</v>
      </c>
    </row>
    <row r="1641" spans="1:20" x14ac:dyDescent="0.25">
      <c r="A1641">
        <v>18137</v>
      </c>
      <c r="B1641" t="s">
        <v>97</v>
      </c>
      <c r="C1641">
        <v>7</v>
      </c>
      <c r="D1641" s="3">
        <f>parking_demand_data_2024_ver0!D1641*calibration!$I$31</f>
        <v>36.1212563915266</v>
      </c>
      <c r="E1641" s="3">
        <f>parking_demand_data_2024_ver0!E1641*calibration!$I$31</f>
        <v>6.9890430971511996</v>
      </c>
      <c r="F1641" s="3">
        <f t="shared" si="25"/>
        <v>43.110299488677796</v>
      </c>
      <c r="G1641" s="3">
        <f>parking_demand_data_2024_ver0!F1641</f>
        <v>1</v>
      </c>
      <c r="H1641" s="3">
        <f>parking_demand_data_2024_ver0!G1641</f>
        <v>0</v>
      </c>
      <c r="I1641" s="3">
        <f>parking_demand_data_2024_ver0!H1641</f>
        <v>0</v>
      </c>
      <c r="J1641" s="3">
        <f>parking_demand_data_2024_ver0!I1641</f>
        <v>0</v>
      </c>
      <c r="K1641" s="3">
        <f>parking_demand_data_2024_ver0!J1641</f>
        <v>0</v>
      </c>
      <c r="L1641" s="3">
        <f>parking_demand_data_2024_ver0!K1641</f>
        <v>0</v>
      </c>
      <c r="M1641" s="3">
        <f>parking_demand_data_2024_ver0!L1641</f>
        <v>1</v>
      </c>
      <c r="N1641" s="3">
        <f>parking_demand_data_2024_ver0!M1641</f>
        <v>40</v>
      </c>
      <c r="O1641" s="3">
        <f>parking_demand_data_2024_ver0!N1641</f>
        <v>0</v>
      </c>
      <c r="P1641" s="3">
        <f>parking_demand_data_2024_ver0!O1641</f>
        <v>0</v>
      </c>
      <c r="Q1641" s="3">
        <f>parking_demand_data_2024_ver0!P1641</f>
        <v>0</v>
      </c>
      <c r="R1641" s="3">
        <f>parking_demand_data_2024_ver0!Q1641</f>
        <v>0</v>
      </c>
      <c r="S1641" s="3">
        <f>parking_demand_data_2024_ver0!R1641</f>
        <v>0</v>
      </c>
      <c r="T1641" s="3">
        <f>parking_demand_data_2024_ver0!S1641</f>
        <v>40</v>
      </c>
    </row>
    <row r="1642" spans="1:20" x14ac:dyDescent="0.25">
      <c r="A1642">
        <v>18137</v>
      </c>
      <c r="B1642" t="s">
        <v>97</v>
      </c>
      <c r="C1642">
        <v>8</v>
      </c>
      <c r="D1642" s="3">
        <f>parking_demand_data_2024_ver0!D1642*calibration!$I$31</f>
        <v>28.728999269539798</v>
      </c>
      <c r="E1642" s="3">
        <f>parking_demand_data_2024_ver0!E1642*calibration!$I$31</f>
        <v>5.94740686632578</v>
      </c>
      <c r="F1642" s="3">
        <f t="shared" si="25"/>
        <v>34.676406135865577</v>
      </c>
      <c r="G1642" s="3">
        <f>parking_demand_data_2024_ver0!F1642</f>
        <v>1</v>
      </c>
      <c r="H1642" s="3">
        <f>parking_demand_data_2024_ver0!G1642</f>
        <v>0</v>
      </c>
      <c r="I1642" s="3">
        <f>parking_demand_data_2024_ver0!H1642</f>
        <v>0</v>
      </c>
      <c r="J1642" s="3">
        <f>parking_demand_data_2024_ver0!I1642</f>
        <v>0</v>
      </c>
      <c r="K1642" s="3">
        <f>parking_demand_data_2024_ver0!J1642</f>
        <v>0</v>
      </c>
      <c r="L1642" s="3">
        <f>parking_demand_data_2024_ver0!K1642</f>
        <v>0</v>
      </c>
      <c r="M1642" s="3">
        <f>parking_demand_data_2024_ver0!L1642</f>
        <v>1</v>
      </c>
      <c r="N1642" s="3">
        <f>parking_demand_data_2024_ver0!M1642</f>
        <v>40</v>
      </c>
      <c r="O1642" s="3">
        <f>parking_demand_data_2024_ver0!N1642</f>
        <v>0</v>
      </c>
      <c r="P1642" s="3">
        <f>parking_demand_data_2024_ver0!O1642</f>
        <v>0</v>
      </c>
      <c r="Q1642" s="3">
        <f>parking_demand_data_2024_ver0!P1642</f>
        <v>0</v>
      </c>
      <c r="R1642" s="3">
        <f>parking_demand_data_2024_ver0!Q1642</f>
        <v>0</v>
      </c>
      <c r="S1642" s="3">
        <f>parking_demand_data_2024_ver0!R1642</f>
        <v>0</v>
      </c>
      <c r="T1642" s="3">
        <f>parking_demand_data_2024_ver0!S1642</f>
        <v>40</v>
      </c>
    </row>
    <row r="1643" spans="1:20" x14ac:dyDescent="0.25">
      <c r="A1643">
        <v>18137</v>
      </c>
      <c r="B1643" t="s">
        <v>97</v>
      </c>
      <c r="C1643">
        <v>9</v>
      </c>
      <c r="D1643" s="3">
        <f>parking_demand_data_2024_ver0!D1643*calibration!$I$31</f>
        <v>23.218407596785902</v>
      </c>
      <c r="E1643" s="3">
        <f>parking_demand_data_2024_ver0!E1643*calibration!$I$31</f>
        <v>3.8305332359386401</v>
      </c>
      <c r="F1643" s="3">
        <f t="shared" si="25"/>
        <v>27.04894083272454</v>
      </c>
      <c r="G1643" s="3">
        <f>parking_demand_data_2024_ver0!F1643</f>
        <v>1</v>
      </c>
      <c r="H1643" s="3">
        <f>parking_demand_data_2024_ver0!G1643</f>
        <v>0</v>
      </c>
      <c r="I1643" s="3">
        <f>parking_demand_data_2024_ver0!H1643</f>
        <v>0</v>
      </c>
      <c r="J1643" s="3">
        <f>parking_demand_data_2024_ver0!I1643</f>
        <v>0</v>
      </c>
      <c r="K1643" s="3">
        <f>parking_demand_data_2024_ver0!J1643</f>
        <v>0</v>
      </c>
      <c r="L1643" s="3">
        <f>parking_demand_data_2024_ver0!K1643</f>
        <v>0</v>
      </c>
      <c r="M1643" s="3">
        <f>parking_demand_data_2024_ver0!L1643</f>
        <v>1</v>
      </c>
      <c r="N1643" s="3">
        <f>parking_demand_data_2024_ver0!M1643</f>
        <v>40</v>
      </c>
      <c r="O1643" s="3">
        <f>parking_demand_data_2024_ver0!N1643</f>
        <v>0</v>
      </c>
      <c r="P1643" s="3">
        <f>parking_demand_data_2024_ver0!O1643</f>
        <v>0</v>
      </c>
      <c r="Q1643" s="3">
        <f>parking_demand_data_2024_ver0!P1643</f>
        <v>0</v>
      </c>
      <c r="R1643" s="3">
        <f>parking_demand_data_2024_ver0!Q1643</f>
        <v>0</v>
      </c>
      <c r="S1643" s="3">
        <f>parking_demand_data_2024_ver0!R1643</f>
        <v>0</v>
      </c>
      <c r="T1643" s="3">
        <f>parking_demand_data_2024_ver0!S1643</f>
        <v>40</v>
      </c>
    </row>
    <row r="1644" spans="1:20" x14ac:dyDescent="0.25">
      <c r="A1644">
        <v>18137</v>
      </c>
      <c r="B1644" t="s">
        <v>97</v>
      </c>
      <c r="C1644">
        <v>10</v>
      </c>
      <c r="D1644" s="3">
        <f>parking_demand_data_2024_ver0!D1644*calibration!$I$31</f>
        <v>18.7158509861212</v>
      </c>
      <c r="E1644" s="3">
        <f>parking_demand_data_2024_ver0!E1644*calibration!$I$31</f>
        <v>2.4528853177501801</v>
      </c>
      <c r="F1644" s="3">
        <f t="shared" si="25"/>
        <v>21.16873630387138</v>
      </c>
      <c r="G1644" s="3">
        <f>parking_demand_data_2024_ver0!F1644</f>
        <v>1</v>
      </c>
      <c r="H1644" s="3">
        <f>parking_demand_data_2024_ver0!G1644</f>
        <v>0</v>
      </c>
      <c r="I1644" s="3">
        <f>parking_demand_data_2024_ver0!H1644</f>
        <v>0</v>
      </c>
      <c r="J1644" s="3">
        <f>parking_demand_data_2024_ver0!I1644</f>
        <v>0</v>
      </c>
      <c r="K1644" s="3">
        <f>parking_demand_data_2024_ver0!J1644</f>
        <v>0</v>
      </c>
      <c r="L1644" s="3">
        <f>parking_demand_data_2024_ver0!K1644</f>
        <v>0</v>
      </c>
      <c r="M1644" s="3">
        <f>parking_demand_data_2024_ver0!L1644</f>
        <v>1</v>
      </c>
      <c r="N1644" s="3">
        <f>parking_demand_data_2024_ver0!M1644</f>
        <v>40</v>
      </c>
      <c r="O1644" s="3">
        <f>parking_demand_data_2024_ver0!N1644</f>
        <v>0</v>
      </c>
      <c r="P1644" s="3">
        <f>parking_demand_data_2024_ver0!O1644</f>
        <v>0</v>
      </c>
      <c r="Q1644" s="3">
        <f>parking_demand_data_2024_ver0!P1644</f>
        <v>0</v>
      </c>
      <c r="R1644" s="3">
        <f>parking_demand_data_2024_ver0!Q1644</f>
        <v>0</v>
      </c>
      <c r="S1644" s="3">
        <f>parking_demand_data_2024_ver0!R1644</f>
        <v>0</v>
      </c>
      <c r="T1644" s="3">
        <f>parking_demand_data_2024_ver0!S1644</f>
        <v>40</v>
      </c>
    </row>
    <row r="1645" spans="1:20" x14ac:dyDescent="0.25">
      <c r="A1645">
        <v>18137</v>
      </c>
      <c r="B1645" t="s">
        <v>97</v>
      </c>
      <c r="C1645">
        <v>11</v>
      </c>
      <c r="D1645" s="3">
        <f>parking_demand_data_2024_ver0!D1645*calibration!$I$31</f>
        <v>17.237399561723802</v>
      </c>
      <c r="E1645" s="3">
        <f>parking_demand_data_2024_ver0!E1645*calibration!$I$31</f>
        <v>2.1840759678597501</v>
      </c>
      <c r="F1645" s="3">
        <f t="shared" si="25"/>
        <v>19.421475529583553</v>
      </c>
      <c r="G1645" s="3">
        <f>parking_demand_data_2024_ver0!F1645</f>
        <v>1</v>
      </c>
      <c r="H1645" s="3">
        <f>parking_demand_data_2024_ver0!G1645</f>
        <v>0</v>
      </c>
      <c r="I1645" s="3">
        <f>parking_demand_data_2024_ver0!H1645</f>
        <v>0</v>
      </c>
      <c r="J1645" s="3">
        <f>parking_demand_data_2024_ver0!I1645</f>
        <v>0</v>
      </c>
      <c r="K1645" s="3">
        <f>parking_demand_data_2024_ver0!J1645</f>
        <v>0</v>
      </c>
      <c r="L1645" s="3">
        <f>parking_demand_data_2024_ver0!K1645</f>
        <v>0</v>
      </c>
      <c r="M1645" s="3">
        <f>parking_demand_data_2024_ver0!L1645</f>
        <v>1</v>
      </c>
      <c r="N1645" s="3">
        <f>parking_demand_data_2024_ver0!M1645</f>
        <v>40</v>
      </c>
      <c r="O1645" s="3">
        <f>parking_demand_data_2024_ver0!N1645</f>
        <v>0</v>
      </c>
      <c r="P1645" s="3">
        <f>parking_demand_data_2024_ver0!O1645</f>
        <v>0</v>
      </c>
      <c r="Q1645" s="3">
        <f>parking_demand_data_2024_ver0!P1645</f>
        <v>0</v>
      </c>
      <c r="R1645" s="3">
        <f>parking_demand_data_2024_ver0!Q1645</f>
        <v>0</v>
      </c>
      <c r="S1645" s="3">
        <f>parking_demand_data_2024_ver0!R1645</f>
        <v>0</v>
      </c>
      <c r="T1645" s="3">
        <f>parking_demand_data_2024_ver0!S1645</f>
        <v>40</v>
      </c>
    </row>
    <row r="1646" spans="1:20" x14ac:dyDescent="0.25">
      <c r="A1646">
        <v>18137</v>
      </c>
      <c r="B1646" t="s">
        <v>97</v>
      </c>
      <c r="C1646">
        <v>12</v>
      </c>
      <c r="D1646" s="3">
        <f>parking_demand_data_2024_ver0!D1646*calibration!$I$31</f>
        <v>18.615047479912299</v>
      </c>
      <c r="E1646" s="3">
        <f>parking_demand_data_2024_ver0!E1646*calibration!$I$31</f>
        <v>1.7136596055514901</v>
      </c>
      <c r="F1646" s="3">
        <f t="shared" si="25"/>
        <v>20.32870708546379</v>
      </c>
      <c r="G1646" s="3">
        <f>parking_demand_data_2024_ver0!F1646</f>
        <v>1</v>
      </c>
      <c r="H1646" s="3">
        <f>parking_demand_data_2024_ver0!G1646</f>
        <v>0</v>
      </c>
      <c r="I1646" s="3">
        <f>parking_demand_data_2024_ver0!H1646</f>
        <v>0</v>
      </c>
      <c r="J1646" s="3">
        <f>parking_demand_data_2024_ver0!I1646</f>
        <v>0</v>
      </c>
      <c r="K1646" s="3">
        <f>parking_demand_data_2024_ver0!J1646</f>
        <v>0</v>
      </c>
      <c r="L1646" s="3">
        <f>parking_demand_data_2024_ver0!K1646</f>
        <v>0</v>
      </c>
      <c r="M1646" s="3">
        <f>parking_demand_data_2024_ver0!L1646</f>
        <v>1</v>
      </c>
      <c r="N1646" s="3">
        <f>parking_demand_data_2024_ver0!M1646</f>
        <v>40</v>
      </c>
      <c r="O1646" s="3">
        <f>parking_demand_data_2024_ver0!N1646</f>
        <v>0</v>
      </c>
      <c r="P1646" s="3">
        <f>parking_demand_data_2024_ver0!O1646</f>
        <v>0</v>
      </c>
      <c r="Q1646" s="3">
        <f>parking_demand_data_2024_ver0!P1646</f>
        <v>0</v>
      </c>
      <c r="R1646" s="3">
        <f>parking_demand_data_2024_ver0!Q1646</f>
        <v>0</v>
      </c>
      <c r="S1646" s="3">
        <f>parking_demand_data_2024_ver0!R1646</f>
        <v>0</v>
      </c>
      <c r="T1646" s="3">
        <f>parking_demand_data_2024_ver0!S1646</f>
        <v>40</v>
      </c>
    </row>
    <row r="1647" spans="1:20" x14ac:dyDescent="0.25">
      <c r="A1647">
        <v>18137</v>
      </c>
      <c r="B1647" t="s">
        <v>97</v>
      </c>
      <c r="C1647">
        <v>13</v>
      </c>
      <c r="D1647" s="3">
        <f>parking_demand_data_2024_ver0!D1647*calibration!$I$31</f>
        <v>17.472607742878001</v>
      </c>
      <c r="E1647" s="3">
        <f>parking_demand_data_2024_ver0!E1647*calibration!$I$31</f>
        <v>2.3856829802775699</v>
      </c>
      <c r="F1647" s="3">
        <f t="shared" si="25"/>
        <v>19.858290723155569</v>
      </c>
      <c r="G1647" s="3">
        <f>parking_demand_data_2024_ver0!F1647</f>
        <v>1</v>
      </c>
      <c r="H1647" s="3">
        <f>parking_demand_data_2024_ver0!G1647</f>
        <v>0</v>
      </c>
      <c r="I1647" s="3">
        <f>parking_demand_data_2024_ver0!H1647</f>
        <v>0</v>
      </c>
      <c r="J1647" s="3">
        <f>parking_demand_data_2024_ver0!I1647</f>
        <v>0</v>
      </c>
      <c r="K1647" s="3">
        <f>parking_demand_data_2024_ver0!J1647</f>
        <v>0</v>
      </c>
      <c r="L1647" s="3">
        <f>parking_demand_data_2024_ver0!K1647</f>
        <v>0</v>
      </c>
      <c r="M1647" s="3">
        <f>parking_demand_data_2024_ver0!L1647</f>
        <v>1</v>
      </c>
      <c r="N1647" s="3">
        <f>parking_demand_data_2024_ver0!M1647</f>
        <v>40</v>
      </c>
      <c r="O1647" s="3">
        <f>parking_demand_data_2024_ver0!N1647</f>
        <v>0</v>
      </c>
      <c r="P1647" s="3">
        <f>parking_demand_data_2024_ver0!O1647</f>
        <v>0</v>
      </c>
      <c r="Q1647" s="3">
        <f>parking_demand_data_2024_ver0!P1647</f>
        <v>0</v>
      </c>
      <c r="R1647" s="3">
        <f>parking_demand_data_2024_ver0!Q1647</f>
        <v>0</v>
      </c>
      <c r="S1647" s="3">
        <f>parking_demand_data_2024_ver0!R1647</f>
        <v>0</v>
      </c>
      <c r="T1647" s="3">
        <f>parking_demand_data_2024_ver0!S1647</f>
        <v>40</v>
      </c>
    </row>
    <row r="1648" spans="1:20" x14ac:dyDescent="0.25">
      <c r="A1648">
        <v>18137</v>
      </c>
      <c r="B1648" t="s">
        <v>97</v>
      </c>
      <c r="C1648">
        <v>14</v>
      </c>
      <c r="D1648" s="3">
        <f>parking_demand_data_2024_ver0!D1648*calibration!$I$31</f>
        <v>16.0613586559532</v>
      </c>
      <c r="E1648" s="3">
        <f>parking_demand_data_2024_ver0!E1648*calibration!$I$31</f>
        <v>2.0160701241782299</v>
      </c>
      <c r="F1648" s="3">
        <f t="shared" si="25"/>
        <v>18.077428780131431</v>
      </c>
      <c r="G1648" s="3">
        <f>parking_demand_data_2024_ver0!F1648</f>
        <v>1</v>
      </c>
      <c r="H1648" s="3">
        <f>parking_demand_data_2024_ver0!G1648</f>
        <v>0</v>
      </c>
      <c r="I1648" s="3">
        <f>parking_demand_data_2024_ver0!H1648</f>
        <v>0</v>
      </c>
      <c r="J1648" s="3">
        <f>parking_demand_data_2024_ver0!I1648</f>
        <v>0</v>
      </c>
      <c r="K1648" s="3">
        <f>parking_demand_data_2024_ver0!J1648</f>
        <v>0</v>
      </c>
      <c r="L1648" s="3">
        <f>parking_demand_data_2024_ver0!K1648</f>
        <v>0</v>
      </c>
      <c r="M1648" s="3">
        <f>parking_demand_data_2024_ver0!L1648</f>
        <v>1</v>
      </c>
      <c r="N1648" s="3">
        <f>parking_demand_data_2024_ver0!M1648</f>
        <v>40</v>
      </c>
      <c r="O1648" s="3">
        <f>parking_demand_data_2024_ver0!N1648</f>
        <v>0</v>
      </c>
      <c r="P1648" s="3">
        <f>parking_demand_data_2024_ver0!O1648</f>
        <v>0</v>
      </c>
      <c r="Q1648" s="3">
        <f>parking_demand_data_2024_ver0!P1648</f>
        <v>0</v>
      </c>
      <c r="R1648" s="3">
        <f>parking_demand_data_2024_ver0!Q1648</f>
        <v>0</v>
      </c>
      <c r="S1648" s="3">
        <f>parking_demand_data_2024_ver0!R1648</f>
        <v>0</v>
      </c>
      <c r="T1648" s="3">
        <f>parking_demand_data_2024_ver0!S1648</f>
        <v>40</v>
      </c>
    </row>
    <row r="1649" spans="1:20" x14ac:dyDescent="0.25">
      <c r="A1649">
        <v>18137</v>
      </c>
      <c r="B1649" t="s">
        <v>97</v>
      </c>
      <c r="C1649">
        <v>15</v>
      </c>
      <c r="D1649" s="3">
        <f>parking_demand_data_2024_ver0!D1649*calibration!$I$31</f>
        <v>17.607012417823199</v>
      </c>
      <c r="E1649" s="3">
        <f>parking_demand_data_2024_ver0!E1649*calibration!$I$31</f>
        <v>0.90723155588020399</v>
      </c>
      <c r="F1649" s="3">
        <f t="shared" si="25"/>
        <v>18.514243973703405</v>
      </c>
      <c r="G1649" s="3">
        <f>parking_demand_data_2024_ver0!F1649</f>
        <v>1</v>
      </c>
      <c r="H1649" s="3">
        <f>parking_demand_data_2024_ver0!G1649</f>
        <v>0</v>
      </c>
      <c r="I1649" s="3">
        <f>parking_demand_data_2024_ver0!H1649</f>
        <v>0</v>
      </c>
      <c r="J1649" s="3">
        <f>parking_demand_data_2024_ver0!I1649</f>
        <v>0</v>
      </c>
      <c r="K1649" s="3">
        <f>parking_demand_data_2024_ver0!J1649</f>
        <v>0</v>
      </c>
      <c r="L1649" s="3">
        <f>parking_demand_data_2024_ver0!K1649</f>
        <v>0</v>
      </c>
      <c r="M1649" s="3">
        <f>parking_demand_data_2024_ver0!L1649</f>
        <v>1</v>
      </c>
      <c r="N1649" s="3">
        <f>parking_demand_data_2024_ver0!M1649</f>
        <v>40</v>
      </c>
      <c r="O1649" s="3">
        <f>parking_demand_data_2024_ver0!N1649</f>
        <v>0</v>
      </c>
      <c r="P1649" s="3">
        <f>parking_demand_data_2024_ver0!O1649</f>
        <v>0</v>
      </c>
      <c r="Q1649" s="3">
        <f>parking_demand_data_2024_ver0!P1649</f>
        <v>0</v>
      </c>
      <c r="R1649" s="3">
        <f>parking_demand_data_2024_ver0!Q1649</f>
        <v>0</v>
      </c>
      <c r="S1649" s="3">
        <f>parking_demand_data_2024_ver0!R1649</f>
        <v>0</v>
      </c>
      <c r="T1649" s="3">
        <f>parking_demand_data_2024_ver0!S1649</f>
        <v>40</v>
      </c>
    </row>
    <row r="1650" spans="1:20" x14ac:dyDescent="0.25">
      <c r="A1650">
        <v>18137</v>
      </c>
      <c r="B1650" t="s">
        <v>97</v>
      </c>
      <c r="C1650">
        <v>16</v>
      </c>
      <c r="D1650" s="3">
        <f>parking_demand_data_2024_ver0!D1650*calibration!$I$31</f>
        <v>18.043827611395098</v>
      </c>
      <c r="E1650" s="3">
        <f>parking_demand_data_2024_ver0!E1650*calibration!$I$31</f>
        <v>0.90723155588020399</v>
      </c>
      <c r="F1650" s="3">
        <f t="shared" si="25"/>
        <v>18.951059167275304</v>
      </c>
      <c r="G1650" s="3">
        <f>parking_demand_data_2024_ver0!F1650</f>
        <v>1</v>
      </c>
      <c r="H1650" s="3">
        <f>parking_demand_data_2024_ver0!G1650</f>
        <v>0</v>
      </c>
      <c r="I1650" s="3">
        <f>parking_demand_data_2024_ver0!H1650</f>
        <v>0</v>
      </c>
      <c r="J1650" s="3">
        <f>parking_demand_data_2024_ver0!I1650</f>
        <v>0</v>
      </c>
      <c r="K1650" s="3">
        <f>parking_demand_data_2024_ver0!J1650</f>
        <v>0</v>
      </c>
      <c r="L1650" s="3">
        <f>parking_demand_data_2024_ver0!K1650</f>
        <v>0</v>
      </c>
      <c r="M1650" s="3">
        <f>parking_demand_data_2024_ver0!L1650</f>
        <v>1</v>
      </c>
      <c r="N1650" s="3">
        <f>parking_demand_data_2024_ver0!M1650</f>
        <v>40</v>
      </c>
      <c r="O1650" s="3">
        <f>parking_demand_data_2024_ver0!N1650</f>
        <v>0</v>
      </c>
      <c r="P1650" s="3">
        <f>parking_demand_data_2024_ver0!O1650</f>
        <v>0</v>
      </c>
      <c r="Q1650" s="3">
        <f>parking_demand_data_2024_ver0!P1650</f>
        <v>0</v>
      </c>
      <c r="R1650" s="3">
        <f>parking_demand_data_2024_ver0!Q1650</f>
        <v>0</v>
      </c>
      <c r="S1650" s="3">
        <f>parking_demand_data_2024_ver0!R1650</f>
        <v>0</v>
      </c>
      <c r="T1650" s="3">
        <f>parking_demand_data_2024_ver0!S1650</f>
        <v>40</v>
      </c>
    </row>
    <row r="1651" spans="1:20" x14ac:dyDescent="0.25">
      <c r="A1651">
        <v>18137</v>
      </c>
      <c r="B1651" t="s">
        <v>97</v>
      </c>
      <c r="C1651">
        <v>17</v>
      </c>
      <c r="D1651" s="3">
        <f>parking_demand_data_2024_ver0!D1651*calibration!$I$31</f>
        <v>19.925493060628199</v>
      </c>
      <c r="E1651" s="3">
        <f>parking_demand_data_2024_ver0!E1651*calibration!$I$31</f>
        <v>0.97443389335281205</v>
      </c>
      <c r="F1651" s="3">
        <f t="shared" si="25"/>
        <v>20.899926953981012</v>
      </c>
      <c r="G1651" s="3">
        <f>parking_demand_data_2024_ver0!F1651</f>
        <v>1</v>
      </c>
      <c r="H1651" s="3">
        <f>parking_demand_data_2024_ver0!G1651</f>
        <v>0</v>
      </c>
      <c r="I1651" s="3">
        <f>parking_demand_data_2024_ver0!H1651</f>
        <v>0</v>
      </c>
      <c r="J1651" s="3">
        <f>parking_demand_data_2024_ver0!I1651</f>
        <v>0</v>
      </c>
      <c r="K1651" s="3">
        <f>parking_demand_data_2024_ver0!J1651</f>
        <v>0</v>
      </c>
      <c r="L1651" s="3">
        <f>parking_demand_data_2024_ver0!K1651</f>
        <v>0</v>
      </c>
      <c r="M1651" s="3">
        <f>parking_demand_data_2024_ver0!L1651</f>
        <v>1</v>
      </c>
      <c r="N1651" s="3">
        <f>parking_demand_data_2024_ver0!M1651</f>
        <v>40</v>
      </c>
      <c r="O1651" s="3">
        <f>parking_demand_data_2024_ver0!N1651</f>
        <v>0</v>
      </c>
      <c r="P1651" s="3">
        <f>parking_demand_data_2024_ver0!O1651</f>
        <v>0</v>
      </c>
      <c r="Q1651" s="3">
        <f>parking_demand_data_2024_ver0!P1651</f>
        <v>0</v>
      </c>
      <c r="R1651" s="3">
        <f>parking_demand_data_2024_ver0!Q1651</f>
        <v>0</v>
      </c>
      <c r="S1651" s="3">
        <f>parking_demand_data_2024_ver0!R1651</f>
        <v>0</v>
      </c>
      <c r="T1651" s="3">
        <f>parking_demand_data_2024_ver0!S1651</f>
        <v>40</v>
      </c>
    </row>
    <row r="1652" spans="1:20" x14ac:dyDescent="0.25">
      <c r="A1652">
        <v>18137</v>
      </c>
      <c r="B1652" t="s">
        <v>97</v>
      </c>
      <c r="C1652">
        <v>18</v>
      </c>
      <c r="D1652" s="3">
        <f>parking_demand_data_2024_ver0!D1652*calibration!$I$31</f>
        <v>24.024835646457198</v>
      </c>
      <c r="E1652" s="3">
        <f>parking_demand_data_2024_ver0!E1652*calibration!$I$31</f>
        <v>0.90723155588020399</v>
      </c>
      <c r="F1652" s="3">
        <f t="shared" si="25"/>
        <v>24.932067202337404</v>
      </c>
      <c r="G1652" s="3">
        <f>parking_demand_data_2024_ver0!F1652</f>
        <v>1</v>
      </c>
      <c r="H1652" s="3">
        <f>parking_demand_data_2024_ver0!G1652</f>
        <v>0</v>
      </c>
      <c r="I1652" s="3">
        <f>parking_demand_data_2024_ver0!H1652</f>
        <v>0</v>
      </c>
      <c r="J1652" s="3">
        <f>parking_demand_data_2024_ver0!I1652</f>
        <v>0</v>
      </c>
      <c r="K1652" s="3">
        <f>parking_demand_data_2024_ver0!J1652</f>
        <v>0</v>
      </c>
      <c r="L1652" s="3">
        <f>parking_demand_data_2024_ver0!K1652</f>
        <v>0</v>
      </c>
      <c r="M1652" s="3">
        <f>parking_demand_data_2024_ver0!L1652</f>
        <v>1</v>
      </c>
      <c r="N1652" s="3">
        <f>parking_demand_data_2024_ver0!M1652</f>
        <v>40</v>
      </c>
      <c r="O1652" s="3">
        <f>parking_demand_data_2024_ver0!N1652</f>
        <v>0</v>
      </c>
      <c r="P1652" s="3">
        <f>parking_demand_data_2024_ver0!O1652</f>
        <v>0</v>
      </c>
      <c r="Q1652" s="3">
        <f>parking_demand_data_2024_ver0!P1652</f>
        <v>0</v>
      </c>
      <c r="R1652" s="3">
        <f>parking_demand_data_2024_ver0!Q1652</f>
        <v>0</v>
      </c>
      <c r="S1652" s="3">
        <f>parking_demand_data_2024_ver0!R1652</f>
        <v>0</v>
      </c>
      <c r="T1652" s="3">
        <f>parking_demand_data_2024_ver0!S1652</f>
        <v>40</v>
      </c>
    </row>
    <row r="1653" spans="1:20" x14ac:dyDescent="0.25">
      <c r="A1653">
        <v>18137</v>
      </c>
      <c r="B1653" t="s">
        <v>97</v>
      </c>
      <c r="C1653">
        <v>19</v>
      </c>
      <c r="D1653" s="3">
        <f>parking_demand_data_2024_ver0!D1653*calibration!$I$31</f>
        <v>28.863403944485</v>
      </c>
      <c r="E1653" s="3">
        <f>parking_demand_data_2024_ver0!E1653*calibration!$I$31</f>
        <v>1.37764791818845</v>
      </c>
      <c r="F1653" s="3">
        <f t="shared" si="25"/>
        <v>30.241051862673451</v>
      </c>
      <c r="G1653" s="3">
        <f>parking_demand_data_2024_ver0!F1653</f>
        <v>1</v>
      </c>
      <c r="H1653" s="3">
        <f>parking_demand_data_2024_ver0!G1653</f>
        <v>0</v>
      </c>
      <c r="I1653" s="3">
        <f>parking_demand_data_2024_ver0!H1653</f>
        <v>0</v>
      </c>
      <c r="J1653" s="3">
        <f>parking_demand_data_2024_ver0!I1653</f>
        <v>0</v>
      </c>
      <c r="K1653" s="3">
        <f>parking_demand_data_2024_ver0!J1653</f>
        <v>0</v>
      </c>
      <c r="L1653" s="3">
        <f>parking_demand_data_2024_ver0!K1653</f>
        <v>0</v>
      </c>
      <c r="M1653" s="3">
        <f>parking_demand_data_2024_ver0!L1653</f>
        <v>1</v>
      </c>
      <c r="N1653" s="3">
        <f>parking_demand_data_2024_ver0!M1653</f>
        <v>40</v>
      </c>
      <c r="O1653" s="3">
        <f>parking_demand_data_2024_ver0!N1653</f>
        <v>0</v>
      </c>
      <c r="P1653" s="3">
        <f>parking_demand_data_2024_ver0!O1653</f>
        <v>0</v>
      </c>
      <c r="Q1653" s="3">
        <f>parking_demand_data_2024_ver0!P1653</f>
        <v>0</v>
      </c>
      <c r="R1653" s="3">
        <f>parking_demand_data_2024_ver0!Q1653</f>
        <v>0</v>
      </c>
      <c r="S1653" s="3">
        <f>parking_demand_data_2024_ver0!R1653</f>
        <v>0</v>
      </c>
      <c r="T1653" s="3">
        <f>parking_demand_data_2024_ver0!S1653</f>
        <v>40</v>
      </c>
    </row>
    <row r="1654" spans="1:20" x14ac:dyDescent="0.25">
      <c r="A1654">
        <v>18137</v>
      </c>
      <c r="B1654" t="s">
        <v>97</v>
      </c>
      <c r="C1654">
        <v>20</v>
      </c>
      <c r="D1654" s="3">
        <f>parking_demand_data_2024_ver0!D1654*calibration!$I$31</f>
        <v>34.2731921110299</v>
      </c>
      <c r="E1654" s="3">
        <f>parking_demand_data_2024_ver0!E1654*calibration!$I$31</f>
        <v>1.64645726807888</v>
      </c>
      <c r="F1654" s="3">
        <f t="shared" si="25"/>
        <v>35.919649379108783</v>
      </c>
      <c r="G1654" s="3">
        <f>parking_demand_data_2024_ver0!F1654</f>
        <v>1</v>
      </c>
      <c r="H1654" s="3">
        <f>parking_demand_data_2024_ver0!G1654</f>
        <v>0</v>
      </c>
      <c r="I1654" s="3">
        <f>parking_demand_data_2024_ver0!H1654</f>
        <v>0</v>
      </c>
      <c r="J1654" s="3">
        <f>parking_demand_data_2024_ver0!I1654</f>
        <v>0</v>
      </c>
      <c r="K1654" s="3">
        <f>parking_demand_data_2024_ver0!J1654</f>
        <v>0</v>
      </c>
      <c r="L1654" s="3">
        <f>parking_demand_data_2024_ver0!K1654</f>
        <v>0</v>
      </c>
      <c r="M1654" s="3">
        <f>parking_demand_data_2024_ver0!L1654</f>
        <v>1</v>
      </c>
      <c r="N1654" s="3">
        <f>parking_demand_data_2024_ver0!M1654</f>
        <v>40</v>
      </c>
      <c r="O1654" s="3">
        <f>parking_demand_data_2024_ver0!N1654</f>
        <v>0</v>
      </c>
      <c r="P1654" s="3">
        <f>parking_demand_data_2024_ver0!O1654</f>
        <v>0</v>
      </c>
      <c r="Q1654" s="3">
        <f>parking_demand_data_2024_ver0!P1654</f>
        <v>0</v>
      </c>
      <c r="R1654" s="3">
        <f>parking_demand_data_2024_ver0!Q1654</f>
        <v>0</v>
      </c>
      <c r="S1654" s="3">
        <f>parking_demand_data_2024_ver0!R1654</f>
        <v>0</v>
      </c>
      <c r="T1654" s="3">
        <f>parking_demand_data_2024_ver0!S1654</f>
        <v>40</v>
      </c>
    </row>
    <row r="1655" spans="1:20" x14ac:dyDescent="0.25">
      <c r="A1655">
        <v>18137</v>
      </c>
      <c r="B1655" t="s">
        <v>97</v>
      </c>
      <c r="C1655">
        <v>21</v>
      </c>
      <c r="D1655" s="3">
        <f>parking_demand_data_2024_ver0!D1655*calibration!$I$31</f>
        <v>38.271731190650101</v>
      </c>
      <c r="E1655" s="3">
        <f>parking_demand_data_2024_ver0!E1655*calibration!$I$31</f>
        <v>1.7808619430240999</v>
      </c>
      <c r="F1655" s="3">
        <f t="shared" si="25"/>
        <v>40.0525931336742</v>
      </c>
      <c r="G1655" s="3">
        <f>parking_demand_data_2024_ver0!F1655</f>
        <v>1</v>
      </c>
      <c r="H1655" s="3">
        <f>parking_demand_data_2024_ver0!G1655</f>
        <v>0</v>
      </c>
      <c r="I1655" s="3">
        <f>parking_demand_data_2024_ver0!H1655</f>
        <v>0</v>
      </c>
      <c r="J1655" s="3">
        <f>parking_demand_data_2024_ver0!I1655</f>
        <v>0</v>
      </c>
      <c r="K1655" s="3">
        <f>parking_demand_data_2024_ver0!J1655</f>
        <v>0</v>
      </c>
      <c r="L1655" s="3">
        <f>parking_demand_data_2024_ver0!K1655</f>
        <v>0</v>
      </c>
      <c r="M1655" s="3">
        <f>parking_demand_data_2024_ver0!L1655</f>
        <v>1</v>
      </c>
      <c r="N1655" s="3">
        <f>parking_demand_data_2024_ver0!M1655</f>
        <v>40</v>
      </c>
      <c r="O1655" s="3">
        <f>parking_demand_data_2024_ver0!N1655</f>
        <v>0</v>
      </c>
      <c r="P1655" s="3">
        <f>parking_demand_data_2024_ver0!O1655</f>
        <v>0</v>
      </c>
      <c r="Q1655" s="3">
        <f>parking_demand_data_2024_ver0!P1655</f>
        <v>0</v>
      </c>
      <c r="R1655" s="3">
        <f>parking_demand_data_2024_ver0!Q1655</f>
        <v>0</v>
      </c>
      <c r="S1655" s="3">
        <f>parking_demand_data_2024_ver0!R1655</f>
        <v>0</v>
      </c>
      <c r="T1655" s="3">
        <f>parking_demand_data_2024_ver0!S1655</f>
        <v>40</v>
      </c>
    </row>
    <row r="1656" spans="1:20" x14ac:dyDescent="0.25">
      <c r="A1656">
        <v>18137</v>
      </c>
      <c r="B1656" t="s">
        <v>97</v>
      </c>
      <c r="C1656">
        <v>22</v>
      </c>
      <c r="D1656" s="3">
        <f>parking_demand_data_2024_ver0!D1656*calibration!$I$31</f>
        <v>41.867056245434597</v>
      </c>
      <c r="E1656" s="3">
        <f>parking_demand_data_2024_ver0!E1656*calibration!$I$31</f>
        <v>1.61285609934258</v>
      </c>
      <c r="F1656" s="3">
        <f t="shared" si="25"/>
        <v>43.479912344777176</v>
      </c>
      <c r="G1656" s="3">
        <f>parking_demand_data_2024_ver0!F1656</f>
        <v>1</v>
      </c>
      <c r="H1656" s="3">
        <f>parking_demand_data_2024_ver0!G1656</f>
        <v>0</v>
      </c>
      <c r="I1656" s="3">
        <f>parking_demand_data_2024_ver0!H1656</f>
        <v>0</v>
      </c>
      <c r="J1656" s="3">
        <f>parking_demand_data_2024_ver0!I1656</f>
        <v>0</v>
      </c>
      <c r="K1656" s="3">
        <f>parking_demand_data_2024_ver0!J1656</f>
        <v>0</v>
      </c>
      <c r="L1656" s="3">
        <f>parking_demand_data_2024_ver0!K1656</f>
        <v>0</v>
      </c>
      <c r="M1656" s="3">
        <f>parking_demand_data_2024_ver0!L1656</f>
        <v>1</v>
      </c>
      <c r="N1656" s="3">
        <f>parking_demand_data_2024_ver0!M1656</f>
        <v>40</v>
      </c>
      <c r="O1656" s="3">
        <f>parking_demand_data_2024_ver0!N1656</f>
        <v>0</v>
      </c>
      <c r="P1656" s="3">
        <f>parking_demand_data_2024_ver0!O1656</f>
        <v>0</v>
      </c>
      <c r="Q1656" s="3">
        <f>parking_demand_data_2024_ver0!P1656</f>
        <v>0</v>
      </c>
      <c r="R1656" s="3">
        <f>parking_demand_data_2024_ver0!Q1656</f>
        <v>0</v>
      </c>
      <c r="S1656" s="3">
        <f>parking_demand_data_2024_ver0!R1656</f>
        <v>0</v>
      </c>
      <c r="T1656" s="3">
        <f>parking_demand_data_2024_ver0!S1656</f>
        <v>40</v>
      </c>
    </row>
    <row r="1657" spans="1:20" x14ac:dyDescent="0.25">
      <c r="A1657">
        <v>18137</v>
      </c>
      <c r="B1657" t="s">
        <v>97</v>
      </c>
      <c r="C1657">
        <v>23</v>
      </c>
      <c r="D1657" s="3">
        <f>parking_demand_data_2024_ver0!D1657*calibration!$I$31</f>
        <v>43.479912344777198</v>
      </c>
      <c r="E1657" s="3">
        <f>parking_demand_data_2024_ver0!E1657*calibration!$I$31</f>
        <v>2.2512783053323502</v>
      </c>
      <c r="F1657" s="3">
        <f t="shared" si="25"/>
        <v>45.731190650109546</v>
      </c>
      <c r="G1657" s="3">
        <f>parking_demand_data_2024_ver0!F1657</f>
        <v>1</v>
      </c>
      <c r="H1657" s="3">
        <f>parking_demand_data_2024_ver0!G1657</f>
        <v>0</v>
      </c>
      <c r="I1657" s="3">
        <f>parking_demand_data_2024_ver0!H1657</f>
        <v>0</v>
      </c>
      <c r="J1657" s="3">
        <f>parking_demand_data_2024_ver0!I1657</f>
        <v>0</v>
      </c>
      <c r="K1657" s="3">
        <f>parking_demand_data_2024_ver0!J1657</f>
        <v>0</v>
      </c>
      <c r="L1657" s="3">
        <f>parking_demand_data_2024_ver0!K1657</f>
        <v>0</v>
      </c>
      <c r="M1657" s="3">
        <f>parking_demand_data_2024_ver0!L1657</f>
        <v>1</v>
      </c>
      <c r="N1657" s="3">
        <f>parking_demand_data_2024_ver0!M1657</f>
        <v>40</v>
      </c>
      <c r="O1657" s="3">
        <f>parking_demand_data_2024_ver0!N1657</f>
        <v>0</v>
      </c>
      <c r="P1657" s="3">
        <f>parking_demand_data_2024_ver0!O1657</f>
        <v>0</v>
      </c>
      <c r="Q1657" s="3">
        <f>parking_demand_data_2024_ver0!P1657</f>
        <v>0</v>
      </c>
      <c r="R1657" s="3">
        <f>parking_demand_data_2024_ver0!Q1657</f>
        <v>0</v>
      </c>
      <c r="S1657" s="3">
        <f>parking_demand_data_2024_ver0!R1657</f>
        <v>0</v>
      </c>
      <c r="T1657" s="3">
        <f>parking_demand_data_2024_ver0!S1657</f>
        <v>40</v>
      </c>
    </row>
    <row r="1658" spans="1:20" x14ac:dyDescent="0.25">
      <c r="A1658">
        <v>18139</v>
      </c>
      <c r="B1658" t="s">
        <v>98</v>
      </c>
      <c r="C1658">
        <v>0</v>
      </c>
      <c r="D1658" s="3">
        <f>parking_demand_data_2024_ver0!D1658*calibration!$I$31</f>
        <v>0</v>
      </c>
      <c r="E1658" s="3">
        <f>parking_demand_data_2024_ver0!E1658*calibration!$I$31</f>
        <v>0.61262508857887898</v>
      </c>
      <c r="F1658" s="3">
        <f t="shared" si="25"/>
        <v>0.61262508857887898</v>
      </c>
      <c r="G1658" s="3">
        <f>parking_demand_data_2024_ver0!F1658</f>
        <v>0</v>
      </c>
      <c r="H1658" s="3">
        <f>parking_demand_data_2024_ver0!G1658</f>
        <v>0</v>
      </c>
      <c r="I1658" s="3">
        <f>parking_demand_data_2024_ver0!H1658</f>
        <v>0</v>
      </c>
      <c r="J1658" s="3">
        <f>parking_demand_data_2024_ver0!I1658</f>
        <v>0</v>
      </c>
      <c r="K1658" s="3">
        <f>parking_demand_data_2024_ver0!J1658</f>
        <v>0</v>
      </c>
      <c r="L1658" s="3">
        <f>parking_demand_data_2024_ver0!K1658</f>
        <v>0</v>
      </c>
      <c r="M1658" s="3">
        <f>parking_demand_data_2024_ver0!L1658</f>
        <v>0</v>
      </c>
      <c r="N1658" s="3">
        <f>parking_demand_data_2024_ver0!M1658</f>
        <v>0</v>
      </c>
      <c r="O1658" s="3">
        <f>parking_demand_data_2024_ver0!N1658</f>
        <v>0</v>
      </c>
      <c r="P1658" s="3">
        <f>parking_demand_data_2024_ver0!O1658</f>
        <v>0</v>
      </c>
      <c r="Q1658" s="3">
        <f>parking_demand_data_2024_ver0!P1658</f>
        <v>0</v>
      </c>
      <c r="R1658" s="3">
        <f>parking_demand_data_2024_ver0!Q1658</f>
        <v>0</v>
      </c>
      <c r="S1658" s="3">
        <f>parking_demand_data_2024_ver0!R1658</f>
        <v>0</v>
      </c>
      <c r="T1658" s="3">
        <f>parking_demand_data_2024_ver0!S1658</f>
        <v>0</v>
      </c>
    </row>
    <row r="1659" spans="1:20" x14ac:dyDescent="0.25">
      <c r="A1659">
        <v>18139</v>
      </c>
      <c r="B1659" t="s">
        <v>98</v>
      </c>
      <c r="C1659">
        <v>1</v>
      </c>
      <c r="D1659" s="3">
        <f>parking_demand_data_2024_ver0!D1659*calibration!$I$31</f>
        <v>0</v>
      </c>
      <c r="E1659" s="3">
        <f>parking_demand_data_2024_ver0!E1659*calibration!$I$31</f>
        <v>0.64866185849528302</v>
      </c>
      <c r="F1659" s="3">
        <f t="shared" si="25"/>
        <v>0.64866185849528302</v>
      </c>
      <c r="G1659" s="3">
        <f>parking_demand_data_2024_ver0!F1659</f>
        <v>0</v>
      </c>
      <c r="H1659" s="3">
        <f>parking_demand_data_2024_ver0!G1659</f>
        <v>0</v>
      </c>
      <c r="I1659" s="3">
        <f>parking_demand_data_2024_ver0!H1659</f>
        <v>0</v>
      </c>
      <c r="J1659" s="3">
        <f>parking_demand_data_2024_ver0!I1659</f>
        <v>0</v>
      </c>
      <c r="K1659" s="3">
        <f>parking_demand_data_2024_ver0!J1659</f>
        <v>0</v>
      </c>
      <c r="L1659" s="3">
        <f>parking_demand_data_2024_ver0!K1659</f>
        <v>0</v>
      </c>
      <c r="M1659" s="3">
        <f>parking_demand_data_2024_ver0!L1659</f>
        <v>0</v>
      </c>
      <c r="N1659" s="3">
        <f>parking_demand_data_2024_ver0!M1659</f>
        <v>0</v>
      </c>
      <c r="O1659" s="3">
        <f>parking_demand_data_2024_ver0!N1659</f>
        <v>0</v>
      </c>
      <c r="P1659" s="3">
        <f>parking_demand_data_2024_ver0!O1659</f>
        <v>0</v>
      </c>
      <c r="Q1659" s="3">
        <f>parking_demand_data_2024_ver0!P1659</f>
        <v>0</v>
      </c>
      <c r="R1659" s="3">
        <f>parking_demand_data_2024_ver0!Q1659</f>
        <v>0</v>
      </c>
      <c r="S1659" s="3">
        <f>parking_demand_data_2024_ver0!R1659</f>
        <v>0</v>
      </c>
      <c r="T1659" s="3">
        <f>parking_demand_data_2024_ver0!S1659</f>
        <v>0</v>
      </c>
    </row>
    <row r="1660" spans="1:20" x14ac:dyDescent="0.25">
      <c r="A1660">
        <v>18139</v>
      </c>
      <c r="B1660" t="s">
        <v>98</v>
      </c>
      <c r="C1660">
        <v>2</v>
      </c>
      <c r="D1660" s="3">
        <f>parking_demand_data_2024_ver0!D1660*calibration!$I$31</f>
        <v>0</v>
      </c>
      <c r="E1660" s="3">
        <f>parking_demand_data_2024_ver0!E1660*calibration!$I$31</f>
        <v>0.64866185849528302</v>
      </c>
      <c r="F1660" s="3">
        <f t="shared" si="25"/>
        <v>0.64866185849528302</v>
      </c>
      <c r="G1660" s="3">
        <f>parking_demand_data_2024_ver0!F1660</f>
        <v>0</v>
      </c>
      <c r="H1660" s="3">
        <f>parking_demand_data_2024_ver0!G1660</f>
        <v>0</v>
      </c>
      <c r="I1660" s="3">
        <f>parking_demand_data_2024_ver0!H1660</f>
        <v>0</v>
      </c>
      <c r="J1660" s="3">
        <f>parking_demand_data_2024_ver0!I1660</f>
        <v>0</v>
      </c>
      <c r="K1660" s="3">
        <f>parking_demand_data_2024_ver0!J1660</f>
        <v>0</v>
      </c>
      <c r="L1660" s="3">
        <f>parking_demand_data_2024_ver0!K1660</f>
        <v>0</v>
      </c>
      <c r="M1660" s="3">
        <f>parking_demand_data_2024_ver0!L1660</f>
        <v>0</v>
      </c>
      <c r="N1660" s="3">
        <f>parking_demand_data_2024_ver0!M1660</f>
        <v>0</v>
      </c>
      <c r="O1660" s="3">
        <f>parking_demand_data_2024_ver0!N1660</f>
        <v>0</v>
      </c>
      <c r="P1660" s="3">
        <f>parking_demand_data_2024_ver0!O1660</f>
        <v>0</v>
      </c>
      <c r="Q1660" s="3">
        <f>parking_demand_data_2024_ver0!P1660</f>
        <v>0</v>
      </c>
      <c r="R1660" s="3">
        <f>parking_demand_data_2024_ver0!Q1660</f>
        <v>0</v>
      </c>
      <c r="S1660" s="3">
        <f>parking_demand_data_2024_ver0!R1660</f>
        <v>0</v>
      </c>
      <c r="T1660" s="3">
        <f>parking_demand_data_2024_ver0!S1660</f>
        <v>0</v>
      </c>
    </row>
    <row r="1661" spans="1:20" x14ac:dyDescent="0.25">
      <c r="A1661">
        <v>18139</v>
      </c>
      <c r="B1661" t="s">
        <v>98</v>
      </c>
      <c r="C1661">
        <v>3</v>
      </c>
      <c r="D1661" s="3">
        <f>parking_demand_data_2024_ver0!D1661*calibration!$I$31</f>
        <v>0</v>
      </c>
      <c r="E1661" s="3">
        <f>parking_demand_data_2024_ver0!E1661*calibration!$I$31</f>
        <v>0.756772168244497</v>
      </c>
      <c r="F1661" s="3">
        <f t="shared" si="25"/>
        <v>0.756772168244497</v>
      </c>
      <c r="G1661" s="3">
        <f>parking_demand_data_2024_ver0!F1661</f>
        <v>0</v>
      </c>
      <c r="H1661" s="3">
        <f>parking_demand_data_2024_ver0!G1661</f>
        <v>0</v>
      </c>
      <c r="I1661" s="3">
        <f>parking_demand_data_2024_ver0!H1661</f>
        <v>0</v>
      </c>
      <c r="J1661" s="3">
        <f>parking_demand_data_2024_ver0!I1661</f>
        <v>0</v>
      </c>
      <c r="K1661" s="3">
        <f>parking_demand_data_2024_ver0!J1661</f>
        <v>0</v>
      </c>
      <c r="L1661" s="3">
        <f>parking_demand_data_2024_ver0!K1661</f>
        <v>0</v>
      </c>
      <c r="M1661" s="3">
        <f>parking_demand_data_2024_ver0!L1661</f>
        <v>0</v>
      </c>
      <c r="N1661" s="3">
        <f>parking_demand_data_2024_ver0!M1661</f>
        <v>0</v>
      </c>
      <c r="O1661" s="3">
        <f>parking_demand_data_2024_ver0!N1661</f>
        <v>0</v>
      </c>
      <c r="P1661" s="3">
        <f>parking_demand_data_2024_ver0!O1661</f>
        <v>0</v>
      </c>
      <c r="Q1661" s="3">
        <f>parking_demand_data_2024_ver0!P1661</f>
        <v>0</v>
      </c>
      <c r="R1661" s="3">
        <f>parking_demand_data_2024_ver0!Q1661</f>
        <v>0</v>
      </c>
      <c r="S1661" s="3">
        <f>parking_demand_data_2024_ver0!R1661</f>
        <v>0</v>
      </c>
      <c r="T1661" s="3">
        <f>parking_demand_data_2024_ver0!S1661</f>
        <v>0</v>
      </c>
    </row>
    <row r="1662" spans="1:20" x14ac:dyDescent="0.25">
      <c r="A1662">
        <v>18139</v>
      </c>
      <c r="B1662" t="s">
        <v>98</v>
      </c>
      <c r="C1662">
        <v>4</v>
      </c>
      <c r="D1662" s="3">
        <f>parking_demand_data_2024_ver0!D1662*calibration!$I$31</f>
        <v>0</v>
      </c>
      <c r="E1662" s="3">
        <f>parking_demand_data_2024_ver0!E1662*calibration!$I$31</f>
        <v>0.79280893816090203</v>
      </c>
      <c r="F1662" s="3">
        <f t="shared" si="25"/>
        <v>0.79280893816090203</v>
      </c>
      <c r="G1662" s="3">
        <f>parking_demand_data_2024_ver0!F1662</f>
        <v>0</v>
      </c>
      <c r="H1662" s="3">
        <f>parking_demand_data_2024_ver0!G1662</f>
        <v>0</v>
      </c>
      <c r="I1662" s="3">
        <f>parking_demand_data_2024_ver0!H1662</f>
        <v>0</v>
      </c>
      <c r="J1662" s="3">
        <f>parking_demand_data_2024_ver0!I1662</f>
        <v>0</v>
      </c>
      <c r="K1662" s="3">
        <f>parking_demand_data_2024_ver0!J1662</f>
        <v>0</v>
      </c>
      <c r="L1662" s="3">
        <f>parking_demand_data_2024_ver0!K1662</f>
        <v>0</v>
      </c>
      <c r="M1662" s="3">
        <f>parking_demand_data_2024_ver0!L1662</f>
        <v>0</v>
      </c>
      <c r="N1662" s="3">
        <f>parking_demand_data_2024_ver0!M1662</f>
        <v>0</v>
      </c>
      <c r="O1662" s="3">
        <f>parking_demand_data_2024_ver0!N1662</f>
        <v>0</v>
      </c>
      <c r="P1662" s="3">
        <f>parking_demand_data_2024_ver0!O1662</f>
        <v>0</v>
      </c>
      <c r="Q1662" s="3">
        <f>parking_demand_data_2024_ver0!P1662</f>
        <v>0</v>
      </c>
      <c r="R1662" s="3">
        <f>parking_demand_data_2024_ver0!Q1662</f>
        <v>0</v>
      </c>
      <c r="S1662" s="3">
        <f>parking_demand_data_2024_ver0!R1662</f>
        <v>0</v>
      </c>
      <c r="T1662" s="3">
        <f>parking_demand_data_2024_ver0!S1662</f>
        <v>0</v>
      </c>
    </row>
    <row r="1663" spans="1:20" x14ac:dyDescent="0.25">
      <c r="A1663">
        <v>18139</v>
      </c>
      <c r="B1663" t="s">
        <v>98</v>
      </c>
      <c r="C1663">
        <v>5</v>
      </c>
      <c r="D1663" s="3">
        <f>parking_demand_data_2024_ver0!D1663*calibration!$I$31</f>
        <v>0</v>
      </c>
      <c r="E1663" s="3">
        <f>parking_demand_data_2024_ver0!E1663*calibration!$I$31</f>
        <v>0.68469862841168805</v>
      </c>
      <c r="F1663" s="3">
        <f t="shared" si="25"/>
        <v>0.68469862841168805</v>
      </c>
      <c r="G1663" s="3">
        <f>parking_demand_data_2024_ver0!F1663</f>
        <v>0</v>
      </c>
      <c r="H1663" s="3">
        <f>parking_demand_data_2024_ver0!G1663</f>
        <v>0</v>
      </c>
      <c r="I1663" s="3">
        <f>parking_demand_data_2024_ver0!H1663</f>
        <v>0</v>
      </c>
      <c r="J1663" s="3">
        <f>parking_demand_data_2024_ver0!I1663</f>
        <v>0</v>
      </c>
      <c r="K1663" s="3">
        <f>parking_demand_data_2024_ver0!J1663</f>
        <v>0</v>
      </c>
      <c r="L1663" s="3">
        <f>parking_demand_data_2024_ver0!K1663</f>
        <v>0</v>
      </c>
      <c r="M1663" s="3">
        <f>parking_demand_data_2024_ver0!L1663</f>
        <v>0</v>
      </c>
      <c r="N1663" s="3">
        <f>parking_demand_data_2024_ver0!M1663</f>
        <v>0</v>
      </c>
      <c r="O1663" s="3">
        <f>parking_demand_data_2024_ver0!N1663</f>
        <v>0</v>
      </c>
      <c r="P1663" s="3">
        <f>parking_demand_data_2024_ver0!O1663</f>
        <v>0</v>
      </c>
      <c r="Q1663" s="3">
        <f>parking_demand_data_2024_ver0!P1663</f>
        <v>0</v>
      </c>
      <c r="R1663" s="3">
        <f>parking_demand_data_2024_ver0!Q1663</f>
        <v>0</v>
      </c>
      <c r="S1663" s="3">
        <f>parking_demand_data_2024_ver0!R1663</f>
        <v>0</v>
      </c>
      <c r="T1663" s="3">
        <f>parking_demand_data_2024_ver0!S1663</f>
        <v>0</v>
      </c>
    </row>
    <row r="1664" spans="1:20" x14ac:dyDescent="0.25">
      <c r="A1664">
        <v>18139</v>
      </c>
      <c r="B1664" t="s">
        <v>98</v>
      </c>
      <c r="C1664">
        <v>6</v>
      </c>
      <c r="D1664" s="3">
        <f>parking_demand_data_2024_ver0!D1664*calibration!$I$31</f>
        <v>0</v>
      </c>
      <c r="E1664" s="3">
        <f>parking_demand_data_2024_ver0!E1664*calibration!$I$31</f>
        <v>1.1531766373249399</v>
      </c>
      <c r="F1664" s="3">
        <f t="shared" si="25"/>
        <v>1.1531766373249399</v>
      </c>
      <c r="G1664" s="3">
        <f>parking_demand_data_2024_ver0!F1664</f>
        <v>0</v>
      </c>
      <c r="H1664" s="3">
        <f>parking_demand_data_2024_ver0!G1664</f>
        <v>0</v>
      </c>
      <c r="I1664" s="3">
        <f>parking_demand_data_2024_ver0!H1664</f>
        <v>0</v>
      </c>
      <c r="J1664" s="3">
        <f>parking_demand_data_2024_ver0!I1664</f>
        <v>0</v>
      </c>
      <c r="K1664" s="3">
        <f>parking_demand_data_2024_ver0!J1664</f>
        <v>0</v>
      </c>
      <c r="L1664" s="3">
        <f>parking_demand_data_2024_ver0!K1664</f>
        <v>0</v>
      </c>
      <c r="M1664" s="3">
        <f>parking_demand_data_2024_ver0!L1664</f>
        <v>0</v>
      </c>
      <c r="N1664" s="3">
        <f>parking_demand_data_2024_ver0!M1664</f>
        <v>0</v>
      </c>
      <c r="O1664" s="3">
        <f>parking_demand_data_2024_ver0!N1664</f>
        <v>0</v>
      </c>
      <c r="P1664" s="3">
        <f>parking_demand_data_2024_ver0!O1664</f>
        <v>0</v>
      </c>
      <c r="Q1664" s="3">
        <f>parking_demand_data_2024_ver0!P1664</f>
        <v>0</v>
      </c>
      <c r="R1664" s="3">
        <f>parking_demand_data_2024_ver0!Q1664</f>
        <v>0</v>
      </c>
      <c r="S1664" s="3">
        <f>parking_demand_data_2024_ver0!R1664</f>
        <v>0</v>
      </c>
      <c r="T1664" s="3">
        <f>parking_demand_data_2024_ver0!S1664</f>
        <v>0</v>
      </c>
    </row>
    <row r="1665" spans="1:20" x14ac:dyDescent="0.25">
      <c r="A1665">
        <v>18139</v>
      </c>
      <c r="B1665" t="s">
        <v>98</v>
      </c>
      <c r="C1665">
        <v>7</v>
      </c>
      <c r="D1665" s="3">
        <f>parking_demand_data_2024_ver0!D1665*calibration!$I$31</f>
        <v>0</v>
      </c>
      <c r="E1665" s="3">
        <f>parking_demand_data_2024_ver0!E1665*calibration!$I$31</f>
        <v>0.86488247799371099</v>
      </c>
      <c r="F1665" s="3">
        <f t="shared" si="25"/>
        <v>0.86488247799371099</v>
      </c>
      <c r="G1665" s="3">
        <f>parking_demand_data_2024_ver0!F1665</f>
        <v>0</v>
      </c>
      <c r="H1665" s="3">
        <f>parking_demand_data_2024_ver0!G1665</f>
        <v>0</v>
      </c>
      <c r="I1665" s="3">
        <f>parking_demand_data_2024_ver0!H1665</f>
        <v>0</v>
      </c>
      <c r="J1665" s="3">
        <f>parking_demand_data_2024_ver0!I1665</f>
        <v>0</v>
      </c>
      <c r="K1665" s="3">
        <f>parking_demand_data_2024_ver0!J1665</f>
        <v>0</v>
      </c>
      <c r="L1665" s="3">
        <f>parking_demand_data_2024_ver0!K1665</f>
        <v>0</v>
      </c>
      <c r="M1665" s="3">
        <f>parking_demand_data_2024_ver0!L1665</f>
        <v>0</v>
      </c>
      <c r="N1665" s="3">
        <f>parking_demand_data_2024_ver0!M1665</f>
        <v>0</v>
      </c>
      <c r="O1665" s="3">
        <f>parking_demand_data_2024_ver0!N1665</f>
        <v>0</v>
      </c>
      <c r="P1665" s="3">
        <f>parking_demand_data_2024_ver0!O1665</f>
        <v>0</v>
      </c>
      <c r="Q1665" s="3">
        <f>parking_demand_data_2024_ver0!P1665</f>
        <v>0</v>
      </c>
      <c r="R1665" s="3">
        <f>parking_demand_data_2024_ver0!Q1665</f>
        <v>0</v>
      </c>
      <c r="S1665" s="3">
        <f>parking_demand_data_2024_ver0!R1665</f>
        <v>0</v>
      </c>
      <c r="T1665" s="3">
        <f>parking_demand_data_2024_ver0!S1665</f>
        <v>0</v>
      </c>
    </row>
    <row r="1666" spans="1:20" x14ac:dyDescent="0.25">
      <c r="A1666">
        <v>18139</v>
      </c>
      <c r="B1666" t="s">
        <v>98</v>
      </c>
      <c r="C1666">
        <v>8</v>
      </c>
      <c r="D1666" s="3">
        <f>parking_demand_data_2024_ver0!D1666*calibration!$I$31</f>
        <v>0</v>
      </c>
      <c r="E1666" s="3">
        <f>parking_demand_data_2024_ver0!E1666*calibration!$I$31</f>
        <v>1.29732371699056</v>
      </c>
      <c r="F1666" s="3">
        <f t="shared" si="25"/>
        <v>1.29732371699056</v>
      </c>
      <c r="G1666" s="3">
        <f>parking_demand_data_2024_ver0!F1666</f>
        <v>0</v>
      </c>
      <c r="H1666" s="3">
        <f>parking_demand_data_2024_ver0!G1666</f>
        <v>0</v>
      </c>
      <c r="I1666" s="3">
        <f>parking_demand_data_2024_ver0!H1666</f>
        <v>0</v>
      </c>
      <c r="J1666" s="3">
        <f>parking_demand_data_2024_ver0!I1666</f>
        <v>0</v>
      </c>
      <c r="K1666" s="3">
        <f>parking_demand_data_2024_ver0!J1666</f>
        <v>0</v>
      </c>
      <c r="L1666" s="3">
        <f>parking_demand_data_2024_ver0!K1666</f>
        <v>0</v>
      </c>
      <c r="M1666" s="3">
        <f>parking_demand_data_2024_ver0!L1666</f>
        <v>0</v>
      </c>
      <c r="N1666" s="3">
        <f>parking_demand_data_2024_ver0!M1666</f>
        <v>0</v>
      </c>
      <c r="O1666" s="3">
        <f>parking_demand_data_2024_ver0!N1666</f>
        <v>0</v>
      </c>
      <c r="P1666" s="3">
        <f>parking_demand_data_2024_ver0!O1666</f>
        <v>0</v>
      </c>
      <c r="Q1666" s="3">
        <f>parking_demand_data_2024_ver0!P1666</f>
        <v>0</v>
      </c>
      <c r="R1666" s="3">
        <f>parking_demand_data_2024_ver0!Q1666</f>
        <v>0</v>
      </c>
      <c r="S1666" s="3">
        <f>parking_demand_data_2024_ver0!R1666</f>
        <v>0</v>
      </c>
      <c r="T1666" s="3">
        <f>parking_demand_data_2024_ver0!S1666</f>
        <v>0</v>
      </c>
    </row>
    <row r="1667" spans="1:20" x14ac:dyDescent="0.25">
      <c r="A1667">
        <v>18139</v>
      </c>
      <c r="B1667" t="s">
        <v>98</v>
      </c>
      <c r="C1667">
        <v>9</v>
      </c>
      <c r="D1667" s="3">
        <f>parking_demand_data_2024_ver0!D1667*calibration!$I$31</f>
        <v>0</v>
      </c>
      <c r="E1667" s="3">
        <f>parking_demand_data_2024_ver0!E1667*calibration!$I$31</f>
        <v>1.8739120356530401</v>
      </c>
      <c r="F1667" s="3">
        <f t="shared" ref="F1667:F1730" si="26">SUM(D1667:E1667)</f>
        <v>1.8739120356530401</v>
      </c>
      <c r="G1667" s="3">
        <f>parking_demand_data_2024_ver0!F1667</f>
        <v>0</v>
      </c>
      <c r="H1667" s="3">
        <f>parking_demand_data_2024_ver0!G1667</f>
        <v>0</v>
      </c>
      <c r="I1667" s="3">
        <f>parking_demand_data_2024_ver0!H1667</f>
        <v>0</v>
      </c>
      <c r="J1667" s="3">
        <f>parking_demand_data_2024_ver0!I1667</f>
        <v>0</v>
      </c>
      <c r="K1667" s="3">
        <f>parking_demand_data_2024_ver0!J1667</f>
        <v>0</v>
      </c>
      <c r="L1667" s="3">
        <f>parking_demand_data_2024_ver0!K1667</f>
        <v>0</v>
      </c>
      <c r="M1667" s="3">
        <f>parking_demand_data_2024_ver0!L1667</f>
        <v>0</v>
      </c>
      <c r="N1667" s="3">
        <f>parking_demand_data_2024_ver0!M1667</f>
        <v>0</v>
      </c>
      <c r="O1667" s="3">
        <f>parking_demand_data_2024_ver0!N1667</f>
        <v>0</v>
      </c>
      <c r="P1667" s="3">
        <f>parking_demand_data_2024_ver0!O1667</f>
        <v>0</v>
      </c>
      <c r="Q1667" s="3">
        <f>parking_demand_data_2024_ver0!P1667</f>
        <v>0</v>
      </c>
      <c r="R1667" s="3">
        <f>parking_demand_data_2024_ver0!Q1667</f>
        <v>0</v>
      </c>
      <c r="S1667" s="3">
        <f>parking_demand_data_2024_ver0!R1667</f>
        <v>0</v>
      </c>
      <c r="T1667" s="3">
        <f>parking_demand_data_2024_ver0!S1667</f>
        <v>0</v>
      </c>
    </row>
    <row r="1668" spans="1:20" x14ac:dyDescent="0.25">
      <c r="A1668">
        <v>18139</v>
      </c>
      <c r="B1668" t="s">
        <v>98</v>
      </c>
      <c r="C1668">
        <v>10</v>
      </c>
      <c r="D1668" s="3">
        <f>parking_demand_data_2024_ver0!D1668*calibration!$I$31</f>
        <v>0</v>
      </c>
      <c r="E1668" s="3">
        <f>parking_demand_data_2024_ver0!E1668*calibration!$I$31</f>
        <v>1.90994880556944</v>
      </c>
      <c r="F1668" s="3">
        <f t="shared" si="26"/>
        <v>1.90994880556944</v>
      </c>
      <c r="G1668" s="3">
        <f>parking_demand_data_2024_ver0!F1668</f>
        <v>0</v>
      </c>
      <c r="H1668" s="3">
        <f>parking_demand_data_2024_ver0!G1668</f>
        <v>0</v>
      </c>
      <c r="I1668" s="3">
        <f>parking_demand_data_2024_ver0!H1668</f>
        <v>0</v>
      </c>
      <c r="J1668" s="3">
        <f>parking_demand_data_2024_ver0!I1668</f>
        <v>0</v>
      </c>
      <c r="K1668" s="3">
        <f>parking_demand_data_2024_ver0!J1668</f>
        <v>0</v>
      </c>
      <c r="L1668" s="3">
        <f>parking_demand_data_2024_ver0!K1668</f>
        <v>0</v>
      </c>
      <c r="M1668" s="3">
        <f>parking_demand_data_2024_ver0!L1668</f>
        <v>0</v>
      </c>
      <c r="N1668" s="3">
        <f>parking_demand_data_2024_ver0!M1668</f>
        <v>0</v>
      </c>
      <c r="O1668" s="3">
        <f>parking_demand_data_2024_ver0!N1668</f>
        <v>0</v>
      </c>
      <c r="P1668" s="3">
        <f>parking_demand_data_2024_ver0!O1668</f>
        <v>0</v>
      </c>
      <c r="Q1668" s="3">
        <f>parking_demand_data_2024_ver0!P1668</f>
        <v>0</v>
      </c>
      <c r="R1668" s="3">
        <f>parking_demand_data_2024_ver0!Q1668</f>
        <v>0</v>
      </c>
      <c r="S1668" s="3">
        <f>parking_demand_data_2024_ver0!R1668</f>
        <v>0</v>
      </c>
      <c r="T1668" s="3">
        <f>parking_demand_data_2024_ver0!S1668</f>
        <v>0</v>
      </c>
    </row>
    <row r="1669" spans="1:20" x14ac:dyDescent="0.25">
      <c r="A1669">
        <v>18139</v>
      </c>
      <c r="B1669" t="s">
        <v>98</v>
      </c>
      <c r="C1669">
        <v>11</v>
      </c>
      <c r="D1669" s="3">
        <f>parking_demand_data_2024_ver0!D1669*calibration!$I$31</f>
        <v>0</v>
      </c>
      <c r="E1669" s="3">
        <f>parking_demand_data_2024_ver0!E1669*calibration!$I$31</f>
        <v>0.90091924791011602</v>
      </c>
      <c r="F1669" s="3">
        <f t="shared" si="26"/>
        <v>0.90091924791011602</v>
      </c>
      <c r="G1669" s="3">
        <f>parking_demand_data_2024_ver0!F1669</f>
        <v>0</v>
      </c>
      <c r="H1669" s="3">
        <f>parking_demand_data_2024_ver0!G1669</f>
        <v>0</v>
      </c>
      <c r="I1669" s="3">
        <f>parking_demand_data_2024_ver0!H1669</f>
        <v>0</v>
      </c>
      <c r="J1669" s="3">
        <f>parking_demand_data_2024_ver0!I1669</f>
        <v>0</v>
      </c>
      <c r="K1669" s="3">
        <f>parking_demand_data_2024_ver0!J1669</f>
        <v>0</v>
      </c>
      <c r="L1669" s="3">
        <f>parking_demand_data_2024_ver0!K1669</f>
        <v>0</v>
      </c>
      <c r="M1669" s="3">
        <f>parking_demand_data_2024_ver0!L1669</f>
        <v>0</v>
      </c>
      <c r="N1669" s="3">
        <f>parking_demand_data_2024_ver0!M1669</f>
        <v>0</v>
      </c>
      <c r="O1669" s="3">
        <f>parking_demand_data_2024_ver0!N1669</f>
        <v>0</v>
      </c>
      <c r="P1669" s="3">
        <f>parking_demand_data_2024_ver0!O1669</f>
        <v>0</v>
      </c>
      <c r="Q1669" s="3">
        <f>parking_demand_data_2024_ver0!P1669</f>
        <v>0</v>
      </c>
      <c r="R1669" s="3">
        <f>parking_demand_data_2024_ver0!Q1669</f>
        <v>0</v>
      </c>
      <c r="S1669" s="3">
        <f>parking_demand_data_2024_ver0!R1669</f>
        <v>0</v>
      </c>
      <c r="T1669" s="3">
        <f>parking_demand_data_2024_ver0!S1669</f>
        <v>0</v>
      </c>
    </row>
    <row r="1670" spans="1:20" x14ac:dyDescent="0.25">
      <c r="A1670">
        <v>18139</v>
      </c>
      <c r="B1670" t="s">
        <v>98</v>
      </c>
      <c r="C1670">
        <v>12</v>
      </c>
      <c r="D1670" s="3">
        <f>parking_demand_data_2024_ver0!D1670*calibration!$I$31</f>
        <v>0</v>
      </c>
      <c r="E1670" s="3">
        <f>parking_demand_data_2024_ver0!E1670*calibration!$I$31</f>
        <v>1.0811030974921301</v>
      </c>
      <c r="F1670" s="3">
        <f t="shared" si="26"/>
        <v>1.0811030974921301</v>
      </c>
      <c r="G1670" s="3">
        <f>parking_demand_data_2024_ver0!F1670</f>
        <v>0</v>
      </c>
      <c r="H1670" s="3">
        <f>parking_demand_data_2024_ver0!G1670</f>
        <v>0</v>
      </c>
      <c r="I1670" s="3">
        <f>parking_demand_data_2024_ver0!H1670</f>
        <v>0</v>
      </c>
      <c r="J1670" s="3">
        <f>parking_demand_data_2024_ver0!I1670</f>
        <v>0</v>
      </c>
      <c r="K1670" s="3">
        <f>parking_demand_data_2024_ver0!J1670</f>
        <v>0</v>
      </c>
      <c r="L1670" s="3">
        <f>parking_demand_data_2024_ver0!K1670</f>
        <v>0</v>
      </c>
      <c r="M1670" s="3">
        <f>parking_demand_data_2024_ver0!L1670</f>
        <v>0</v>
      </c>
      <c r="N1670" s="3">
        <f>parking_demand_data_2024_ver0!M1670</f>
        <v>0</v>
      </c>
      <c r="O1670" s="3">
        <f>parking_demand_data_2024_ver0!N1670</f>
        <v>0</v>
      </c>
      <c r="P1670" s="3">
        <f>parking_demand_data_2024_ver0!O1670</f>
        <v>0</v>
      </c>
      <c r="Q1670" s="3">
        <f>parking_demand_data_2024_ver0!P1670</f>
        <v>0</v>
      </c>
      <c r="R1670" s="3">
        <f>parking_demand_data_2024_ver0!Q1670</f>
        <v>0</v>
      </c>
      <c r="S1670" s="3">
        <f>parking_demand_data_2024_ver0!R1670</f>
        <v>0</v>
      </c>
      <c r="T1670" s="3">
        <f>parking_demand_data_2024_ver0!S1670</f>
        <v>0</v>
      </c>
    </row>
    <row r="1671" spans="1:20" x14ac:dyDescent="0.25">
      <c r="A1671">
        <v>18139</v>
      </c>
      <c r="B1671" t="s">
        <v>98</v>
      </c>
      <c r="C1671">
        <v>13</v>
      </c>
      <c r="D1671" s="3">
        <f>parking_demand_data_2024_ver0!D1671*calibration!$I$31</f>
        <v>0</v>
      </c>
      <c r="E1671" s="3">
        <f>parking_demand_data_2024_ver0!E1671*calibration!$I$31</f>
        <v>0.68469862841168805</v>
      </c>
      <c r="F1671" s="3">
        <f t="shared" si="26"/>
        <v>0.68469862841168805</v>
      </c>
      <c r="G1671" s="3">
        <f>parking_demand_data_2024_ver0!F1671</f>
        <v>0</v>
      </c>
      <c r="H1671" s="3">
        <f>parking_demand_data_2024_ver0!G1671</f>
        <v>0</v>
      </c>
      <c r="I1671" s="3">
        <f>parking_demand_data_2024_ver0!H1671</f>
        <v>0</v>
      </c>
      <c r="J1671" s="3">
        <f>parking_demand_data_2024_ver0!I1671</f>
        <v>0</v>
      </c>
      <c r="K1671" s="3">
        <f>parking_demand_data_2024_ver0!J1671</f>
        <v>0</v>
      </c>
      <c r="L1671" s="3">
        <f>parking_demand_data_2024_ver0!K1671</f>
        <v>0</v>
      </c>
      <c r="M1671" s="3">
        <f>parking_demand_data_2024_ver0!L1671</f>
        <v>0</v>
      </c>
      <c r="N1671" s="3">
        <f>parking_demand_data_2024_ver0!M1671</f>
        <v>0</v>
      </c>
      <c r="O1671" s="3">
        <f>parking_demand_data_2024_ver0!N1671</f>
        <v>0</v>
      </c>
      <c r="P1671" s="3">
        <f>parking_demand_data_2024_ver0!O1671</f>
        <v>0</v>
      </c>
      <c r="Q1671" s="3">
        <f>parking_demand_data_2024_ver0!P1671</f>
        <v>0</v>
      </c>
      <c r="R1671" s="3">
        <f>parking_demand_data_2024_ver0!Q1671</f>
        <v>0</v>
      </c>
      <c r="S1671" s="3">
        <f>parking_demand_data_2024_ver0!R1671</f>
        <v>0</v>
      </c>
      <c r="T1671" s="3">
        <f>parking_demand_data_2024_ver0!S1671</f>
        <v>0</v>
      </c>
    </row>
    <row r="1672" spans="1:20" x14ac:dyDescent="0.25">
      <c r="A1672">
        <v>18139</v>
      </c>
      <c r="B1672" t="s">
        <v>98</v>
      </c>
      <c r="C1672">
        <v>14</v>
      </c>
      <c r="D1672" s="3">
        <f>parking_demand_data_2024_ver0!D1672*calibration!$I$31</f>
        <v>0</v>
      </c>
      <c r="E1672" s="3">
        <f>parking_demand_data_2024_ver0!E1672*calibration!$I$31</f>
        <v>0.43244123899685499</v>
      </c>
      <c r="F1672" s="3">
        <f t="shared" si="26"/>
        <v>0.43244123899685499</v>
      </c>
      <c r="G1672" s="3">
        <f>parking_demand_data_2024_ver0!F1672</f>
        <v>0</v>
      </c>
      <c r="H1672" s="3">
        <f>parking_demand_data_2024_ver0!G1672</f>
        <v>0</v>
      </c>
      <c r="I1672" s="3">
        <f>parking_demand_data_2024_ver0!H1672</f>
        <v>0</v>
      </c>
      <c r="J1672" s="3">
        <f>parking_demand_data_2024_ver0!I1672</f>
        <v>0</v>
      </c>
      <c r="K1672" s="3">
        <f>parking_demand_data_2024_ver0!J1672</f>
        <v>0</v>
      </c>
      <c r="L1672" s="3">
        <f>parking_demand_data_2024_ver0!K1672</f>
        <v>0</v>
      </c>
      <c r="M1672" s="3">
        <f>parking_demand_data_2024_ver0!L1672</f>
        <v>0</v>
      </c>
      <c r="N1672" s="3">
        <f>parking_demand_data_2024_ver0!M1672</f>
        <v>0</v>
      </c>
      <c r="O1672" s="3">
        <f>parking_demand_data_2024_ver0!N1672</f>
        <v>0</v>
      </c>
      <c r="P1672" s="3">
        <f>parking_demand_data_2024_ver0!O1672</f>
        <v>0</v>
      </c>
      <c r="Q1672" s="3">
        <f>parking_demand_data_2024_ver0!P1672</f>
        <v>0</v>
      </c>
      <c r="R1672" s="3">
        <f>parking_demand_data_2024_ver0!Q1672</f>
        <v>0</v>
      </c>
      <c r="S1672" s="3">
        <f>parking_demand_data_2024_ver0!R1672</f>
        <v>0</v>
      </c>
      <c r="T1672" s="3">
        <f>parking_demand_data_2024_ver0!S1672</f>
        <v>0</v>
      </c>
    </row>
    <row r="1673" spans="1:20" x14ac:dyDescent="0.25">
      <c r="A1673">
        <v>18139</v>
      </c>
      <c r="B1673" t="s">
        <v>98</v>
      </c>
      <c r="C1673">
        <v>15</v>
      </c>
      <c r="D1673" s="3">
        <f>parking_demand_data_2024_ver0!D1673*calibration!$I$31</f>
        <v>0</v>
      </c>
      <c r="E1673" s="3">
        <f>parking_demand_data_2024_ver0!E1673*calibration!$I$31</f>
        <v>0.504514778829665</v>
      </c>
      <c r="F1673" s="3">
        <f t="shared" si="26"/>
        <v>0.504514778829665</v>
      </c>
      <c r="G1673" s="3">
        <f>parking_demand_data_2024_ver0!F1673</f>
        <v>0</v>
      </c>
      <c r="H1673" s="3">
        <f>parking_demand_data_2024_ver0!G1673</f>
        <v>0</v>
      </c>
      <c r="I1673" s="3">
        <f>parking_demand_data_2024_ver0!H1673</f>
        <v>0</v>
      </c>
      <c r="J1673" s="3">
        <f>parking_demand_data_2024_ver0!I1673</f>
        <v>0</v>
      </c>
      <c r="K1673" s="3">
        <f>parking_demand_data_2024_ver0!J1673</f>
        <v>0</v>
      </c>
      <c r="L1673" s="3">
        <f>parking_demand_data_2024_ver0!K1673</f>
        <v>0</v>
      </c>
      <c r="M1673" s="3">
        <f>parking_demand_data_2024_ver0!L1673</f>
        <v>0</v>
      </c>
      <c r="N1673" s="3">
        <f>parking_demand_data_2024_ver0!M1673</f>
        <v>0</v>
      </c>
      <c r="O1673" s="3">
        <f>parking_demand_data_2024_ver0!N1673</f>
        <v>0</v>
      </c>
      <c r="P1673" s="3">
        <f>parking_demand_data_2024_ver0!O1673</f>
        <v>0</v>
      </c>
      <c r="Q1673" s="3">
        <f>parking_demand_data_2024_ver0!P1673</f>
        <v>0</v>
      </c>
      <c r="R1673" s="3">
        <f>parking_demand_data_2024_ver0!Q1673</f>
        <v>0</v>
      </c>
      <c r="S1673" s="3">
        <f>parking_demand_data_2024_ver0!R1673</f>
        <v>0</v>
      </c>
      <c r="T1673" s="3">
        <f>parking_demand_data_2024_ver0!S1673</f>
        <v>0</v>
      </c>
    </row>
    <row r="1674" spans="1:20" x14ac:dyDescent="0.25">
      <c r="A1674">
        <v>18139</v>
      </c>
      <c r="B1674" t="s">
        <v>98</v>
      </c>
      <c r="C1674">
        <v>16</v>
      </c>
      <c r="D1674" s="3">
        <f>parking_demand_data_2024_ver0!D1674*calibration!$I$31</f>
        <v>0</v>
      </c>
      <c r="E1674" s="3">
        <f>parking_demand_data_2024_ver0!E1674*calibration!$I$31</f>
        <v>0.43244123899685499</v>
      </c>
      <c r="F1674" s="3">
        <f t="shared" si="26"/>
        <v>0.43244123899685499</v>
      </c>
      <c r="G1674" s="3">
        <f>parking_demand_data_2024_ver0!F1674</f>
        <v>0</v>
      </c>
      <c r="H1674" s="3">
        <f>parking_demand_data_2024_ver0!G1674</f>
        <v>0</v>
      </c>
      <c r="I1674" s="3">
        <f>parking_demand_data_2024_ver0!H1674</f>
        <v>0</v>
      </c>
      <c r="J1674" s="3">
        <f>parking_demand_data_2024_ver0!I1674</f>
        <v>0</v>
      </c>
      <c r="K1674" s="3">
        <f>parking_demand_data_2024_ver0!J1674</f>
        <v>0</v>
      </c>
      <c r="L1674" s="3">
        <f>parking_demand_data_2024_ver0!K1674</f>
        <v>0</v>
      </c>
      <c r="M1674" s="3">
        <f>parking_demand_data_2024_ver0!L1674</f>
        <v>0</v>
      </c>
      <c r="N1674" s="3">
        <f>parking_demand_data_2024_ver0!M1674</f>
        <v>0</v>
      </c>
      <c r="O1674" s="3">
        <f>parking_demand_data_2024_ver0!N1674</f>
        <v>0</v>
      </c>
      <c r="P1674" s="3">
        <f>parking_demand_data_2024_ver0!O1674</f>
        <v>0</v>
      </c>
      <c r="Q1674" s="3">
        <f>parking_demand_data_2024_ver0!P1674</f>
        <v>0</v>
      </c>
      <c r="R1674" s="3">
        <f>parking_demand_data_2024_ver0!Q1674</f>
        <v>0</v>
      </c>
      <c r="S1674" s="3">
        <f>parking_demand_data_2024_ver0!R1674</f>
        <v>0</v>
      </c>
      <c r="T1674" s="3">
        <f>parking_demand_data_2024_ver0!S1674</f>
        <v>0</v>
      </c>
    </row>
    <row r="1675" spans="1:20" x14ac:dyDescent="0.25">
      <c r="A1675">
        <v>18139</v>
      </c>
      <c r="B1675" t="s">
        <v>98</v>
      </c>
      <c r="C1675">
        <v>17</v>
      </c>
      <c r="D1675" s="3">
        <f>parking_demand_data_2024_ver0!D1675*calibration!$I$31</f>
        <v>0</v>
      </c>
      <c r="E1675" s="3">
        <f>parking_demand_data_2024_ver0!E1675*calibration!$I$31</f>
        <v>0.18018384958202299</v>
      </c>
      <c r="F1675" s="3">
        <f t="shared" si="26"/>
        <v>0.18018384958202299</v>
      </c>
      <c r="G1675" s="3">
        <f>parking_demand_data_2024_ver0!F1675</f>
        <v>0</v>
      </c>
      <c r="H1675" s="3">
        <f>parking_demand_data_2024_ver0!G1675</f>
        <v>0</v>
      </c>
      <c r="I1675" s="3">
        <f>parking_demand_data_2024_ver0!H1675</f>
        <v>0</v>
      </c>
      <c r="J1675" s="3">
        <f>parking_demand_data_2024_ver0!I1675</f>
        <v>0</v>
      </c>
      <c r="K1675" s="3">
        <f>parking_demand_data_2024_ver0!J1675</f>
        <v>0</v>
      </c>
      <c r="L1675" s="3">
        <f>parking_demand_data_2024_ver0!K1675</f>
        <v>0</v>
      </c>
      <c r="M1675" s="3">
        <f>parking_demand_data_2024_ver0!L1675</f>
        <v>0</v>
      </c>
      <c r="N1675" s="3">
        <f>parking_demand_data_2024_ver0!M1675</f>
        <v>0</v>
      </c>
      <c r="O1675" s="3">
        <f>parking_demand_data_2024_ver0!N1675</f>
        <v>0</v>
      </c>
      <c r="P1675" s="3">
        <f>parking_demand_data_2024_ver0!O1675</f>
        <v>0</v>
      </c>
      <c r="Q1675" s="3">
        <f>parking_demand_data_2024_ver0!P1675</f>
        <v>0</v>
      </c>
      <c r="R1675" s="3">
        <f>parking_demand_data_2024_ver0!Q1675</f>
        <v>0</v>
      </c>
      <c r="S1675" s="3">
        <f>parking_demand_data_2024_ver0!R1675</f>
        <v>0</v>
      </c>
      <c r="T1675" s="3">
        <f>parking_demand_data_2024_ver0!S1675</f>
        <v>0</v>
      </c>
    </row>
    <row r="1676" spans="1:20" x14ac:dyDescent="0.25">
      <c r="A1676">
        <v>18139</v>
      </c>
      <c r="B1676" t="s">
        <v>98</v>
      </c>
      <c r="C1676">
        <v>18</v>
      </c>
      <c r="D1676" s="3">
        <f>parking_demand_data_2024_ver0!D1676*calibration!$I$31</f>
        <v>0</v>
      </c>
      <c r="E1676" s="3">
        <f>parking_demand_data_2024_ver0!E1676*calibration!$I$31</f>
        <v>0.18018384958202299</v>
      </c>
      <c r="F1676" s="3">
        <f t="shared" si="26"/>
        <v>0.18018384958202299</v>
      </c>
      <c r="G1676" s="3">
        <f>parking_demand_data_2024_ver0!F1676</f>
        <v>0</v>
      </c>
      <c r="H1676" s="3">
        <f>parking_demand_data_2024_ver0!G1676</f>
        <v>0</v>
      </c>
      <c r="I1676" s="3">
        <f>parking_demand_data_2024_ver0!H1676</f>
        <v>0</v>
      </c>
      <c r="J1676" s="3">
        <f>parking_demand_data_2024_ver0!I1676</f>
        <v>0</v>
      </c>
      <c r="K1676" s="3">
        <f>parking_demand_data_2024_ver0!J1676</f>
        <v>0</v>
      </c>
      <c r="L1676" s="3">
        <f>parking_demand_data_2024_ver0!K1676</f>
        <v>0</v>
      </c>
      <c r="M1676" s="3">
        <f>parking_demand_data_2024_ver0!L1676</f>
        <v>0</v>
      </c>
      <c r="N1676" s="3">
        <f>parking_demand_data_2024_ver0!M1676</f>
        <v>0</v>
      </c>
      <c r="O1676" s="3">
        <f>parking_demand_data_2024_ver0!N1676</f>
        <v>0</v>
      </c>
      <c r="P1676" s="3">
        <f>parking_demand_data_2024_ver0!O1676</f>
        <v>0</v>
      </c>
      <c r="Q1676" s="3">
        <f>parking_demand_data_2024_ver0!P1676</f>
        <v>0</v>
      </c>
      <c r="R1676" s="3">
        <f>parking_demand_data_2024_ver0!Q1676</f>
        <v>0</v>
      </c>
      <c r="S1676" s="3">
        <f>parking_demand_data_2024_ver0!R1676</f>
        <v>0</v>
      </c>
      <c r="T1676" s="3">
        <f>parking_demand_data_2024_ver0!S1676</f>
        <v>0</v>
      </c>
    </row>
    <row r="1677" spans="1:20" x14ac:dyDescent="0.25">
      <c r="A1677">
        <v>18139</v>
      </c>
      <c r="B1677" t="s">
        <v>98</v>
      </c>
      <c r="C1677">
        <v>19</v>
      </c>
      <c r="D1677" s="3">
        <f>parking_demand_data_2024_ver0!D1677*calibration!$I$31</f>
        <v>0</v>
      </c>
      <c r="E1677" s="3">
        <f>parking_demand_data_2024_ver0!E1677*calibration!$I$31</f>
        <v>0.18018384958202299</v>
      </c>
      <c r="F1677" s="3">
        <f t="shared" si="26"/>
        <v>0.18018384958202299</v>
      </c>
      <c r="G1677" s="3">
        <f>parking_demand_data_2024_ver0!F1677</f>
        <v>0</v>
      </c>
      <c r="H1677" s="3">
        <f>parking_demand_data_2024_ver0!G1677</f>
        <v>0</v>
      </c>
      <c r="I1677" s="3">
        <f>parking_demand_data_2024_ver0!H1677</f>
        <v>0</v>
      </c>
      <c r="J1677" s="3">
        <f>parking_demand_data_2024_ver0!I1677</f>
        <v>0</v>
      </c>
      <c r="K1677" s="3">
        <f>parking_demand_data_2024_ver0!J1677</f>
        <v>0</v>
      </c>
      <c r="L1677" s="3">
        <f>parking_demand_data_2024_ver0!K1677</f>
        <v>0</v>
      </c>
      <c r="M1677" s="3">
        <f>parking_demand_data_2024_ver0!L1677</f>
        <v>0</v>
      </c>
      <c r="N1677" s="3">
        <f>parking_demand_data_2024_ver0!M1677</f>
        <v>0</v>
      </c>
      <c r="O1677" s="3">
        <f>parking_demand_data_2024_ver0!N1677</f>
        <v>0</v>
      </c>
      <c r="P1677" s="3">
        <f>parking_demand_data_2024_ver0!O1677</f>
        <v>0</v>
      </c>
      <c r="Q1677" s="3">
        <f>parking_demand_data_2024_ver0!P1677</f>
        <v>0</v>
      </c>
      <c r="R1677" s="3">
        <f>parking_demand_data_2024_ver0!Q1677</f>
        <v>0</v>
      </c>
      <c r="S1677" s="3">
        <f>parking_demand_data_2024_ver0!R1677</f>
        <v>0</v>
      </c>
      <c r="T1677" s="3">
        <f>parking_demand_data_2024_ver0!S1677</f>
        <v>0</v>
      </c>
    </row>
    <row r="1678" spans="1:20" x14ac:dyDescent="0.25">
      <c r="A1678">
        <v>18139</v>
      </c>
      <c r="B1678" t="s">
        <v>98</v>
      </c>
      <c r="C1678">
        <v>20</v>
      </c>
      <c r="D1678" s="3">
        <f>parking_demand_data_2024_ver0!D1678*calibration!$I$31</f>
        <v>0</v>
      </c>
      <c r="E1678" s="3">
        <f>parking_demand_data_2024_ver0!E1678*calibration!$I$31</f>
        <v>0.252257389414832</v>
      </c>
      <c r="F1678" s="3">
        <f t="shared" si="26"/>
        <v>0.252257389414832</v>
      </c>
      <c r="G1678" s="3">
        <f>parking_demand_data_2024_ver0!F1678</f>
        <v>0</v>
      </c>
      <c r="H1678" s="3">
        <f>parking_demand_data_2024_ver0!G1678</f>
        <v>0</v>
      </c>
      <c r="I1678" s="3">
        <f>parking_demand_data_2024_ver0!H1678</f>
        <v>0</v>
      </c>
      <c r="J1678" s="3">
        <f>parking_demand_data_2024_ver0!I1678</f>
        <v>0</v>
      </c>
      <c r="K1678" s="3">
        <f>parking_demand_data_2024_ver0!J1678</f>
        <v>0</v>
      </c>
      <c r="L1678" s="3">
        <f>parking_demand_data_2024_ver0!K1678</f>
        <v>0</v>
      </c>
      <c r="M1678" s="3">
        <f>parking_demand_data_2024_ver0!L1678</f>
        <v>0</v>
      </c>
      <c r="N1678" s="3">
        <f>parking_demand_data_2024_ver0!M1678</f>
        <v>0</v>
      </c>
      <c r="O1678" s="3">
        <f>parking_demand_data_2024_ver0!N1678</f>
        <v>0</v>
      </c>
      <c r="P1678" s="3">
        <f>parking_demand_data_2024_ver0!O1678</f>
        <v>0</v>
      </c>
      <c r="Q1678" s="3">
        <f>parking_demand_data_2024_ver0!P1678</f>
        <v>0</v>
      </c>
      <c r="R1678" s="3">
        <f>parking_demand_data_2024_ver0!Q1678</f>
        <v>0</v>
      </c>
      <c r="S1678" s="3">
        <f>parking_demand_data_2024_ver0!R1678</f>
        <v>0</v>
      </c>
      <c r="T1678" s="3">
        <f>parking_demand_data_2024_ver0!S1678</f>
        <v>0</v>
      </c>
    </row>
    <row r="1679" spans="1:20" x14ac:dyDescent="0.25">
      <c r="A1679">
        <v>18139</v>
      </c>
      <c r="B1679" t="s">
        <v>98</v>
      </c>
      <c r="C1679">
        <v>21</v>
      </c>
      <c r="D1679" s="3">
        <f>parking_demand_data_2024_ver0!D1679*calibration!$I$31</f>
        <v>0</v>
      </c>
      <c r="E1679" s="3">
        <f>parking_demand_data_2024_ver0!E1679*calibration!$I$31</f>
        <v>0.32433092924764101</v>
      </c>
      <c r="F1679" s="3">
        <f t="shared" si="26"/>
        <v>0.32433092924764101</v>
      </c>
      <c r="G1679" s="3">
        <f>parking_demand_data_2024_ver0!F1679</f>
        <v>0</v>
      </c>
      <c r="H1679" s="3">
        <f>parking_demand_data_2024_ver0!G1679</f>
        <v>0</v>
      </c>
      <c r="I1679" s="3">
        <f>parking_demand_data_2024_ver0!H1679</f>
        <v>0</v>
      </c>
      <c r="J1679" s="3">
        <f>parking_demand_data_2024_ver0!I1679</f>
        <v>0</v>
      </c>
      <c r="K1679" s="3">
        <f>parking_demand_data_2024_ver0!J1679</f>
        <v>0</v>
      </c>
      <c r="L1679" s="3">
        <f>parking_demand_data_2024_ver0!K1679</f>
        <v>0</v>
      </c>
      <c r="M1679" s="3">
        <f>parking_demand_data_2024_ver0!L1679</f>
        <v>0</v>
      </c>
      <c r="N1679" s="3">
        <f>parking_demand_data_2024_ver0!M1679</f>
        <v>0</v>
      </c>
      <c r="O1679" s="3">
        <f>parking_demand_data_2024_ver0!N1679</f>
        <v>0</v>
      </c>
      <c r="P1679" s="3">
        <f>parking_demand_data_2024_ver0!O1679</f>
        <v>0</v>
      </c>
      <c r="Q1679" s="3">
        <f>parking_demand_data_2024_ver0!P1679</f>
        <v>0</v>
      </c>
      <c r="R1679" s="3">
        <f>parking_demand_data_2024_ver0!Q1679</f>
        <v>0</v>
      </c>
      <c r="S1679" s="3">
        <f>parking_demand_data_2024_ver0!R1679</f>
        <v>0</v>
      </c>
      <c r="T1679" s="3">
        <f>parking_demand_data_2024_ver0!S1679</f>
        <v>0</v>
      </c>
    </row>
    <row r="1680" spans="1:20" x14ac:dyDescent="0.25">
      <c r="A1680">
        <v>18139</v>
      </c>
      <c r="B1680" t="s">
        <v>98</v>
      </c>
      <c r="C1680">
        <v>22</v>
      </c>
      <c r="D1680" s="3">
        <f>parking_demand_data_2024_ver0!D1680*calibration!$I$31</f>
        <v>0</v>
      </c>
      <c r="E1680" s="3">
        <f>parking_demand_data_2024_ver0!E1680*calibration!$I$31</f>
        <v>0.32433092924764101</v>
      </c>
      <c r="F1680" s="3">
        <f t="shared" si="26"/>
        <v>0.32433092924764101</v>
      </c>
      <c r="G1680" s="3">
        <f>parking_demand_data_2024_ver0!F1680</f>
        <v>0</v>
      </c>
      <c r="H1680" s="3">
        <f>parking_demand_data_2024_ver0!G1680</f>
        <v>0</v>
      </c>
      <c r="I1680" s="3">
        <f>parking_demand_data_2024_ver0!H1680</f>
        <v>0</v>
      </c>
      <c r="J1680" s="3">
        <f>parking_demand_data_2024_ver0!I1680</f>
        <v>0</v>
      </c>
      <c r="K1680" s="3">
        <f>parking_demand_data_2024_ver0!J1680</f>
        <v>0</v>
      </c>
      <c r="L1680" s="3">
        <f>parking_demand_data_2024_ver0!K1680</f>
        <v>0</v>
      </c>
      <c r="M1680" s="3">
        <f>parking_demand_data_2024_ver0!L1680</f>
        <v>0</v>
      </c>
      <c r="N1680" s="3">
        <f>parking_demand_data_2024_ver0!M1680</f>
        <v>0</v>
      </c>
      <c r="O1680" s="3">
        <f>parking_demand_data_2024_ver0!N1680</f>
        <v>0</v>
      </c>
      <c r="P1680" s="3">
        <f>parking_demand_data_2024_ver0!O1680</f>
        <v>0</v>
      </c>
      <c r="Q1680" s="3">
        <f>parking_demand_data_2024_ver0!P1680</f>
        <v>0</v>
      </c>
      <c r="R1680" s="3">
        <f>parking_demand_data_2024_ver0!Q1680</f>
        <v>0</v>
      </c>
      <c r="S1680" s="3">
        <f>parking_demand_data_2024_ver0!R1680</f>
        <v>0</v>
      </c>
      <c r="T1680" s="3">
        <f>parking_demand_data_2024_ver0!S1680</f>
        <v>0</v>
      </c>
    </row>
    <row r="1681" spans="1:20" x14ac:dyDescent="0.25">
      <c r="A1681">
        <v>18139</v>
      </c>
      <c r="B1681" t="s">
        <v>98</v>
      </c>
      <c r="C1681">
        <v>23</v>
      </c>
      <c r="D1681" s="3">
        <f>parking_demand_data_2024_ver0!D1681*calibration!$I$31</f>
        <v>0</v>
      </c>
      <c r="E1681" s="3">
        <f>parking_demand_data_2024_ver0!E1681*calibration!$I$31</f>
        <v>0.46847800891326002</v>
      </c>
      <c r="F1681" s="3">
        <f t="shared" si="26"/>
        <v>0.46847800891326002</v>
      </c>
      <c r="G1681" s="3">
        <f>parking_demand_data_2024_ver0!F1681</f>
        <v>0</v>
      </c>
      <c r="H1681" s="3">
        <f>parking_demand_data_2024_ver0!G1681</f>
        <v>0</v>
      </c>
      <c r="I1681" s="3">
        <f>parking_demand_data_2024_ver0!H1681</f>
        <v>0</v>
      </c>
      <c r="J1681" s="3">
        <f>parking_demand_data_2024_ver0!I1681</f>
        <v>0</v>
      </c>
      <c r="K1681" s="3">
        <f>parking_demand_data_2024_ver0!J1681</f>
        <v>0</v>
      </c>
      <c r="L1681" s="3">
        <f>parking_demand_data_2024_ver0!K1681</f>
        <v>0</v>
      </c>
      <c r="M1681" s="3">
        <f>parking_demand_data_2024_ver0!L1681</f>
        <v>0</v>
      </c>
      <c r="N1681" s="3">
        <f>parking_demand_data_2024_ver0!M1681</f>
        <v>0</v>
      </c>
      <c r="O1681" s="3">
        <f>parking_demand_data_2024_ver0!N1681</f>
        <v>0</v>
      </c>
      <c r="P1681" s="3">
        <f>parking_demand_data_2024_ver0!O1681</f>
        <v>0</v>
      </c>
      <c r="Q1681" s="3">
        <f>parking_demand_data_2024_ver0!P1681</f>
        <v>0</v>
      </c>
      <c r="R1681" s="3">
        <f>parking_demand_data_2024_ver0!Q1681</f>
        <v>0</v>
      </c>
      <c r="S1681" s="3">
        <f>parking_demand_data_2024_ver0!R1681</f>
        <v>0</v>
      </c>
      <c r="T1681" s="3">
        <f>parking_demand_data_2024_ver0!S1681</f>
        <v>0</v>
      </c>
    </row>
    <row r="1682" spans="1:20" x14ac:dyDescent="0.25">
      <c r="A1682">
        <v>18141</v>
      </c>
      <c r="B1682" t="s">
        <v>99</v>
      </c>
      <c r="C1682">
        <v>0</v>
      </c>
      <c r="D1682" s="3">
        <f>parking_demand_data_2024_ver0!D1682*calibration!$I$31</f>
        <v>76.879976717112896</v>
      </c>
      <c r="E1682" s="3">
        <f>parking_demand_data_2024_ver0!E1682*calibration!$I$31</f>
        <v>10.2415599534342</v>
      </c>
      <c r="F1682" s="3">
        <f t="shared" si="26"/>
        <v>87.121536670547101</v>
      </c>
      <c r="G1682" s="3">
        <f>parking_demand_data_2024_ver0!F1682</f>
        <v>2</v>
      </c>
      <c r="H1682" s="3">
        <f>parking_demand_data_2024_ver0!G1682</f>
        <v>0</v>
      </c>
      <c r="I1682" s="3">
        <f>parking_demand_data_2024_ver0!H1682</f>
        <v>1</v>
      </c>
      <c r="J1682" s="3">
        <f>parking_demand_data_2024_ver0!I1682</f>
        <v>1</v>
      </c>
      <c r="K1682" s="3">
        <f>parking_demand_data_2024_ver0!J1682</f>
        <v>0</v>
      </c>
      <c r="L1682" s="3">
        <f>parking_demand_data_2024_ver0!K1682</f>
        <v>0</v>
      </c>
      <c r="M1682" s="3">
        <f>parking_demand_data_2024_ver0!L1682</f>
        <v>0</v>
      </c>
      <c r="N1682" s="3">
        <f>parking_demand_data_2024_ver0!M1682</f>
        <v>68</v>
      </c>
      <c r="O1682" s="3">
        <f>parking_demand_data_2024_ver0!N1682</f>
        <v>0</v>
      </c>
      <c r="P1682" s="3">
        <f>parking_demand_data_2024_ver0!O1682</f>
        <v>50</v>
      </c>
      <c r="Q1682" s="3">
        <f>parking_demand_data_2024_ver0!P1682</f>
        <v>18</v>
      </c>
      <c r="R1682" s="3">
        <f>parking_demand_data_2024_ver0!Q1682</f>
        <v>0</v>
      </c>
      <c r="S1682" s="3">
        <f>parking_demand_data_2024_ver0!R1682</f>
        <v>0</v>
      </c>
      <c r="T1682" s="3">
        <f>parking_demand_data_2024_ver0!S1682</f>
        <v>0</v>
      </c>
    </row>
    <row r="1683" spans="1:20" x14ac:dyDescent="0.25">
      <c r="A1683">
        <v>18141</v>
      </c>
      <c r="B1683" t="s">
        <v>99</v>
      </c>
      <c r="C1683">
        <v>1</v>
      </c>
      <c r="D1683" s="3">
        <f>parking_demand_data_2024_ver0!D1683*calibration!$I$31</f>
        <v>76.743422584400406</v>
      </c>
      <c r="E1683" s="3">
        <f>parking_demand_data_2024_ver0!E1683*calibration!$I$31</f>
        <v>10.5146682188591</v>
      </c>
      <c r="F1683" s="3">
        <f t="shared" si="26"/>
        <v>87.258090803259506</v>
      </c>
      <c r="G1683" s="3">
        <f>parking_demand_data_2024_ver0!F1683</f>
        <v>2</v>
      </c>
      <c r="H1683" s="3">
        <f>parking_demand_data_2024_ver0!G1683</f>
        <v>0</v>
      </c>
      <c r="I1683" s="3">
        <f>parking_demand_data_2024_ver0!H1683</f>
        <v>1</v>
      </c>
      <c r="J1683" s="3">
        <f>parking_demand_data_2024_ver0!I1683</f>
        <v>1</v>
      </c>
      <c r="K1683" s="3">
        <f>parking_demand_data_2024_ver0!J1683</f>
        <v>0</v>
      </c>
      <c r="L1683" s="3">
        <f>parking_demand_data_2024_ver0!K1683</f>
        <v>0</v>
      </c>
      <c r="M1683" s="3">
        <f>parking_demand_data_2024_ver0!L1683</f>
        <v>0</v>
      </c>
      <c r="N1683" s="3">
        <f>parking_demand_data_2024_ver0!M1683</f>
        <v>68</v>
      </c>
      <c r="O1683" s="3">
        <f>parking_demand_data_2024_ver0!N1683</f>
        <v>0</v>
      </c>
      <c r="P1683" s="3">
        <f>parking_demand_data_2024_ver0!O1683</f>
        <v>50</v>
      </c>
      <c r="Q1683" s="3">
        <f>parking_demand_data_2024_ver0!P1683</f>
        <v>18</v>
      </c>
      <c r="R1683" s="3">
        <f>parking_demand_data_2024_ver0!Q1683</f>
        <v>0</v>
      </c>
      <c r="S1683" s="3">
        <f>parking_demand_data_2024_ver0!R1683</f>
        <v>0</v>
      </c>
      <c r="T1683" s="3">
        <f>parking_demand_data_2024_ver0!S1683</f>
        <v>0</v>
      </c>
    </row>
    <row r="1684" spans="1:20" x14ac:dyDescent="0.25">
      <c r="A1684">
        <v>18141</v>
      </c>
      <c r="B1684" t="s">
        <v>99</v>
      </c>
      <c r="C1684">
        <v>2</v>
      </c>
      <c r="D1684" s="3">
        <f>parking_demand_data_2024_ver0!D1684*calibration!$I$31</f>
        <v>74.695110593713594</v>
      </c>
      <c r="E1684" s="3">
        <f>parking_demand_data_2024_ver0!E1684*calibration!$I$31</f>
        <v>10.7422584400465</v>
      </c>
      <c r="F1684" s="3">
        <f t="shared" si="26"/>
        <v>85.437369033760092</v>
      </c>
      <c r="G1684" s="3">
        <f>parking_demand_data_2024_ver0!F1684</f>
        <v>2</v>
      </c>
      <c r="H1684" s="3">
        <f>parking_demand_data_2024_ver0!G1684</f>
        <v>0</v>
      </c>
      <c r="I1684" s="3">
        <f>parking_demand_data_2024_ver0!H1684</f>
        <v>1</v>
      </c>
      <c r="J1684" s="3">
        <f>parking_demand_data_2024_ver0!I1684</f>
        <v>1</v>
      </c>
      <c r="K1684" s="3">
        <f>parking_demand_data_2024_ver0!J1684</f>
        <v>0</v>
      </c>
      <c r="L1684" s="3">
        <f>parking_demand_data_2024_ver0!K1684</f>
        <v>0</v>
      </c>
      <c r="M1684" s="3">
        <f>parking_demand_data_2024_ver0!L1684</f>
        <v>0</v>
      </c>
      <c r="N1684" s="3">
        <f>parking_demand_data_2024_ver0!M1684</f>
        <v>68</v>
      </c>
      <c r="O1684" s="3">
        <f>parking_demand_data_2024_ver0!N1684</f>
        <v>0</v>
      </c>
      <c r="P1684" s="3">
        <f>parking_demand_data_2024_ver0!O1684</f>
        <v>50</v>
      </c>
      <c r="Q1684" s="3">
        <f>parking_demand_data_2024_ver0!P1684</f>
        <v>18</v>
      </c>
      <c r="R1684" s="3">
        <f>parking_demand_data_2024_ver0!Q1684</f>
        <v>0</v>
      </c>
      <c r="S1684" s="3">
        <f>parking_demand_data_2024_ver0!R1684</f>
        <v>0</v>
      </c>
      <c r="T1684" s="3">
        <f>parking_demand_data_2024_ver0!S1684</f>
        <v>0</v>
      </c>
    </row>
    <row r="1685" spans="1:20" x14ac:dyDescent="0.25">
      <c r="A1685">
        <v>18141</v>
      </c>
      <c r="B1685" t="s">
        <v>99</v>
      </c>
      <c r="C1685">
        <v>3</v>
      </c>
      <c r="D1685" s="3">
        <f>parking_demand_data_2024_ver0!D1685*calibration!$I$31</f>
        <v>72.464726426076794</v>
      </c>
      <c r="E1685" s="3">
        <f>parking_demand_data_2024_ver0!E1685*calibration!$I$31</f>
        <v>11.743655413271201</v>
      </c>
      <c r="F1685" s="3">
        <f t="shared" si="26"/>
        <v>84.208381839347993</v>
      </c>
      <c r="G1685" s="3">
        <f>parking_demand_data_2024_ver0!F1685</f>
        <v>2</v>
      </c>
      <c r="H1685" s="3">
        <f>parking_demand_data_2024_ver0!G1685</f>
        <v>0</v>
      </c>
      <c r="I1685" s="3">
        <f>parking_demand_data_2024_ver0!H1685</f>
        <v>1</v>
      </c>
      <c r="J1685" s="3">
        <f>parking_demand_data_2024_ver0!I1685</f>
        <v>1</v>
      </c>
      <c r="K1685" s="3">
        <f>parking_demand_data_2024_ver0!J1685</f>
        <v>0</v>
      </c>
      <c r="L1685" s="3">
        <f>parking_demand_data_2024_ver0!K1685</f>
        <v>0</v>
      </c>
      <c r="M1685" s="3">
        <f>parking_demand_data_2024_ver0!L1685</f>
        <v>0</v>
      </c>
      <c r="N1685" s="3">
        <f>parking_demand_data_2024_ver0!M1685</f>
        <v>68</v>
      </c>
      <c r="O1685" s="3">
        <f>parking_demand_data_2024_ver0!N1685</f>
        <v>0</v>
      </c>
      <c r="P1685" s="3">
        <f>parking_demand_data_2024_ver0!O1685</f>
        <v>50</v>
      </c>
      <c r="Q1685" s="3">
        <f>parking_demand_data_2024_ver0!P1685</f>
        <v>18</v>
      </c>
      <c r="R1685" s="3">
        <f>parking_demand_data_2024_ver0!Q1685</f>
        <v>0</v>
      </c>
      <c r="S1685" s="3">
        <f>parking_demand_data_2024_ver0!R1685</f>
        <v>0</v>
      </c>
      <c r="T1685" s="3">
        <f>parking_demand_data_2024_ver0!S1685</f>
        <v>0</v>
      </c>
    </row>
    <row r="1686" spans="1:20" x14ac:dyDescent="0.25">
      <c r="A1686">
        <v>18141</v>
      </c>
      <c r="B1686" t="s">
        <v>99</v>
      </c>
      <c r="C1686">
        <v>4</v>
      </c>
      <c r="D1686" s="3">
        <f>parking_demand_data_2024_ver0!D1686*calibration!$I$31</f>
        <v>70.006752037252596</v>
      </c>
      <c r="E1686" s="3">
        <f>parking_demand_data_2024_ver0!E1686*calibration!$I$31</f>
        <v>14.019557625145501</v>
      </c>
      <c r="F1686" s="3">
        <f t="shared" si="26"/>
        <v>84.026309662398091</v>
      </c>
      <c r="G1686" s="3">
        <f>parking_demand_data_2024_ver0!F1686</f>
        <v>2</v>
      </c>
      <c r="H1686" s="3">
        <f>parking_demand_data_2024_ver0!G1686</f>
        <v>0</v>
      </c>
      <c r="I1686" s="3">
        <f>parking_demand_data_2024_ver0!H1686</f>
        <v>1</v>
      </c>
      <c r="J1686" s="3">
        <f>parking_demand_data_2024_ver0!I1686</f>
        <v>1</v>
      </c>
      <c r="K1686" s="3">
        <f>parking_demand_data_2024_ver0!J1686</f>
        <v>0</v>
      </c>
      <c r="L1686" s="3">
        <f>parking_demand_data_2024_ver0!K1686</f>
        <v>0</v>
      </c>
      <c r="M1686" s="3">
        <f>parking_demand_data_2024_ver0!L1686</f>
        <v>0</v>
      </c>
      <c r="N1686" s="3">
        <f>parking_demand_data_2024_ver0!M1686</f>
        <v>68</v>
      </c>
      <c r="O1686" s="3">
        <f>parking_demand_data_2024_ver0!N1686</f>
        <v>0</v>
      </c>
      <c r="P1686" s="3">
        <f>parking_demand_data_2024_ver0!O1686</f>
        <v>50</v>
      </c>
      <c r="Q1686" s="3">
        <f>parking_demand_data_2024_ver0!P1686</f>
        <v>18</v>
      </c>
      <c r="R1686" s="3">
        <f>parking_demand_data_2024_ver0!Q1686</f>
        <v>0</v>
      </c>
      <c r="S1686" s="3">
        <f>parking_demand_data_2024_ver0!R1686</f>
        <v>0</v>
      </c>
      <c r="T1686" s="3">
        <f>parking_demand_data_2024_ver0!S1686</f>
        <v>0</v>
      </c>
    </row>
    <row r="1687" spans="1:20" x14ac:dyDescent="0.25">
      <c r="A1687">
        <v>18141</v>
      </c>
      <c r="B1687" t="s">
        <v>99</v>
      </c>
      <c r="C1687">
        <v>5</v>
      </c>
      <c r="D1687" s="3">
        <f>parking_demand_data_2024_ver0!D1687*calibration!$I$31</f>
        <v>71.144703143189702</v>
      </c>
      <c r="E1687" s="3">
        <f>parking_demand_data_2024_ver0!E1687*calibration!$I$31</f>
        <v>12.380908032596</v>
      </c>
      <c r="F1687" s="3">
        <f t="shared" si="26"/>
        <v>83.525611175785698</v>
      </c>
      <c r="G1687" s="3">
        <f>parking_demand_data_2024_ver0!F1687</f>
        <v>2</v>
      </c>
      <c r="H1687" s="3">
        <f>parking_demand_data_2024_ver0!G1687</f>
        <v>0</v>
      </c>
      <c r="I1687" s="3">
        <f>parking_demand_data_2024_ver0!H1687</f>
        <v>1</v>
      </c>
      <c r="J1687" s="3">
        <f>parking_demand_data_2024_ver0!I1687</f>
        <v>1</v>
      </c>
      <c r="K1687" s="3">
        <f>parking_demand_data_2024_ver0!J1687</f>
        <v>0</v>
      </c>
      <c r="L1687" s="3">
        <f>parking_demand_data_2024_ver0!K1687</f>
        <v>0</v>
      </c>
      <c r="M1687" s="3">
        <f>parking_demand_data_2024_ver0!L1687</f>
        <v>0</v>
      </c>
      <c r="N1687" s="3">
        <f>parking_demand_data_2024_ver0!M1687</f>
        <v>68</v>
      </c>
      <c r="O1687" s="3">
        <f>parking_demand_data_2024_ver0!N1687</f>
        <v>0</v>
      </c>
      <c r="P1687" s="3">
        <f>parking_demand_data_2024_ver0!O1687</f>
        <v>50</v>
      </c>
      <c r="Q1687" s="3">
        <f>parking_demand_data_2024_ver0!P1687</f>
        <v>18</v>
      </c>
      <c r="R1687" s="3">
        <f>parking_demand_data_2024_ver0!Q1687</f>
        <v>0</v>
      </c>
      <c r="S1687" s="3">
        <f>parking_demand_data_2024_ver0!R1687</f>
        <v>0</v>
      </c>
      <c r="T1687" s="3">
        <f>parking_demand_data_2024_ver0!S1687</f>
        <v>0</v>
      </c>
    </row>
    <row r="1688" spans="1:20" x14ac:dyDescent="0.25">
      <c r="A1688">
        <v>18141</v>
      </c>
      <c r="B1688" t="s">
        <v>99</v>
      </c>
      <c r="C1688">
        <v>6</v>
      </c>
      <c r="D1688" s="3">
        <f>parking_demand_data_2024_ver0!D1688*calibration!$I$31</f>
        <v>67.548777648428398</v>
      </c>
      <c r="E1688" s="3">
        <f>parking_demand_data_2024_ver0!E1688*calibration!$I$31</f>
        <v>17.661001164144299</v>
      </c>
      <c r="F1688" s="3">
        <f t="shared" si="26"/>
        <v>85.209778812572694</v>
      </c>
      <c r="G1688" s="3">
        <f>parking_demand_data_2024_ver0!F1688</f>
        <v>2</v>
      </c>
      <c r="H1688" s="3">
        <f>parking_demand_data_2024_ver0!G1688</f>
        <v>0</v>
      </c>
      <c r="I1688" s="3">
        <f>parking_demand_data_2024_ver0!H1688</f>
        <v>1</v>
      </c>
      <c r="J1688" s="3">
        <f>parking_demand_data_2024_ver0!I1688</f>
        <v>1</v>
      </c>
      <c r="K1688" s="3">
        <f>parking_demand_data_2024_ver0!J1688</f>
        <v>0</v>
      </c>
      <c r="L1688" s="3">
        <f>parking_demand_data_2024_ver0!K1688</f>
        <v>0</v>
      </c>
      <c r="M1688" s="3">
        <f>parking_demand_data_2024_ver0!L1688</f>
        <v>0</v>
      </c>
      <c r="N1688" s="3">
        <f>parking_demand_data_2024_ver0!M1688</f>
        <v>68</v>
      </c>
      <c r="O1688" s="3">
        <f>parking_demand_data_2024_ver0!N1688</f>
        <v>0</v>
      </c>
      <c r="P1688" s="3">
        <f>parking_demand_data_2024_ver0!O1688</f>
        <v>50</v>
      </c>
      <c r="Q1688" s="3">
        <f>parking_demand_data_2024_ver0!P1688</f>
        <v>18</v>
      </c>
      <c r="R1688" s="3">
        <f>parking_demand_data_2024_ver0!Q1688</f>
        <v>0</v>
      </c>
      <c r="S1688" s="3">
        <f>parking_demand_data_2024_ver0!R1688</f>
        <v>0</v>
      </c>
      <c r="T1688" s="3">
        <f>parking_demand_data_2024_ver0!S1688</f>
        <v>0</v>
      </c>
    </row>
    <row r="1689" spans="1:20" x14ac:dyDescent="0.25">
      <c r="A1689">
        <v>18141</v>
      </c>
      <c r="B1689" t="s">
        <v>99</v>
      </c>
      <c r="C1689">
        <v>7</v>
      </c>
      <c r="D1689" s="3">
        <f>parking_demand_data_2024_ver0!D1689*calibration!$I$31</f>
        <v>58.445168800931299</v>
      </c>
      <c r="E1689" s="3">
        <f>parking_demand_data_2024_ver0!E1689*calibration!$I$31</f>
        <v>22.3493597206053</v>
      </c>
      <c r="F1689" s="3">
        <f t="shared" si="26"/>
        <v>80.794528521536591</v>
      </c>
      <c r="G1689" s="3">
        <f>parking_demand_data_2024_ver0!F1689</f>
        <v>2</v>
      </c>
      <c r="H1689" s="3">
        <f>parking_demand_data_2024_ver0!G1689</f>
        <v>0</v>
      </c>
      <c r="I1689" s="3">
        <f>parking_demand_data_2024_ver0!H1689</f>
        <v>1</v>
      </c>
      <c r="J1689" s="3">
        <f>parking_demand_data_2024_ver0!I1689</f>
        <v>1</v>
      </c>
      <c r="K1689" s="3">
        <f>parking_demand_data_2024_ver0!J1689</f>
        <v>0</v>
      </c>
      <c r="L1689" s="3">
        <f>parking_demand_data_2024_ver0!K1689</f>
        <v>0</v>
      </c>
      <c r="M1689" s="3">
        <f>parking_demand_data_2024_ver0!L1689</f>
        <v>0</v>
      </c>
      <c r="N1689" s="3">
        <f>parking_demand_data_2024_ver0!M1689</f>
        <v>68</v>
      </c>
      <c r="O1689" s="3">
        <f>parking_demand_data_2024_ver0!N1689</f>
        <v>0</v>
      </c>
      <c r="P1689" s="3">
        <f>parking_demand_data_2024_ver0!O1689</f>
        <v>50</v>
      </c>
      <c r="Q1689" s="3">
        <f>parking_demand_data_2024_ver0!P1689</f>
        <v>18</v>
      </c>
      <c r="R1689" s="3">
        <f>parking_demand_data_2024_ver0!Q1689</f>
        <v>0</v>
      </c>
      <c r="S1689" s="3">
        <f>parking_demand_data_2024_ver0!R1689</f>
        <v>0</v>
      </c>
      <c r="T1689" s="3">
        <f>parking_demand_data_2024_ver0!S1689</f>
        <v>0</v>
      </c>
    </row>
    <row r="1690" spans="1:20" x14ac:dyDescent="0.25">
      <c r="A1690">
        <v>18141</v>
      </c>
      <c r="B1690" t="s">
        <v>99</v>
      </c>
      <c r="C1690">
        <v>8</v>
      </c>
      <c r="D1690" s="3">
        <f>parking_demand_data_2024_ver0!D1690*calibration!$I$31</f>
        <v>49.205005820721702</v>
      </c>
      <c r="E1690" s="3">
        <f>parking_demand_data_2024_ver0!E1690*calibration!$I$31</f>
        <v>24.625261932479599</v>
      </c>
      <c r="F1690" s="3">
        <f t="shared" si="26"/>
        <v>73.830267753201298</v>
      </c>
      <c r="G1690" s="3">
        <f>parking_demand_data_2024_ver0!F1690</f>
        <v>2</v>
      </c>
      <c r="H1690" s="3">
        <f>parking_demand_data_2024_ver0!G1690</f>
        <v>0</v>
      </c>
      <c r="I1690" s="3">
        <f>parking_demand_data_2024_ver0!H1690</f>
        <v>1</v>
      </c>
      <c r="J1690" s="3">
        <f>parking_demand_data_2024_ver0!I1690</f>
        <v>1</v>
      </c>
      <c r="K1690" s="3">
        <f>parking_demand_data_2024_ver0!J1690</f>
        <v>0</v>
      </c>
      <c r="L1690" s="3">
        <f>parking_demand_data_2024_ver0!K1690</f>
        <v>0</v>
      </c>
      <c r="M1690" s="3">
        <f>parking_demand_data_2024_ver0!L1690</f>
        <v>0</v>
      </c>
      <c r="N1690" s="3">
        <f>parking_demand_data_2024_ver0!M1690</f>
        <v>68</v>
      </c>
      <c r="O1690" s="3">
        <f>parking_demand_data_2024_ver0!N1690</f>
        <v>0</v>
      </c>
      <c r="P1690" s="3">
        <f>parking_demand_data_2024_ver0!O1690</f>
        <v>50</v>
      </c>
      <c r="Q1690" s="3">
        <f>parking_demand_data_2024_ver0!P1690</f>
        <v>18</v>
      </c>
      <c r="R1690" s="3">
        <f>parking_demand_data_2024_ver0!Q1690</f>
        <v>0</v>
      </c>
      <c r="S1690" s="3">
        <f>parking_demand_data_2024_ver0!R1690</f>
        <v>0</v>
      </c>
      <c r="T1690" s="3">
        <f>parking_demand_data_2024_ver0!S1690</f>
        <v>0</v>
      </c>
    </row>
    <row r="1691" spans="1:20" x14ac:dyDescent="0.25">
      <c r="A1691">
        <v>18141</v>
      </c>
      <c r="B1691" t="s">
        <v>99</v>
      </c>
      <c r="C1691">
        <v>9</v>
      </c>
      <c r="D1691" s="3">
        <f>parking_demand_data_2024_ver0!D1691*calibration!$I$31</f>
        <v>43.151105937136201</v>
      </c>
      <c r="E1691" s="3">
        <f>parking_demand_data_2024_ver0!E1691*calibration!$I$31</f>
        <v>28.266705471478399</v>
      </c>
      <c r="F1691" s="3">
        <f t="shared" si="26"/>
        <v>71.417811408614597</v>
      </c>
      <c r="G1691" s="3">
        <f>parking_demand_data_2024_ver0!F1691</f>
        <v>2</v>
      </c>
      <c r="H1691" s="3">
        <f>parking_demand_data_2024_ver0!G1691</f>
        <v>0</v>
      </c>
      <c r="I1691" s="3">
        <f>parking_demand_data_2024_ver0!H1691</f>
        <v>1</v>
      </c>
      <c r="J1691" s="3">
        <f>parking_demand_data_2024_ver0!I1691</f>
        <v>1</v>
      </c>
      <c r="K1691" s="3">
        <f>parking_demand_data_2024_ver0!J1691</f>
        <v>0</v>
      </c>
      <c r="L1691" s="3">
        <f>parking_demand_data_2024_ver0!K1691</f>
        <v>0</v>
      </c>
      <c r="M1691" s="3">
        <f>parking_demand_data_2024_ver0!L1691</f>
        <v>0</v>
      </c>
      <c r="N1691" s="3">
        <f>parking_demand_data_2024_ver0!M1691</f>
        <v>68</v>
      </c>
      <c r="O1691" s="3">
        <f>parking_demand_data_2024_ver0!N1691</f>
        <v>0</v>
      </c>
      <c r="P1691" s="3">
        <f>parking_demand_data_2024_ver0!O1691</f>
        <v>50</v>
      </c>
      <c r="Q1691" s="3">
        <f>parking_demand_data_2024_ver0!P1691</f>
        <v>18</v>
      </c>
      <c r="R1691" s="3">
        <f>parking_demand_data_2024_ver0!Q1691</f>
        <v>0</v>
      </c>
      <c r="S1691" s="3">
        <f>parking_demand_data_2024_ver0!R1691</f>
        <v>0</v>
      </c>
      <c r="T1691" s="3">
        <f>parking_demand_data_2024_ver0!S1691</f>
        <v>0</v>
      </c>
    </row>
    <row r="1692" spans="1:20" x14ac:dyDescent="0.25">
      <c r="A1692">
        <v>18141</v>
      </c>
      <c r="B1692" t="s">
        <v>99</v>
      </c>
      <c r="C1692">
        <v>10</v>
      </c>
      <c r="D1692" s="3">
        <f>parking_demand_data_2024_ver0!D1692*calibration!$I$31</f>
        <v>42.1497089639115</v>
      </c>
      <c r="E1692" s="3">
        <f>parking_demand_data_2024_ver0!E1692*calibration!$I$31</f>
        <v>29.404656577415601</v>
      </c>
      <c r="F1692" s="3">
        <f t="shared" si="26"/>
        <v>71.554365541327101</v>
      </c>
      <c r="G1692" s="3">
        <f>parking_demand_data_2024_ver0!F1692</f>
        <v>2</v>
      </c>
      <c r="H1692" s="3">
        <f>parking_demand_data_2024_ver0!G1692</f>
        <v>0</v>
      </c>
      <c r="I1692" s="3">
        <f>parking_demand_data_2024_ver0!H1692</f>
        <v>1</v>
      </c>
      <c r="J1692" s="3">
        <f>parking_demand_data_2024_ver0!I1692</f>
        <v>1</v>
      </c>
      <c r="K1692" s="3">
        <f>parking_demand_data_2024_ver0!J1692</f>
        <v>0</v>
      </c>
      <c r="L1692" s="3">
        <f>parking_demand_data_2024_ver0!K1692</f>
        <v>0</v>
      </c>
      <c r="M1692" s="3">
        <f>parking_demand_data_2024_ver0!L1692</f>
        <v>0</v>
      </c>
      <c r="N1692" s="3">
        <f>parking_demand_data_2024_ver0!M1692</f>
        <v>68</v>
      </c>
      <c r="O1692" s="3">
        <f>parking_demand_data_2024_ver0!N1692</f>
        <v>0</v>
      </c>
      <c r="P1692" s="3">
        <f>parking_demand_data_2024_ver0!O1692</f>
        <v>50</v>
      </c>
      <c r="Q1692" s="3">
        <f>parking_demand_data_2024_ver0!P1692</f>
        <v>18</v>
      </c>
      <c r="R1692" s="3">
        <f>parking_demand_data_2024_ver0!Q1692</f>
        <v>0</v>
      </c>
      <c r="S1692" s="3">
        <f>parking_demand_data_2024_ver0!R1692</f>
        <v>0</v>
      </c>
      <c r="T1692" s="3">
        <f>parking_demand_data_2024_ver0!S1692</f>
        <v>0</v>
      </c>
    </row>
    <row r="1693" spans="1:20" x14ac:dyDescent="0.25">
      <c r="A1693">
        <v>18141</v>
      </c>
      <c r="B1693" t="s">
        <v>99</v>
      </c>
      <c r="C1693">
        <v>11</v>
      </c>
      <c r="D1693" s="3">
        <f>parking_demand_data_2024_ver0!D1693*calibration!$I$31</f>
        <v>42.422817229336403</v>
      </c>
      <c r="E1693" s="3">
        <f>parking_demand_data_2024_ver0!E1693*calibration!$I$31</f>
        <v>30.041909196740399</v>
      </c>
      <c r="F1693" s="3">
        <f t="shared" si="26"/>
        <v>72.464726426076794</v>
      </c>
      <c r="G1693" s="3">
        <f>parking_demand_data_2024_ver0!F1693</f>
        <v>2</v>
      </c>
      <c r="H1693" s="3">
        <f>parking_demand_data_2024_ver0!G1693</f>
        <v>0</v>
      </c>
      <c r="I1693" s="3">
        <f>parking_demand_data_2024_ver0!H1693</f>
        <v>1</v>
      </c>
      <c r="J1693" s="3">
        <f>parking_demand_data_2024_ver0!I1693</f>
        <v>1</v>
      </c>
      <c r="K1693" s="3">
        <f>parking_demand_data_2024_ver0!J1693</f>
        <v>0</v>
      </c>
      <c r="L1693" s="3">
        <f>parking_demand_data_2024_ver0!K1693</f>
        <v>0</v>
      </c>
      <c r="M1693" s="3">
        <f>parking_demand_data_2024_ver0!L1693</f>
        <v>0</v>
      </c>
      <c r="N1693" s="3">
        <f>parking_demand_data_2024_ver0!M1693</f>
        <v>68</v>
      </c>
      <c r="O1693" s="3">
        <f>parking_demand_data_2024_ver0!N1693</f>
        <v>0</v>
      </c>
      <c r="P1693" s="3">
        <f>parking_demand_data_2024_ver0!O1693</f>
        <v>50</v>
      </c>
      <c r="Q1693" s="3">
        <f>parking_demand_data_2024_ver0!P1693</f>
        <v>18</v>
      </c>
      <c r="R1693" s="3">
        <f>parking_demand_data_2024_ver0!Q1693</f>
        <v>0</v>
      </c>
      <c r="S1693" s="3">
        <f>parking_demand_data_2024_ver0!R1693</f>
        <v>0</v>
      </c>
      <c r="T1693" s="3">
        <f>parking_demand_data_2024_ver0!S1693</f>
        <v>0</v>
      </c>
    </row>
    <row r="1694" spans="1:20" x14ac:dyDescent="0.25">
      <c r="A1694">
        <v>18141</v>
      </c>
      <c r="B1694" t="s">
        <v>99</v>
      </c>
      <c r="C1694">
        <v>12</v>
      </c>
      <c r="D1694" s="3">
        <f>parking_demand_data_2024_ver0!D1694*calibration!$I$31</f>
        <v>43.8793946449359</v>
      </c>
      <c r="E1694" s="3">
        <f>parking_demand_data_2024_ver0!E1694*calibration!$I$31</f>
        <v>30.6336437718277</v>
      </c>
      <c r="F1694" s="3">
        <f t="shared" si="26"/>
        <v>74.513038416763607</v>
      </c>
      <c r="G1694" s="3">
        <f>parking_demand_data_2024_ver0!F1694</f>
        <v>2</v>
      </c>
      <c r="H1694" s="3">
        <f>parking_demand_data_2024_ver0!G1694</f>
        <v>0</v>
      </c>
      <c r="I1694" s="3">
        <f>parking_demand_data_2024_ver0!H1694</f>
        <v>1</v>
      </c>
      <c r="J1694" s="3">
        <f>parking_demand_data_2024_ver0!I1694</f>
        <v>1</v>
      </c>
      <c r="K1694" s="3">
        <f>parking_demand_data_2024_ver0!J1694</f>
        <v>0</v>
      </c>
      <c r="L1694" s="3">
        <f>parking_demand_data_2024_ver0!K1694</f>
        <v>0</v>
      </c>
      <c r="M1694" s="3">
        <f>parking_demand_data_2024_ver0!L1694</f>
        <v>0</v>
      </c>
      <c r="N1694" s="3">
        <f>parking_demand_data_2024_ver0!M1694</f>
        <v>68</v>
      </c>
      <c r="O1694" s="3">
        <f>parking_demand_data_2024_ver0!N1694</f>
        <v>0</v>
      </c>
      <c r="P1694" s="3">
        <f>parking_demand_data_2024_ver0!O1694</f>
        <v>50</v>
      </c>
      <c r="Q1694" s="3">
        <f>parking_demand_data_2024_ver0!P1694</f>
        <v>18</v>
      </c>
      <c r="R1694" s="3">
        <f>parking_demand_data_2024_ver0!Q1694</f>
        <v>0</v>
      </c>
      <c r="S1694" s="3">
        <f>parking_demand_data_2024_ver0!R1694</f>
        <v>0</v>
      </c>
      <c r="T1694" s="3">
        <f>parking_demand_data_2024_ver0!S1694</f>
        <v>0</v>
      </c>
    </row>
    <row r="1695" spans="1:20" x14ac:dyDescent="0.25">
      <c r="A1695">
        <v>18141</v>
      </c>
      <c r="B1695" t="s">
        <v>99</v>
      </c>
      <c r="C1695">
        <v>13</v>
      </c>
      <c r="D1695" s="3">
        <f>parking_demand_data_2024_ver0!D1695*calibration!$I$31</f>
        <v>45.745634458672797</v>
      </c>
      <c r="E1695" s="3">
        <f>parking_demand_data_2024_ver0!E1695*calibration!$I$31</f>
        <v>24.807334109429501</v>
      </c>
      <c r="F1695" s="3">
        <f t="shared" si="26"/>
        <v>70.552968568102301</v>
      </c>
      <c r="G1695" s="3">
        <f>parking_demand_data_2024_ver0!F1695</f>
        <v>2</v>
      </c>
      <c r="H1695" s="3">
        <f>parking_demand_data_2024_ver0!G1695</f>
        <v>0</v>
      </c>
      <c r="I1695" s="3">
        <f>parking_demand_data_2024_ver0!H1695</f>
        <v>1</v>
      </c>
      <c r="J1695" s="3">
        <f>parking_demand_data_2024_ver0!I1695</f>
        <v>1</v>
      </c>
      <c r="K1695" s="3">
        <f>parking_demand_data_2024_ver0!J1695</f>
        <v>0</v>
      </c>
      <c r="L1695" s="3">
        <f>parking_demand_data_2024_ver0!K1695</f>
        <v>0</v>
      </c>
      <c r="M1695" s="3">
        <f>parking_demand_data_2024_ver0!L1695</f>
        <v>0</v>
      </c>
      <c r="N1695" s="3">
        <f>parking_demand_data_2024_ver0!M1695</f>
        <v>68</v>
      </c>
      <c r="O1695" s="3">
        <f>parking_demand_data_2024_ver0!N1695</f>
        <v>0</v>
      </c>
      <c r="P1695" s="3">
        <f>parking_demand_data_2024_ver0!O1695</f>
        <v>50</v>
      </c>
      <c r="Q1695" s="3">
        <f>parking_demand_data_2024_ver0!P1695</f>
        <v>18</v>
      </c>
      <c r="R1695" s="3">
        <f>parking_demand_data_2024_ver0!Q1695</f>
        <v>0</v>
      </c>
      <c r="S1695" s="3">
        <f>parking_demand_data_2024_ver0!R1695</f>
        <v>0</v>
      </c>
      <c r="T1695" s="3">
        <f>parking_demand_data_2024_ver0!S1695</f>
        <v>0</v>
      </c>
    </row>
    <row r="1696" spans="1:20" x14ac:dyDescent="0.25">
      <c r="A1696">
        <v>18141</v>
      </c>
      <c r="B1696" t="s">
        <v>99</v>
      </c>
      <c r="C1696">
        <v>14</v>
      </c>
      <c r="D1696" s="3">
        <f>parking_demand_data_2024_ver0!D1696*calibration!$I$31</f>
        <v>49.068451688009297</v>
      </c>
      <c r="E1696" s="3">
        <f>parking_demand_data_2024_ver0!E1696*calibration!$I$31</f>
        <v>19.1630966239813</v>
      </c>
      <c r="F1696" s="3">
        <f t="shared" si="26"/>
        <v>68.231548311990593</v>
      </c>
      <c r="G1696" s="3">
        <f>parking_demand_data_2024_ver0!F1696</f>
        <v>2</v>
      </c>
      <c r="H1696" s="3">
        <f>parking_demand_data_2024_ver0!G1696</f>
        <v>0</v>
      </c>
      <c r="I1696" s="3">
        <f>parking_demand_data_2024_ver0!H1696</f>
        <v>1</v>
      </c>
      <c r="J1696" s="3">
        <f>parking_demand_data_2024_ver0!I1696</f>
        <v>1</v>
      </c>
      <c r="K1696" s="3">
        <f>parking_demand_data_2024_ver0!J1696</f>
        <v>0</v>
      </c>
      <c r="L1696" s="3">
        <f>parking_demand_data_2024_ver0!K1696</f>
        <v>0</v>
      </c>
      <c r="M1696" s="3">
        <f>parking_demand_data_2024_ver0!L1696</f>
        <v>0</v>
      </c>
      <c r="N1696" s="3">
        <f>parking_demand_data_2024_ver0!M1696</f>
        <v>68</v>
      </c>
      <c r="O1696" s="3">
        <f>parking_demand_data_2024_ver0!N1696</f>
        <v>0</v>
      </c>
      <c r="P1696" s="3">
        <f>parking_demand_data_2024_ver0!O1696</f>
        <v>50</v>
      </c>
      <c r="Q1696" s="3">
        <f>parking_demand_data_2024_ver0!P1696</f>
        <v>18</v>
      </c>
      <c r="R1696" s="3">
        <f>parking_demand_data_2024_ver0!Q1696</f>
        <v>0</v>
      </c>
      <c r="S1696" s="3">
        <f>parking_demand_data_2024_ver0!R1696</f>
        <v>0</v>
      </c>
      <c r="T1696" s="3">
        <f>parking_demand_data_2024_ver0!S1696</f>
        <v>0</v>
      </c>
    </row>
    <row r="1697" spans="1:20" x14ac:dyDescent="0.25">
      <c r="A1697">
        <v>18141</v>
      </c>
      <c r="B1697" t="s">
        <v>99</v>
      </c>
      <c r="C1697">
        <v>15</v>
      </c>
      <c r="D1697" s="3">
        <f>parking_demand_data_2024_ver0!D1697*calibration!$I$31</f>
        <v>51.799534342258397</v>
      </c>
      <c r="E1697" s="3">
        <f>parking_demand_data_2024_ver0!E1697*calibration!$I$31</f>
        <v>16.204423748544801</v>
      </c>
      <c r="F1697" s="3">
        <f t="shared" si="26"/>
        <v>68.003958090803195</v>
      </c>
      <c r="G1697" s="3">
        <f>parking_demand_data_2024_ver0!F1697</f>
        <v>2</v>
      </c>
      <c r="H1697" s="3">
        <f>parking_demand_data_2024_ver0!G1697</f>
        <v>0</v>
      </c>
      <c r="I1697" s="3">
        <f>parking_demand_data_2024_ver0!H1697</f>
        <v>1</v>
      </c>
      <c r="J1697" s="3">
        <f>parking_demand_data_2024_ver0!I1697</f>
        <v>1</v>
      </c>
      <c r="K1697" s="3">
        <f>parking_demand_data_2024_ver0!J1697</f>
        <v>0</v>
      </c>
      <c r="L1697" s="3">
        <f>parking_demand_data_2024_ver0!K1697</f>
        <v>0</v>
      </c>
      <c r="M1697" s="3">
        <f>parking_demand_data_2024_ver0!L1697</f>
        <v>0</v>
      </c>
      <c r="N1697" s="3">
        <f>parking_demand_data_2024_ver0!M1697</f>
        <v>68</v>
      </c>
      <c r="O1697" s="3">
        <f>parking_demand_data_2024_ver0!N1697</f>
        <v>0</v>
      </c>
      <c r="P1697" s="3">
        <f>parking_demand_data_2024_ver0!O1697</f>
        <v>50</v>
      </c>
      <c r="Q1697" s="3">
        <f>parking_demand_data_2024_ver0!P1697</f>
        <v>18</v>
      </c>
      <c r="R1697" s="3">
        <f>parking_demand_data_2024_ver0!Q1697</f>
        <v>0</v>
      </c>
      <c r="S1697" s="3">
        <f>parking_demand_data_2024_ver0!R1697</f>
        <v>0</v>
      </c>
      <c r="T1697" s="3">
        <f>parking_demand_data_2024_ver0!S1697</f>
        <v>0</v>
      </c>
    </row>
    <row r="1698" spans="1:20" x14ac:dyDescent="0.25">
      <c r="A1698">
        <v>18141</v>
      </c>
      <c r="B1698" t="s">
        <v>99</v>
      </c>
      <c r="C1698">
        <v>16</v>
      </c>
      <c r="D1698" s="3">
        <f>parking_demand_data_2024_ver0!D1698*calibration!$I$31</f>
        <v>54.576135040745001</v>
      </c>
      <c r="E1698" s="3">
        <f>parking_demand_data_2024_ver0!E1698*calibration!$I$31</f>
        <v>12.654016298020901</v>
      </c>
      <c r="F1698" s="3">
        <f t="shared" si="26"/>
        <v>67.230151338765907</v>
      </c>
      <c r="G1698" s="3">
        <f>parking_demand_data_2024_ver0!F1698</f>
        <v>2</v>
      </c>
      <c r="H1698" s="3">
        <f>parking_demand_data_2024_ver0!G1698</f>
        <v>0</v>
      </c>
      <c r="I1698" s="3">
        <f>parking_demand_data_2024_ver0!H1698</f>
        <v>1</v>
      </c>
      <c r="J1698" s="3">
        <f>parking_demand_data_2024_ver0!I1698</f>
        <v>1</v>
      </c>
      <c r="K1698" s="3">
        <f>parking_demand_data_2024_ver0!J1698</f>
        <v>0</v>
      </c>
      <c r="L1698" s="3">
        <f>parking_demand_data_2024_ver0!K1698</f>
        <v>0</v>
      </c>
      <c r="M1698" s="3">
        <f>parking_demand_data_2024_ver0!L1698</f>
        <v>0</v>
      </c>
      <c r="N1698" s="3">
        <f>parking_demand_data_2024_ver0!M1698</f>
        <v>68</v>
      </c>
      <c r="O1698" s="3">
        <f>parking_demand_data_2024_ver0!N1698</f>
        <v>0</v>
      </c>
      <c r="P1698" s="3">
        <f>parking_demand_data_2024_ver0!O1698</f>
        <v>50</v>
      </c>
      <c r="Q1698" s="3">
        <f>parking_demand_data_2024_ver0!P1698</f>
        <v>18</v>
      </c>
      <c r="R1698" s="3">
        <f>parking_demand_data_2024_ver0!Q1698</f>
        <v>0</v>
      </c>
      <c r="S1698" s="3">
        <f>parking_demand_data_2024_ver0!R1698</f>
        <v>0</v>
      </c>
      <c r="T1698" s="3">
        <f>parking_demand_data_2024_ver0!S1698</f>
        <v>0</v>
      </c>
    </row>
    <row r="1699" spans="1:20" x14ac:dyDescent="0.25">
      <c r="A1699">
        <v>18141</v>
      </c>
      <c r="B1699" t="s">
        <v>99</v>
      </c>
      <c r="C1699">
        <v>17</v>
      </c>
      <c r="D1699" s="3">
        <f>parking_demand_data_2024_ver0!D1699*calibration!$I$31</f>
        <v>61.7679860302677</v>
      </c>
      <c r="E1699" s="3">
        <f>parking_demand_data_2024_ver0!E1699*calibration!$I$31</f>
        <v>11.288474970896299</v>
      </c>
      <c r="F1699" s="3">
        <f t="shared" si="26"/>
        <v>73.056461001163996</v>
      </c>
      <c r="G1699" s="3">
        <f>parking_demand_data_2024_ver0!F1699</f>
        <v>2</v>
      </c>
      <c r="H1699" s="3">
        <f>parking_demand_data_2024_ver0!G1699</f>
        <v>0</v>
      </c>
      <c r="I1699" s="3">
        <f>parking_demand_data_2024_ver0!H1699</f>
        <v>1</v>
      </c>
      <c r="J1699" s="3">
        <f>parking_demand_data_2024_ver0!I1699</f>
        <v>1</v>
      </c>
      <c r="K1699" s="3">
        <f>parking_demand_data_2024_ver0!J1699</f>
        <v>0</v>
      </c>
      <c r="L1699" s="3">
        <f>parking_demand_data_2024_ver0!K1699</f>
        <v>0</v>
      </c>
      <c r="M1699" s="3">
        <f>parking_demand_data_2024_ver0!L1699</f>
        <v>0</v>
      </c>
      <c r="N1699" s="3">
        <f>parking_demand_data_2024_ver0!M1699</f>
        <v>68</v>
      </c>
      <c r="O1699" s="3">
        <f>parking_demand_data_2024_ver0!N1699</f>
        <v>0</v>
      </c>
      <c r="P1699" s="3">
        <f>parking_demand_data_2024_ver0!O1699</f>
        <v>50</v>
      </c>
      <c r="Q1699" s="3">
        <f>parking_demand_data_2024_ver0!P1699</f>
        <v>18</v>
      </c>
      <c r="R1699" s="3">
        <f>parking_demand_data_2024_ver0!Q1699</f>
        <v>0</v>
      </c>
      <c r="S1699" s="3">
        <f>parking_demand_data_2024_ver0!R1699</f>
        <v>0</v>
      </c>
      <c r="T1699" s="3">
        <f>parking_demand_data_2024_ver0!S1699</f>
        <v>0</v>
      </c>
    </row>
    <row r="1700" spans="1:20" x14ac:dyDescent="0.25">
      <c r="A1700">
        <v>18141</v>
      </c>
      <c r="B1700" t="s">
        <v>99</v>
      </c>
      <c r="C1700">
        <v>18</v>
      </c>
      <c r="D1700" s="3">
        <f>parking_demand_data_2024_ver0!D1700*calibration!$I$31</f>
        <v>67.321187427240901</v>
      </c>
      <c r="E1700" s="3">
        <f>parking_demand_data_2024_ver0!E1700*calibration!$I$31</f>
        <v>10.787776484284</v>
      </c>
      <c r="F1700" s="3">
        <f t="shared" si="26"/>
        <v>78.108963911524896</v>
      </c>
      <c r="G1700" s="3">
        <f>parking_demand_data_2024_ver0!F1700</f>
        <v>2</v>
      </c>
      <c r="H1700" s="3">
        <f>parking_demand_data_2024_ver0!G1700</f>
        <v>0</v>
      </c>
      <c r="I1700" s="3">
        <f>parking_demand_data_2024_ver0!H1700</f>
        <v>1</v>
      </c>
      <c r="J1700" s="3">
        <f>parking_demand_data_2024_ver0!I1700</f>
        <v>1</v>
      </c>
      <c r="K1700" s="3">
        <f>parking_demand_data_2024_ver0!J1700</f>
        <v>0</v>
      </c>
      <c r="L1700" s="3">
        <f>parking_demand_data_2024_ver0!K1700</f>
        <v>0</v>
      </c>
      <c r="M1700" s="3">
        <f>parking_demand_data_2024_ver0!L1700</f>
        <v>0</v>
      </c>
      <c r="N1700" s="3">
        <f>parking_demand_data_2024_ver0!M1700</f>
        <v>68</v>
      </c>
      <c r="O1700" s="3">
        <f>parking_demand_data_2024_ver0!N1700</f>
        <v>0</v>
      </c>
      <c r="P1700" s="3">
        <f>parking_demand_data_2024_ver0!O1700</f>
        <v>50</v>
      </c>
      <c r="Q1700" s="3">
        <f>parking_demand_data_2024_ver0!P1700</f>
        <v>18</v>
      </c>
      <c r="R1700" s="3">
        <f>parking_demand_data_2024_ver0!Q1700</f>
        <v>0</v>
      </c>
      <c r="S1700" s="3">
        <f>parking_demand_data_2024_ver0!R1700</f>
        <v>0</v>
      </c>
      <c r="T1700" s="3">
        <f>parking_demand_data_2024_ver0!S1700</f>
        <v>0</v>
      </c>
    </row>
    <row r="1701" spans="1:20" x14ac:dyDescent="0.25">
      <c r="A1701">
        <v>18141</v>
      </c>
      <c r="B1701" t="s">
        <v>99</v>
      </c>
      <c r="C1701">
        <v>19</v>
      </c>
      <c r="D1701" s="3">
        <f>parking_demand_data_2024_ver0!D1701*calibration!$I$31</f>
        <v>71.417811408614597</v>
      </c>
      <c r="E1701" s="3">
        <f>parking_demand_data_2024_ver0!E1701*calibration!$I$31</f>
        <v>10.378114086146599</v>
      </c>
      <c r="F1701" s="3">
        <f t="shared" si="26"/>
        <v>81.795925494761192</v>
      </c>
      <c r="G1701" s="3">
        <f>parking_demand_data_2024_ver0!F1701</f>
        <v>2</v>
      </c>
      <c r="H1701" s="3">
        <f>parking_demand_data_2024_ver0!G1701</f>
        <v>0</v>
      </c>
      <c r="I1701" s="3">
        <f>parking_demand_data_2024_ver0!H1701</f>
        <v>1</v>
      </c>
      <c r="J1701" s="3">
        <f>parking_demand_data_2024_ver0!I1701</f>
        <v>1</v>
      </c>
      <c r="K1701" s="3">
        <f>parking_demand_data_2024_ver0!J1701</f>
        <v>0</v>
      </c>
      <c r="L1701" s="3">
        <f>parking_demand_data_2024_ver0!K1701</f>
        <v>0</v>
      </c>
      <c r="M1701" s="3">
        <f>parking_demand_data_2024_ver0!L1701</f>
        <v>0</v>
      </c>
      <c r="N1701" s="3">
        <f>parking_demand_data_2024_ver0!M1701</f>
        <v>68</v>
      </c>
      <c r="O1701" s="3">
        <f>parking_demand_data_2024_ver0!N1701</f>
        <v>0</v>
      </c>
      <c r="P1701" s="3">
        <f>parking_demand_data_2024_ver0!O1701</f>
        <v>50</v>
      </c>
      <c r="Q1701" s="3">
        <f>parking_demand_data_2024_ver0!P1701</f>
        <v>18</v>
      </c>
      <c r="R1701" s="3">
        <f>parking_demand_data_2024_ver0!Q1701</f>
        <v>0</v>
      </c>
      <c r="S1701" s="3">
        <f>parking_demand_data_2024_ver0!R1701</f>
        <v>0</v>
      </c>
      <c r="T1701" s="3">
        <f>parking_demand_data_2024_ver0!S1701</f>
        <v>0</v>
      </c>
    </row>
    <row r="1702" spans="1:20" x14ac:dyDescent="0.25">
      <c r="A1702">
        <v>18141</v>
      </c>
      <c r="B1702" t="s">
        <v>99</v>
      </c>
      <c r="C1702">
        <v>20</v>
      </c>
      <c r="D1702" s="3">
        <f>parking_demand_data_2024_ver0!D1702*calibration!$I$31</f>
        <v>74.376484284051202</v>
      </c>
      <c r="E1702" s="3">
        <f>parking_demand_data_2024_ver0!E1702*calibration!$I$31</f>
        <v>10.2415599534342</v>
      </c>
      <c r="F1702" s="3">
        <f t="shared" si="26"/>
        <v>84.618044237485407</v>
      </c>
      <c r="G1702" s="3">
        <f>parking_demand_data_2024_ver0!F1702</f>
        <v>2</v>
      </c>
      <c r="H1702" s="3">
        <f>parking_demand_data_2024_ver0!G1702</f>
        <v>0</v>
      </c>
      <c r="I1702" s="3">
        <f>parking_demand_data_2024_ver0!H1702</f>
        <v>1</v>
      </c>
      <c r="J1702" s="3">
        <f>parking_demand_data_2024_ver0!I1702</f>
        <v>1</v>
      </c>
      <c r="K1702" s="3">
        <f>parking_demand_data_2024_ver0!J1702</f>
        <v>0</v>
      </c>
      <c r="L1702" s="3">
        <f>parking_demand_data_2024_ver0!K1702</f>
        <v>0</v>
      </c>
      <c r="M1702" s="3">
        <f>parking_demand_data_2024_ver0!L1702</f>
        <v>0</v>
      </c>
      <c r="N1702" s="3">
        <f>parking_demand_data_2024_ver0!M1702</f>
        <v>68</v>
      </c>
      <c r="O1702" s="3">
        <f>parking_demand_data_2024_ver0!N1702</f>
        <v>0</v>
      </c>
      <c r="P1702" s="3">
        <f>parking_demand_data_2024_ver0!O1702</f>
        <v>50</v>
      </c>
      <c r="Q1702" s="3">
        <f>parking_demand_data_2024_ver0!P1702</f>
        <v>18</v>
      </c>
      <c r="R1702" s="3">
        <f>parking_demand_data_2024_ver0!Q1702</f>
        <v>0</v>
      </c>
      <c r="S1702" s="3">
        <f>parking_demand_data_2024_ver0!R1702</f>
        <v>0</v>
      </c>
      <c r="T1702" s="3">
        <f>parking_demand_data_2024_ver0!S1702</f>
        <v>0</v>
      </c>
    </row>
    <row r="1703" spans="1:20" x14ac:dyDescent="0.25">
      <c r="A1703">
        <v>18141</v>
      </c>
      <c r="B1703" t="s">
        <v>99</v>
      </c>
      <c r="C1703">
        <v>21</v>
      </c>
      <c r="D1703" s="3">
        <f>parking_demand_data_2024_ver0!D1703*calibration!$I$31</f>
        <v>75.559953434225804</v>
      </c>
      <c r="E1703" s="3">
        <f>parking_demand_data_2024_ver0!E1703*calibration!$I$31</f>
        <v>10.2415599534342</v>
      </c>
      <c r="F1703" s="3">
        <f t="shared" si="26"/>
        <v>85.801513387660009</v>
      </c>
      <c r="G1703" s="3">
        <f>parking_demand_data_2024_ver0!F1703</f>
        <v>2</v>
      </c>
      <c r="H1703" s="3">
        <f>parking_demand_data_2024_ver0!G1703</f>
        <v>0</v>
      </c>
      <c r="I1703" s="3">
        <f>parking_demand_data_2024_ver0!H1703</f>
        <v>1</v>
      </c>
      <c r="J1703" s="3">
        <f>parking_demand_data_2024_ver0!I1703</f>
        <v>1</v>
      </c>
      <c r="K1703" s="3">
        <f>parking_demand_data_2024_ver0!J1703</f>
        <v>0</v>
      </c>
      <c r="L1703" s="3">
        <f>parking_demand_data_2024_ver0!K1703</f>
        <v>0</v>
      </c>
      <c r="M1703" s="3">
        <f>parking_demand_data_2024_ver0!L1703</f>
        <v>0</v>
      </c>
      <c r="N1703" s="3">
        <f>parking_demand_data_2024_ver0!M1703</f>
        <v>68</v>
      </c>
      <c r="O1703" s="3">
        <f>parking_demand_data_2024_ver0!N1703</f>
        <v>0</v>
      </c>
      <c r="P1703" s="3">
        <f>parking_demand_data_2024_ver0!O1703</f>
        <v>50</v>
      </c>
      <c r="Q1703" s="3">
        <f>parking_demand_data_2024_ver0!P1703</f>
        <v>18</v>
      </c>
      <c r="R1703" s="3">
        <f>parking_demand_data_2024_ver0!Q1703</f>
        <v>0</v>
      </c>
      <c r="S1703" s="3">
        <f>parking_demand_data_2024_ver0!R1703</f>
        <v>0</v>
      </c>
      <c r="T1703" s="3">
        <f>parking_demand_data_2024_ver0!S1703</f>
        <v>0</v>
      </c>
    </row>
    <row r="1704" spans="1:20" x14ac:dyDescent="0.25">
      <c r="A1704">
        <v>18141</v>
      </c>
      <c r="B1704" t="s">
        <v>99</v>
      </c>
      <c r="C1704">
        <v>22</v>
      </c>
      <c r="D1704" s="3">
        <f>parking_demand_data_2024_ver0!D1704*calibration!$I$31</f>
        <v>78.017927823050002</v>
      </c>
      <c r="E1704" s="3">
        <f>parking_demand_data_2024_ver0!E1704*calibration!$I$31</f>
        <v>10.378114086146599</v>
      </c>
      <c r="F1704" s="3">
        <f t="shared" si="26"/>
        <v>88.396041909196597</v>
      </c>
      <c r="G1704" s="3">
        <f>parking_demand_data_2024_ver0!F1704</f>
        <v>2</v>
      </c>
      <c r="H1704" s="3">
        <f>parking_demand_data_2024_ver0!G1704</f>
        <v>0</v>
      </c>
      <c r="I1704" s="3">
        <f>parking_demand_data_2024_ver0!H1704</f>
        <v>1</v>
      </c>
      <c r="J1704" s="3">
        <f>parking_demand_data_2024_ver0!I1704</f>
        <v>1</v>
      </c>
      <c r="K1704" s="3">
        <f>parking_demand_data_2024_ver0!J1704</f>
        <v>0</v>
      </c>
      <c r="L1704" s="3">
        <f>parking_demand_data_2024_ver0!K1704</f>
        <v>0</v>
      </c>
      <c r="M1704" s="3">
        <f>parking_demand_data_2024_ver0!L1704</f>
        <v>0</v>
      </c>
      <c r="N1704" s="3">
        <f>parking_demand_data_2024_ver0!M1704</f>
        <v>68</v>
      </c>
      <c r="O1704" s="3">
        <f>parking_demand_data_2024_ver0!N1704</f>
        <v>0</v>
      </c>
      <c r="P1704" s="3">
        <f>parking_demand_data_2024_ver0!O1704</f>
        <v>50</v>
      </c>
      <c r="Q1704" s="3">
        <f>parking_demand_data_2024_ver0!P1704</f>
        <v>18</v>
      </c>
      <c r="R1704" s="3">
        <f>parking_demand_data_2024_ver0!Q1704</f>
        <v>0</v>
      </c>
      <c r="S1704" s="3">
        <f>parking_demand_data_2024_ver0!R1704</f>
        <v>0</v>
      </c>
      <c r="T1704" s="3">
        <f>parking_demand_data_2024_ver0!S1704</f>
        <v>0</v>
      </c>
    </row>
    <row r="1705" spans="1:20" x14ac:dyDescent="0.25">
      <c r="A1705">
        <v>18141</v>
      </c>
      <c r="B1705" t="s">
        <v>99</v>
      </c>
      <c r="C1705">
        <v>23</v>
      </c>
      <c r="D1705" s="3">
        <f>parking_demand_data_2024_ver0!D1705*calibration!$I$31</f>
        <v>78.2</v>
      </c>
      <c r="E1705" s="3">
        <f>parking_demand_data_2024_ver0!E1705*calibration!$I$31</f>
        <v>10.2415599534342</v>
      </c>
      <c r="F1705" s="3">
        <f t="shared" si="26"/>
        <v>88.441559953434208</v>
      </c>
      <c r="G1705" s="3">
        <f>parking_demand_data_2024_ver0!F1705</f>
        <v>2</v>
      </c>
      <c r="H1705" s="3">
        <f>parking_demand_data_2024_ver0!G1705</f>
        <v>0</v>
      </c>
      <c r="I1705" s="3">
        <f>parking_demand_data_2024_ver0!H1705</f>
        <v>1</v>
      </c>
      <c r="J1705" s="3">
        <f>parking_demand_data_2024_ver0!I1705</f>
        <v>1</v>
      </c>
      <c r="K1705" s="3">
        <f>parking_demand_data_2024_ver0!J1705</f>
        <v>0</v>
      </c>
      <c r="L1705" s="3">
        <f>parking_demand_data_2024_ver0!K1705</f>
        <v>0</v>
      </c>
      <c r="M1705" s="3">
        <f>parking_demand_data_2024_ver0!L1705</f>
        <v>0</v>
      </c>
      <c r="N1705" s="3">
        <f>parking_demand_data_2024_ver0!M1705</f>
        <v>68</v>
      </c>
      <c r="O1705" s="3">
        <f>parking_demand_data_2024_ver0!N1705</f>
        <v>0</v>
      </c>
      <c r="P1705" s="3">
        <f>parking_demand_data_2024_ver0!O1705</f>
        <v>50</v>
      </c>
      <c r="Q1705" s="3">
        <f>parking_demand_data_2024_ver0!P1705</f>
        <v>18</v>
      </c>
      <c r="R1705" s="3">
        <f>parking_demand_data_2024_ver0!Q1705</f>
        <v>0</v>
      </c>
      <c r="S1705" s="3">
        <f>parking_demand_data_2024_ver0!R1705</f>
        <v>0</v>
      </c>
      <c r="T1705" s="3">
        <f>parking_demand_data_2024_ver0!S1705</f>
        <v>0</v>
      </c>
    </row>
    <row r="1706" spans="1:20" x14ac:dyDescent="0.25">
      <c r="A1706">
        <v>18143</v>
      </c>
      <c r="B1706" t="s">
        <v>100</v>
      </c>
      <c r="C1706">
        <v>0</v>
      </c>
      <c r="D1706" s="3">
        <f>parking_demand_data_2024_ver0!D1706*calibration!$I$31</f>
        <v>2.98199412297912</v>
      </c>
      <c r="E1706" s="3">
        <f>parking_demand_data_2024_ver0!E1706*calibration!$I$31</f>
        <v>1.17760277467965</v>
      </c>
      <c r="F1706" s="3">
        <f t="shared" si="26"/>
        <v>4.1595968976587701</v>
      </c>
      <c r="G1706" s="3">
        <f>parking_demand_data_2024_ver0!F1706</f>
        <v>1</v>
      </c>
      <c r="H1706" s="3">
        <f>parking_demand_data_2024_ver0!G1706</f>
        <v>0</v>
      </c>
      <c r="I1706" s="3">
        <f>parking_demand_data_2024_ver0!H1706</f>
        <v>0</v>
      </c>
      <c r="J1706" s="3">
        <f>parking_demand_data_2024_ver0!I1706</f>
        <v>1</v>
      </c>
      <c r="K1706" s="3">
        <f>parking_demand_data_2024_ver0!J1706</f>
        <v>0</v>
      </c>
      <c r="L1706" s="3">
        <f>parking_demand_data_2024_ver0!K1706</f>
        <v>0</v>
      </c>
      <c r="M1706" s="3">
        <f>parking_demand_data_2024_ver0!L1706</f>
        <v>0</v>
      </c>
      <c r="N1706" s="3">
        <f>parking_demand_data_2024_ver0!M1706</f>
        <v>20</v>
      </c>
      <c r="O1706" s="3">
        <f>parking_demand_data_2024_ver0!N1706</f>
        <v>0</v>
      </c>
      <c r="P1706" s="3">
        <f>parking_demand_data_2024_ver0!O1706</f>
        <v>0</v>
      </c>
      <c r="Q1706" s="3">
        <f>parking_demand_data_2024_ver0!P1706</f>
        <v>20</v>
      </c>
      <c r="R1706" s="3">
        <f>parking_demand_data_2024_ver0!Q1706</f>
        <v>0</v>
      </c>
      <c r="S1706" s="3">
        <f>parking_demand_data_2024_ver0!R1706</f>
        <v>0</v>
      </c>
      <c r="T1706" s="3">
        <f>parking_demand_data_2024_ver0!S1706</f>
        <v>0</v>
      </c>
    </row>
    <row r="1707" spans="1:20" x14ac:dyDescent="0.25">
      <c r="A1707">
        <v>18143</v>
      </c>
      <c r="B1707" t="s">
        <v>100</v>
      </c>
      <c r="C1707">
        <v>1</v>
      </c>
      <c r="D1707" s="3">
        <f>parking_demand_data_2024_ver0!D1707*calibration!$I$31</f>
        <v>2.9440069366991302</v>
      </c>
      <c r="E1707" s="3">
        <f>parking_demand_data_2024_ver0!E1707*calibration!$I$31</f>
        <v>1.2155899609596399</v>
      </c>
      <c r="F1707" s="3">
        <f t="shared" si="26"/>
        <v>4.1595968976587701</v>
      </c>
      <c r="G1707" s="3">
        <f>parking_demand_data_2024_ver0!F1707</f>
        <v>1</v>
      </c>
      <c r="H1707" s="3">
        <f>parking_demand_data_2024_ver0!G1707</f>
        <v>0</v>
      </c>
      <c r="I1707" s="3">
        <f>parking_demand_data_2024_ver0!H1707</f>
        <v>0</v>
      </c>
      <c r="J1707" s="3">
        <f>parking_demand_data_2024_ver0!I1707</f>
        <v>1</v>
      </c>
      <c r="K1707" s="3">
        <f>parking_demand_data_2024_ver0!J1707</f>
        <v>0</v>
      </c>
      <c r="L1707" s="3">
        <f>parking_demand_data_2024_ver0!K1707</f>
        <v>0</v>
      </c>
      <c r="M1707" s="3">
        <f>parking_demand_data_2024_ver0!L1707</f>
        <v>0</v>
      </c>
      <c r="N1707" s="3">
        <f>parking_demand_data_2024_ver0!M1707</f>
        <v>20</v>
      </c>
      <c r="O1707" s="3">
        <f>parking_demand_data_2024_ver0!N1707</f>
        <v>0</v>
      </c>
      <c r="P1707" s="3">
        <f>parking_demand_data_2024_ver0!O1707</f>
        <v>0</v>
      </c>
      <c r="Q1707" s="3">
        <f>parking_demand_data_2024_ver0!P1707</f>
        <v>20</v>
      </c>
      <c r="R1707" s="3">
        <f>parking_demand_data_2024_ver0!Q1707</f>
        <v>0</v>
      </c>
      <c r="S1707" s="3">
        <f>parking_demand_data_2024_ver0!R1707</f>
        <v>0</v>
      </c>
      <c r="T1707" s="3">
        <f>parking_demand_data_2024_ver0!S1707</f>
        <v>0</v>
      </c>
    </row>
    <row r="1708" spans="1:20" x14ac:dyDescent="0.25">
      <c r="A1708">
        <v>18143</v>
      </c>
      <c r="B1708" t="s">
        <v>100</v>
      </c>
      <c r="C1708">
        <v>2</v>
      </c>
      <c r="D1708" s="3">
        <f>parking_demand_data_2024_ver0!D1708*calibration!$I$31</f>
        <v>2.9440069366991302</v>
      </c>
      <c r="E1708" s="3">
        <f>parking_demand_data_2024_ver0!E1708*calibration!$I$31</f>
        <v>1.3865322992195901</v>
      </c>
      <c r="F1708" s="3">
        <f t="shared" si="26"/>
        <v>4.33053923591872</v>
      </c>
      <c r="G1708" s="3">
        <f>parking_demand_data_2024_ver0!F1708</f>
        <v>1</v>
      </c>
      <c r="H1708" s="3">
        <f>parking_demand_data_2024_ver0!G1708</f>
        <v>0</v>
      </c>
      <c r="I1708" s="3">
        <f>parking_demand_data_2024_ver0!H1708</f>
        <v>0</v>
      </c>
      <c r="J1708" s="3">
        <f>parking_demand_data_2024_ver0!I1708</f>
        <v>1</v>
      </c>
      <c r="K1708" s="3">
        <f>parking_demand_data_2024_ver0!J1708</f>
        <v>0</v>
      </c>
      <c r="L1708" s="3">
        <f>parking_demand_data_2024_ver0!K1708</f>
        <v>0</v>
      </c>
      <c r="M1708" s="3">
        <f>parking_demand_data_2024_ver0!L1708</f>
        <v>0</v>
      </c>
      <c r="N1708" s="3">
        <f>parking_demand_data_2024_ver0!M1708</f>
        <v>20</v>
      </c>
      <c r="O1708" s="3">
        <f>parking_demand_data_2024_ver0!N1708</f>
        <v>0</v>
      </c>
      <c r="P1708" s="3">
        <f>parking_demand_data_2024_ver0!O1708</f>
        <v>0</v>
      </c>
      <c r="Q1708" s="3">
        <f>parking_demand_data_2024_ver0!P1708</f>
        <v>20</v>
      </c>
      <c r="R1708" s="3">
        <f>parking_demand_data_2024_ver0!Q1708</f>
        <v>0</v>
      </c>
      <c r="S1708" s="3">
        <f>parking_demand_data_2024_ver0!R1708</f>
        <v>0</v>
      </c>
      <c r="T1708" s="3">
        <f>parking_demand_data_2024_ver0!S1708</f>
        <v>0</v>
      </c>
    </row>
    <row r="1709" spans="1:20" x14ac:dyDescent="0.25">
      <c r="A1709">
        <v>18143</v>
      </c>
      <c r="B1709" t="s">
        <v>100</v>
      </c>
      <c r="C1709">
        <v>3</v>
      </c>
      <c r="D1709" s="3">
        <f>parking_demand_data_2024_ver0!D1709*calibration!$I$31</f>
        <v>2.79205819157918</v>
      </c>
      <c r="E1709" s="3">
        <f>parking_demand_data_2024_ver0!E1709*calibration!$I$31</f>
        <v>1.6524426031795101</v>
      </c>
      <c r="F1709" s="3">
        <f t="shared" si="26"/>
        <v>4.4445007947586905</v>
      </c>
      <c r="G1709" s="3">
        <f>parking_demand_data_2024_ver0!F1709</f>
        <v>1</v>
      </c>
      <c r="H1709" s="3">
        <f>parking_demand_data_2024_ver0!G1709</f>
        <v>0</v>
      </c>
      <c r="I1709" s="3">
        <f>parking_demand_data_2024_ver0!H1709</f>
        <v>0</v>
      </c>
      <c r="J1709" s="3">
        <f>parking_demand_data_2024_ver0!I1709</f>
        <v>1</v>
      </c>
      <c r="K1709" s="3">
        <f>parking_demand_data_2024_ver0!J1709</f>
        <v>0</v>
      </c>
      <c r="L1709" s="3">
        <f>parking_demand_data_2024_ver0!K1709</f>
        <v>0</v>
      </c>
      <c r="M1709" s="3">
        <f>parking_demand_data_2024_ver0!L1709</f>
        <v>0</v>
      </c>
      <c r="N1709" s="3">
        <f>parking_demand_data_2024_ver0!M1709</f>
        <v>20</v>
      </c>
      <c r="O1709" s="3">
        <f>parking_demand_data_2024_ver0!N1709</f>
        <v>0</v>
      </c>
      <c r="P1709" s="3">
        <f>parking_demand_data_2024_ver0!O1709</f>
        <v>0</v>
      </c>
      <c r="Q1709" s="3">
        <f>parking_demand_data_2024_ver0!P1709</f>
        <v>20</v>
      </c>
      <c r="R1709" s="3">
        <f>parking_demand_data_2024_ver0!Q1709</f>
        <v>0</v>
      </c>
      <c r="S1709" s="3">
        <f>parking_demand_data_2024_ver0!R1709</f>
        <v>0</v>
      </c>
      <c r="T1709" s="3">
        <f>parking_demand_data_2024_ver0!S1709</f>
        <v>0</v>
      </c>
    </row>
    <row r="1710" spans="1:20" x14ac:dyDescent="0.25">
      <c r="A1710">
        <v>18143</v>
      </c>
      <c r="B1710" t="s">
        <v>100</v>
      </c>
      <c r="C1710">
        <v>4</v>
      </c>
      <c r="D1710" s="3">
        <f>parking_demand_data_2024_ver0!D1710*calibration!$I$31</f>
        <v>2.7730645984391802</v>
      </c>
      <c r="E1710" s="3">
        <f>parking_demand_data_2024_ver0!E1710*calibration!$I$31</f>
        <v>1.99432727969941</v>
      </c>
      <c r="F1710" s="3">
        <f t="shared" si="26"/>
        <v>4.7673918781385902</v>
      </c>
      <c r="G1710" s="3">
        <f>parking_demand_data_2024_ver0!F1710</f>
        <v>1</v>
      </c>
      <c r="H1710" s="3">
        <f>parking_demand_data_2024_ver0!G1710</f>
        <v>0</v>
      </c>
      <c r="I1710" s="3">
        <f>parking_demand_data_2024_ver0!H1710</f>
        <v>0</v>
      </c>
      <c r="J1710" s="3">
        <f>parking_demand_data_2024_ver0!I1710</f>
        <v>1</v>
      </c>
      <c r="K1710" s="3">
        <f>parking_demand_data_2024_ver0!J1710</f>
        <v>0</v>
      </c>
      <c r="L1710" s="3">
        <f>parking_demand_data_2024_ver0!K1710</f>
        <v>0</v>
      </c>
      <c r="M1710" s="3">
        <f>parking_demand_data_2024_ver0!L1710</f>
        <v>0</v>
      </c>
      <c r="N1710" s="3">
        <f>parking_demand_data_2024_ver0!M1710</f>
        <v>20</v>
      </c>
      <c r="O1710" s="3">
        <f>parking_demand_data_2024_ver0!N1710</f>
        <v>0</v>
      </c>
      <c r="P1710" s="3">
        <f>parking_demand_data_2024_ver0!O1710</f>
        <v>0</v>
      </c>
      <c r="Q1710" s="3">
        <f>parking_demand_data_2024_ver0!P1710</f>
        <v>20</v>
      </c>
      <c r="R1710" s="3">
        <f>parking_demand_data_2024_ver0!Q1710</f>
        <v>0</v>
      </c>
      <c r="S1710" s="3">
        <f>parking_demand_data_2024_ver0!R1710</f>
        <v>0</v>
      </c>
      <c r="T1710" s="3">
        <f>parking_demand_data_2024_ver0!S1710</f>
        <v>0</v>
      </c>
    </row>
    <row r="1711" spans="1:20" x14ac:dyDescent="0.25">
      <c r="A1711">
        <v>18143</v>
      </c>
      <c r="B1711" t="s">
        <v>100</v>
      </c>
      <c r="C1711">
        <v>5</v>
      </c>
      <c r="D1711" s="3">
        <f>parking_demand_data_2024_ver0!D1711*calibration!$I$31</f>
        <v>2.8110517847191701</v>
      </c>
      <c r="E1711" s="3">
        <f>parking_demand_data_2024_ver0!E1711*calibration!$I$31</f>
        <v>1.9183529071394301</v>
      </c>
      <c r="F1711" s="3">
        <f t="shared" si="26"/>
        <v>4.7294046918586004</v>
      </c>
      <c r="G1711" s="3">
        <f>parking_demand_data_2024_ver0!F1711</f>
        <v>1</v>
      </c>
      <c r="H1711" s="3">
        <f>parking_demand_data_2024_ver0!G1711</f>
        <v>0</v>
      </c>
      <c r="I1711" s="3">
        <f>parking_demand_data_2024_ver0!H1711</f>
        <v>0</v>
      </c>
      <c r="J1711" s="3">
        <f>parking_demand_data_2024_ver0!I1711</f>
        <v>1</v>
      </c>
      <c r="K1711" s="3">
        <f>parking_demand_data_2024_ver0!J1711</f>
        <v>0</v>
      </c>
      <c r="L1711" s="3">
        <f>parking_demand_data_2024_ver0!K1711</f>
        <v>0</v>
      </c>
      <c r="M1711" s="3">
        <f>parking_demand_data_2024_ver0!L1711</f>
        <v>0</v>
      </c>
      <c r="N1711" s="3">
        <f>parking_demand_data_2024_ver0!M1711</f>
        <v>20</v>
      </c>
      <c r="O1711" s="3">
        <f>parking_demand_data_2024_ver0!N1711</f>
        <v>0</v>
      </c>
      <c r="P1711" s="3">
        <f>parking_demand_data_2024_ver0!O1711</f>
        <v>0</v>
      </c>
      <c r="Q1711" s="3">
        <f>parking_demand_data_2024_ver0!P1711</f>
        <v>20</v>
      </c>
      <c r="R1711" s="3">
        <f>parking_demand_data_2024_ver0!Q1711</f>
        <v>0</v>
      </c>
      <c r="S1711" s="3">
        <f>parking_demand_data_2024_ver0!R1711</f>
        <v>0</v>
      </c>
      <c r="T1711" s="3">
        <f>parking_demand_data_2024_ver0!S1711</f>
        <v>0</v>
      </c>
    </row>
    <row r="1712" spans="1:20" x14ac:dyDescent="0.25">
      <c r="A1712">
        <v>18143</v>
      </c>
      <c r="B1712" t="s">
        <v>100</v>
      </c>
      <c r="C1712">
        <v>6</v>
      </c>
      <c r="D1712" s="3">
        <f>parking_demand_data_2024_ver0!D1712*calibration!$I$31</f>
        <v>2.6401094464592201</v>
      </c>
      <c r="E1712" s="3">
        <f>parking_demand_data_2024_ver0!E1712*calibration!$I$31</f>
        <v>1.80439134829947</v>
      </c>
      <c r="F1712" s="3">
        <f t="shared" si="26"/>
        <v>4.4445007947586905</v>
      </c>
      <c r="G1712" s="3">
        <f>parking_demand_data_2024_ver0!F1712</f>
        <v>1</v>
      </c>
      <c r="H1712" s="3">
        <f>parking_demand_data_2024_ver0!G1712</f>
        <v>0</v>
      </c>
      <c r="I1712" s="3">
        <f>parking_demand_data_2024_ver0!H1712</f>
        <v>0</v>
      </c>
      <c r="J1712" s="3">
        <f>parking_demand_data_2024_ver0!I1712</f>
        <v>1</v>
      </c>
      <c r="K1712" s="3">
        <f>parking_demand_data_2024_ver0!J1712</f>
        <v>0</v>
      </c>
      <c r="L1712" s="3">
        <f>parking_demand_data_2024_ver0!K1712</f>
        <v>0</v>
      </c>
      <c r="M1712" s="3">
        <f>parking_demand_data_2024_ver0!L1712</f>
        <v>0</v>
      </c>
      <c r="N1712" s="3">
        <f>parking_demand_data_2024_ver0!M1712</f>
        <v>20</v>
      </c>
      <c r="O1712" s="3">
        <f>parking_demand_data_2024_ver0!N1712</f>
        <v>0</v>
      </c>
      <c r="P1712" s="3">
        <f>parking_demand_data_2024_ver0!O1712</f>
        <v>0</v>
      </c>
      <c r="Q1712" s="3">
        <f>parking_demand_data_2024_ver0!P1712</f>
        <v>20</v>
      </c>
      <c r="R1712" s="3">
        <f>parking_demand_data_2024_ver0!Q1712</f>
        <v>0</v>
      </c>
      <c r="S1712" s="3">
        <f>parking_demand_data_2024_ver0!R1712</f>
        <v>0</v>
      </c>
      <c r="T1712" s="3">
        <f>parking_demand_data_2024_ver0!S1712</f>
        <v>0</v>
      </c>
    </row>
    <row r="1713" spans="1:20" x14ac:dyDescent="0.25">
      <c r="A1713">
        <v>18143</v>
      </c>
      <c r="B1713" t="s">
        <v>100</v>
      </c>
      <c r="C1713">
        <v>7</v>
      </c>
      <c r="D1713" s="3">
        <f>parking_demand_data_2024_ver0!D1713*calibration!$I$31</f>
        <v>2.2222503973793399</v>
      </c>
      <c r="E1713" s="3">
        <f>parking_demand_data_2024_ver0!E1713*calibration!$I$31</f>
        <v>2.0703016522593898</v>
      </c>
      <c r="F1713" s="3">
        <f t="shared" si="26"/>
        <v>4.2925520496387293</v>
      </c>
      <c r="G1713" s="3">
        <f>parking_demand_data_2024_ver0!F1713</f>
        <v>1</v>
      </c>
      <c r="H1713" s="3">
        <f>parking_demand_data_2024_ver0!G1713</f>
        <v>0</v>
      </c>
      <c r="I1713" s="3">
        <f>parking_demand_data_2024_ver0!H1713</f>
        <v>0</v>
      </c>
      <c r="J1713" s="3">
        <f>parking_demand_data_2024_ver0!I1713</f>
        <v>1</v>
      </c>
      <c r="K1713" s="3">
        <f>parking_demand_data_2024_ver0!J1713</f>
        <v>0</v>
      </c>
      <c r="L1713" s="3">
        <f>parking_demand_data_2024_ver0!K1713</f>
        <v>0</v>
      </c>
      <c r="M1713" s="3">
        <f>parking_demand_data_2024_ver0!L1713</f>
        <v>0</v>
      </c>
      <c r="N1713" s="3">
        <f>parking_demand_data_2024_ver0!M1713</f>
        <v>20</v>
      </c>
      <c r="O1713" s="3">
        <f>parking_demand_data_2024_ver0!N1713</f>
        <v>0</v>
      </c>
      <c r="P1713" s="3">
        <f>parking_demand_data_2024_ver0!O1713</f>
        <v>0</v>
      </c>
      <c r="Q1713" s="3">
        <f>parking_demand_data_2024_ver0!P1713</f>
        <v>20</v>
      </c>
      <c r="R1713" s="3">
        <f>parking_demand_data_2024_ver0!Q1713</f>
        <v>0</v>
      </c>
      <c r="S1713" s="3">
        <f>parking_demand_data_2024_ver0!R1713</f>
        <v>0</v>
      </c>
      <c r="T1713" s="3">
        <f>parking_demand_data_2024_ver0!S1713</f>
        <v>0</v>
      </c>
    </row>
    <row r="1714" spans="1:20" x14ac:dyDescent="0.25">
      <c r="A1714">
        <v>18143</v>
      </c>
      <c r="B1714" t="s">
        <v>100</v>
      </c>
      <c r="C1714">
        <v>8</v>
      </c>
      <c r="D1714" s="3">
        <f>parking_demand_data_2024_ver0!D1714*calibration!$I$31</f>
        <v>1.5574746374795401</v>
      </c>
      <c r="E1714" s="3">
        <f>parking_demand_data_2024_ver0!E1714*calibration!$I$31</f>
        <v>2.7730645984391802</v>
      </c>
      <c r="F1714" s="3">
        <f t="shared" si="26"/>
        <v>4.33053923591872</v>
      </c>
      <c r="G1714" s="3">
        <f>parking_demand_data_2024_ver0!F1714</f>
        <v>1</v>
      </c>
      <c r="H1714" s="3">
        <f>parking_demand_data_2024_ver0!G1714</f>
        <v>0</v>
      </c>
      <c r="I1714" s="3">
        <f>parking_demand_data_2024_ver0!H1714</f>
        <v>0</v>
      </c>
      <c r="J1714" s="3">
        <f>parking_demand_data_2024_ver0!I1714</f>
        <v>1</v>
      </c>
      <c r="K1714" s="3">
        <f>parking_demand_data_2024_ver0!J1714</f>
        <v>0</v>
      </c>
      <c r="L1714" s="3">
        <f>parking_demand_data_2024_ver0!K1714</f>
        <v>0</v>
      </c>
      <c r="M1714" s="3">
        <f>parking_demand_data_2024_ver0!L1714</f>
        <v>0</v>
      </c>
      <c r="N1714" s="3">
        <f>parking_demand_data_2024_ver0!M1714</f>
        <v>20</v>
      </c>
      <c r="O1714" s="3">
        <f>parking_demand_data_2024_ver0!N1714</f>
        <v>0</v>
      </c>
      <c r="P1714" s="3">
        <f>parking_demand_data_2024_ver0!O1714</f>
        <v>0</v>
      </c>
      <c r="Q1714" s="3">
        <f>parking_demand_data_2024_ver0!P1714</f>
        <v>20</v>
      </c>
      <c r="R1714" s="3">
        <f>parking_demand_data_2024_ver0!Q1714</f>
        <v>0</v>
      </c>
      <c r="S1714" s="3">
        <f>parking_demand_data_2024_ver0!R1714</f>
        <v>0</v>
      </c>
      <c r="T1714" s="3">
        <f>parking_demand_data_2024_ver0!S1714</f>
        <v>0</v>
      </c>
    </row>
    <row r="1715" spans="1:20" x14ac:dyDescent="0.25">
      <c r="A1715">
        <v>18143</v>
      </c>
      <c r="B1715" t="s">
        <v>100</v>
      </c>
      <c r="C1715">
        <v>9</v>
      </c>
      <c r="D1715" s="3">
        <f>parking_demand_data_2024_ver0!D1715*calibration!$I$31</f>
        <v>1.25357714723963</v>
      </c>
      <c r="E1715" s="3">
        <f>parking_demand_data_2024_ver0!E1715*calibration!$I$31</f>
        <v>2.8110517847191701</v>
      </c>
      <c r="F1715" s="3">
        <f t="shared" si="26"/>
        <v>4.0646289319587998</v>
      </c>
      <c r="G1715" s="3">
        <f>parking_demand_data_2024_ver0!F1715</f>
        <v>1</v>
      </c>
      <c r="H1715" s="3">
        <f>parking_demand_data_2024_ver0!G1715</f>
        <v>0</v>
      </c>
      <c r="I1715" s="3">
        <f>parking_demand_data_2024_ver0!H1715</f>
        <v>0</v>
      </c>
      <c r="J1715" s="3">
        <f>parking_demand_data_2024_ver0!I1715</f>
        <v>1</v>
      </c>
      <c r="K1715" s="3">
        <f>parking_demand_data_2024_ver0!J1715</f>
        <v>0</v>
      </c>
      <c r="L1715" s="3">
        <f>parking_demand_data_2024_ver0!K1715</f>
        <v>0</v>
      </c>
      <c r="M1715" s="3">
        <f>parking_demand_data_2024_ver0!L1715</f>
        <v>0</v>
      </c>
      <c r="N1715" s="3">
        <f>parking_demand_data_2024_ver0!M1715</f>
        <v>20</v>
      </c>
      <c r="O1715" s="3">
        <f>parking_demand_data_2024_ver0!N1715</f>
        <v>0</v>
      </c>
      <c r="P1715" s="3">
        <f>parking_demand_data_2024_ver0!O1715</f>
        <v>0</v>
      </c>
      <c r="Q1715" s="3">
        <f>parking_demand_data_2024_ver0!P1715</f>
        <v>20</v>
      </c>
      <c r="R1715" s="3">
        <f>parking_demand_data_2024_ver0!Q1715</f>
        <v>0</v>
      </c>
      <c r="S1715" s="3">
        <f>parking_demand_data_2024_ver0!R1715</f>
        <v>0</v>
      </c>
      <c r="T1715" s="3">
        <f>parking_demand_data_2024_ver0!S1715</f>
        <v>0</v>
      </c>
    </row>
    <row r="1716" spans="1:20" x14ac:dyDescent="0.25">
      <c r="A1716">
        <v>18143</v>
      </c>
      <c r="B1716" t="s">
        <v>100</v>
      </c>
      <c r="C1716">
        <v>10</v>
      </c>
      <c r="D1716" s="3">
        <f>parking_demand_data_2024_ver0!D1716*calibration!$I$31</f>
        <v>1.0446476226996899</v>
      </c>
      <c r="E1716" s="3">
        <f>parking_demand_data_2024_ver0!E1716*calibration!$I$31</f>
        <v>2.7350774121591899</v>
      </c>
      <c r="F1716" s="3">
        <f t="shared" si="26"/>
        <v>3.7797250348588798</v>
      </c>
      <c r="G1716" s="3">
        <f>parking_demand_data_2024_ver0!F1716</f>
        <v>1</v>
      </c>
      <c r="H1716" s="3">
        <f>parking_demand_data_2024_ver0!G1716</f>
        <v>0</v>
      </c>
      <c r="I1716" s="3">
        <f>parking_demand_data_2024_ver0!H1716</f>
        <v>0</v>
      </c>
      <c r="J1716" s="3">
        <f>parking_demand_data_2024_ver0!I1716</f>
        <v>1</v>
      </c>
      <c r="K1716" s="3">
        <f>parking_demand_data_2024_ver0!J1716</f>
        <v>0</v>
      </c>
      <c r="L1716" s="3">
        <f>parking_demand_data_2024_ver0!K1716</f>
        <v>0</v>
      </c>
      <c r="M1716" s="3">
        <f>parking_demand_data_2024_ver0!L1716</f>
        <v>0</v>
      </c>
      <c r="N1716" s="3">
        <f>parking_demand_data_2024_ver0!M1716</f>
        <v>20</v>
      </c>
      <c r="O1716" s="3">
        <f>parking_demand_data_2024_ver0!N1716</f>
        <v>0</v>
      </c>
      <c r="P1716" s="3">
        <f>parking_demand_data_2024_ver0!O1716</f>
        <v>0</v>
      </c>
      <c r="Q1716" s="3">
        <f>parking_demand_data_2024_ver0!P1716</f>
        <v>20</v>
      </c>
      <c r="R1716" s="3">
        <f>parking_demand_data_2024_ver0!Q1716</f>
        <v>0</v>
      </c>
      <c r="S1716" s="3">
        <f>parking_demand_data_2024_ver0!R1716</f>
        <v>0</v>
      </c>
      <c r="T1716" s="3">
        <f>parking_demand_data_2024_ver0!S1716</f>
        <v>0</v>
      </c>
    </row>
    <row r="1717" spans="1:20" x14ac:dyDescent="0.25">
      <c r="A1717">
        <v>18143</v>
      </c>
      <c r="B1717" t="s">
        <v>100</v>
      </c>
      <c r="C1717">
        <v>11</v>
      </c>
      <c r="D1717" s="3">
        <f>parking_demand_data_2024_ver0!D1717*calibration!$I$31</f>
        <v>0.93068606385972696</v>
      </c>
      <c r="E1717" s="3">
        <f>parking_demand_data_2024_ver0!E1717*calibration!$I$31</f>
        <v>2.0133208728394001</v>
      </c>
      <c r="F1717" s="3">
        <f t="shared" si="26"/>
        <v>2.9440069366991271</v>
      </c>
      <c r="G1717" s="3">
        <f>parking_demand_data_2024_ver0!F1717</f>
        <v>1</v>
      </c>
      <c r="H1717" s="3">
        <f>parking_demand_data_2024_ver0!G1717</f>
        <v>0</v>
      </c>
      <c r="I1717" s="3">
        <f>parking_demand_data_2024_ver0!H1717</f>
        <v>0</v>
      </c>
      <c r="J1717" s="3">
        <f>parking_demand_data_2024_ver0!I1717</f>
        <v>1</v>
      </c>
      <c r="K1717" s="3">
        <f>parking_demand_data_2024_ver0!J1717</f>
        <v>0</v>
      </c>
      <c r="L1717" s="3">
        <f>parking_demand_data_2024_ver0!K1717</f>
        <v>0</v>
      </c>
      <c r="M1717" s="3">
        <f>parking_demand_data_2024_ver0!L1717</f>
        <v>0</v>
      </c>
      <c r="N1717" s="3">
        <f>parking_demand_data_2024_ver0!M1717</f>
        <v>20</v>
      </c>
      <c r="O1717" s="3">
        <f>parking_demand_data_2024_ver0!N1717</f>
        <v>0</v>
      </c>
      <c r="P1717" s="3">
        <f>parking_demand_data_2024_ver0!O1717</f>
        <v>0</v>
      </c>
      <c r="Q1717" s="3">
        <f>parking_demand_data_2024_ver0!P1717</f>
        <v>20</v>
      </c>
      <c r="R1717" s="3">
        <f>parking_demand_data_2024_ver0!Q1717</f>
        <v>0</v>
      </c>
      <c r="S1717" s="3">
        <f>parking_demand_data_2024_ver0!R1717</f>
        <v>0</v>
      </c>
      <c r="T1717" s="3">
        <f>parking_demand_data_2024_ver0!S1717</f>
        <v>0</v>
      </c>
    </row>
    <row r="1718" spans="1:20" x14ac:dyDescent="0.25">
      <c r="A1718">
        <v>18143</v>
      </c>
      <c r="B1718" t="s">
        <v>100</v>
      </c>
      <c r="C1718">
        <v>12</v>
      </c>
      <c r="D1718" s="3">
        <f>parking_demand_data_2024_ver0!D1718*calibration!$I$31</f>
        <v>0.74075013245978205</v>
      </c>
      <c r="E1718" s="3">
        <f>parking_demand_data_2024_ver0!E1718*calibration!$I$31</f>
        <v>2.1082888385393801</v>
      </c>
      <c r="F1718" s="3">
        <f t="shared" si="26"/>
        <v>2.8490389709991621</v>
      </c>
      <c r="G1718" s="3">
        <f>parking_demand_data_2024_ver0!F1718</f>
        <v>1</v>
      </c>
      <c r="H1718" s="3">
        <f>parking_demand_data_2024_ver0!G1718</f>
        <v>0</v>
      </c>
      <c r="I1718" s="3">
        <f>parking_demand_data_2024_ver0!H1718</f>
        <v>0</v>
      </c>
      <c r="J1718" s="3">
        <f>parking_demand_data_2024_ver0!I1718</f>
        <v>1</v>
      </c>
      <c r="K1718" s="3">
        <f>parking_demand_data_2024_ver0!J1718</f>
        <v>0</v>
      </c>
      <c r="L1718" s="3">
        <f>parking_demand_data_2024_ver0!K1718</f>
        <v>0</v>
      </c>
      <c r="M1718" s="3">
        <f>parking_demand_data_2024_ver0!L1718</f>
        <v>0</v>
      </c>
      <c r="N1718" s="3">
        <f>parking_demand_data_2024_ver0!M1718</f>
        <v>20</v>
      </c>
      <c r="O1718" s="3">
        <f>parking_demand_data_2024_ver0!N1718</f>
        <v>0</v>
      </c>
      <c r="P1718" s="3">
        <f>parking_demand_data_2024_ver0!O1718</f>
        <v>0</v>
      </c>
      <c r="Q1718" s="3">
        <f>parking_demand_data_2024_ver0!P1718</f>
        <v>20</v>
      </c>
      <c r="R1718" s="3">
        <f>parking_demand_data_2024_ver0!Q1718</f>
        <v>0</v>
      </c>
      <c r="S1718" s="3">
        <f>parking_demand_data_2024_ver0!R1718</f>
        <v>0</v>
      </c>
      <c r="T1718" s="3">
        <f>parking_demand_data_2024_ver0!S1718</f>
        <v>0</v>
      </c>
    </row>
    <row r="1719" spans="1:20" x14ac:dyDescent="0.25">
      <c r="A1719">
        <v>18143</v>
      </c>
      <c r="B1719" t="s">
        <v>100</v>
      </c>
      <c r="C1719">
        <v>13</v>
      </c>
      <c r="D1719" s="3">
        <f>parking_demand_data_2024_ver0!D1719*calibration!$I$31</f>
        <v>0.87370528443974305</v>
      </c>
      <c r="E1719" s="3">
        <f>parking_demand_data_2024_ver0!E1719*calibration!$I$31</f>
        <v>1.9373465002794299</v>
      </c>
      <c r="F1719" s="3">
        <f t="shared" si="26"/>
        <v>2.8110517847191732</v>
      </c>
      <c r="G1719" s="3">
        <f>parking_demand_data_2024_ver0!F1719</f>
        <v>1</v>
      </c>
      <c r="H1719" s="3">
        <f>parking_demand_data_2024_ver0!G1719</f>
        <v>0</v>
      </c>
      <c r="I1719" s="3">
        <f>parking_demand_data_2024_ver0!H1719</f>
        <v>0</v>
      </c>
      <c r="J1719" s="3">
        <f>parking_demand_data_2024_ver0!I1719</f>
        <v>1</v>
      </c>
      <c r="K1719" s="3">
        <f>parking_demand_data_2024_ver0!J1719</f>
        <v>0</v>
      </c>
      <c r="L1719" s="3">
        <f>parking_demand_data_2024_ver0!K1719</f>
        <v>0</v>
      </c>
      <c r="M1719" s="3">
        <f>parking_demand_data_2024_ver0!L1719</f>
        <v>0</v>
      </c>
      <c r="N1719" s="3">
        <f>parking_demand_data_2024_ver0!M1719</f>
        <v>20</v>
      </c>
      <c r="O1719" s="3">
        <f>parking_demand_data_2024_ver0!N1719</f>
        <v>0</v>
      </c>
      <c r="P1719" s="3">
        <f>parking_demand_data_2024_ver0!O1719</f>
        <v>0</v>
      </c>
      <c r="Q1719" s="3">
        <f>parking_demand_data_2024_ver0!P1719</f>
        <v>20</v>
      </c>
      <c r="R1719" s="3">
        <f>parking_demand_data_2024_ver0!Q1719</f>
        <v>0</v>
      </c>
      <c r="S1719" s="3">
        <f>parking_demand_data_2024_ver0!R1719</f>
        <v>0</v>
      </c>
      <c r="T1719" s="3">
        <f>parking_demand_data_2024_ver0!S1719</f>
        <v>0</v>
      </c>
    </row>
    <row r="1720" spans="1:20" x14ac:dyDescent="0.25">
      <c r="A1720">
        <v>18143</v>
      </c>
      <c r="B1720" t="s">
        <v>100</v>
      </c>
      <c r="C1720">
        <v>14</v>
      </c>
      <c r="D1720" s="3">
        <f>parking_demand_data_2024_ver0!D1720*calibration!$I$31</f>
        <v>0.89269887757973798</v>
      </c>
      <c r="E1720" s="3">
        <f>parking_demand_data_2024_ver0!E1720*calibration!$I$31</f>
        <v>1.36753870607959</v>
      </c>
      <c r="F1720" s="3">
        <f t="shared" si="26"/>
        <v>2.260237583659328</v>
      </c>
      <c r="G1720" s="3">
        <f>parking_demand_data_2024_ver0!F1720</f>
        <v>1</v>
      </c>
      <c r="H1720" s="3">
        <f>parking_demand_data_2024_ver0!G1720</f>
        <v>0</v>
      </c>
      <c r="I1720" s="3">
        <f>parking_demand_data_2024_ver0!H1720</f>
        <v>0</v>
      </c>
      <c r="J1720" s="3">
        <f>parking_demand_data_2024_ver0!I1720</f>
        <v>1</v>
      </c>
      <c r="K1720" s="3">
        <f>parking_demand_data_2024_ver0!J1720</f>
        <v>0</v>
      </c>
      <c r="L1720" s="3">
        <f>parking_demand_data_2024_ver0!K1720</f>
        <v>0</v>
      </c>
      <c r="M1720" s="3">
        <f>parking_demand_data_2024_ver0!L1720</f>
        <v>0</v>
      </c>
      <c r="N1720" s="3">
        <f>parking_demand_data_2024_ver0!M1720</f>
        <v>20</v>
      </c>
      <c r="O1720" s="3">
        <f>parking_demand_data_2024_ver0!N1720</f>
        <v>0</v>
      </c>
      <c r="P1720" s="3">
        <f>parking_demand_data_2024_ver0!O1720</f>
        <v>0</v>
      </c>
      <c r="Q1720" s="3">
        <f>parking_demand_data_2024_ver0!P1720</f>
        <v>20</v>
      </c>
      <c r="R1720" s="3">
        <f>parking_demand_data_2024_ver0!Q1720</f>
        <v>0</v>
      </c>
      <c r="S1720" s="3">
        <f>parking_demand_data_2024_ver0!R1720</f>
        <v>0</v>
      </c>
      <c r="T1720" s="3">
        <f>parking_demand_data_2024_ver0!S1720</f>
        <v>0</v>
      </c>
    </row>
    <row r="1721" spans="1:20" x14ac:dyDescent="0.25">
      <c r="A1721">
        <v>18143</v>
      </c>
      <c r="B1721" t="s">
        <v>100</v>
      </c>
      <c r="C1721">
        <v>15</v>
      </c>
      <c r="D1721" s="3">
        <f>parking_demand_data_2024_ver0!D1721*calibration!$I$31</f>
        <v>0.81672450501976002</v>
      </c>
      <c r="E1721" s="3">
        <f>parking_demand_data_2024_ver0!E1721*calibration!$I$31</f>
        <v>1.3865322992195901</v>
      </c>
      <c r="F1721" s="3">
        <f t="shared" si="26"/>
        <v>2.2032568042393503</v>
      </c>
      <c r="G1721" s="3">
        <f>parking_demand_data_2024_ver0!F1721</f>
        <v>1</v>
      </c>
      <c r="H1721" s="3">
        <f>parking_demand_data_2024_ver0!G1721</f>
        <v>0</v>
      </c>
      <c r="I1721" s="3">
        <f>parking_demand_data_2024_ver0!H1721</f>
        <v>0</v>
      </c>
      <c r="J1721" s="3">
        <f>parking_demand_data_2024_ver0!I1721</f>
        <v>1</v>
      </c>
      <c r="K1721" s="3">
        <f>parking_demand_data_2024_ver0!J1721</f>
        <v>0</v>
      </c>
      <c r="L1721" s="3">
        <f>parking_demand_data_2024_ver0!K1721</f>
        <v>0</v>
      </c>
      <c r="M1721" s="3">
        <f>parking_demand_data_2024_ver0!L1721</f>
        <v>0</v>
      </c>
      <c r="N1721" s="3">
        <f>parking_demand_data_2024_ver0!M1721</f>
        <v>20</v>
      </c>
      <c r="O1721" s="3">
        <f>parking_demand_data_2024_ver0!N1721</f>
        <v>0</v>
      </c>
      <c r="P1721" s="3">
        <f>parking_demand_data_2024_ver0!O1721</f>
        <v>0</v>
      </c>
      <c r="Q1721" s="3">
        <f>parking_demand_data_2024_ver0!P1721</f>
        <v>20</v>
      </c>
      <c r="R1721" s="3">
        <f>parking_demand_data_2024_ver0!Q1721</f>
        <v>0</v>
      </c>
      <c r="S1721" s="3">
        <f>parking_demand_data_2024_ver0!R1721</f>
        <v>0</v>
      </c>
      <c r="T1721" s="3">
        <f>parking_demand_data_2024_ver0!S1721</f>
        <v>0</v>
      </c>
    </row>
    <row r="1722" spans="1:20" x14ac:dyDescent="0.25">
      <c r="A1722">
        <v>18143</v>
      </c>
      <c r="B1722" t="s">
        <v>100</v>
      </c>
      <c r="C1722">
        <v>16</v>
      </c>
      <c r="D1722" s="3">
        <f>parking_demand_data_2024_ver0!D1722*calibration!$I$31</f>
        <v>1.08263480897968</v>
      </c>
      <c r="E1722" s="3">
        <f>parking_demand_data_2024_ver0!E1722*calibration!$I$31</f>
        <v>1.08263480897968</v>
      </c>
      <c r="F1722" s="3">
        <f t="shared" si="26"/>
        <v>2.16526961795936</v>
      </c>
      <c r="G1722" s="3">
        <f>parking_demand_data_2024_ver0!F1722</f>
        <v>1</v>
      </c>
      <c r="H1722" s="3">
        <f>parking_demand_data_2024_ver0!G1722</f>
        <v>0</v>
      </c>
      <c r="I1722" s="3">
        <f>parking_demand_data_2024_ver0!H1722</f>
        <v>0</v>
      </c>
      <c r="J1722" s="3">
        <f>parking_demand_data_2024_ver0!I1722</f>
        <v>1</v>
      </c>
      <c r="K1722" s="3">
        <f>parking_demand_data_2024_ver0!J1722</f>
        <v>0</v>
      </c>
      <c r="L1722" s="3">
        <f>parking_demand_data_2024_ver0!K1722</f>
        <v>0</v>
      </c>
      <c r="M1722" s="3">
        <f>parking_demand_data_2024_ver0!L1722</f>
        <v>0</v>
      </c>
      <c r="N1722" s="3">
        <f>parking_demand_data_2024_ver0!M1722</f>
        <v>20</v>
      </c>
      <c r="O1722" s="3">
        <f>parking_demand_data_2024_ver0!N1722</f>
        <v>0</v>
      </c>
      <c r="P1722" s="3">
        <f>parking_demand_data_2024_ver0!O1722</f>
        <v>0</v>
      </c>
      <c r="Q1722" s="3">
        <f>parking_demand_data_2024_ver0!P1722</f>
        <v>20</v>
      </c>
      <c r="R1722" s="3">
        <f>parking_demand_data_2024_ver0!Q1722</f>
        <v>0</v>
      </c>
      <c r="S1722" s="3">
        <f>parking_demand_data_2024_ver0!R1722</f>
        <v>0</v>
      </c>
      <c r="T1722" s="3">
        <f>parking_demand_data_2024_ver0!S1722</f>
        <v>0</v>
      </c>
    </row>
    <row r="1723" spans="1:20" x14ac:dyDescent="0.25">
      <c r="A1723">
        <v>18143</v>
      </c>
      <c r="B1723" t="s">
        <v>100</v>
      </c>
      <c r="C1723">
        <v>17</v>
      </c>
      <c r="D1723" s="3">
        <f>parking_demand_data_2024_ver0!D1723*calibration!$I$31</f>
        <v>1.2345835540996299</v>
      </c>
      <c r="E1723" s="3">
        <f>parking_demand_data_2024_ver0!E1723*calibration!$I$31</f>
        <v>1.1396155883996599</v>
      </c>
      <c r="F1723" s="3">
        <f t="shared" si="26"/>
        <v>2.3741991424992896</v>
      </c>
      <c r="G1723" s="3">
        <f>parking_demand_data_2024_ver0!F1723</f>
        <v>1</v>
      </c>
      <c r="H1723" s="3">
        <f>parking_demand_data_2024_ver0!G1723</f>
        <v>0</v>
      </c>
      <c r="I1723" s="3">
        <f>parking_demand_data_2024_ver0!H1723</f>
        <v>0</v>
      </c>
      <c r="J1723" s="3">
        <f>parking_demand_data_2024_ver0!I1723</f>
        <v>1</v>
      </c>
      <c r="K1723" s="3">
        <f>parking_demand_data_2024_ver0!J1723</f>
        <v>0</v>
      </c>
      <c r="L1723" s="3">
        <f>parking_demand_data_2024_ver0!K1723</f>
        <v>0</v>
      </c>
      <c r="M1723" s="3">
        <f>parking_demand_data_2024_ver0!L1723</f>
        <v>0</v>
      </c>
      <c r="N1723" s="3">
        <f>parking_demand_data_2024_ver0!M1723</f>
        <v>20</v>
      </c>
      <c r="O1723" s="3">
        <f>parking_demand_data_2024_ver0!N1723</f>
        <v>0</v>
      </c>
      <c r="P1723" s="3">
        <f>parking_demand_data_2024_ver0!O1723</f>
        <v>0</v>
      </c>
      <c r="Q1723" s="3">
        <f>parking_demand_data_2024_ver0!P1723</f>
        <v>20</v>
      </c>
      <c r="R1723" s="3">
        <f>parking_demand_data_2024_ver0!Q1723</f>
        <v>0</v>
      </c>
      <c r="S1723" s="3">
        <f>parking_demand_data_2024_ver0!R1723</f>
        <v>0</v>
      </c>
      <c r="T1723" s="3">
        <f>parking_demand_data_2024_ver0!S1723</f>
        <v>0</v>
      </c>
    </row>
    <row r="1724" spans="1:20" x14ac:dyDescent="0.25">
      <c r="A1724">
        <v>18143</v>
      </c>
      <c r="B1724" t="s">
        <v>100</v>
      </c>
      <c r="C1724">
        <v>18</v>
      </c>
      <c r="D1724" s="3">
        <f>parking_demand_data_2024_ver0!D1724*calibration!$I$31</f>
        <v>1.6904297894595</v>
      </c>
      <c r="E1724" s="3">
        <f>parking_demand_data_2024_ver0!E1724*calibration!$I$31</f>
        <v>0.89269887757973798</v>
      </c>
      <c r="F1724" s="3">
        <f t="shared" si="26"/>
        <v>2.5831286670392379</v>
      </c>
      <c r="G1724" s="3">
        <f>parking_demand_data_2024_ver0!F1724</f>
        <v>1</v>
      </c>
      <c r="H1724" s="3">
        <f>parking_demand_data_2024_ver0!G1724</f>
        <v>0</v>
      </c>
      <c r="I1724" s="3">
        <f>parking_demand_data_2024_ver0!H1724</f>
        <v>0</v>
      </c>
      <c r="J1724" s="3">
        <f>parking_demand_data_2024_ver0!I1724</f>
        <v>1</v>
      </c>
      <c r="K1724" s="3">
        <f>parking_demand_data_2024_ver0!J1724</f>
        <v>0</v>
      </c>
      <c r="L1724" s="3">
        <f>parking_demand_data_2024_ver0!K1724</f>
        <v>0</v>
      </c>
      <c r="M1724" s="3">
        <f>parking_demand_data_2024_ver0!L1724</f>
        <v>0</v>
      </c>
      <c r="N1724" s="3">
        <f>parking_demand_data_2024_ver0!M1724</f>
        <v>20</v>
      </c>
      <c r="O1724" s="3">
        <f>parking_demand_data_2024_ver0!N1724</f>
        <v>0</v>
      </c>
      <c r="P1724" s="3">
        <f>parking_demand_data_2024_ver0!O1724</f>
        <v>0</v>
      </c>
      <c r="Q1724" s="3">
        <f>parking_demand_data_2024_ver0!P1724</f>
        <v>20</v>
      </c>
      <c r="R1724" s="3">
        <f>parking_demand_data_2024_ver0!Q1724</f>
        <v>0</v>
      </c>
      <c r="S1724" s="3">
        <f>parking_demand_data_2024_ver0!R1724</f>
        <v>0</v>
      </c>
      <c r="T1724" s="3">
        <f>parking_demand_data_2024_ver0!S1724</f>
        <v>0</v>
      </c>
    </row>
    <row r="1725" spans="1:20" x14ac:dyDescent="0.25">
      <c r="A1725">
        <v>18143</v>
      </c>
      <c r="B1725" t="s">
        <v>100</v>
      </c>
      <c r="C1725">
        <v>19</v>
      </c>
      <c r="D1725" s="3">
        <f>parking_demand_data_2024_ver0!D1725*calibration!$I$31</f>
        <v>1.9563400934194199</v>
      </c>
      <c r="E1725" s="3">
        <f>parking_demand_data_2024_ver0!E1725*calibration!$I$31</f>
        <v>0.83571809815975395</v>
      </c>
      <c r="F1725" s="3">
        <f t="shared" si="26"/>
        <v>2.7920581915791738</v>
      </c>
      <c r="G1725" s="3">
        <f>parking_demand_data_2024_ver0!F1725</f>
        <v>1</v>
      </c>
      <c r="H1725" s="3">
        <f>parking_demand_data_2024_ver0!G1725</f>
        <v>0</v>
      </c>
      <c r="I1725" s="3">
        <f>parking_demand_data_2024_ver0!H1725</f>
        <v>0</v>
      </c>
      <c r="J1725" s="3">
        <f>parking_demand_data_2024_ver0!I1725</f>
        <v>1</v>
      </c>
      <c r="K1725" s="3">
        <f>parking_demand_data_2024_ver0!J1725</f>
        <v>0</v>
      </c>
      <c r="L1725" s="3">
        <f>parking_demand_data_2024_ver0!K1725</f>
        <v>0</v>
      </c>
      <c r="M1725" s="3">
        <f>parking_demand_data_2024_ver0!L1725</f>
        <v>0</v>
      </c>
      <c r="N1725" s="3">
        <f>parking_demand_data_2024_ver0!M1725</f>
        <v>20</v>
      </c>
      <c r="O1725" s="3">
        <f>parking_demand_data_2024_ver0!N1725</f>
        <v>0</v>
      </c>
      <c r="P1725" s="3">
        <f>parking_demand_data_2024_ver0!O1725</f>
        <v>0</v>
      </c>
      <c r="Q1725" s="3">
        <f>parking_demand_data_2024_ver0!P1725</f>
        <v>20</v>
      </c>
      <c r="R1725" s="3">
        <f>parking_demand_data_2024_ver0!Q1725</f>
        <v>0</v>
      </c>
      <c r="S1725" s="3">
        <f>parking_demand_data_2024_ver0!R1725</f>
        <v>0</v>
      </c>
      <c r="T1725" s="3">
        <f>parking_demand_data_2024_ver0!S1725</f>
        <v>0</v>
      </c>
    </row>
    <row r="1726" spans="1:20" x14ac:dyDescent="0.25">
      <c r="A1726">
        <v>18143</v>
      </c>
      <c r="B1726" t="s">
        <v>100</v>
      </c>
      <c r="C1726">
        <v>20</v>
      </c>
      <c r="D1726" s="3">
        <f>parking_demand_data_2024_ver0!D1726*calibration!$I$31</f>
        <v>2.3172183630793199</v>
      </c>
      <c r="E1726" s="3">
        <f>parking_demand_data_2024_ver0!E1726*calibration!$I$31</f>
        <v>0.87370528443974305</v>
      </c>
      <c r="F1726" s="3">
        <f t="shared" si="26"/>
        <v>3.190923647519063</v>
      </c>
      <c r="G1726" s="3">
        <f>parking_demand_data_2024_ver0!F1726</f>
        <v>1</v>
      </c>
      <c r="H1726" s="3">
        <f>parking_demand_data_2024_ver0!G1726</f>
        <v>0</v>
      </c>
      <c r="I1726" s="3">
        <f>parking_demand_data_2024_ver0!H1726</f>
        <v>0</v>
      </c>
      <c r="J1726" s="3">
        <f>parking_demand_data_2024_ver0!I1726</f>
        <v>1</v>
      </c>
      <c r="K1726" s="3">
        <f>parking_demand_data_2024_ver0!J1726</f>
        <v>0</v>
      </c>
      <c r="L1726" s="3">
        <f>parking_demand_data_2024_ver0!K1726</f>
        <v>0</v>
      </c>
      <c r="M1726" s="3">
        <f>parking_demand_data_2024_ver0!L1726</f>
        <v>0</v>
      </c>
      <c r="N1726" s="3">
        <f>parking_demand_data_2024_ver0!M1726</f>
        <v>20</v>
      </c>
      <c r="O1726" s="3">
        <f>parking_demand_data_2024_ver0!N1726</f>
        <v>0</v>
      </c>
      <c r="P1726" s="3">
        <f>parking_demand_data_2024_ver0!O1726</f>
        <v>0</v>
      </c>
      <c r="Q1726" s="3">
        <f>parking_demand_data_2024_ver0!P1726</f>
        <v>20</v>
      </c>
      <c r="R1726" s="3">
        <f>parking_demand_data_2024_ver0!Q1726</f>
        <v>0</v>
      </c>
      <c r="S1726" s="3">
        <f>parking_demand_data_2024_ver0!R1726</f>
        <v>0</v>
      </c>
      <c r="T1726" s="3">
        <f>parking_demand_data_2024_ver0!S1726</f>
        <v>0</v>
      </c>
    </row>
    <row r="1727" spans="1:20" x14ac:dyDescent="0.25">
      <c r="A1727">
        <v>18143</v>
      </c>
      <c r="B1727" t="s">
        <v>100</v>
      </c>
      <c r="C1727">
        <v>21</v>
      </c>
      <c r="D1727" s="3">
        <f>parking_demand_data_2024_ver0!D1727*calibration!$I$31</f>
        <v>2.8110517847191701</v>
      </c>
      <c r="E1727" s="3">
        <f>parking_demand_data_2024_ver0!E1727*calibration!$I$31</f>
        <v>0.81672450501976002</v>
      </c>
      <c r="F1727" s="3">
        <f t="shared" si="26"/>
        <v>3.6277762897389301</v>
      </c>
      <c r="G1727" s="3">
        <f>parking_demand_data_2024_ver0!F1727</f>
        <v>1</v>
      </c>
      <c r="H1727" s="3">
        <f>parking_demand_data_2024_ver0!G1727</f>
        <v>0</v>
      </c>
      <c r="I1727" s="3">
        <f>parking_demand_data_2024_ver0!H1727</f>
        <v>0</v>
      </c>
      <c r="J1727" s="3">
        <f>parking_demand_data_2024_ver0!I1727</f>
        <v>1</v>
      </c>
      <c r="K1727" s="3">
        <f>parking_demand_data_2024_ver0!J1727</f>
        <v>0</v>
      </c>
      <c r="L1727" s="3">
        <f>parking_demand_data_2024_ver0!K1727</f>
        <v>0</v>
      </c>
      <c r="M1727" s="3">
        <f>parking_demand_data_2024_ver0!L1727</f>
        <v>0</v>
      </c>
      <c r="N1727" s="3">
        <f>parking_demand_data_2024_ver0!M1727</f>
        <v>20</v>
      </c>
      <c r="O1727" s="3">
        <f>parking_demand_data_2024_ver0!N1727</f>
        <v>0</v>
      </c>
      <c r="P1727" s="3">
        <f>parking_demand_data_2024_ver0!O1727</f>
        <v>0</v>
      </c>
      <c r="Q1727" s="3">
        <f>parking_demand_data_2024_ver0!P1727</f>
        <v>20</v>
      </c>
      <c r="R1727" s="3">
        <f>parking_demand_data_2024_ver0!Q1727</f>
        <v>0</v>
      </c>
      <c r="S1727" s="3">
        <f>parking_demand_data_2024_ver0!R1727</f>
        <v>0</v>
      </c>
      <c r="T1727" s="3">
        <f>parking_demand_data_2024_ver0!S1727</f>
        <v>0</v>
      </c>
    </row>
    <row r="1728" spans="1:20" x14ac:dyDescent="0.25">
      <c r="A1728">
        <v>18143</v>
      </c>
      <c r="B1728" t="s">
        <v>100</v>
      </c>
      <c r="C1728">
        <v>22</v>
      </c>
      <c r="D1728" s="3">
        <f>parking_demand_data_2024_ver0!D1728*calibration!$I$31</f>
        <v>2.9060197504191398</v>
      </c>
      <c r="E1728" s="3">
        <f>parking_demand_data_2024_ver0!E1728*calibration!$I$31</f>
        <v>0.83571809815975395</v>
      </c>
      <c r="F1728" s="3">
        <f t="shared" si="26"/>
        <v>3.7417378485788939</v>
      </c>
      <c r="G1728" s="3">
        <f>parking_demand_data_2024_ver0!F1728</f>
        <v>1</v>
      </c>
      <c r="H1728" s="3">
        <f>parking_demand_data_2024_ver0!G1728</f>
        <v>0</v>
      </c>
      <c r="I1728" s="3">
        <f>parking_demand_data_2024_ver0!H1728</f>
        <v>0</v>
      </c>
      <c r="J1728" s="3">
        <f>parking_demand_data_2024_ver0!I1728</f>
        <v>1</v>
      </c>
      <c r="K1728" s="3">
        <f>parking_demand_data_2024_ver0!J1728</f>
        <v>0</v>
      </c>
      <c r="L1728" s="3">
        <f>parking_demand_data_2024_ver0!K1728</f>
        <v>0</v>
      </c>
      <c r="M1728" s="3">
        <f>parking_demand_data_2024_ver0!L1728</f>
        <v>0</v>
      </c>
      <c r="N1728" s="3">
        <f>parking_demand_data_2024_ver0!M1728</f>
        <v>20</v>
      </c>
      <c r="O1728" s="3">
        <f>parking_demand_data_2024_ver0!N1728</f>
        <v>0</v>
      </c>
      <c r="P1728" s="3">
        <f>parking_demand_data_2024_ver0!O1728</f>
        <v>0</v>
      </c>
      <c r="Q1728" s="3">
        <f>parking_demand_data_2024_ver0!P1728</f>
        <v>20</v>
      </c>
      <c r="R1728" s="3">
        <f>parking_demand_data_2024_ver0!Q1728</f>
        <v>0</v>
      </c>
      <c r="S1728" s="3">
        <f>parking_demand_data_2024_ver0!R1728</f>
        <v>0</v>
      </c>
      <c r="T1728" s="3">
        <f>parking_demand_data_2024_ver0!S1728</f>
        <v>0</v>
      </c>
    </row>
    <row r="1729" spans="1:20" x14ac:dyDescent="0.25">
      <c r="A1729">
        <v>18143</v>
      </c>
      <c r="B1729" t="s">
        <v>100</v>
      </c>
      <c r="C1729">
        <v>23</v>
      </c>
      <c r="D1729" s="3">
        <f>parking_demand_data_2024_ver0!D1729*calibration!$I$31</f>
        <v>2.9060197504191398</v>
      </c>
      <c r="E1729" s="3">
        <f>parking_demand_data_2024_ver0!E1729*calibration!$I$31</f>
        <v>0.91169247071973203</v>
      </c>
      <c r="F1729" s="3">
        <f t="shared" si="26"/>
        <v>3.8177122211388719</v>
      </c>
      <c r="G1729" s="3">
        <f>parking_demand_data_2024_ver0!F1729</f>
        <v>1</v>
      </c>
      <c r="H1729" s="3">
        <f>parking_demand_data_2024_ver0!G1729</f>
        <v>0</v>
      </c>
      <c r="I1729" s="3">
        <f>parking_demand_data_2024_ver0!H1729</f>
        <v>0</v>
      </c>
      <c r="J1729" s="3">
        <f>parking_demand_data_2024_ver0!I1729</f>
        <v>1</v>
      </c>
      <c r="K1729" s="3">
        <f>parking_demand_data_2024_ver0!J1729</f>
        <v>0</v>
      </c>
      <c r="L1729" s="3">
        <f>parking_demand_data_2024_ver0!K1729</f>
        <v>0</v>
      </c>
      <c r="M1729" s="3">
        <f>parking_demand_data_2024_ver0!L1729</f>
        <v>0</v>
      </c>
      <c r="N1729" s="3">
        <f>parking_demand_data_2024_ver0!M1729</f>
        <v>20</v>
      </c>
      <c r="O1729" s="3">
        <f>parking_demand_data_2024_ver0!N1729</f>
        <v>0</v>
      </c>
      <c r="P1729" s="3">
        <f>parking_demand_data_2024_ver0!O1729</f>
        <v>0</v>
      </c>
      <c r="Q1729" s="3">
        <f>parking_demand_data_2024_ver0!P1729</f>
        <v>20</v>
      </c>
      <c r="R1729" s="3">
        <f>parking_demand_data_2024_ver0!Q1729</f>
        <v>0</v>
      </c>
      <c r="S1729" s="3">
        <f>parking_demand_data_2024_ver0!R1729</f>
        <v>0</v>
      </c>
      <c r="T1729" s="3">
        <f>parking_demand_data_2024_ver0!S1729</f>
        <v>0</v>
      </c>
    </row>
    <row r="1730" spans="1:20" x14ac:dyDescent="0.25">
      <c r="A1730">
        <v>18145</v>
      </c>
      <c r="B1730" t="s">
        <v>101</v>
      </c>
      <c r="C1730">
        <v>0</v>
      </c>
      <c r="D1730" s="3">
        <f>parking_demand_data_2024_ver0!D1730*calibration!$I$31</f>
        <v>116.149999999999</v>
      </c>
      <c r="E1730" s="3">
        <f>parking_demand_data_2024_ver0!E1730*calibration!$I$31</f>
        <v>12.8052296819787</v>
      </c>
      <c r="F1730" s="3">
        <f t="shared" si="26"/>
        <v>128.9552296819777</v>
      </c>
      <c r="G1730" s="3">
        <f>parking_demand_data_2024_ver0!F1730</f>
        <v>4</v>
      </c>
      <c r="H1730" s="3">
        <f>parking_demand_data_2024_ver0!G1730</f>
        <v>0</v>
      </c>
      <c r="I1730" s="3">
        <f>parking_demand_data_2024_ver0!H1730</f>
        <v>1</v>
      </c>
      <c r="J1730" s="3">
        <f>parking_demand_data_2024_ver0!I1730</f>
        <v>3</v>
      </c>
      <c r="K1730" s="3">
        <f>parking_demand_data_2024_ver0!J1730</f>
        <v>0</v>
      </c>
      <c r="L1730" s="3">
        <f>parking_demand_data_2024_ver0!K1730</f>
        <v>0</v>
      </c>
      <c r="M1730" s="3">
        <f>parking_demand_data_2024_ver0!L1730</f>
        <v>0</v>
      </c>
      <c r="N1730" s="3">
        <f>parking_demand_data_2024_ver0!M1730</f>
        <v>101</v>
      </c>
      <c r="O1730" s="3">
        <f>parking_demand_data_2024_ver0!N1730</f>
        <v>0</v>
      </c>
      <c r="P1730" s="3">
        <f>parking_demand_data_2024_ver0!O1730</f>
        <v>70</v>
      </c>
      <c r="Q1730" s="3">
        <f>parking_demand_data_2024_ver0!P1730</f>
        <v>31</v>
      </c>
      <c r="R1730" s="3">
        <f>parking_demand_data_2024_ver0!Q1730</f>
        <v>0</v>
      </c>
      <c r="S1730" s="3">
        <f>parking_demand_data_2024_ver0!R1730</f>
        <v>0</v>
      </c>
      <c r="T1730" s="3">
        <f>parking_demand_data_2024_ver0!S1730</f>
        <v>0</v>
      </c>
    </row>
    <row r="1731" spans="1:20" x14ac:dyDescent="0.25">
      <c r="A1731">
        <v>18145</v>
      </c>
      <c r="B1731" t="s">
        <v>101</v>
      </c>
      <c r="C1731">
        <v>1</v>
      </c>
      <c r="D1731" s="3">
        <f>parking_demand_data_2024_ver0!D1731*calibration!$I$31</f>
        <v>114.672473498233</v>
      </c>
      <c r="E1731" s="3">
        <f>parking_demand_data_2024_ver0!E1731*calibration!$I$31</f>
        <v>14.6110954063604</v>
      </c>
      <c r="F1731" s="3">
        <f t="shared" ref="F1731:F1794" si="27">SUM(D1731:E1731)</f>
        <v>129.28356890459341</v>
      </c>
      <c r="G1731" s="3">
        <f>parking_demand_data_2024_ver0!F1731</f>
        <v>4</v>
      </c>
      <c r="H1731" s="3">
        <f>parking_demand_data_2024_ver0!G1731</f>
        <v>0</v>
      </c>
      <c r="I1731" s="3">
        <f>parking_demand_data_2024_ver0!H1731</f>
        <v>1</v>
      </c>
      <c r="J1731" s="3">
        <f>parking_demand_data_2024_ver0!I1731</f>
        <v>3</v>
      </c>
      <c r="K1731" s="3">
        <f>parking_demand_data_2024_ver0!J1731</f>
        <v>0</v>
      </c>
      <c r="L1731" s="3">
        <f>parking_demand_data_2024_ver0!K1731</f>
        <v>0</v>
      </c>
      <c r="M1731" s="3">
        <f>parking_demand_data_2024_ver0!L1731</f>
        <v>0</v>
      </c>
      <c r="N1731" s="3">
        <f>parking_demand_data_2024_ver0!M1731</f>
        <v>101</v>
      </c>
      <c r="O1731" s="3">
        <f>parking_demand_data_2024_ver0!N1731</f>
        <v>0</v>
      </c>
      <c r="P1731" s="3">
        <f>parking_demand_data_2024_ver0!O1731</f>
        <v>70</v>
      </c>
      <c r="Q1731" s="3">
        <f>parking_demand_data_2024_ver0!P1731</f>
        <v>31</v>
      </c>
      <c r="R1731" s="3">
        <f>parking_demand_data_2024_ver0!Q1731</f>
        <v>0</v>
      </c>
      <c r="S1731" s="3">
        <f>parking_demand_data_2024_ver0!R1731</f>
        <v>0</v>
      </c>
      <c r="T1731" s="3">
        <f>parking_demand_data_2024_ver0!S1731</f>
        <v>0</v>
      </c>
    </row>
    <row r="1732" spans="1:20" x14ac:dyDescent="0.25">
      <c r="A1732">
        <v>18145</v>
      </c>
      <c r="B1732" t="s">
        <v>101</v>
      </c>
      <c r="C1732">
        <v>2</v>
      </c>
      <c r="D1732" s="3">
        <f>parking_demand_data_2024_ver0!D1732*calibration!$I$31</f>
        <v>113.482243816254</v>
      </c>
      <c r="E1732" s="3">
        <f>parking_demand_data_2024_ver0!E1732*calibration!$I$31</f>
        <v>15.472985865724301</v>
      </c>
      <c r="F1732" s="3">
        <f t="shared" si="27"/>
        <v>128.9552296819783</v>
      </c>
      <c r="G1732" s="3">
        <f>parking_demand_data_2024_ver0!F1732</f>
        <v>4</v>
      </c>
      <c r="H1732" s="3">
        <f>parking_demand_data_2024_ver0!G1732</f>
        <v>0</v>
      </c>
      <c r="I1732" s="3">
        <f>parking_demand_data_2024_ver0!H1732</f>
        <v>1</v>
      </c>
      <c r="J1732" s="3">
        <f>parking_demand_data_2024_ver0!I1732</f>
        <v>3</v>
      </c>
      <c r="K1732" s="3">
        <f>parking_demand_data_2024_ver0!J1732</f>
        <v>0</v>
      </c>
      <c r="L1732" s="3">
        <f>parking_demand_data_2024_ver0!K1732</f>
        <v>0</v>
      </c>
      <c r="M1732" s="3">
        <f>parking_demand_data_2024_ver0!L1732</f>
        <v>0</v>
      </c>
      <c r="N1732" s="3">
        <f>parking_demand_data_2024_ver0!M1732</f>
        <v>101</v>
      </c>
      <c r="O1732" s="3">
        <f>parking_demand_data_2024_ver0!N1732</f>
        <v>0</v>
      </c>
      <c r="P1732" s="3">
        <f>parking_demand_data_2024_ver0!O1732</f>
        <v>70</v>
      </c>
      <c r="Q1732" s="3">
        <f>parking_demand_data_2024_ver0!P1732</f>
        <v>31</v>
      </c>
      <c r="R1732" s="3">
        <f>parking_demand_data_2024_ver0!Q1732</f>
        <v>0</v>
      </c>
      <c r="S1732" s="3">
        <f>parking_demand_data_2024_ver0!R1732</f>
        <v>0</v>
      </c>
      <c r="T1732" s="3">
        <f>parking_demand_data_2024_ver0!S1732</f>
        <v>0</v>
      </c>
    </row>
    <row r="1733" spans="1:20" x14ac:dyDescent="0.25">
      <c r="A1733">
        <v>18145</v>
      </c>
      <c r="B1733" t="s">
        <v>101</v>
      </c>
      <c r="C1733">
        <v>3</v>
      </c>
      <c r="D1733" s="3">
        <f>parking_demand_data_2024_ver0!D1733*calibration!$I$31</f>
        <v>112.866607773851</v>
      </c>
      <c r="E1733" s="3">
        <f>parking_demand_data_2024_ver0!E1733*calibration!$I$31</f>
        <v>16.540088339222599</v>
      </c>
      <c r="F1733" s="3">
        <f t="shared" si="27"/>
        <v>129.40669611307359</v>
      </c>
      <c r="G1733" s="3">
        <f>parking_demand_data_2024_ver0!F1733</f>
        <v>4</v>
      </c>
      <c r="H1733" s="3">
        <f>parking_demand_data_2024_ver0!G1733</f>
        <v>0</v>
      </c>
      <c r="I1733" s="3">
        <f>parking_demand_data_2024_ver0!H1733</f>
        <v>1</v>
      </c>
      <c r="J1733" s="3">
        <f>parking_demand_data_2024_ver0!I1733</f>
        <v>3</v>
      </c>
      <c r="K1733" s="3">
        <f>parking_demand_data_2024_ver0!J1733</f>
        <v>0</v>
      </c>
      <c r="L1733" s="3">
        <f>parking_demand_data_2024_ver0!K1733</f>
        <v>0</v>
      </c>
      <c r="M1733" s="3">
        <f>parking_demand_data_2024_ver0!L1733</f>
        <v>0</v>
      </c>
      <c r="N1733" s="3">
        <f>parking_demand_data_2024_ver0!M1733</f>
        <v>101</v>
      </c>
      <c r="O1733" s="3">
        <f>parking_demand_data_2024_ver0!N1733</f>
        <v>0</v>
      </c>
      <c r="P1733" s="3">
        <f>parking_demand_data_2024_ver0!O1733</f>
        <v>70</v>
      </c>
      <c r="Q1733" s="3">
        <f>parking_demand_data_2024_ver0!P1733</f>
        <v>31</v>
      </c>
      <c r="R1733" s="3">
        <f>parking_demand_data_2024_ver0!Q1733</f>
        <v>0</v>
      </c>
      <c r="S1733" s="3">
        <f>parking_demand_data_2024_ver0!R1733</f>
        <v>0</v>
      </c>
      <c r="T1733" s="3">
        <f>parking_demand_data_2024_ver0!S1733</f>
        <v>0</v>
      </c>
    </row>
    <row r="1734" spans="1:20" x14ac:dyDescent="0.25">
      <c r="A1734">
        <v>18145</v>
      </c>
      <c r="B1734" t="s">
        <v>101</v>
      </c>
      <c r="C1734">
        <v>4</v>
      </c>
      <c r="D1734" s="3">
        <f>parking_demand_data_2024_ver0!D1734*calibration!$I$31</f>
        <v>110.198851590106</v>
      </c>
      <c r="E1734" s="3">
        <f>parking_demand_data_2024_ver0!E1734*calibration!$I$31</f>
        <v>17.976572438162499</v>
      </c>
      <c r="F1734" s="3">
        <f t="shared" si="27"/>
        <v>128.17542402826851</v>
      </c>
      <c r="G1734" s="3">
        <f>parking_demand_data_2024_ver0!F1734</f>
        <v>4</v>
      </c>
      <c r="H1734" s="3">
        <f>parking_demand_data_2024_ver0!G1734</f>
        <v>0</v>
      </c>
      <c r="I1734" s="3">
        <f>parking_demand_data_2024_ver0!H1734</f>
        <v>1</v>
      </c>
      <c r="J1734" s="3">
        <f>parking_demand_data_2024_ver0!I1734</f>
        <v>3</v>
      </c>
      <c r="K1734" s="3">
        <f>parking_demand_data_2024_ver0!J1734</f>
        <v>0</v>
      </c>
      <c r="L1734" s="3">
        <f>parking_demand_data_2024_ver0!K1734</f>
        <v>0</v>
      </c>
      <c r="M1734" s="3">
        <f>parking_demand_data_2024_ver0!L1734</f>
        <v>0</v>
      </c>
      <c r="N1734" s="3">
        <f>parking_demand_data_2024_ver0!M1734</f>
        <v>101</v>
      </c>
      <c r="O1734" s="3">
        <f>parking_demand_data_2024_ver0!N1734</f>
        <v>0</v>
      </c>
      <c r="P1734" s="3">
        <f>parking_demand_data_2024_ver0!O1734</f>
        <v>70</v>
      </c>
      <c r="Q1734" s="3">
        <f>parking_demand_data_2024_ver0!P1734</f>
        <v>31</v>
      </c>
      <c r="R1734" s="3">
        <f>parking_demand_data_2024_ver0!Q1734</f>
        <v>0</v>
      </c>
      <c r="S1734" s="3">
        <f>parking_demand_data_2024_ver0!R1734</f>
        <v>0</v>
      </c>
      <c r="T1734" s="3">
        <f>parking_demand_data_2024_ver0!S1734</f>
        <v>0</v>
      </c>
    </row>
    <row r="1735" spans="1:20" x14ac:dyDescent="0.25">
      <c r="A1735">
        <v>18145</v>
      </c>
      <c r="B1735" t="s">
        <v>101</v>
      </c>
      <c r="C1735">
        <v>5</v>
      </c>
      <c r="D1735" s="3">
        <f>parking_demand_data_2024_ver0!D1735*calibration!$I$31</f>
        <v>107.777349823321</v>
      </c>
      <c r="E1735" s="3">
        <f>parking_demand_data_2024_ver0!E1735*calibration!$I$31</f>
        <v>20.0286925795053</v>
      </c>
      <c r="F1735" s="3">
        <f t="shared" si="27"/>
        <v>127.80604240282631</v>
      </c>
      <c r="G1735" s="3">
        <f>parking_demand_data_2024_ver0!F1735</f>
        <v>4</v>
      </c>
      <c r="H1735" s="3">
        <f>parking_demand_data_2024_ver0!G1735</f>
        <v>0</v>
      </c>
      <c r="I1735" s="3">
        <f>parking_demand_data_2024_ver0!H1735</f>
        <v>1</v>
      </c>
      <c r="J1735" s="3">
        <f>parking_demand_data_2024_ver0!I1735</f>
        <v>3</v>
      </c>
      <c r="K1735" s="3">
        <f>parking_demand_data_2024_ver0!J1735</f>
        <v>0</v>
      </c>
      <c r="L1735" s="3">
        <f>parking_demand_data_2024_ver0!K1735</f>
        <v>0</v>
      </c>
      <c r="M1735" s="3">
        <f>parking_demand_data_2024_ver0!L1735</f>
        <v>0</v>
      </c>
      <c r="N1735" s="3">
        <f>parking_demand_data_2024_ver0!M1735</f>
        <v>101</v>
      </c>
      <c r="O1735" s="3">
        <f>parking_demand_data_2024_ver0!N1735</f>
        <v>0</v>
      </c>
      <c r="P1735" s="3">
        <f>parking_demand_data_2024_ver0!O1735</f>
        <v>70</v>
      </c>
      <c r="Q1735" s="3">
        <f>parking_demand_data_2024_ver0!P1735</f>
        <v>31</v>
      </c>
      <c r="R1735" s="3">
        <f>parking_demand_data_2024_ver0!Q1735</f>
        <v>0</v>
      </c>
      <c r="S1735" s="3">
        <f>parking_demand_data_2024_ver0!R1735</f>
        <v>0</v>
      </c>
      <c r="T1735" s="3">
        <f>parking_demand_data_2024_ver0!S1735</f>
        <v>0</v>
      </c>
    </row>
    <row r="1736" spans="1:20" x14ac:dyDescent="0.25">
      <c r="A1736">
        <v>18145</v>
      </c>
      <c r="B1736" t="s">
        <v>101</v>
      </c>
      <c r="C1736">
        <v>6</v>
      </c>
      <c r="D1736" s="3">
        <f>parking_demand_data_2024_ver0!D1736*calibration!$I$31</f>
        <v>103.46789752650101</v>
      </c>
      <c r="E1736" s="3">
        <f>parking_demand_data_2024_ver0!E1736*calibration!$I$31</f>
        <v>21.506219081272</v>
      </c>
      <c r="F1736" s="3">
        <f t="shared" si="27"/>
        <v>124.974116607773</v>
      </c>
      <c r="G1736" s="3">
        <f>parking_demand_data_2024_ver0!F1736</f>
        <v>4</v>
      </c>
      <c r="H1736" s="3">
        <f>parking_demand_data_2024_ver0!G1736</f>
        <v>0</v>
      </c>
      <c r="I1736" s="3">
        <f>parking_demand_data_2024_ver0!H1736</f>
        <v>1</v>
      </c>
      <c r="J1736" s="3">
        <f>parking_demand_data_2024_ver0!I1736</f>
        <v>3</v>
      </c>
      <c r="K1736" s="3">
        <f>parking_demand_data_2024_ver0!J1736</f>
        <v>0</v>
      </c>
      <c r="L1736" s="3">
        <f>parking_demand_data_2024_ver0!K1736</f>
        <v>0</v>
      </c>
      <c r="M1736" s="3">
        <f>parking_demand_data_2024_ver0!L1736</f>
        <v>0</v>
      </c>
      <c r="N1736" s="3">
        <f>parking_demand_data_2024_ver0!M1736</f>
        <v>101</v>
      </c>
      <c r="O1736" s="3">
        <f>parking_demand_data_2024_ver0!N1736</f>
        <v>0</v>
      </c>
      <c r="P1736" s="3">
        <f>parking_demand_data_2024_ver0!O1736</f>
        <v>70</v>
      </c>
      <c r="Q1736" s="3">
        <f>parking_demand_data_2024_ver0!P1736</f>
        <v>31</v>
      </c>
      <c r="R1736" s="3">
        <f>parking_demand_data_2024_ver0!Q1736</f>
        <v>0</v>
      </c>
      <c r="S1736" s="3">
        <f>parking_demand_data_2024_ver0!R1736</f>
        <v>0</v>
      </c>
      <c r="T1736" s="3">
        <f>parking_demand_data_2024_ver0!S1736</f>
        <v>0</v>
      </c>
    </row>
    <row r="1737" spans="1:20" x14ac:dyDescent="0.25">
      <c r="A1737">
        <v>18145</v>
      </c>
      <c r="B1737" t="s">
        <v>101</v>
      </c>
      <c r="C1737">
        <v>7</v>
      </c>
      <c r="D1737" s="3">
        <f>parking_demand_data_2024_ver0!D1737*calibration!$I$31</f>
        <v>100.47180212014101</v>
      </c>
      <c r="E1737" s="3">
        <f>parking_demand_data_2024_ver0!E1737*calibration!$I$31</f>
        <v>19.207844522968099</v>
      </c>
      <c r="F1737" s="3">
        <f t="shared" si="27"/>
        <v>119.67964664310911</v>
      </c>
      <c r="G1737" s="3">
        <f>parking_demand_data_2024_ver0!F1737</f>
        <v>4</v>
      </c>
      <c r="H1737" s="3">
        <f>parking_demand_data_2024_ver0!G1737</f>
        <v>0</v>
      </c>
      <c r="I1737" s="3">
        <f>parking_demand_data_2024_ver0!H1737</f>
        <v>1</v>
      </c>
      <c r="J1737" s="3">
        <f>parking_demand_data_2024_ver0!I1737</f>
        <v>3</v>
      </c>
      <c r="K1737" s="3">
        <f>parking_demand_data_2024_ver0!J1737</f>
        <v>0</v>
      </c>
      <c r="L1737" s="3">
        <f>parking_demand_data_2024_ver0!K1737</f>
        <v>0</v>
      </c>
      <c r="M1737" s="3">
        <f>parking_demand_data_2024_ver0!L1737</f>
        <v>0</v>
      </c>
      <c r="N1737" s="3">
        <f>parking_demand_data_2024_ver0!M1737</f>
        <v>101</v>
      </c>
      <c r="O1737" s="3">
        <f>parking_demand_data_2024_ver0!N1737</f>
        <v>0</v>
      </c>
      <c r="P1737" s="3">
        <f>parking_demand_data_2024_ver0!O1737</f>
        <v>70</v>
      </c>
      <c r="Q1737" s="3">
        <f>parking_demand_data_2024_ver0!P1737</f>
        <v>31</v>
      </c>
      <c r="R1737" s="3">
        <f>parking_demand_data_2024_ver0!Q1737</f>
        <v>0</v>
      </c>
      <c r="S1737" s="3">
        <f>parking_demand_data_2024_ver0!R1737</f>
        <v>0</v>
      </c>
      <c r="T1737" s="3">
        <f>parking_demand_data_2024_ver0!S1737</f>
        <v>0</v>
      </c>
    </row>
    <row r="1738" spans="1:20" x14ac:dyDescent="0.25">
      <c r="A1738">
        <v>18145</v>
      </c>
      <c r="B1738" t="s">
        <v>101</v>
      </c>
      <c r="C1738">
        <v>8</v>
      </c>
      <c r="D1738" s="3">
        <f>parking_demand_data_2024_ver0!D1738*calibration!$I$31</f>
        <v>91.237261484098894</v>
      </c>
      <c r="E1738" s="3">
        <f>parking_demand_data_2024_ver0!E1738*calibration!$I$31</f>
        <v>13.995459363957499</v>
      </c>
      <c r="F1738" s="3">
        <f t="shared" si="27"/>
        <v>105.23272084805639</v>
      </c>
      <c r="G1738" s="3">
        <f>parking_demand_data_2024_ver0!F1738</f>
        <v>4</v>
      </c>
      <c r="H1738" s="3">
        <f>parking_demand_data_2024_ver0!G1738</f>
        <v>0</v>
      </c>
      <c r="I1738" s="3">
        <f>parking_demand_data_2024_ver0!H1738</f>
        <v>1</v>
      </c>
      <c r="J1738" s="3">
        <f>parking_demand_data_2024_ver0!I1738</f>
        <v>3</v>
      </c>
      <c r="K1738" s="3">
        <f>parking_demand_data_2024_ver0!J1738</f>
        <v>0</v>
      </c>
      <c r="L1738" s="3">
        <f>parking_demand_data_2024_ver0!K1738</f>
        <v>0</v>
      </c>
      <c r="M1738" s="3">
        <f>parking_demand_data_2024_ver0!L1738</f>
        <v>0</v>
      </c>
      <c r="N1738" s="3">
        <f>parking_demand_data_2024_ver0!M1738</f>
        <v>101</v>
      </c>
      <c r="O1738" s="3">
        <f>parking_demand_data_2024_ver0!N1738</f>
        <v>0</v>
      </c>
      <c r="P1738" s="3">
        <f>parking_demand_data_2024_ver0!O1738</f>
        <v>70</v>
      </c>
      <c r="Q1738" s="3">
        <f>parking_demand_data_2024_ver0!P1738</f>
        <v>31</v>
      </c>
      <c r="R1738" s="3">
        <f>parking_demand_data_2024_ver0!Q1738</f>
        <v>0</v>
      </c>
      <c r="S1738" s="3">
        <f>parking_demand_data_2024_ver0!R1738</f>
        <v>0</v>
      </c>
      <c r="T1738" s="3">
        <f>parking_demand_data_2024_ver0!S1738</f>
        <v>0</v>
      </c>
    </row>
    <row r="1739" spans="1:20" x14ac:dyDescent="0.25">
      <c r="A1739">
        <v>18145</v>
      </c>
      <c r="B1739" t="s">
        <v>101</v>
      </c>
      <c r="C1739">
        <v>9</v>
      </c>
      <c r="D1739" s="3">
        <f>parking_demand_data_2024_ver0!D1739*calibration!$I$31</f>
        <v>84.916731448763201</v>
      </c>
      <c r="E1739" s="3">
        <f>parking_demand_data_2024_ver0!E1739*calibration!$I$31</f>
        <v>9.0293286219081192</v>
      </c>
      <c r="F1739" s="3">
        <f t="shared" si="27"/>
        <v>93.946060070671322</v>
      </c>
      <c r="G1739" s="3">
        <f>parking_demand_data_2024_ver0!F1739</f>
        <v>4</v>
      </c>
      <c r="H1739" s="3">
        <f>parking_demand_data_2024_ver0!G1739</f>
        <v>0</v>
      </c>
      <c r="I1739" s="3">
        <f>parking_demand_data_2024_ver0!H1739</f>
        <v>1</v>
      </c>
      <c r="J1739" s="3">
        <f>parking_demand_data_2024_ver0!I1739</f>
        <v>3</v>
      </c>
      <c r="K1739" s="3">
        <f>parking_demand_data_2024_ver0!J1739</f>
        <v>0</v>
      </c>
      <c r="L1739" s="3">
        <f>parking_demand_data_2024_ver0!K1739</f>
        <v>0</v>
      </c>
      <c r="M1739" s="3">
        <f>parking_demand_data_2024_ver0!L1739</f>
        <v>0</v>
      </c>
      <c r="N1739" s="3">
        <f>parking_demand_data_2024_ver0!M1739</f>
        <v>101</v>
      </c>
      <c r="O1739" s="3">
        <f>parking_demand_data_2024_ver0!N1739</f>
        <v>0</v>
      </c>
      <c r="P1739" s="3">
        <f>parking_demand_data_2024_ver0!O1739</f>
        <v>70</v>
      </c>
      <c r="Q1739" s="3">
        <f>parking_demand_data_2024_ver0!P1739</f>
        <v>31</v>
      </c>
      <c r="R1739" s="3">
        <f>parking_demand_data_2024_ver0!Q1739</f>
        <v>0</v>
      </c>
      <c r="S1739" s="3">
        <f>parking_demand_data_2024_ver0!R1739</f>
        <v>0</v>
      </c>
      <c r="T1739" s="3">
        <f>parking_demand_data_2024_ver0!S1739</f>
        <v>0</v>
      </c>
    </row>
    <row r="1740" spans="1:20" x14ac:dyDescent="0.25">
      <c r="A1740">
        <v>18145</v>
      </c>
      <c r="B1740" t="s">
        <v>101</v>
      </c>
      <c r="C1740">
        <v>10</v>
      </c>
      <c r="D1740" s="3">
        <f>parking_demand_data_2024_ver0!D1740*calibration!$I$31</f>
        <v>83.028780918727904</v>
      </c>
      <c r="E1740" s="3">
        <f>parking_demand_data_2024_ver0!E1740*calibration!$I$31</f>
        <v>7.0592932862190798</v>
      </c>
      <c r="F1740" s="3">
        <f t="shared" si="27"/>
        <v>90.088074204946977</v>
      </c>
      <c r="G1740" s="3">
        <f>parking_demand_data_2024_ver0!F1740</f>
        <v>4</v>
      </c>
      <c r="H1740" s="3">
        <f>parking_demand_data_2024_ver0!G1740</f>
        <v>0</v>
      </c>
      <c r="I1740" s="3">
        <f>parking_demand_data_2024_ver0!H1740</f>
        <v>1</v>
      </c>
      <c r="J1740" s="3">
        <f>parking_demand_data_2024_ver0!I1740</f>
        <v>3</v>
      </c>
      <c r="K1740" s="3">
        <f>parking_demand_data_2024_ver0!J1740</f>
        <v>0</v>
      </c>
      <c r="L1740" s="3">
        <f>parking_demand_data_2024_ver0!K1740</f>
        <v>0</v>
      </c>
      <c r="M1740" s="3">
        <f>parking_demand_data_2024_ver0!L1740</f>
        <v>0</v>
      </c>
      <c r="N1740" s="3">
        <f>parking_demand_data_2024_ver0!M1740</f>
        <v>101</v>
      </c>
      <c r="O1740" s="3">
        <f>parking_demand_data_2024_ver0!N1740</f>
        <v>0</v>
      </c>
      <c r="P1740" s="3">
        <f>parking_demand_data_2024_ver0!O1740</f>
        <v>70</v>
      </c>
      <c r="Q1740" s="3">
        <f>parking_demand_data_2024_ver0!P1740</f>
        <v>31</v>
      </c>
      <c r="R1740" s="3">
        <f>parking_demand_data_2024_ver0!Q1740</f>
        <v>0</v>
      </c>
      <c r="S1740" s="3">
        <f>parking_demand_data_2024_ver0!R1740</f>
        <v>0</v>
      </c>
      <c r="T1740" s="3">
        <f>parking_demand_data_2024_ver0!S1740</f>
        <v>0</v>
      </c>
    </row>
    <row r="1741" spans="1:20" x14ac:dyDescent="0.25">
      <c r="A1741">
        <v>18145</v>
      </c>
      <c r="B1741" t="s">
        <v>101</v>
      </c>
      <c r="C1741">
        <v>11</v>
      </c>
      <c r="D1741" s="3">
        <f>parking_demand_data_2024_ver0!D1741*calibration!$I$31</f>
        <v>80.237897526501698</v>
      </c>
      <c r="E1741" s="3">
        <f>parking_demand_data_2024_ver0!E1741*calibration!$I$31</f>
        <v>5.8690636042402797</v>
      </c>
      <c r="F1741" s="3">
        <f t="shared" si="27"/>
        <v>86.106961130741979</v>
      </c>
      <c r="G1741" s="3">
        <f>parking_demand_data_2024_ver0!F1741</f>
        <v>4</v>
      </c>
      <c r="H1741" s="3">
        <f>parking_demand_data_2024_ver0!G1741</f>
        <v>0</v>
      </c>
      <c r="I1741" s="3">
        <f>parking_demand_data_2024_ver0!H1741</f>
        <v>1</v>
      </c>
      <c r="J1741" s="3">
        <f>parking_demand_data_2024_ver0!I1741</f>
        <v>3</v>
      </c>
      <c r="K1741" s="3">
        <f>parking_demand_data_2024_ver0!J1741</f>
        <v>0</v>
      </c>
      <c r="L1741" s="3">
        <f>parking_demand_data_2024_ver0!K1741</f>
        <v>0</v>
      </c>
      <c r="M1741" s="3">
        <f>parking_demand_data_2024_ver0!L1741</f>
        <v>0</v>
      </c>
      <c r="N1741" s="3">
        <f>parking_demand_data_2024_ver0!M1741</f>
        <v>101</v>
      </c>
      <c r="O1741" s="3">
        <f>parking_demand_data_2024_ver0!N1741</f>
        <v>0</v>
      </c>
      <c r="P1741" s="3">
        <f>parking_demand_data_2024_ver0!O1741</f>
        <v>70</v>
      </c>
      <c r="Q1741" s="3">
        <f>parking_demand_data_2024_ver0!P1741</f>
        <v>31</v>
      </c>
      <c r="R1741" s="3">
        <f>parking_demand_data_2024_ver0!Q1741</f>
        <v>0</v>
      </c>
      <c r="S1741" s="3">
        <f>parking_demand_data_2024_ver0!R1741</f>
        <v>0</v>
      </c>
      <c r="T1741" s="3">
        <f>parking_demand_data_2024_ver0!S1741</f>
        <v>0</v>
      </c>
    </row>
    <row r="1742" spans="1:20" x14ac:dyDescent="0.25">
      <c r="A1742">
        <v>18145</v>
      </c>
      <c r="B1742" t="s">
        <v>101</v>
      </c>
      <c r="C1742">
        <v>12</v>
      </c>
      <c r="D1742" s="3">
        <f>parking_demand_data_2024_ver0!D1742*calibration!$I$31</f>
        <v>80.689363957597095</v>
      </c>
      <c r="E1742" s="3">
        <f>parking_demand_data_2024_ver0!E1742*calibration!$I$31</f>
        <v>5.2944699646643096</v>
      </c>
      <c r="F1742" s="3">
        <f t="shared" si="27"/>
        <v>85.983833922261411</v>
      </c>
      <c r="G1742" s="3">
        <f>parking_demand_data_2024_ver0!F1742</f>
        <v>4</v>
      </c>
      <c r="H1742" s="3">
        <f>parking_demand_data_2024_ver0!G1742</f>
        <v>0</v>
      </c>
      <c r="I1742" s="3">
        <f>parking_demand_data_2024_ver0!H1742</f>
        <v>1</v>
      </c>
      <c r="J1742" s="3">
        <f>parking_demand_data_2024_ver0!I1742</f>
        <v>3</v>
      </c>
      <c r="K1742" s="3">
        <f>parking_demand_data_2024_ver0!J1742</f>
        <v>0</v>
      </c>
      <c r="L1742" s="3">
        <f>parking_demand_data_2024_ver0!K1742</f>
        <v>0</v>
      </c>
      <c r="M1742" s="3">
        <f>parking_demand_data_2024_ver0!L1742</f>
        <v>0</v>
      </c>
      <c r="N1742" s="3">
        <f>parking_demand_data_2024_ver0!M1742</f>
        <v>101</v>
      </c>
      <c r="O1742" s="3">
        <f>parking_demand_data_2024_ver0!N1742</f>
        <v>0</v>
      </c>
      <c r="P1742" s="3">
        <f>parking_demand_data_2024_ver0!O1742</f>
        <v>70</v>
      </c>
      <c r="Q1742" s="3">
        <f>parking_demand_data_2024_ver0!P1742</f>
        <v>31</v>
      </c>
      <c r="R1742" s="3">
        <f>parking_demand_data_2024_ver0!Q1742</f>
        <v>0</v>
      </c>
      <c r="S1742" s="3">
        <f>parking_demand_data_2024_ver0!R1742</f>
        <v>0</v>
      </c>
      <c r="T1742" s="3">
        <f>parking_demand_data_2024_ver0!S1742</f>
        <v>0</v>
      </c>
    </row>
    <row r="1743" spans="1:20" x14ac:dyDescent="0.25">
      <c r="A1743">
        <v>18145</v>
      </c>
      <c r="B1743" t="s">
        <v>101</v>
      </c>
      <c r="C1743">
        <v>13</v>
      </c>
      <c r="D1743" s="3">
        <f>parking_demand_data_2024_ver0!D1743*calibration!$I$31</f>
        <v>82.372102473498202</v>
      </c>
      <c r="E1743" s="3">
        <f>parking_demand_data_2024_ver0!E1743*calibration!$I$31</f>
        <v>4.0221554770318004</v>
      </c>
      <c r="F1743" s="3">
        <f t="shared" si="27"/>
        <v>86.394257950530005</v>
      </c>
      <c r="G1743" s="3">
        <f>parking_demand_data_2024_ver0!F1743</f>
        <v>4</v>
      </c>
      <c r="H1743" s="3">
        <f>parking_demand_data_2024_ver0!G1743</f>
        <v>0</v>
      </c>
      <c r="I1743" s="3">
        <f>parking_demand_data_2024_ver0!H1743</f>
        <v>1</v>
      </c>
      <c r="J1743" s="3">
        <f>parking_demand_data_2024_ver0!I1743</f>
        <v>3</v>
      </c>
      <c r="K1743" s="3">
        <f>parking_demand_data_2024_ver0!J1743</f>
        <v>0</v>
      </c>
      <c r="L1743" s="3">
        <f>parking_demand_data_2024_ver0!K1743</f>
        <v>0</v>
      </c>
      <c r="M1743" s="3">
        <f>parking_demand_data_2024_ver0!L1743</f>
        <v>0</v>
      </c>
      <c r="N1743" s="3">
        <f>parking_demand_data_2024_ver0!M1743</f>
        <v>101</v>
      </c>
      <c r="O1743" s="3">
        <f>parking_demand_data_2024_ver0!N1743</f>
        <v>0</v>
      </c>
      <c r="P1743" s="3">
        <f>parking_demand_data_2024_ver0!O1743</f>
        <v>70</v>
      </c>
      <c r="Q1743" s="3">
        <f>parking_demand_data_2024_ver0!P1743</f>
        <v>31</v>
      </c>
      <c r="R1743" s="3">
        <f>parking_demand_data_2024_ver0!Q1743</f>
        <v>0</v>
      </c>
      <c r="S1743" s="3">
        <f>parking_demand_data_2024_ver0!R1743</f>
        <v>0</v>
      </c>
      <c r="T1743" s="3">
        <f>parking_demand_data_2024_ver0!S1743</f>
        <v>0</v>
      </c>
    </row>
    <row r="1744" spans="1:20" x14ac:dyDescent="0.25">
      <c r="A1744">
        <v>18145</v>
      </c>
      <c r="B1744" t="s">
        <v>101</v>
      </c>
      <c r="C1744">
        <v>14</v>
      </c>
      <c r="D1744" s="3">
        <f>parking_demand_data_2024_ver0!D1744*calibration!$I$31</f>
        <v>84.301095406360403</v>
      </c>
      <c r="E1744" s="3">
        <f>parking_demand_data_2024_ver0!E1744*calibration!$I$31</f>
        <v>3.4475618374558299</v>
      </c>
      <c r="F1744" s="3">
        <f t="shared" si="27"/>
        <v>87.74865724381624</v>
      </c>
      <c r="G1744" s="3">
        <f>parking_demand_data_2024_ver0!F1744</f>
        <v>4</v>
      </c>
      <c r="H1744" s="3">
        <f>parking_demand_data_2024_ver0!G1744</f>
        <v>0</v>
      </c>
      <c r="I1744" s="3">
        <f>parking_demand_data_2024_ver0!H1744</f>
        <v>1</v>
      </c>
      <c r="J1744" s="3">
        <f>parking_demand_data_2024_ver0!I1744</f>
        <v>3</v>
      </c>
      <c r="K1744" s="3">
        <f>parking_demand_data_2024_ver0!J1744</f>
        <v>0</v>
      </c>
      <c r="L1744" s="3">
        <f>parking_demand_data_2024_ver0!K1744</f>
        <v>0</v>
      </c>
      <c r="M1744" s="3">
        <f>parking_demand_data_2024_ver0!L1744</f>
        <v>0</v>
      </c>
      <c r="N1744" s="3">
        <f>parking_demand_data_2024_ver0!M1744</f>
        <v>101</v>
      </c>
      <c r="O1744" s="3">
        <f>parking_demand_data_2024_ver0!N1744</f>
        <v>0</v>
      </c>
      <c r="P1744" s="3">
        <f>parking_demand_data_2024_ver0!O1744</f>
        <v>70</v>
      </c>
      <c r="Q1744" s="3">
        <f>parking_demand_data_2024_ver0!P1744</f>
        <v>31</v>
      </c>
      <c r="R1744" s="3">
        <f>parking_demand_data_2024_ver0!Q1744</f>
        <v>0</v>
      </c>
      <c r="S1744" s="3">
        <f>parking_demand_data_2024_ver0!R1744</f>
        <v>0</v>
      </c>
      <c r="T1744" s="3">
        <f>parking_demand_data_2024_ver0!S1744</f>
        <v>0</v>
      </c>
    </row>
    <row r="1745" spans="1:20" x14ac:dyDescent="0.25">
      <c r="A1745">
        <v>18145</v>
      </c>
      <c r="B1745" t="s">
        <v>101</v>
      </c>
      <c r="C1745">
        <v>15</v>
      </c>
      <c r="D1745" s="3">
        <f>parking_demand_data_2024_ver0!D1745*calibration!$I$31</f>
        <v>86.886766784452206</v>
      </c>
      <c r="E1745" s="3">
        <f>parking_demand_data_2024_ver0!E1745*calibration!$I$31</f>
        <v>3.4475618374558299</v>
      </c>
      <c r="F1745" s="3">
        <f t="shared" si="27"/>
        <v>90.334328621908043</v>
      </c>
      <c r="G1745" s="3">
        <f>parking_demand_data_2024_ver0!F1745</f>
        <v>4</v>
      </c>
      <c r="H1745" s="3">
        <f>parking_demand_data_2024_ver0!G1745</f>
        <v>0</v>
      </c>
      <c r="I1745" s="3">
        <f>parking_demand_data_2024_ver0!H1745</f>
        <v>1</v>
      </c>
      <c r="J1745" s="3">
        <f>parking_demand_data_2024_ver0!I1745</f>
        <v>3</v>
      </c>
      <c r="K1745" s="3">
        <f>parking_demand_data_2024_ver0!J1745</f>
        <v>0</v>
      </c>
      <c r="L1745" s="3">
        <f>parking_demand_data_2024_ver0!K1745</f>
        <v>0</v>
      </c>
      <c r="M1745" s="3">
        <f>parking_demand_data_2024_ver0!L1745</f>
        <v>0</v>
      </c>
      <c r="N1745" s="3">
        <f>parking_demand_data_2024_ver0!M1745</f>
        <v>101</v>
      </c>
      <c r="O1745" s="3">
        <f>parking_demand_data_2024_ver0!N1745</f>
        <v>0</v>
      </c>
      <c r="P1745" s="3">
        <f>parking_demand_data_2024_ver0!O1745</f>
        <v>70</v>
      </c>
      <c r="Q1745" s="3">
        <f>parking_demand_data_2024_ver0!P1745</f>
        <v>31</v>
      </c>
      <c r="R1745" s="3">
        <f>parking_demand_data_2024_ver0!Q1745</f>
        <v>0</v>
      </c>
      <c r="S1745" s="3">
        <f>parking_demand_data_2024_ver0!R1745</f>
        <v>0</v>
      </c>
      <c r="T1745" s="3">
        <f>parking_demand_data_2024_ver0!S1745</f>
        <v>0</v>
      </c>
    </row>
    <row r="1746" spans="1:20" x14ac:dyDescent="0.25">
      <c r="A1746">
        <v>18145</v>
      </c>
      <c r="B1746" t="s">
        <v>101</v>
      </c>
      <c r="C1746">
        <v>16</v>
      </c>
      <c r="D1746" s="3">
        <f>parking_demand_data_2024_ver0!D1746*calibration!$I$31</f>
        <v>92.386448763250897</v>
      </c>
      <c r="E1746" s="3">
        <f>parking_demand_data_2024_ver0!E1746*calibration!$I$31</f>
        <v>2.7498409893992899</v>
      </c>
      <c r="F1746" s="3">
        <f t="shared" si="27"/>
        <v>95.136289752650185</v>
      </c>
      <c r="G1746" s="3">
        <f>parking_demand_data_2024_ver0!F1746</f>
        <v>4</v>
      </c>
      <c r="H1746" s="3">
        <f>parking_demand_data_2024_ver0!G1746</f>
        <v>0</v>
      </c>
      <c r="I1746" s="3">
        <f>parking_demand_data_2024_ver0!H1746</f>
        <v>1</v>
      </c>
      <c r="J1746" s="3">
        <f>parking_demand_data_2024_ver0!I1746</f>
        <v>3</v>
      </c>
      <c r="K1746" s="3">
        <f>parking_demand_data_2024_ver0!J1746</f>
        <v>0</v>
      </c>
      <c r="L1746" s="3">
        <f>parking_demand_data_2024_ver0!K1746</f>
        <v>0</v>
      </c>
      <c r="M1746" s="3">
        <f>parking_demand_data_2024_ver0!L1746</f>
        <v>0</v>
      </c>
      <c r="N1746" s="3">
        <f>parking_demand_data_2024_ver0!M1746</f>
        <v>101</v>
      </c>
      <c r="O1746" s="3">
        <f>parking_demand_data_2024_ver0!N1746</f>
        <v>0</v>
      </c>
      <c r="P1746" s="3">
        <f>parking_demand_data_2024_ver0!O1746</f>
        <v>70</v>
      </c>
      <c r="Q1746" s="3">
        <f>parking_demand_data_2024_ver0!P1746</f>
        <v>31</v>
      </c>
      <c r="R1746" s="3">
        <f>parking_demand_data_2024_ver0!Q1746</f>
        <v>0</v>
      </c>
      <c r="S1746" s="3">
        <f>parking_demand_data_2024_ver0!R1746</f>
        <v>0</v>
      </c>
      <c r="T1746" s="3">
        <f>parking_demand_data_2024_ver0!S1746</f>
        <v>0</v>
      </c>
    </row>
    <row r="1747" spans="1:20" x14ac:dyDescent="0.25">
      <c r="A1747">
        <v>18145</v>
      </c>
      <c r="B1747" t="s">
        <v>101</v>
      </c>
      <c r="C1747">
        <v>17</v>
      </c>
      <c r="D1747" s="3">
        <f>parking_demand_data_2024_ver0!D1747*calibration!$I$31</f>
        <v>96.531731448763196</v>
      </c>
      <c r="E1747" s="3">
        <f>parking_demand_data_2024_ver0!E1747*calibration!$I$31</f>
        <v>2.2162897526501699</v>
      </c>
      <c r="F1747" s="3">
        <f t="shared" si="27"/>
        <v>98.748021201413366</v>
      </c>
      <c r="G1747" s="3">
        <f>parking_demand_data_2024_ver0!F1747</f>
        <v>4</v>
      </c>
      <c r="H1747" s="3">
        <f>parking_demand_data_2024_ver0!G1747</f>
        <v>0</v>
      </c>
      <c r="I1747" s="3">
        <f>parking_demand_data_2024_ver0!H1747</f>
        <v>1</v>
      </c>
      <c r="J1747" s="3">
        <f>parking_demand_data_2024_ver0!I1747</f>
        <v>3</v>
      </c>
      <c r="K1747" s="3">
        <f>parking_demand_data_2024_ver0!J1747</f>
        <v>0</v>
      </c>
      <c r="L1747" s="3">
        <f>parking_demand_data_2024_ver0!K1747</f>
        <v>0</v>
      </c>
      <c r="M1747" s="3">
        <f>parking_demand_data_2024_ver0!L1747</f>
        <v>0</v>
      </c>
      <c r="N1747" s="3">
        <f>parking_demand_data_2024_ver0!M1747</f>
        <v>101</v>
      </c>
      <c r="O1747" s="3">
        <f>parking_demand_data_2024_ver0!N1747</f>
        <v>0</v>
      </c>
      <c r="P1747" s="3">
        <f>parking_demand_data_2024_ver0!O1747</f>
        <v>70</v>
      </c>
      <c r="Q1747" s="3">
        <f>parking_demand_data_2024_ver0!P1747</f>
        <v>31</v>
      </c>
      <c r="R1747" s="3">
        <f>parking_demand_data_2024_ver0!Q1747</f>
        <v>0</v>
      </c>
      <c r="S1747" s="3">
        <f>parking_demand_data_2024_ver0!R1747</f>
        <v>0</v>
      </c>
      <c r="T1747" s="3">
        <f>parking_demand_data_2024_ver0!S1747</f>
        <v>0</v>
      </c>
    </row>
    <row r="1748" spans="1:20" x14ac:dyDescent="0.25">
      <c r="A1748">
        <v>18145</v>
      </c>
      <c r="B1748" t="s">
        <v>101</v>
      </c>
      <c r="C1748">
        <v>18</v>
      </c>
      <c r="D1748" s="3">
        <f>parking_demand_data_2024_ver0!D1748*calibration!$I$31</f>
        <v>98.830106007067101</v>
      </c>
      <c r="E1748" s="3">
        <f>parking_demand_data_2024_ver0!E1748*calibration!$I$31</f>
        <v>2.0521201413427499</v>
      </c>
      <c r="F1748" s="3">
        <f t="shared" si="27"/>
        <v>100.88222614840986</v>
      </c>
      <c r="G1748" s="3">
        <f>parking_demand_data_2024_ver0!F1748</f>
        <v>4</v>
      </c>
      <c r="H1748" s="3">
        <f>parking_demand_data_2024_ver0!G1748</f>
        <v>0</v>
      </c>
      <c r="I1748" s="3">
        <f>parking_demand_data_2024_ver0!H1748</f>
        <v>1</v>
      </c>
      <c r="J1748" s="3">
        <f>parking_demand_data_2024_ver0!I1748</f>
        <v>3</v>
      </c>
      <c r="K1748" s="3">
        <f>parking_demand_data_2024_ver0!J1748</f>
        <v>0</v>
      </c>
      <c r="L1748" s="3">
        <f>parking_demand_data_2024_ver0!K1748</f>
        <v>0</v>
      </c>
      <c r="M1748" s="3">
        <f>parking_demand_data_2024_ver0!L1748</f>
        <v>0</v>
      </c>
      <c r="N1748" s="3">
        <f>parking_demand_data_2024_ver0!M1748</f>
        <v>101</v>
      </c>
      <c r="O1748" s="3">
        <f>parking_demand_data_2024_ver0!N1748</f>
        <v>0</v>
      </c>
      <c r="P1748" s="3">
        <f>parking_demand_data_2024_ver0!O1748</f>
        <v>70</v>
      </c>
      <c r="Q1748" s="3">
        <f>parking_demand_data_2024_ver0!P1748</f>
        <v>31</v>
      </c>
      <c r="R1748" s="3">
        <f>parking_demand_data_2024_ver0!Q1748</f>
        <v>0</v>
      </c>
      <c r="S1748" s="3">
        <f>parking_demand_data_2024_ver0!R1748</f>
        <v>0</v>
      </c>
      <c r="T1748" s="3">
        <f>parking_demand_data_2024_ver0!S1748</f>
        <v>0</v>
      </c>
    </row>
    <row r="1749" spans="1:20" x14ac:dyDescent="0.25">
      <c r="A1749">
        <v>18145</v>
      </c>
      <c r="B1749" t="s">
        <v>101</v>
      </c>
      <c r="C1749">
        <v>19</v>
      </c>
      <c r="D1749" s="3">
        <f>parking_demand_data_2024_ver0!D1749*calibration!$I$31</f>
        <v>104.042491166077</v>
      </c>
      <c r="E1749" s="3">
        <f>parking_demand_data_2024_ver0!E1749*calibration!$I$31</f>
        <v>2.7498409893992899</v>
      </c>
      <c r="F1749" s="3">
        <f t="shared" si="27"/>
        <v>106.79233215547629</v>
      </c>
      <c r="G1749" s="3">
        <f>parking_demand_data_2024_ver0!F1749</f>
        <v>4</v>
      </c>
      <c r="H1749" s="3">
        <f>parking_demand_data_2024_ver0!G1749</f>
        <v>0</v>
      </c>
      <c r="I1749" s="3">
        <f>parking_demand_data_2024_ver0!H1749</f>
        <v>1</v>
      </c>
      <c r="J1749" s="3">
        <f>parking_demand_data_2024_ver0!I1749</f>
        <v>3</v>
      </c>
      <c r="K1749" s="3">
        <f>parking_demand_data_2024_ver0!J1749</f>
        <v>0</v>
      </c>
      <c r="L1749" s="3">
        <f>parking_demand_data_2024_ver0!K1749</f>
        <v>0</v>
      </c>
      <c r="M1749" s="3">
        <f>parking_demand_data_2024_ver0!L1749</f>
        <v>0</v>
      </c>
      <c r="N1749" s="3">
        <f>parking_demand_data_2024_ver0!M1749</f>
        <v>101</v>
      </c>
      <c r="O1749" s="3">
        <f>parking_demand_data_2024_ver0!N1749</f>
        <v>0</v>
      </c>
      <c r="P1749" s="3">
        <f>parking_demand_data_2024_ver0!O1749</f>
        <v>70</v>
      </c>
      <c r="Q1749" s="3">
        <f>parking_demand_data_2024_ver0!P1749</f>
        <v>31</v>
      </c>
      <c r="R1749" s="3">
        <f>parking_demand_data_2024_ver0!Q1749</f>
        <v>0</v>
      </c>
      <c r="S1749" s="3">
        <f>parking_demand_data_2024_ver0!R1749</f>
        <v>0</v>
      </c>
      <c r="T1749" s="3">
        <f>parking_demand_data_2024_ver0!S1749</f>
        <v>0</v>
      </c>
    </row>
    <row r="1750" spans="1:20" x14ac:dyDescent="0.25">
      <c r="A1750">
        <v>18145</v>
      </c>
      <c r="B1750" t="s">
        <v>101</v>
      </c>
      <c r="C1750">
        <v>20</v>
      </c>
      <c r="D1750" s="3">
        <f>parking_demand_data_2024_ver0!D1750*calibration!$I$31</f>
        <v>105.807314487632</v>
      </c>
      <c r="E1750" s="3">
        <f>parking_demand_data_2024_ver0!E1750*calibration!$I$31</f>
        <v>4.2273674911660697</v>
      </c>
      <c r="F1750" s="3">
        <f t="shared" si="27"/>
        <v>110.03468197879806</v>
      </c>
      <c r="G1750" s="3">
        <f>parking_demand_data_2024_ver0!F1750</f>
        <v>4</v>
      </c>
      <c r="H1750" s="3">
        <f>parking_demand_data_2024_ver0!G1750</f>
        <v>0</v>
      </c>
      <c r="I1750" s="3">
        <f>parking_demand_data_2024_ver0!H1750</f>
        <v>1</v>
      </c>
      <c r="J1750" s="3">
        <f>parking_demand_data_2024_ver0!I1750</f>
        <v>3</v>
      </c>
      <c r="K1750" s="3">
        <f>parking_demand_data_2024_ver0!J1750</f>
        <v>0</v>
      </c>
      <c r="L1750" s="3">
        <f>parking_demand_data_2024_ver0!K1750</f>
        <v>0</v>
      </c>
      <c r="M1750" s="3">
        <f>parking_demand_data_2024_ver0!L1750</f>
        <v>0</v>
      </c>
      <c r="N1750" s="3">
        <f>parking_demand_data_2024_ver0!M1750</f>
        <v>101</v>
      </c>
      <c r="O1750" s="3">
        <f>parking_demand_data_2024_ver0!N1750</f>
        <v>0</v>
      </c>
      <c r="P1750" s="3">
        <f>parking_demand_data_2024_ver0!O1750</f>
        <v>70</v>
      </c>
      <c r="Q1750" s="3">
        <f>parking_demand_data_2024_ver0!P1750</f>
        <v>31</v>
      </c>
      <c r="R1750" s="3">
        <f>parking_demand_data_2024_ver0!Q1750</f>
        <v>0</v>
      </c>
      <c r="S1750" s="3">
        <f>parking_demand_data_2024_ver0!R1750</f>
        <v>0</v>
      </c>
      <c r="T1750" s="3">
        <f>parking_demand_data_2024_ver0!S1750</f>
        <v>0</v>
      </c>
    </row>
    <row r="1751" spans="1:20" x14ac:dyDescent="0.25">
      <c r="A1751">
        <v>18145</v>
      </c>
      <c r="B1751" t="s">
        <v>101</v>
      </c>
      <c r="C1751">
        <v>21</v>
      </c>
      <c r="D1751" s="3">
        <f>parking_demand_data_2024_ver0!D1751*calibration!$I$31</f>
        <v>107.777349823321</v>
      </c>
      <c r="E1751" s="3">
        <f>parking_demand_data_2024_ver0!E1751*calibration!$I$31</f>
        <v>5.4175971731448698</v>
      </c>
      <c r="F1751" s="3">
        <f t="shared" si="27"/>
        <v>113.19494699646587</v>
      </c>
      <c r="G1751" s="3">
        <f>parking_demand_data_2024_ver0!F1751</f>
        <v>4</v>
      </c>
      <c r="H1751" s="3">
        <f>parking_demand_data_2024_ver0!G1751</f>
        <v>0</v>
      </c>
      <c r="I1751" s="3">
        <f>parking_demand_data_2024_ver0!H1751</f>
        <v>1</v>
      </c>
      <c r="J1751" s="3">
        <f>parking_demand_data_2024_ver0!I1751</f>
        <v>3</v>
      </c>
      <c r="K1751" s="3">
        <f>parking_demand_data_2024_ver0!J1751</f>
        <v>0</v>
      </c>
      <c r="L1751" s="3">
        <f>parking_demand_data_2024_ver0!K1751</f>
        <v>0</v>
      </c>
      <c r="M1751" s="3">
        <f>parking_demand_data_2024_ver0!L1751</f>
        <v>0</v>
      </c>
      <c r="N1751" s="3">
        <f>parking_demand_data_2024_ver0!M1751</f>
        <v>101</v>
      </c>
      <c r="O1751" s="3">
        <f>parking_demand_data_2024_ver0!N1751</f>
        <v>0</v>
      </c>
      <c r="P1751" s="3">
        <f>parking_demand_data_2024_ver0!O1751</f>
        <v>70</v>
      </c>
      <c r="Q1751" s="3">
        <f>parking_demand_data_2024_ver0!P1751</f>
        <v>31</v>
      </c>
      <c r="R1751" s="3">
        <f>parking_demand_data_2024_ver0!Q1751</f>
        <v>0</v>
      </c>
      <c r="S1751" s="3">
        <f>parking_demand_data_2024_ver0!R1751</f>
        <v>0</v>
      </c>
      <c r="T1751" s="3">
        <f>parking_demand_data_2024_ver0!S1751</f>
        <v>0</v>
      </c>
    </row>
    <row r="1752" spans="1:20" x14ac:dyDescent="0.25">
      <c r="A1752">
        <v>18145</v>
      </c>
      <c r="B1752" t="s">
        <v>101</v>
      </c>
      <c r="C1752">
        <v>22</v>
      </c>
      <c r="D1752" s="3">
        <f>parking_demand_data_2024_ver0!D1752*calibration!$I$31</f>
        <v>110.36302120141301</v>
      </c>
      <c r="E1752" s="3">
        <f>parking_demand_data_2024_ver0!E1752*calibration!$I$31</f>
        <v>7.42867491166077</v>
      </c>
      <c r="F1752" s="3">
        <f t="shared" si="27"/>
        <v>117.79169611307377</v>
      </c>
      <c r="G1752" s="3">
        <f>parking_demand_data_2024_ver0!F1752</f>
        <v>4</v>
      </c>
      <c r="H1752" s="3">
        <f>parking_demand_data_2024_ver0!G1752</f>
        <v>0</v>
      </c>
      <c r="I1752" s="3">
        <f>parking_demand_data_2024_ver0!H1752</f>
        <v>1</v>
      </c>
      <c r="J1752" s="3">
        <f>parking_demand_data_2024_ver0!I1752</f>
        <v>3</v>
      </c>
      <c r="K1752" s="3">
        <f>parking_demand_data_2024_ver0!J1752</f>
        <v>0</v>
      </c>
      <c r="L1752" s="3">
        <f>parking_demand_data_2024_ver0!K1752</f>
        <v>0</v>
      </c>
      <c r="M1752" s="3">
        <f>parking_demand_data_2024_ver0!L1752</f>
        <v>0</v>
      </c>
      <c r="N1752" s="3">
        <f>parking_demand_data_2024_ver0!M1752</f>
        <v>101</v>
      </c>
      <c r="O1752" s="3">
        <f>parking_demand_data_2024_ver0!N1752</f>
        <v>0</v>
      </c>
      <c r="P1752" s="3">
        <f>parking_demand_data_2024_ver0!O1752</f>
        <v>70</v>
      </c>
      <c r="Q1752" s="3">
        <f>parking_demand_data_2024_ver0!P1752</f>
        <v>31</v>
      </c>
      <c r="R1752" s="3">
        <f>parking_demand_data_2024_ver0!Q1752</f>
        <v>0</v>
      </c>
      <c r="S1752" s="3">
        <f>parking_demand_data_2024_ver0!R1752</f>
        <v>0</v>
      </c>
      <c r="T1752" s="3">
        <f>parking_demand_data_2024_ver0!S1752</f>
        <v>0</v>
      </c>
    </row>
    <row r="1753" spans="1:20" x14ac:dyDescent="0.25">
      <c r="A1753">
        <v>18145</v>
      </c>
      <c r="B1753" t="s">
        <v>101</v>
      </c>
      <c r="C1753">
        <v>23</v>
      </c>
      <c r="D1753" s="3">
        <f>parking_demand_data_2024_ver0!D1753*calibration!$I$31</f>
        <v>114.303091872791</v>
      </c>
      <c r="E1753" s="3">
        <f>parking_demand_data_2024_ver0!E1753*calibration!$I$31</f>
        <v>10.0553886925795</v>
      </c>
      <c r="F1753" s="3">
        <f t="shared" si="27"/>
        <v>124.3584805653705</v>
      </c>
      <c r="G1753" s="3">
        <f>parking_demand_data_2024_ver0!F1753</f>
        <v>4</v>
      </c>
      <c r="H1753" s="3">
        <f>parking_demand_data_2024_ver0!G1753</f>
        <v>0</v>
      </c>
      <c r="I1753" s="3">
        <f>parking_demand_data_2024_ver0!H1753</f>
        <v>1</v>
      </c>
      <c r="J1753" s="3">
        <f>parking_demand_data_2024_ver0!I1753</f>
        <v>3</v>
      </c>
      <c r="K1753" s="3">
        <f>parking_demand_data_2024_ver0!J1753</f>
        <v>0</v>
      </c>
      <c r="L1753" s="3">
        <f>parking_demand_data_2024_ver0!K1753</f>
        <v>0</v>
      </c>
      <c r="M1753" s="3">
        <f>parking_demand_data_2024_ver0!L1753</f>
        <v>0</v>
      </c>
      <c r="N1753" s="3">
        <f>parking_demand_data_2024_ver0!M1753</f>
        <v>101</v>
      </c>
      <c r="O1753" s="3">
        <f>parking_demand_data_2024_ver0!N1753</f>
        <v>0</v>
      </c>
      <c r="P1753" s="3">
        <f>parking_demand_data_2024_ver0!O1753</f>
        <v>70</v>
      </c>
      <c r="Q1753" s="3">
        <f>parking_demand_data_2024_ver0!P1753</f>
        <v>31</v>
      </c>
      <c r="R1753" s="3">
        <f>parking_demand_data_2024_ver0!Q1753</f>
        <v>0</v>
      </c>
      <c r="S1753" s="3">
        <f>parking_demand_data_2024_ver0!R1753</f>
        <v>0</v>
      </c>
      <c r="T1753" s="3">
        <f>parking_demand_data_2024_ver0!S1753</f>
        <v>0</v>
      </c>
    </row>
    <row r="1754" spans="1:20" x14ac:dyDescent="0.25">
      <c r="A1754">
        <v>18147</v>
      </c>
      <c r="B1754" t="s">
        <v>102</v>
      </c>
      <c r="C1754">
        <v>0</v>
      </c>
      <c r="D1754" s="3">
        <f>parking_demand_data_2024_ver0!D1754*calibration!$I$31</f>
        <v>30.981696434904599</v>
      </c>
      <c r="E1754" s="3">
        <f>parking_demand_data_2024_ver0!E1754*calibration!$I$31</f>
        <v>11.978506485317</v>
      </c>
      <c r="F1754" s="3">
        <f t="shared" si="27"/>
        <v>42.960202920221597</v>
      </c>
      <c r="G1754" s="3">
        <f>parking_demand_data_2024_ver0!F1754</f>
        <v>3</v>
      </c>
      <c r="H1754" s="3">
        <f>parking_demand_data_2024_ver0!G1754</f>
        <v>0</v>
      </c>
      <c r="I1754" s="3">
        <f>parking_demand_data_2024_ver0!H1754</f>
        <v>0</v>
      </c>
      <c r="J1754" s="3">
        <f>parking_demand_data_2024_ver0!I1754</f>
        <v>1</v>
      </c>
      <c r="K1754" s="3">
        <f>parking_demand_data_2024_ver0!J1754</f>
        <v>0</v>
      </c>
      <c r="L1754" s="3">
        <f>parking_demand_data_2024_ver0!K1754</f>
        <v>0</v>
      </c>
      <c r="M1754" s="3">
        <f>parking_demand_data_2024_ver0!L1754</f>
        <v>2</v>
      </c>
      <c r="N1754" s="3">
        <f>parking_demand_data_2024_ver0!M1754</f>
        <v>40</v>
      </c>
      <c r="O1754" s="3">
        <f>parking_demand_data_2024_ver0!N1754</f>
        <v>0</v>
      </c>
      <c r="P1754" s="3">
        <f>parking_demand_data_2024_ver0!O1754</f>
        <v>0</v>
      </c>
      <c r="Q1754" s="3">
        <f>parking_demand_data_2024_ver0!P1754</f>
        <v>6</v>
      </c>
      <c r="R1754" s="3">
        <f>parking_demand_data_2024_ver0!Q1754</f>
        <v>0</v>
      </c>
      <c r="S1754" s="3">
        <f>parking_demand_data_2024_ver0!R1754</f>
        <v>0</v>
      </c>
      <c r="T1754" s="3">
        <f>parking_demand_data_2024_ver0!S1754</f>
        <v>34</v>
      </c>
    </row>
    <row r="1755" spans="1:20" x14ac:dyDescent="0.25">
      <c r="A1755">
        <v>18147</v>
      </c>
      <c r="B1755" t="s">
        <v>102</v>
      </c>
      <c r="C1755">
        <v>1</v>
      </c>
      <c r="D1755" s="3">
        <f>parking_demand_data_2024_ver0!D1755*calibration!$I$31</f>
        <v>30.819276007985099</v>
      </c>
      <c r="E1755" s="3">
        <f>parking_demand_data_2024_ver0!E1755*calibration!$I$31</f>
        <v>12.871818833374499</v>
      </c>
      <c r="F1755" s="3">
        <f t="shared" si="27"/>
        <v>43.6910948413596</v>
      </c>
      <c r="G1755" s="3">
        <f>parking_demand_data_2024_ver0!F1755</f>
        <v>3</v>
      </c>
      <c r="H1755" s="3">
        <f>parking_demand_data_2024_ver0!G1755</f>
        <v>0</v>
      </c>
      <c r="I1755" s="3">
        <f>parking_demand_data_2024_ver0!H1755</f>
        <v>0</v>
      </c>
      <c r="J1755" s="3">
        <f>parking_demand_data_2024_ver0!I1755</f>
        <v>1</v>
      </c>
      <c r="K1755" s="3">
        <f>parking_demand_data_2024_ver0!J1755</f>
        <v>0</v>
      </c>
      <c r="L1755" s="3">
        <f>parking_demand_data_2024_ver0!K1755</f>
        <v>0</v>
      </c>
      <c r="M1755" s="3">
        <f>parking_demand_data_2024_ver0!L1755</f>
        <v>2</v>
      </c>
      <c r="N1755" s="3">
        <f>parking_demand_data_2024_ver0!M1755</f>
        <v>40</v>
      </c>
      <c r="O1755" s="3">
        <f>parking_demand_data_2024_ver0!N1755</f>
        <v>0</v>
      </c>
      <c r="P1755" s="3">
        <f>parking_demand_data_2024_ver0!O1755</f>
        <v>0</v>
      </c>
      <c r="Q1755" s="3">
        <f>parking_demand_data_2024_ver0!P1755</f>
        <v>6</v>
      </c>
      <c r="R1755" s="3">
        <f>parking_demand_data_2024_ver0!Q1755</f>
        <v>0</v>
      </c>
      <c r="S1755" s="3">
        <f>parking_demand_data_2024_ver0!R1755</f>
        <v>0</v>
      </c>
      <c r="T1755" s="3">
        <f>parking_demand_data_2024_ver0!S1755</f>
        <v>34</v>
      </c>
    </row>
    <row r="1756" spans="1:20" x14ac:dyDescent="0.25">
      <c r="A1756">
        <v>18147</v>
      </c>
      <c r="B1756" t="s">
        <v>102</v>
      </c>
      <c r="C1756">
        <v>2</v>
      </c>
      <c r="D1756" s="3">
        <f>parking_demand_data_2024_ver0!D1756*calibration!$I$31</f>
        <v>30.900486221444901</v>
      </c>
      <c r="E1756" s="3">
        <f>parking_demand_data_2024_ver0!E1756*calibration!$I$31</f>
        <v>13.602710754512501</v>
      </c>
      <c r="F1756" s="3">
        <f t="shared" si="27"/>
        <v>44.503196975957401</v>
      </c>
      <c r="G1756" s="3">
        <f>parking_demand_data_2024_ver0!F1756</f>
        <v>3</v>
      </c>
      <c r="H1756" s="3">
        <f>parking_demand_data_2024_ver0!G1756</f>
        <v>0</v>
      </c>
      <c r="I1756" s="3">
        <f>parking_demand_data_2024_ver0!H1756</f>
        <v>0</v>
      </c>
      <c r="J1756" s="3">
        <f>parking_demand_data_2024_ver0!I1756</f>
        <v>1</v>
      </c>
      <c r="K1756" s="3">
        <f>parking_demand_data_2024_ver0!J1756</f>
        <v>0</v>
      </c>
      <c r="L1756" s="3">
        <f>parking_demand_data_2024_ver0!K1756</f>
        <v>0</v>
      </c>
      <c r="M1756" s="3">
        <f>parking_demand_data_2024_ver0!L1756</f>
        <v>2</v>
      </c>
      <c r="N1756" s="3">
        <f>parking_demand_data_2024_ver0!M1756</f>
        <v>40</v>
      </c>
      <c r="O1756" s="3">
        <f>parking_demand_data_2024_ver0!N1756</f>
        <v>0</v>
      </c>
      <c r="P1756" s="3">
        <f>parking_demand_data_2024_ver0!O1756</f>
        <v>0</v>
      </c>
      <c r="Q1756" s="3">
        <f>parking_demand_data_2024_ver0!P1756</f>
        <v>6</v>
      </c>
      <c r="R1756" s="3">
        <f>parking_demand_data_2024_ver0!Q1756</f>
        <v>0</v>
      </c>
      <c r="S1756" s="3">
        <f>parking_demand_data_2024_ver0!R1756</f>
        <v>0</v>
      </c>
      <c r="T1756" s="3">
        <f>parking_demand_data_2024_ver0!S1756</f>
        <v>34</v>
      </c>
    </row>
    <row r="1757" spans="1:20" x14ac:dyDescent="0.25">
      <c r="A1757">
        <v>18147</v>
      </c>
      <c r="B1757" t="s">
        <v>102</v>
      </c>
      <c r="C1757">
        <v>3</v>
      </c>
      <c r="D1757" s="3">
        <f>parking_demand_data_2024_ver0!D1757*calibration!$I$31</f>
        <v>30.453830047416101</v>
      </c>
      <c r="E1757" s="3">
        <f>parking_demand_data_2024_ver0!E1757*calibration!$I$31</f>
        <v>14.2117873554608</v>
      </c>
      <c r="F1757" s="3">
        <f t="shared" si="27"/>
        <v>44.665617402876904</v>
      </c>
      <c r="G1757" s="3">
        <f>parking_demand_data_2024_ver0!F1757</f>
        <v>3</v>
      </c>
      <c r="H1757" s="3">
        <f>parking_demand_data_2024_ver0!G1757</f>
        <v>0</v>
      </c>
      <c r="I1757" s="3">
        <f>parking_demand_data_2024_ver0!H1757</f>
        <v>0</v>
      </c>
      <c r="J1757" s="3">
        <f>parking_demand_data_2024_ver0!I1757</f>
        <v>1</v>
      </c>
      <c r="K1757" s="3">
        <f>parking_demand_data_2024_ver0!J1757</f>
        <v>0</v>
      </c>
      <c r="L1757" s="3">
        <f>parking_demand_data_2024_ver0!K1757</f>
        <v>0</v>
      </c>
      <c r="M1757" s="3">
        <f>parking_demand_data_2024_ver0!L1757</f>
        <v>2</v>
      </c>
      <c r="N1757" s="3">
        <f>parking_demand_data_2024_ver0!M1757</f>
        <v>40</v>
      </c>
      <c r="O1757" s="3">
        <f>parking_demand_data_2024_ver0!N1757</f>
        <v>0</v>
      </c>
      <c r="P1757" s="3">
        <f>parking_demand_data_2024_ver0!O1757</f>
        <v>0</v>
      </c>
      <c r="Q1757" s="3">
        <f>parking_demand_data_2024_ver0!P1757</f>
        <v>6</v>
      </c>
      <c r="R1757" s="3">
        <f>parking_demand_data_2024_ver0!Q1757</f>
        <v>0</v>
      </c>
      <c r="S1757" s="3">
        <f>parking_demand_data_2024_ver0!R1757</f>
        <v>0</v>
      </c>
      <c r="T1757" s="3">
        <f>parking_demand_data_2024_ver0!S1757</f>
        <v>34</v>
      </c>
    </row>
    <row r="1758" spans="1:20" x14ac:dyDescent="0.25">
      <c r="A1758">
        <v>18147</v>
      </c>
      <c r="B1758" t="s">
        <v>102</v>
      </c>
      <c r="C1758">
        <v>4</v>
      </c>
      <c r="D1758" s="3">
        <f>parking_demand_data_2024_ver0!D1758*calibration!$I$31</f>
        <v>30.981696434904599</v>
      </c>
      <c r="E1758" s="3">
        <f>parking_demand_data_2024_ver0!E1758*calibration!$I$31</f>
        <v>15.1863099169781</v>
      </c>
      <c r="F1758" s="3">
        <f t="shared" si="27"/>
        <v>46.168006351882696</v>
      </c>
      <c r="G1758" s="3">
        <f>parking_demand_data_2024_ver0!F1758</f>
        <v>3</v>
      </c>
      <c r="H1758" s="3">
        <f>parking_demand_data_2024_ver0!G1758</f>
        <v>0</v>
      </c>
      <c r="I1758" s="3">
        <f>parking_demand_data_2024_ver0!H1758</f>
        <v>0</v>
      </c>
      <c r="J1758" s="3">
        <f>parking_demand_data_2024_ver0!I1758</f>
        <v>1</v>
      </c>
      <c r="K1758" s="3">
        <f>parking_demand_data_2024_ver0!J1758</f>
        <v>0</v>
      </c>
      <c r="L1758" s="3">
        <f>parking_demand_data_2024_ver0!K1758</f>
        <v>0</v>
      </c>
      <c r="M1758" s="3">
        <f>parking_demand_data_2024_ver0!L1758</f>
        <v>2</v>
      </c>
      <c r="N1758" s="3">
        <f>parking_demand_data_2024_ver0!M1758</f>
        <v>40</v>
      </c>
      <c r="O1758" s="3">
        <f>parking_demand_data_2024_ver0!N1758</f>
        <v>0</v>
      </c>
      <c r="P1758" s="3">
        <f>parking_demand_data_2024_ver0!O1758</f>
        <v>0</v>
      </c>
      <c r="Q1758" s="3">
        <f>parking_demand_data_2024_ver0!P1758</f>
        <v>6</v>
      </c>
      <c r="R1758" s="3">
        <f>parking_demand_data_2024_ver0!Q1758</f>
        <v>0</v>
      </c>
      <c r="S1758" s="3">
        <f>parking_demand_data_2024_ver0!R1758</f>
        <v>0</v>
      </c>
      <c r="T1758" s="3">
        <f>parking_demand_data_2024_ver0!S1758</f>
        <v>34</v>
      </c>
    </row>
    <row r="1759" spans="1:20" x14ac:dyDescent="0.25">
      <c r="A1759">
        <v>18147</v>
      </c>
      <c r="B1759" t="s">
        <v>102</v>
      </c>
      <c r="C1759">
        <v>5</v>
      </c>
      <c r="D1759" s="3">
        <f>parking_demand_data_2024_ver0!D1759*calibration!$I$31</f>
        <v>30.981696434904599</v>
      </c>
      <c r="E1759" s="3">
        <f>parking_demand_data_2024_ver0!E1759*calibration!$I$31</f>
        <v>14.5366282092999</v>
      </c>
      <c r="F1759" s="3">
        <f t="shared" si="27"/>
        <v>45.518324644204498</v>
      </c>
      <c r="G1759" s="3">
        <f>parking_demand_data_2024_ver0!F1759</f>
        <v>3</v>
      </c>
      <c r="H1759" s="3">
        <f>parking_demand_data_2024_ver0!G1759</f>
        <v>0</v>
      </c>
      <c r="I1759" s="3">
        <f>parking_demand_data_2024_ver0!H1759</f>
        <v>0</v>
      </c>
      <c r="J1759" s="3">
        <f>parking_demand_data_2024_ver0!I1759</f>
        <v>1</v>
      </c>
      <c r="K1759" s="3">
        <f>parking_demand_data_2024_ver0!J1759</f>
        <v>0</v>
      </c>
      <c r="L1759" s="3">
        <f>parking_demand_data_2024_ver0!K1759</f>
        <v>0</v>
      </c>
      <c r="M1759" s="3">
        <f>parking_demand_data_2024_ver0!L1759</f>
        <v>2</v>
      </c>
      <c r="N1759" s="3">
        <f>parking_demand_data_2024_ver0!M1759</f>
        <v>40</v>
      </c>
      <c r="O1759" s="3">
        <f>parking_demand_data_2024_ver0!N1759</f>
        <v>0</v>
      </c>
      <c r="P1759" s="3">
        <f>parking_demand_data_2024_ver0!O1759</f>
        <v>0</v>
      </c>
      <c r="Q1759" s="3">
        <f>parking_demand_data_2024_ver0!P1759</f>
        <v>6</v>
      </c>
      <c r="R1759" s="3">
        <f>parking_demand_data_2024_ver0!Q1759</f>
        <v>0</v>
      </c>
      <c r="S1759" s="3">
        <f>parking_demand_data_2024_ver0!R1759</f>
        <v>0</v>
      </c>
      <c r="T1759" s="3">
        <f>parking_demand_data_2024_ver0!S1759</f>
        <v>34</v>
      </c>
    </row>
    <row r="1760" spans="1:20" x14ac:dyDescent="0.25">
      <c r="A1760">
        <v>18147</v>
      </c>
      <c r="B1760" t="s">
        <v>102</v>
      </c>
      <c r="C1760">
        <v>6</v>
      </c>
      <c r="D1760" s="3">
        <f>parking_demand_data_2024_ver0!D1760*calibration!$I$31</f>
        <v>28.464179817651601</v>
      </c>
      <c r="E1760" s="3">
        <f>parking_demand_data_2024_ver0!E1760*calibration!$I$31</f>
        <v>13.0748443670239</v>
      </c>
      <c r="F1760" s="3">
        <f t="shared" si="27"/>
        <v>41.539024184675498</v>
      </c>
      <c r="G1760" s="3">
        <f>parking_demand_data_2024_ver0!F1760</f>
        <v>3</v>
      </c>
      <c r="H1760" s="3">
        <f>parking_demand_data_2024_ver0!G1760</f>
        <v>0</v>
      </c>
      <c r="I1760" s="3">
        <f>parking_demand_data_2024_ver0!H1760</f>
        <v>0</v>
      </c>
      <c r="J1760" s="3">
        <f>parking_demand_data_2024_ver0!I1760</f>
        <v>1</v>
      </c>
      <c r="K1760" s="3">
        <f>parking_demand_data_2024_ver0!J1760</f>
        <v>0</v>
      </c>
      <c r="L1760" s="3">
        <f>parking_demand_data_2024_ver0!K1760</f>
        <v>0</v>
      </c>
      <c r="M1760" s="3">
        <f>parking_demand_data_2024_ver0!L1760</f>
        <v>2</v>
      </c>
      <c r="N1760" s="3">
        <f>parking_demand_data_2024_ver0!M1760</f>
        <v>40</v>
      </c>
      <c r="O1760" s="3">
        <f>parking_demand_data_2024_ver0!N1760</f>
        <v>0</v>
      </c>
      <c r="P1760" s="3">
        <f>parking_demand_data_2024_ver0!O1760</f>
        <v>0</v>
      </c>
      <c r="Q1760" s="3">
        <f>parking_demand_data_2024_ver0!P1760</f>
        <v>6</v>
      </c>
      <c r="R1760" s="3">
        <f>parking_demand_data_2024_ver0!Q1760</f>
        <v>0</v>
      </c>
      <c r="S1760" s="3">
        <f>parking_demand_data_2024_ver0!R1760</f>
        <v>0</v>
      </c>
      <c r="T1760" s="3">
        <f>parking_demand_data_2024_ver0!S1760</f>
        <v>34</v>
      </c>
    </row>
    <row r="1761" spans="1:20" x14ac:dyDescent="0.25">
      <c r="A1761">
        <v>18147</v>
      </c>
      <c r="B1761" t="s">
        <v>102</v>
      </c>
      <c r="C1761">
        <v>7</v>
      </c>
      <c r="D1761" s="3">
        <f>parking_demand_data_2024_ver0!D1761*calibration!$I$31</f>
        <v>23.875802757174199</v>
      </c>
      <c r="E1761" s="3">
        <f>parking_demand_data_2024_ver0!E1761*calibration!$I$31</f>
        <v>11.694270738207701</v>
      </c>
      <c r="F1761" s="3">
        <f t="shared" si="27"/>
        <v>35.570073495381898</v>
      </c>
      <c r="G1761" s="3">
        <f>parking_demand_data_2024_ver0!F1761</f>
        <v>3</v>
      </c>
      <c r="H1761" s="3">
        <f>parking_demand_data_2024_ver0!G1761</f>
        <v>0</v>
      </c>
      <c r="I1761" s="3">
        <f>parking_demand_data_2024_ver0!H1761</f>
        <v>0</v>
      </c>
      <c r="J1761" s="3">
        <f>parking_demand_data_2024_ver0!I1761</f>
        <v>1</v>
      </c>
      <c r="K1761" s="3">
        <f>parking_demand_data_2024_ver0!J1761</f>
        <v>0</v>
      </c>
      <c r="L1761" s="3">
        <f>parking_demand_data_2024_ver0!K1761</f>
        <v>0</v>
      </c>
      <c r="M1761" s="3">
        <f>parking_demand_data_2024_ver0!L1761</f>
        <v>2</v>
      </c>
      <c r="N1761" s="3">
        <f>parking_demand_data_2024_ver0!M1761</f>
        <v>40</v>
      </c>
      <c r="O1761" s="3">
        <f>parking_demand_data_2024_ver0!N1761</f>
        <v>0</v>
      </c>
      <c r="P1761" s="3">
        <f>parking_demand_data_2024_ver0!O1761</f>
        <v>0</v>
      </c>
      <c r="Q1761" s="3">
        <f>parking_demand_data_2024_ver0!P1761</f>
        <v>6</v>
      </c>
      <c r="R1761" s="3">
        <f>parking_demand_data_2024_ver0!Q1761</f>
        <v>0</v>
      </c>
      <c r="S1761" s="3">
        <f>parking_demand_data_2024_ver0!R1761</f>
        <v>0</v>
      </c>
      <c r="T1761" s="3">
        <f>parking_demand_data_2024_ver0!S1761</f>
        <v>34</v>
      </c>
    </row>
    <row r="1762" spans="1:20" x14ac:dyDescent="0.25">
      <c r="A1762">
        <v>18147</v>
      </c>
      <c r="B1762" t="s">
        <v>102</v>
      </c>
      <c r="C1762">
        <v>8</v>
      </c>
      <c r="D1762" s="3">
        <f>parking_demand_data_2024_ver0!D1762*calibration!$I$31</f>
        <v>18.475323562099099</v>
      </c>
      <c r="E1762" s="3">
        <f>parking_demand_data_2024_ver0!E1762*calibration!$I$31</f>
        <v>8.5676775200064004</v>
      </c>
      <c r="F1762" s="3">
        <f t="shared" si="27"/>
        <v>27.043001082105498</v>
      </c>
      <c r="G1762" s="3">
        <f>parking_demand_data_2024_ver0!F1762</f>
        <v>3</v>
      </c>
      <c r="H1762" s="3">
        <f>parking_demand_data_2024_ver0!G1762</f>
        <v>0</v>
      </c>
      <c r="I1762" s="3">
        <f>parking_demand_data_2024_ver0!H1762</f>
        <v>0</v>
      </c>
      <c r="J1762" s="3">
        <f>parking_demand_data_2024_ver0!I1762</f>
        <v>1</v>
      </c>
      <c r="K1762" s="3">
        <f>parking_demand_data_2024_ver0!J1762</f>
        <v>0</v>
      </c>
      <c r="L1762" s="3">
        <f>parking_demand_data_2024_ver0!K1762</f>
        <v>0</v>
      </c>
      <c r="M1762" s="3">
        <f>parking_demand_data_2024_ver0!L1762</f>
        <v>2</v>
      </c>
      <c r="N1762" s="3">
        <f>parking_demand_data_2024_ver0!M1762</f>
        <v>40</v>
      </c>
      <c r="O1762" s="3">
        <f>parking_demand_data_2024_ver0!N1762</f>
        <v>0</v>
      </c>
      <c r="P1762" s="3">
        <f>parking_demand_data_2024_ver0!O1762</f>
        <v>0</v>
      </c>
      <c r="Q1762" s="3">
        <f>parking_demand_data_2024_ver0!P1762</f>
        <v>6</v>
      </c>
      <c r="R1762" s="3">
        <f>parking_demand_data_2024_ver0!Q1762</f>
        <v>0</v>
      </c>
      <c r="S1762" s="3">
        <f>parking_demand_data_2024_ver0!R1762</f>
        <v>0</v>
      </c>
      <c r="T1762" s="3">
        <f>parking_demand_data_2024_ver0!S1762</f>
        <v>34</v>
      </c>
    </row>
    <row r="1763" spans="1:20" x14ac:dyDescent="0.25">
      <c r="A1763">
        <v>18147</v>
      </c>
      <c r="B1763" t="s">
        <v>102</v>
      </c>
      <c r="C1763">
        <v>9</v>
      </c>
      <c r="D1763" s="3">
        <f>parking_demand_data_2024_ver0!D1763*calibration!$I$31</f>
        <v>18.881374629398</v>
      </c>
      <c r="E1763" s="3">
        <f>parking_demand_data_2024_ver0!E1763*calibration!$I$31</f>
        <v>9.2579643344145008</v>
      </c>
      <c r="F1763" s="3">
        <f t="shared" si="27"/>
        <v>28.139338963812499</v>
      </c>
      <c r="G1763" s="3">
        <f>parking_demand_data_2024_ver0!F1763</f>
        <v>3</v>
      </c>
      <c r="H1763" s="3">
        <f>parking_demand_data_2024_ver0!G1763</f>
        <v>0</v>
      </c>
      <c r="I1763" s="3">
        <f>parking_demand_data_2024_ver0!H1763</f>
        <v>0</v>
      </c>
      <c r="J1763" s="3">
        <f>parking_demand_data_2024_ver0!I1763</f>
        <v>1</v>
      </c>
      <c r="K1763" s="3">
        <f>parking_demand_data_2024_ver0!J1763</f>
        <v>0</v>
      </c>
      <c r="L1763" s="3">
        <f>parking_demand_data_2024_ver0!K1763</f>
        <v>0</v>
      </c>
      <c r="M1763" s="3">
        <f>parking_demand_data_2024_ver0!L1763</f>
        <v>2</v>
      </c>
      <c r="N1763" s="3">
        <f>parking_demand_data_2024_ver0!M1763</f>
        <v>40</v>
      </c>
      <c r="O1763" s="3">
        <f>parking_demand_data_2024_ver0!N1763</f>
        <v>0</v>
      </c>
      <c r="P1763" s="3">
        <f>parking_demand_data_2024_ver0!O1763</f>
        <v>0</v>
      </c>
      <c r="Q1763" s="3">
        <f>parking_demand_data_2024_ver0!P1763</f>
        <v>6</v>
      </c>
      <c r="R1763" s="3">
        <f>parking_demand_data_2024_ver0!Q1763</f>
        <v>0</v>
      </c>
      <c r="S1763" s="3">
        <f>parking_demand_data_2024_ver0!R1763</f>
        <v>0</v>
      </c>
      <c r="T1763" s="3">
        <f>parking_demand_data_2024_ver0!S1763</f>
        <v>34</v>
      </c>
    </row>
    <row r="1764" spans="1:20" x14ac:dyDescent="0.25">
      <c r="A1764">
        <v>18147</v>
      </c>
      <c r="B1764" t="s">
        <v>102</v>
      </c>
      <c r="C1764">
        <v>10</v>
      </c>
      <c r="D1764" s="3">
        <f>parking_demand_data_2024_ver0!D1764*calibration!$I$31</f>
        <v>22.0079678475993</v>
      </c>
      <c r="E1764" s="3">
        <f>parking_demand_data_2024_ver0!E1764*calibration!$I$31</f>
        <v>7.95860091905808</v>
      </c>
      <c r="F1764" s="3">
        <f t="shared" si="27"/>
        <v>29.966568766657382</v>
      </c>
      <c r="G1764" s="3">
        <f>parking_demand_data_2024_ver0!F1764</f>
        <v>3</v>
      </c>
      <c r="H1764" s="3">
        <f>parking_demand_data_2024_ver0!G1764</f>
        <v>0</v>
      </c>
      <c r="I1764" s="3">
        <f>parking_demand_data_2024_ver0!H1764</f>
        <v>0</v>
      </c>
      <c r="J1764" s="3">
        <f>parking_demand_data_2024_ver0!I1764</f>
        <v>1</v>
      </c>
      <c r="K1764" s="3">
        <f>parking_demand_data_2024_ver0!J1764</f>
        <v>0</v>
      </c>
      <c r="L1764" s="3">
        <f>parking_demand_data_2024_ver0!K1764</f>
        <v>0</v>
      </c>
      <c r="M1764" s="3">
        <f>parking_demand_data_2024_ver0!L1764</f>
        <v>2</v>
      </c>
      <c r="N1764" s="3">
        <f>parking_demand_data_2024_ver0!M1764</f>
        <v>40</v>
      </c>
      <c r="O1764" s="3">
        <f>parking_demand_data_2024_ver0!N1764</f>
        <v>0</v>
      </c>
      <c r="P1764" s="3">
        <f>parking_demand_data_2024_ver0!O1764</f>
        <v>0</v>
      </c>
      <c r="Q1764" s="3">
        <f>parking_demand_data_2024_ver0!P1764</f>
        <v>6</v>
      </c>
      <c r="R1764" s="3">
        <f>parking_demand_data_2024_ver0!Q1764</f>
        <v>0</v>
      </c>
      <c r="S1764" s="3">
        <f>parking_demand_data_2024_ver0!R1764</f>
        <v>0</v>
      </c>
      <c r="T1764" s="3">
        <f>parking_demand_data_2024_ver0!S1764</f>
        <v>34</v>
      </c>
    </row>
    <row r="1765" spans="1:20" x14ac:dyDescent="0.25">
      <c r="A1765">
        <v>18147</v>
      </c>
      <c r="B1765" t="s">
        <v>102</v>
      </c>
      <c r="C1765">
        <v>11</v>
      </c>
      <c r="D1765" s="3">
        <f>parking_demand_data_2024_ver0!D1765*calibration!$I$31</f>
        <v>23.185515942766099</v>
      </c>
      <c r="E1765" s="3">
        <f>parking_demand_data_2024_ver0!E1765*calibration!$I$31</f>
        <v>6.0907660094832199</v>
      </c>
      <c r="F1765" s="3">
        <f t="shared" si="27"/>
        <v>29.27628195224932</v>
      </c>
      <c r="G1765" s="3">
        <f>parking_demand_data_2024_ver0!F1765</f>
        <v>3</v>
      </c>
      <c r="H1765" s="3">
        <f>parking_demand_data_2024_ver0!G1765</f>
        <v>0</v>
      </c>
      <c r="I1765" s="3">
        <f>parking_demand_data_2024_ver0!H1765</f>
        <v>0</v>
      </c>
      <c r="J1765" s="3">
        <f>parking_demand_data_2024_ver0!I1765</f>
        <v>1</v>
      </c>
      <c r="K1765" s="3">
        <f>parking_demand_data_2024_ver0!J1765</f>
        <v>0</v>
      </c>
      <c r="L1765" s="3">
        <f>parking_demand_data_2024_ver0!K1765</f>
        <v>0</v>
      </c>
      <c r="M1765" s="3">
        <f>parking_demand_data_2024_ver0!L1765</f>
        <v>2</v>
      </c>
      <c r="N1765" s="3">
        <f>parking_demand_data_2024_ver0!M1765</f>
        <v>40</v>
      </c>
      <c r="O1765" s="3">
        <f>parking_demand_data_2024_ver0!N1765</f>
        <v>0</v>
      </c>
      <c r="P1765" s="3">
        <f>parking_demand_data_2024_ver0!O1765</f>
        <v>0</v>
      </c>
      <c r="Q1765" s="3">
        <f>parking_demand_data_2024_ver0!P1765</f>
        <v>6</v>
      </c>
      <c r="R1765" s="3">
        <f>parking_demand_data_2024_ver0!Q1765</f>
        <v>0</v>
      </c>
      <c r="S1765" s="3">
        <f>parking_demand_data_2024_ver0!R1765</f>
        <v>0</v>
      </c>
      <c r="T1765" s="3">
        <f>parking_demand_data_2024_ver0!S1765</f>
        <v>34</v>
      </c>
    </row>
    <row r="1766" spans="1:20" x14ac:dyDescent="0.25">
      <c r="A1766">
        <v>18147</v>
      </c>
      <c r="B1766" t="s">
        <v>102</v>
      </c>
      <c r="C1766">
        <v>12</v>
      </c>
      <c r="D1766" s="3">
        <f>parking_demand_data_2024_ver0!D1766*calibration!$I$31</f>
        <v>21.1552606062717</v>
      </c>
      <c r="E1766" s="3">
        <f>parking_demand_data_2024_ver0!E1766*calibration!$I$31</f>
        <v>4.1417208864485904</v>
      </c>
      <c r="F1766" s="3">
        <f t="shared" si="27"/>
        <v>25.296981492720292</v>
      </c>
      <c r="G1766" s="3">
        <f>parking_demand_data_2024_ver0!F1766</f>
        <v>3</v>
      </c>
      <c r="H1766" s="3">
        <f>parking_demand_data_2024_ver0!G1766</f>
        <v>0</v>
      </c>
      <c r="I1766" s="3">
        <f>parking_demand_data_2024_ver0!H1766</f>
        <v>0</v>
      </c>
      <c r="J1766" s="3">
        <f>parking_demand_data_2024_ver0!I1766</f>
        <v>1</v>
      </c>
      <c r="K1766" s="3">
        <f>parking_demand_data_2024_ver0!J1766</f>
        <v>0</v>
      </c>
      <c r="L1766" s="3">
        <f>parking_demand_data_2024_ver0!K1766</f>
        <v>0</v>
      </c>
      <c r="M1766" s="3">
        <f>parking_demand_data_2024_ver0!L1766</f>
        <v>2</v>
      </c>
      <c r="N1766" s="3">
        <f>parking_demand_data_2024_ver0!M1766</f>
        <v>40</v>
      </c>
      <c r="O1766" s="3">
        <f>parking_demand_data_2024_ver0!N1766</f>
        <v>0</v>
      </c>
      <c r="P1766" s="3">
        <f>parking_demand_data_2024_ver0!O1766</f>
        <v>0</v>
      </c>
      <c r="Q1766" s="3">
        <f>parking_demand_data_2024_ver0!P1766</f>
        <v>6</v>
      </c>
      <c r="R1766" s="3">
        <f>parking_demand_data_2024_ver0!Q1766</f>
        <v>0</v>
      </c>
      <c r="S1766" s="3">
        <f>parking_demand_data_2024_ver0!R1766</f>
        <v>0</v>
      </c>
      <c r="T1766" s="3">
        <f>parking_demand_data_2024_ver0!S1766</f>
        <v>34</v>
      </c>
    </row>
    <row r="1767" spans="1:20" x14ac:dyDescent="0.25">
      <c r="A1767">
        <v>18147</v>
      </c>
      <c r="B1767" t="s">
        <v>102</v>
      </c>
      <c r="C1767">
        <v>13</v>
      </c>
      <c r="D1767" s="3">
        <f>parking_demand_data_2024_ver0!D1767*calibration!$I$31</f>
        <v>19.977712511104901</v>
      </c>
      <c r="E1767" s="3">
        <f>parking_demand_data_2024_ver0!E1767*calibration!$I$31</f>
        <v>3.2484085383910499</v>
      </c>
      <c r="F1767" s="3">
        <f t="shared" si="27"/>
        <v>23.226121049495951</v>
      </c>
      <c r="G1767" s="3">
        <f>parking_demand_data_2024_ver0!F1767</f>
        <v>3</v>
      </c>
      <c r="H1767" s="3">
        <f>parking_demand_data_2024_ver0!G1767</f>
        <v>0</v>
      </c>
      <c r="I1767" s="3">
        <f>parking_demand_data_2024_ver0!H1767</f>
        <v>0</v>
      </c>
      <c r="J1767" s="3">
        <f>parking_demand_data_2024_ver0!I1767</f>
        <v>1</v>
      </c>
      <c r="K1767" s="3">
        <f>parking_demand_data_2024_ver0!J1767</f>
        <v>0</v>
      </c>
      <c r="L1767" s="3">
        <f>parking_demand_data_2024_ver0!K1767</f>
        <v>0</v>
      </c>
      <c r="M1767" s="3">
        <f>parking_demand_data_2024_ver0!L1767</f>
        <v>2</v>
      </c>
      <c r="N1767" s="3">
        <f>parking_demand_data_2024_ver0!M1767</f>
        <v>40</v>
      </c>
      <c r="O1767" s="3">
        <f>parking_demand_data_2024_ver0!N1767</f>
        <v>0</v>
      </c>
      <c r="P1767" s="3">
        <f>parking_demand_data_2024_ver0!O1767</f>
        <v>0</v>
      </c>
      <c r="Q1767" s="3">
        <f>parking_demand_data_2024_ver0!P1767</f>
        <v>6</v>
      </c>
      <c r="R1767" s="3">
        <f>parking_demand_data_2024_ver0!Q1767</f>
        <v>0</v>
      </c>
      <c r="S1767" s="3">
        <f>parking_demand_data_2024_ver0!R1767</f>
        <v>0</v>
      </c>
      <c r="T1767" s="3">
        <f>parking_demand_data_2024_ver0!S1767</f>
        <v>34</v>
      </c>
    </row>
    <row r="1768" spans="1:20" x14ac:dyDescent="0.25">
      <c r="A1768">
        <v>18147</v>
      </c>
      <c r="B1768" t="s">
        <v>102</v>
      </c>
      <c r="C1768">
        <v>14</v>
      </c>
      <c r="D1768" s="3">
        <f>parking_demand_data_2024_ver0!D1768*calibration!$I$31</f>
        <v>17.663221427501298</v>
      </c>
      <c r="E1768" s="3">
        <f>parking_demand_data_2024_ver0!E1768*calibration!$I$31</f>
        <v>2.0708604432242899</v>
      </c>
      <c r="F1768" s="3">
        <f t="shared" si="27"/>
        <v>19.734081870725589</v>
      </c>
      <c r="G1768" s="3">
        <f>parking_demand_data_2024_ver0!F1768</f>
        <v>3</v>
      </c>
      <c r="H1768" s="3">
        <f>parking_demand_data_2024_ver0!G1768</f>
        <v>0</v>
      </c>
      <c r="I1768" s="3">
        <f>parking_demand_data_2024_ver0!H1768</f>
        <v>0</v>
      </c>
      <c r="J1768" s="3">
        <f>parking_demand_data_2024_ver0!I1768</f>
        <v>1</v>
      </c>
      <c r="K1768" s="3">
        <f>parking_demand_data_2024_ver0!J1768</f>
        <v>0</v>
      </c>
      <c r="L1768" s="3">
        <f>parking_demand_data_2024_ver0!K1768</f>
        <v>0</v>
      </c>
      <c r="M1768" s="3">
        <f>parking_demand_data_2024_ver0!L1768</f>
        <v>2</v>
      </c>
      <c r="N1768" s="3">
        <f>parking_demand_data_2024_ver0!M1768</f>
        <v>40</v>
      </c>
      <c r="O1768" s="3">
        <f>parking_demand_data_2024_ver0!N1768</f>
        <v>0</v>
      </c>
      <c r="P1768" s="3">
        <f>parking_demand_data_2024_ver0!O1768</f>
        <v>0</v>
      </c>
      <c r="Q1768" s="3">
        <f>parking_demand_data_2024_ver0!P1768</f>
        <v>6</v>
      </c>
      <c r="R1768" s="3">
        <f>parking_demand_data_2024_ver0!Q1768</f>
        <v>0</v>
      </c>
      <c r="S1768" s="3">
        <f>parking_demand_data_2024_ver0!R1768</f>
        <v>0</v>
      </c>
      <c r="T1768" s="3">
        <f>parking_demand_data_2024_ver0!S1768</f>
        <v>34</v>
      </c>
    </row>
    <row r="1769" spans="1:20" x14ac:dyDescent="0.25">
      <c r="A1769">
        <v>18147</v>
      </c>
      <c r="B1769" t="s">
        <v>102</v>
      </c>
      <c r="C1769">
        <v>15</v>
      </c>
      <c r="D1769" s="3">
        <f>parking_demand_data_2024_ver0!D1769*calibration!$I$31</f>
        <v>16.0390171583058</v>
      </c>
      <c r="E1769" s="3">
        <f>parking_demand_data_2024_ver0!E1769*calibration!$I$31</f>
        <v>1.29936341535642</v>
      </c>
      <c r="F1769" s="3">
        <f t="shared" si="27"/>
        <v>17.338380573662221</v>
      </c>
      <c r="G1769" s="3">
        <f>parking_demand_data_2024_ver0!F1769</f>
        <v>3</v>
      </c>
      <c r="H1769" s="3">
        <f>parking_demand_data_2024_ver0!G1769</f>
        <v>0</v>
      </c>
      <c r="I1769" s="3">
        <f>parking_demand_data_2024_ver0!H1769</f>
        <v>0</v>
      </c>
      <c r="J1769" s="3">
        <f>parking_demand_data_2024_ver0!I1769</f>
        <v>1</v>
      </c>
      <c r="K1769" s="3">
        <f>parking_demand_data_2024_ver0!J1769</f>
        <v>0</v>
      </c>
      <c r="L1769" s="3">
        <f>parking_demand_data_2024_ver0!K1769</f>
        <v>0</v>
      </c>
      <c r="M1769" s="3">
        <f>parking_demand_data_2024_ver0!L1769</f>
        <v>2</v>
      </c>
      <c r="N1769" s="3">
        <f>parking_demand_data_2024_ver0!M1769</f>
        <v>40</v>
      </c>
      <c r="O1769" s="3">
        <f>parking_demand_data_2024_ver0!N1769</f>
        <v>0</v>
      </c>
      <c r="P1769" s="3">
        <f>parking_demand_data_2024_ver0!O1769</f>
        <v>0</v>
      </c>
      <c r="Q1769" s="3">
        <f>parking_demand_data_2024_ver0!P1769</f>
        <v>6</v>
      </c>
      <c r="R1769" s="3">
        <f>parking_demand_data_2024_ver0!Q1769</f>
        <v>0</v>
      </c>
      <c r="S1769" s="3">
        <f>parking_demand_data_2024_ver0!R1769</f>
        <v>0</v>
      </c>
      <c r="T1769" s="3">
        <f>parking_demand_data_2024_ver0!S1769</f>
        <v>34</v>
      </c>
    </row>
    <row r="1770" spans="1:20" x14ac:dyDescent="0.25">
      <c r="A1770">
        <v>18147</v>
      </c>
      <c r="B1770" t="s">
        <v>102</v>
      </c>
      <c r="C1770">
        <v>16</v>
      </c>
      <c r="D1770" s="3">
        <f>parking_demand_data_2024_ver0!D1770*calibration!$I$31</f>
        <v>15.8359916246563</v>
      </c>
      <c r="E1770" s="3">
        <f>parking_demand_data_2024_ver0!E1770*calibration!$I$31</f>
        <v>1.4617838422759699</v>
      </c>
      <c r="F1770" s="3">
        <f t="shared" si="27"/>
        <v>17.297775466932269</v>
      </c>
      <c r="G1770" s="3">
        <f>parking_demand_data_2024_ver0!F1770</f>
        <v>3</v>
      </c>
      <c r="H1770" s="3">
        <f>parking_demand_data_2024_ver0!G1770</f>
        <v>0</v>
      </c>
      <c r="I1770" s="3">
        <f>parking_demand_data_2024_ver0!H1770</f>
        <v>0</v>
      </c>
      <c r="J1770" s="3">
        <f>parking_demand_data_2024_ver0!I1770</f>
        <v>1</v>
      </c>
      <c r="K1770" s="3">
        <f>parking_demand_data_2024_ver0!J1770</f>
        <v>0</v>
      </c>
      <c r="L1770" s="3">
        <f>parking_demand_data_2024_ver0!K1770</f>
        <v>0</v>
      </c>
      <c r="M1770" s="3">
        <f>parking_demand_data_2024_ver0!L1770</f>
        <v>2</v>
      </c>
      <c r="N1770" s="3">
        <f>parking_demand_data_2024_ver0!M1770</f>
        <v>40</v>
      </c>
      <c r="O1770" s="3">
        <f>parking_demand_data_2024_ver0!N1770</f>
        <v>0</v>
      </c>
      <c r="P1770" s="3">
        <f>parking_demand_data_2024_ver0!O1770</f>
        <v>0</v>
      </c>
      <c r="Q1770" s="3">
        <f>parking_demand_data_2024_ver0!P1770</f>
        <v>6</v>
      </c>
      <c r="R1770" s="3">
        <f>parking_demand_data_2024_ver0!Q1770</f>
        <v>0</v>
      </c>
      <c r="S1770" s="3">
        <f>parking_demand_data_2024_ver0!R1770</f>
        <v>0</v>
      </c>
      <c r="T1770" s="3">
        <f>parking_demand_data_2024_ver0!S1770</f>
        <v>34</v>
      </c>
    </row>
    <row r="1771" spans="1:20" x14ac:dyDescent="0.25">
      <c r="A1771">
        <v>18147</v>
      </c>
      <c r="B1771" t="s">
        <v>102</v>
      </c>
      <c r="C1771">
        <v>17</v>
      </c>
      <c r="D1771" s="3">
        <f>parking_demand_data_2024_ver0!D1771*calibration!$I$31</f>
        <v>19.043795056317499</v>
      </c>
      <c r="E1771" s="3">
        <f>parking_demand_data_2024_ver0!E1771*calibration!$I$31</f>
        <v>2.3550961903335099</v>
      </c>
      <c r="F1771" s="3">
        <f t="shared" si="27"/>
        <v>21.398891246651008</v>
      </c>
      <c r="G1771" s="3">
        <f>parking_demand_data_2024_ver0!F1771</f>
        <v>3</v>
      </c>
      <c r="H1771" s="3">
        <f>parking_demand_data_2024_ver0!G1771</f>
        <v>0</v>
      </c>
      <c r="I1771" s="3">
        <f>parking_demand_data_2024_ver0!H1771</f>
        <v>0</v>
      </c>
      <c r="J1771" s="3">
        <f>parking_demand_data_2024_ver0!I1771</f>
        <v>1</v>
      </c>
      <c r="K1771" s="3">
        <f>parking_demand_data_2024_ver0!J1771</f>
        <v>0</v>
      </c>
      <c r="L1771" s="3">
        <f>parking_demand_data_2024_ver0!K1771</f>
        <v>0</v>
      </c>
      <c r="M1771" s="3">
        <f>parking_demand_data_2024_ver0!L1771</f>
        <v>2</v>
      </c>
      <c r="N1771" s="3">
        <f>parking_demand_data_2024_ver0!M1771</f>
        <v>40</v>
      </c>
      <c r="O1771" s="3">
        <f>parking_demand_data_2024_ver0!N1771</f>
        <v>0</v>
      </c>
      <c r="P1771" s="3">
        <f>parking_demand_data_2024_ver0!O1771</f>
        <v>0</v>
      </c>
      <c r="Q1771" s="3">
        <f>parking_demand_data_2024_ver0!P1771</f>
        <v>6</v>
      </c>
      <c r="R1771" s="3">
        <f>parking_demand_data_2024_ver0!Q1771</f>
        <v>0</v>
      </c>
      <c r="S1771" s="3">
        <f>parking_demand_data_2024_ver0!R1771</f>
        <v>0</v>
      </c>
      <c r="T1771" s="3">
        <f>parking_demand_data_2024_ver0!S1771</f>
        <v>34</v>
      </c>
    </row>
    <row r="1772" spans="1:20" x14ac:dyDescent="0.25">
      <c r="A1772">
        <v>18147</v>
      </c>
      <c r="B1772" t="s">
        <v>102</v>
      </c>
      <c r="C1772">
        <v>18</v>
      </c>
      <c r="D1772" s="3">
        <f>parking_demand_data_2024_ver0!D1772*calibration!$I$31</f>
        <v>21.358286139921098</v>
      </c>
      <c r="E1772" s="3">
        <f>parking_demand_data_2024_ver0!E1772*calibration!$I$31</f>
        <v>2.9235676845519398</v>
      </c>
      <c r="F1772" s="3">
        <f t="shared" si="27"/>
        <v>24.281853824473039</v>
      </c>
      <c r="G1772" s="3">
        <f>parking_demand_data_2024_ver0!F1772</f>
        <v>3</v>
      </c>
      <c r="H1772" s="3">
        <f>parking_demand_data_2024_ver0!G1772</f>
        <v>0</v>
      </c>
      <c r="I1772" s="3">
        <f>parking_demand_data_2024_ver0!H1772</f>
        <v>0</v>
      </c>
      <c r="J1772" s="3">
        <f>parking_demand_data_2024_ver0!I1772</f>
        <v>1</v>
      </c>
      <c r="K1772" s="3">
        <f>parking_demand_data_2024_ver0!J1772</f>
        <v>0</v>
      </c>
      <c r="L1772" s="3">
        <f>parking_demand_data_2024_ver0!K1772</f>
        <v>0</v>
      </c>
      <c r="M1772" s="3">
        <f>parking_demand_data_2024_ver0!L1772</f>
        <v>2</v>
      </c>
      <c r="N1772" s="3">
        <f>parking_demand_data_2024_ver0!M1772</f>
        <v>40</v>
      </c>
      <c r="O1772" s="3">
        <f>parking_demand_data_2024_ver0!N1772</f>
        <v>0</v>
      </c>
      <c r="P1772" s="3">
        <f>parking_demand_data_2024_ver0!O1772</f>
        <v>0</v>
      </c>
      <c r="Q1772" s="3">
        <f>parking_demand_data_2024_ver0!P1772</f>
        <v>6</v>
      </c>
      <c r="R1772" s="3">
        <f>parking_demand_data_2024_ver0!Q1772</f>
        <v>0</v>
      </c>
      <c r="S1772" s="3">
        <f>parking_demand_data_2024_ver0!R1772</f>
        <v>0</v>
      </c>
      <c r="T1772" s="3">
        <f>parking_demand_data_2024_ver0!S1772</f>
        <v>34</v>
      </c>
    </row>
    <row r="1773" spans="1:20" x14ac:dyDescent="0.25">
      <c r="A1773">
        <v>18147</v>
      </c>
      <c r="B1773" t="s">
        <v>102</v>
      </c>
      <c r="C1773">
        <v>19</v>
      </c>
      <c r="D1773" s="3">
        <f>parking_demand_data_2024_ver0!D1773*calibration!$I$31</f>
        <v>24.8503253186915</v>
      </c>
      <c r="E1773" s="3">
        <f>parking_demand_data_2024_ver0!E1773*calibration!$I$31</f>
        <v>2.67993704417262</v>
      </c>
      <c r="F1773" s="3">
        <f t="shared" si="27"/>
        <v>27.530262362864121</v>
      </c>
      <c r="G1773" s="3">
        <f>parking_demand_data_2024_ver0!F1773</f>
        <v>3</v>
      </c>
      <c r="H1773" s="3">
        <f>parking_demand_data_2024_ver0!G1773</f>
        <v>0</v>
      </c>
      <c r="I1773" s="3">
        <f>parking_demand_data_2024_ver0!H1773</f>
        <v>0</v>
      </c>
      <c r="J1773" s="3">
        <f>parking_demand_data_2024_ver0!I1773</f>
        <v>1</v>
      </c>
      <c r="K1773" s="3">
        <f>parking_demand_data_2024_ver0!J1773</f>
        <v>0</v>
      </c>
      <c r="L1773" s="3">
        <f>parking_demand_data_2024_ver0!K1773</f>
        <v>0</v>
      </c>
      <c r="M1773" s="3">
        <f>parking_demand_data_2024_ver0!L1773</f>
        <v>2</v>
      </c>
      <c r="N1773" s="3">
        <f>parking_demand_data_2024_ver0!M1773</f>
        <v>40</v>
      </c>
      <c r="O1773" s="3">
        <f>parking_demand_data_2024_ver0!N1773</f>
        <v>0</v>
      </c>
      <c r="P1773" s="3">
        <f>parking_demand_data_2024_ver0!O1773</f>
        <v>0</v>
      </c>
      <c r="Q1773" s="3">
        <f>parking_demand_data_2024_ver0!P1773</f>
        <v>6</v>
      </c>
      <c r="R1773" s="3">
        <f>parking_demand_data_2024_ver0!Q1773</f>
        <v>0</v>
      </c>
      <c r="S1773" s="3">
        <f>parking_demand_data_2024_ver0!R1773</f>
        <v>0</v>
      </c>
      <c r="T1773" s="3">
        <f>parking_demand_data_2024_ver0!S1773</f>
        <v>34</v>
      </c>
    </row>
    <row r="1774" spans="1:20" x14ac:dyDescent="0.25">
      <c r="A1774">
        <v>18147</v>
      </c>
      <c r="B1774" t="s">
        <v>102</v>
      </c>
      <c r="C1774">
        <v>20</v>
      </c>
      <c r="D1774" s="3">
        <f>parking_demand_data_2024_ver0!D1774*calibration!$I$31</f>
        <v>27.327236829214701</v>
      </c>
      <c r="E1774" s="3">
        <f>parking_demand_data_2024_ver0!E1774*calibration!$I$31</f>
        <v>4.1417208864485904</v>
      </c>
      <c r="F1774" s="3">
        <f t="shared" si="27"/>
        <v>31.468957715663294</v>
      </c>
      <c r="G1774" s="3">
        <f>parking_demand_data_2024_ver0!F1774</f>
        <v>3</v>
      </c>
      <c r="H1774" s="3">
        <f>parking_demand_data_2024_ver0!G1774</f>
        <v>0</v>
      </c>
      <c r="I1774" s="3">
        <f>parking_demand_data_2024_ver0!H1774</f>
        <v>0</v>
      </c>
      <c r="J1774" s="3">
        <f>parking_demand_data_2024_ver0!I1774</f>
        <v>1</v>
      </c>
      <c r="K1774" s="3">
        <f>parking_demand_data_2024_ver0!J1774</f>
        <v>0</v>
      </c>
      <c r="L1774" s="3">
        <f>parking_demand_data_2024_ver0!K1774</f>
        <v>0</v>
      </c>
      <c r="M1774" s="3">
        <f>parking_demand_data_2024_ver0!L1774</f>
        <v>2</v>
      </c>
      <c r="N1774" s="3">
        <f>parking_demand_data_2024_ver0!M1774</f>
        <v>40</v>
      </c>
      <c r="O1774" s="3">
        <f>parking_demand_data_2024_ver0!N1774</f>
        <v>0</v>
      </c>
      <c r="P1774" s="3">
        <f>parking_demand_data_2024_ver0!O1774</f>
        <v>0</v>
      </c>
      <c r="Q1774" s="3">
        <f>parking_demand_data_2024_ver0!P1774</f>
        <v>6</v>
      </c>
      <c r="R1774" s="3">
        <f>parking_demand_data_2024_ver0!Q1774</f>
        <v>0</v>
      </c>
      <c r="S1774" s="3">
        <f>parking_demand_data_2024_ver0!R1774</f>
        <v>0</v>
      </c>
      <c r="T1774" s="3">
        <f>parking_demand_data_2024_ver0!S1774</f>
        <v>34</v>
      </c>
    </row>
    <row r="1775" spans="1:20" x14ac:dyDescent="0.25">
      <c r="A1775">
        <v>18147</v>
      </c>
      <c r="B1775" t="s">
        <v>102</v>
      </c>
      <c r="C1775">
        <v>21</v>
      </c>
      <c r="D1775" s="3">
        <f>parking_demand_data_2024_ver0!D1775*calibration!$I$31</f>
        <v>28.585995137841198</v>
      </c>
      <c r="E1775" s="3">
        <f>parking_demand_data_2024_ver0!E1775*calibration!$I$31</f>
        <v>6.1313711162131099</v>
      </c>
      <c r="F1775" s="3">
        <f t="shared" si="27"/>
        <v>34.717366254054312</v>
      </c>
      <c r="G1775" s="3">
        <f>parking_demand_data_2024_ver0!F1775</f>
        <v>3</v>
      </c>
      <c r="H1775" s="3">
        <f>parking_demand_data_2024_ver0!G1775</f>
        <v>0</v>
      </c>
      <c r="I1775" s="3">
        <f>parking_demand_data_2024_ver0!H1775</f>
        <v>0</v>
      </c>
      <c r="J1775" s="3">
        <f>parking_demand_data_2024_ver0!I1775</f>
        <v>1</v>
      </c>
      <c r="K1775" s="3">
        <f>parking_demand_data_2024_ver0!J1775</f>
        <v>0</v>
      </c>
      <c r="L1775" s="3">
        <f>parking_demand_data_2024_ver0!K1775</f>
        <v>0</v>
      </c>
      <c r="M1775" s="3">
        <f>parking_demand_data_2024_ver0!L1775</f>
        <v>2</v>
      </c>
      <c r="N1775" s="3">
        <f>parking_demand_data_2024_ver0!M1775</f>
        <v>40</v>
      </c>
      <c r="O1775" s="3">
        <f>parking_demand_data_2024_ver0!N1775</f>
        <v>0</v>
      </c>
      <c r="P1775" s="3">
        <f>parking_demand_data_2024_ver0!O1775</f>
        <v>0</v>
      </c>
      <c r="Q1775" s="3">
        <f>parking_demand_data_2024_ver0!P1775</f>
        <v>6</v>
      </c>
      <c r="R1775" s="3">
        <f>parking_demand_data_2024_ver0!Q1775</f>
        <v>0</v>
      </c>
      <c r="S1775" s="3">
        <f>parking_demand_data_2024_ver0!R1775</f>
        <v>0</v>
      </c>
      <c r="T1775" s="3">
        <f>parking_demand_data_2024_ver0!S1775</f>
        <v>34</v>
      </c>
    </row>
    <row r="1776" spans="1:20" x14ac:dyDescent="0.25">
      <c r="A1776">
        <v>18147</v>
      </c>
      <c r="B1776" t="s">
        <v>102</v>
      </c>
      <c r="C1776">
        <v>22</v>
      </c>
      <c r="D1776" s="3">
        <f>parking_demand_data_2024_ver0!D1776*calibration!$I$31</f>
        <v>30.169594300306901</v>
      </c>
      <c r="E1776" s="3">
        <f>parking_demand_data_2024_ver0!E1776*calibration!$I$31</f>
        <v>8.2834417728971896</v>
      </c>
      <c r="F1776" s="3">
        <f t="shared" si="27"/>
        <v>38.453036073204089</v>
      </c>
      <c r="G1776" s="3">
        <f>parking_demand_data_2024_ver0!F1776</f>
        <v>3</v>
      </c>
      <c r="H1776" s="3">
        <f>parking_demand_data_2024_ver0!G1776</f>
        <v>0</v>
      </c>
      <c r="I1776" s="3">
        <f>parking_demand_data_2024_ver0!H1776</f>
        <v>0</v>
      </c>
      <c r="J1776" s="3">
        <f>parking_demand_data_2024_ver0!I1776</f>
        <v>1</v>
      </c>
      <c r="K1776" s="3">
        <f>parking_demand_data_2024_ver0!J1776</f>
        <v>0</v>
      </c>
      <c r="L1776" s="3">
        <f>parking_demand_data_2024_ver0!K1776</f>
        <v>0</v>
      </c>
      <c r="M1776" s="3">
        <f>parking_demand_data_2024_ver0!L1776</f>
        <v>2</v>
      </c>
      <c r="N1776" s="3">
        <f>parking_demand_data_2024_ver0!M1776</f>
        <v>40</v>
      </c>
      <c r="O1776" s="3">
        <f>parking_demand_data_2024_ver0!N1776</f>
        <v>0</v>
      </c>
      <c r="P1776" s="3">
        <f>parking_demand_data_2024_ver0!O1776</f>
        <v>0</v>
      </c>
      <c r="Q1776" s="3">
        <f>parking_demand_data_2024_ver0!P1776</f>
        <v>6</v>
      </c>
      <c r="R1776" s="3">
        <f>parking_demand_data_2024_ver0!Q1776</f>
        <v>0</v>
      </c>
      <c r="S1776" s="3">
        <f>parking_demand_data_2024_ver0!R1776</f>
        <v>0</v>
      </c>
      <c r="T1776" s="3">
        <f>parking_demand_data_2024_ver0!S1776</f>
        <v>34</v>
      </c>
    </row>
    <row r="1777" spans="1:20" x14ac:dyDescent="0.25">
      <c r="A1777">
        <v>18147</v>
      </c>
      <c r="B1777" t="s">
        <v>102</v>
      </c>
      <c r="C1777">
        <v>23</v>
      </c>
      <c r="D1777" s="3">
        <f>parking_demand_data_2024_ver0!D1777*calibration!$I$31</f>
        <v>30.859881114715002</v>
      </c>
      <c r="E1777" s="3">
        <f>parking_demand_data_2024_ver0!E1777*calibration!$I$31</f>
        <v>10.6385379632307</v>
      </c>
      <c r="F1777" s="3">
        <f t="shared" si="27"/>
        <v>41.498419077945698</v>
      </c>
      <c r="G1777" s="3">
        <f>parking_demand_data_2024_ver0!F1777</f>
        <v>3</v>
      </c>
      <c r="H1777" s="3">
        <f>parking_demand_data_2024_ver0!G1777</f>
        <v>0</v>
      </c>
      <c r="I1777" s="3">
        <f>parking_demand_data_2024_ver0!H1777</f>
        <v>0</v>
      </c>
      <c r="J1777" s="3">
        <f>parking_demand_data_2024_ver0!I1777</f>
        <v>1</v>
      </c>
      <c r="K1777" s="3">
        <f>parking_demand_data_2024_ver0!J1777</f>
        <v>0</v>
      </c>
      <c r="L1777" s="3">
        <f>parking_demand_data_2024_ver0!K1777</f>
        <v>0</v>
      </c>
      <c r="M1777" s="3">
        <f>parking_demand_data_2024_ver0!L1777</f>
        <v>2</v>
      </c>
      <c r="N1777" s="3">
        <f>parking_demand_data_2024_ver0!M1777</f>
        <v>40</v>
      </c>
      <c r="O1777" s="3">
        <f>parking_demand_data_2024_ver0!N1777</f>
        <v>0</v>
      </c>
      <c r="P1777" s="3">
        <f>parking_demand_data_2024_ver0!O1777</f>
        <v>0</v>
      </c>
      <c r="Q1777" s="3">
        <f>parking_demand_data_2024_ver0!P1777</f>
        <v>6</v>
      </c>
      <c r="R1777" s="3">
        <f>parking_demand_data_2024_ver0!Q1777</f>
        <v>0</v>
      </c>
      <c r="S1777" s="3">
        <f>parking_demand_data_2024_ver0!R1777</f>
        <v>0</v>
      </c>
      <c r="T1777" s="3">
        <f>parking_demand_data_2024_ver0!S1777</f>
        <v>34</v>
      </c>
    </row>
    <row r="1778" spans="1:20" x14ac:dyDescent="0.25">
      <c r="A1778">
        <v>18149</v>
      </c>
      <c r="B1778" t="s">
        <v>103</v>
      </c>
      <c r="C1778">
        <v>0</v>
      </c>
      <c r="D1778" s="3">
        <f>parking_demand_data_2024_ver0!D1778*calibration!$I$31</f>
        <v>47.467913672282698</v>
      </c>
      <c r="E1778" s="3">
        <f>parking_demand_data_2024_ver0!E1778*calibration!$I$31</f>
        <v>7.5465681513962907E-2</v>
      </c>
      <c r="F1778" s="3">
        <f t="shared" si="27"/>
        <v>47.543379353796659</v>
      </c>
      <c r="G1778" s="3">
        <f>parking_demand_data_2024_ver0!F1778</f>
        <v>2</v>
      </c>
      <c r="H1778" s="3">
        <f>parking_demand_data_2024_ver0!G1778</f>
        <v>0</v>
      </c>
      <c r="I1778" s="3">
        <f>parking_demand_data_2024_ver0!H1778</f>
        <v>1</v>
      </c>
      <c r="J1778" s="3">
        <f>parking_demand_data_2024_ver0!I1778</f>
        <v>1</v>
      </c>
      <c r="K1778" s="3">
        <f>parking_demand_data_2024_ver0!J1778</f>
        <v>0</v>
      </c>
      <c r="L1778" s="3">
        <f>parking_demand_data_2024_ver0!K1778</f>
        <v>0</v>
      </c>
      <c r="M1778" s="3">
        <f>parking_demand_data_2024_ver0!L1778</f>
        <v>0</v>
      </c>
      <c r="N1778" s="3">
        <f>parking_demand_data_2024_ver0!M1778</f>
        <v>65</v>
      </c>
      <c r="O1778" s="3">
        <f>parking_demand_data_2024_ver0!N1778</f>
        <v>0</v>
      </c>
      <c r="P1778" s="3">
        <f>parking_demand_data_2024_ver0!O1778</f>
        <v>50</v>
      </c>
      <c r="Q1778" s="3">
        <f>parking_demand_data_2024_ver0!P1778</f>
        <v>15</v>
      </c>
      <c r="R1778" s="3">
        <f>parking_demand_data_2024_ver0!Q1778</f>
        <v>0</v>
      </c>
      <c r="S1778" s="3">
        <f>parking_demand_data_2024_ver0!R1778</f>
        <v>0</v>
      </c>
      <c r="T1778" s="3">
        <f>parking_demand_data_2024_ver0!S1778</f>
        <v>0</v>
      </c>
    </row>
    <row r="1779" spans="1:20" x14ac:dyDescent="0.25">
      <c r="A1779">
        <v>18149</v>
      </c>
      <c r="B1779" t="s">
        <v>103</v>
      </c>
      <c r="C1779">
        <v>1</v>
      </c>
      <c r="D1779" s="3">
        <f>parking_demand_data_2024_ver0!D1779*calibration!$I$31</f>
        <v>48.562166054235099</v>
      </c>
      <c r="E1779" s="3">
        <f>parking_demand_data_2024_ver0!E1779*calibration!$I$31</f>
        <v>7.5465681513962907E-2</v>
      </c>
      <c r="F1779" s="3">
        <f t="shared" si="27"/>
        <v>48.637631735749061</v>
      </c>
      <c r="G1779" s="3">
        <f>parking_demand_data_2024_ver0!F1779</f>
        <v>2</v>
      </c>
      <c r="H1779" s="3">
        <f>parking_demand_data_2024_ver0!G1779</f>
        <v>0</v>
      </c>
      <c r="I1779" s="3">
        <f>parking_demand_data_2024_ver0!H1779</f>
        <v>1</v>
      </c>
      <c r="J1779" s="3">
        <f>parking_demand_data_2024_ver0!I1779</f>
        <v>1</v>
      </c>
      <c r="K1779" s="3">
        <f>parking_demand_data_2024_ver0!J1779</f>
        <v>0</v>
      </c>
      <c r="L1779" s="3">
        <f>parking_demand_data_2024_ver0!K1779</f>
        <v>0</v>
      </c>
      <c r="M1779" s="3">
        <f>parking_demand_data_2024_ver0!L1779</f>
        <v>0</v>
      </c>
      <c r="N1779" s="3">
        <f>parking_demand_data_2024_ver0!M1779</f>
        <v>65</v>
      </c>
      <c r="O1779" s="3">
        <f>parking_demand_data_2024_ver0!N1779</f>
        <v>0</v>
      </c>
      <c r="P1779" s="3">
        <f>parking_demand_data_2024_ver0!O1779</f>
        <v>50</v>
      </c>
      <c r="Q1779" s="3">
        <f>parking_demand_data_2024_ver0!P1779</f>
        <v>15</v>
      </c>
      <c r="R1779" s="3">
        <f>parking_demand_data_2024_ver0!Q1779</f>
        <v>0</v>
      </c>
      <c r="S1779" s="3">
        <f>parking_demand_data_2024_ver0!R1779</f>
        <v>0</v>
      </c>
      <c r="T1779" s="3">
        <f>parking_demand_data_2024_ver0!S1779</f>
        <v>0</v>
      </c>
    </row>
    <row r="1780" spans="1:20" x14ac:dyDescent="0.25">
      <c r="A1780">
        <v>18149</v>
      </c>
      <c r="B1780" t="s">
        <v>103</v>
      </c>
      <c r="C1780">
        <v>2</v>
      </c>
      <c r="D1780" s="3">
        <f>parking_demand_data_2024_ver0!D1780*calibration!$I$31</f>
        <v>48.4489675319642</v>
      </c>
      <c r="E1780" s="3">
        <f>parking_demand_data_2024_ver0!E1780*calibration!$I$31</f>
        <v>7.5465681513962907E-2</v>
      </c>
      <c r="F1780" s="3">
        <f t="shared" si="27"/>
        <v>48.524433213478162</v>
      </c>
      <c r="G1780" s="3">
        <f>parking_demand_data_2024_ver0!F1780</f>
        <v>2</v>
      </c>
      <c r="H1780" s="3">
        <f>parking_demand_data_2024_ver0!G1780</f>
        <v>0</v>
      </c>
      <c r="I1780" s="3">
        <f>parking_demand_data_2024_ver0!H1780</f>
        <v>1</v>
      </c>
      <c r="J1780" s="3">
        <f>parking_demand_data_2024_ver0!I1780</f>
        <v>1</v>
      </c>
      <c r="K1780" s="3">
        <f>parking_demand_data_2024_ver0!J1780</f>
        <v>0</v>
      </c>
      <c r="L1780" s="3">
        <f>parking_demand_data_2024_ver0!K1780</f>
        <v>0</v>
      </c>
      <c r="M1780" s="3">
        <f>parking_demand_data_2024_ver0!L1780</f>
        <v>0</v>
      </c>
      <c r="N1780" s="3">
        <f>parking_demand_data_2024_ver0!M1780</f>
        <v>65</v>
      </c>
      <c r="O1780" s="3">
        <f>parking_demand_data_2024_ver0!N1780</f>
        <v>0</v>
      </c>
      <c r="P1780" s="3">
        <f>parking_demand_data_2024_ver0!O1780</f>
        <v>50</v>
      </c>
      <c r="Q1780" s="3">
        <f>parking_demand_data_2024_ver0!P1780</f>
        <v>15</v>
      </c>
      <c r="R1780" s="3">
        <f>parking_demand_data_2024_ver0!Q1780</f>
        <v>0</v>
      </c>
      <c r="S1780" s="3">
        <f>parking_demand_data_2024_ver0!R1780</f>
        <v>0</v>
      </c>
      <c r="T1780" s="3">
        <f>parking_demand_data_2024_ver0!S1780</f>
        <v>0</v>
      </c>
    </row>
    <row r="1781" spans="1:20" x14ac:dyDescent="0.25">
      <c r="A1781">
        <v>18149</v>
      </c>
      <c r="B1781" t="s">
        <v>103</v>
      </c>
      <c r="C1781">
        <v>3</v>
      </c>
      <c r="D1781" s="3">
        <f>parking_demand_data_2024_ver0!D1781*calibration!$I$31</f>
        <v>48.9772273025619</v>
      </c>
      <c r="E1781" s="3">
        <f>parking_demand_data_2024_ver0!E1781*calibration!$I$31</f>
        <v>7.5465681513962907E-2</v>
      </c>
      <c r="F1781" s="3">
        <f t="shared" si="27"/>
        <v>49.052692984075861</v>
      </c>
      <c r="G1781" s="3">
        <f>parking_demand_data_2024_ver0!F1781</f>
        <v>2</v>
      </c>
      <c r="H1781" s="3">
        <f>parking_demand_data_2024_ver0!G1781</f>
        <v>0</v>
      </c>
      <c r="I1781" s="3">
        <f>parking_demand_data_2024_ver0!H1781</f>
        <v>1</v>
      </c>
      <c r="J1781" s="3">
        <f>parking_demand_data_2024_ver0!I1781</f>
        <v>1</v>
      </c>
      <c r="K1781" s="3">
        <f>parking_demand_data_2024_ver0!J1781</f>
        <v>0</v>
      </c>
      <c r="L1781" s="3">
        <f>parking_demand_data_2024_ver0!K1781</f>
        <v>0</v>
      </c>
      <c r="M1781" s="3">
        <f>parking_demand_data_2024_ver0!L1781</f>
        <v>0</v>
      </c>
      <c r="N1781" s="3">
        <f>parking_demand_data_2024_ver0!M1781</f>
        <v>65</v>
      </c>
      <c r="O1781" s="3">
        <f>parking_demand_data_2024_ver0!N1781</f>
        <v>0</v>
      </c>
      <c r="P1781" s="3">
        <f>parking_demand_data_2024_ver0!O1781</f>
        <v>50</v>
      </c>
      <c r="Q1781" s="3">
        <f>parking_demand_data_2024_ver0!P1781</f>
        <v>15</v>
      </c>
      <c r="R1781" s="3">
        <f>parking_demand_data_2024_ver0!Q1781</f>
        <v>0</v>
      </c>
      <c r="S1781" s="3">
        <f>parking_demand_data_2024_ver0!R1781</f>
        <v>0</v>
      </c>
      <c r="T1781" s="3">
        <f>parking_demand_data_2024_ver0!S1781</f>
        <v>0</v>
      </c>
    </row>
    <row r="1782" spans="1:20" x14ac:dyDescent="0.25">
      <c r="A1782">
        <v>18149</v>
      </c>
      <c r="B1782" t="s">
        <v>103</v>
      </c>
      <c r="C1782">
        <v>4</v>
      </c>
      <c r="D1782" s="3">
        <f>parking_demand_data_2024_ver0!D1782*calibration!$I$31</f>
        <v>49.392288550888701</v>
      </c>
      <c r="E1782" s="3">
        <f>parking_demand_data_2024_ver0!E1782*calibration!$I$31</f>
        <v>0.113198522270944</v>
      </c>
      <c r="F1782" s="3">
        <f t="shared" si="27"/>
        <v>49.505487073159642</v>
      </c>
      <c r="G1782" s="3">
        <f>parking_demand_data_2024_ver0!F1782</f>
        <v>2</v>
      </c>
      <c r="H1782" s="3">
        <f>parking_demand_data_2024_ver0!G1782</f>
        <v>0</v>
      </c>
      <c r="I1782" s="3">
        <f>parking_demand_data_2024_ver0!H1782</f>
        <v>1</v>
      </c>
      <c r="J1782" s="3">
        <f>parking_demand_data_2024_ver0!I1782</f>
        <v>1</v>
      </c>
      <c r="K1782" s="3">
        <f>parking_demand_data_2024_ver0!J1782</f>
        <v>0</v>
      </c>
      <c r="L1782" s="3">
        <f>parking_demand_data_2024_ver0!K1782</f>
        <v>0</v>
      </c>
      <c r="M1782" s="3">
        <f>parking_demand_data_2024_ver0!L1782</f>
        <v>0</v>
      </c>
      <c r="N1782" s="3">
        <f>parking_demand_data_2024_ver0!M1782</f>
        <v>65</v>
      </c>
      <c r="O1782" s="3">
        <f>parking_demand_data_2024_ver0!N1782</f>
        <v>0</v>
      </c>
      <c r="P1782" s="3">
        <f>parking_demand_data_2024_ver0!O1782</f>
        <v>50</v>
      </c>
      <c r="Q1782" s="3">
        <f>parking_demand_data_2024_ver0!P1782</f>
        <v>15</v>
      </c>
      <c r="R1782" s="3">
        <f>parking_demand_data_2024_ver0!Q1782</f>
        <v>0</v>
      </c>
      <c r="S1782" s="3">
        <f>parking_demand_data_2024_ver0!R1782</f>
        <v>0</v>
      </c>
      <c r="T1782" s="3">
        <f>parking_demand_data_2024_ver0!S1782</f>
        <v>0</v>
      </c>
    </row>
    <row r="1783" spans="1:20" x14ac:dyDescent="0.25">
      <c r="A1783">
        <v>18149</v>
      </c>
      <c r="B1783" t="s">
        <v>103</v>
      </c>
      <c r="C1783">
        <v>5</v>
      </c>
      <c r="D1783" s="3">
        <f>parking_demand_data_2024_ver0!D1783*calibration!$I$31</f>
        <v>45.090744704592801</v>
      </c>
      <c r="E1783" s="3">
        <f>parking_demand_data_2024_ver0!E1783*calibration!$I$31</f>
        <v>0.113198522270944</v>
      </c>
      <c r="F1783" s="3">
        <f t="shared" si="27"/>
        <v>45.203943226863743</v>
      </c>
      <c r="G1783" s="3">
        <f>parking_demand_data_2024_ver0!F1783</f>
        <v>2</v>
      </c>
      <c r="H1783" s="3">
        <f>parking_demand_data_2024_ver0!G1783</f>
        <v>0</v>
      </c>
      <c r="I1783" s="3">
        <f>parking_demand_data_2024_ver0!H1783</f>
        <v>1</v>
      </c>
      <c r="J1783" s="3">
        <f>parking_demand_data_2024_ver0!I1783</f>
        <v>1</v>
      </c>
      <c r="K1783" s="3">
        <f>parking_demand_data_2024_ver0!J1783</f>
        <v>0</v>
      </c>
      <c r="L1783" s="3">
        <f>parking_demand_data_2024_ver0!K1783</f>
        <v>0</v>
      </c>
      <c r="M1783" s="3">
        <f>parking_demand_data_2024_ver0!L1783</f>
        <v>0</v>
      </c>
      <c r="N1783" s="3">
        <f>parking_demand_data_2024_ver0!M1783</f>
        <v>65</v>
      </c>
      <c r="O1783" s="3">
        <f>parking_demand_data_2024_ver0!N1783</f>
        <v>0</v>
      </c>
      <c r="P1783" s="3">
        <f>parking_demand_data_2024_ver0!O1783</f>
        <v>50</v>
      </c>
      <c r="Q1783" s="3">
        <f>parking_demand_data_2024_ver0!P1783</f>
        <v>15</v>
      </c>
      <c r="R1783" s="3">
        <f>parking_demand_data_2024_ver0!Q1783</f>
        <v>0</v>
      </c>
      <c r="S1783" s="3">
        <f>parking_demand_data_2024_ver0!R1783</f>
        <v>0</v>
      </c>
      <c r="T1783" s="3">
        <f>parking_demand_data_2024_ver0!S1783</f>
        <v>0</v>
      </c>
    </row>
    <row r="1784" spans="1:20" x14ac:dyDescent="0.25">
      <c r="A1784">
        <v>18149</v>
      </c>
      <c r="B1784" t="s">
        <v>103</v>
      </c>
      <c r="C1784">
        <v>6</v>
      </c>
      <c r="D1784" s="3">
        <f>parking_demand_data_2024_ver0!D1784*calibration!$I$31</f>
        <v>38.3365662090931</v>
      </c>
      <c r="E1784" s="3">
        <f>parking_demand_data_2024_ver0!E1784*calibration!$I$31</f>
        <v>0.188664203784907</v>
      </c>
      <c r="F1784" s="3">
        <f t="shared" si="27"/>
        <v>38.52523041287801</v>
      </c>
      <c r="G1784" s="3">
        <f>parking_demand_data_2024_ver0!F1784</f>
        <v>2</v>
      </c>
      <c r="H1784" s="3">
        <f>parking_demand_data_2024_ver0!G1784</f>
        <v>0</v>
      </c>
      <c r="I1784" s="3">
        <f>parking_demand_data_2024_ver0!H1784</f>
        <v>1</v>
      </c>
      <c r="J1784" s="3">
        <f>parking_demand_data_2024_ver0!I1784</f>
        <v>1</v>
      </c>
      <c r="K1784" s="3">
        <f>parking_demand_data_2024_ver0!J1784</f>
        <v>0</v>
      </c>
      <c r="L1784" s="3">
        <f>parking_demand_data_2024_ver0!K1784</f>
        <v>0</v>
      </c>
      <c r="M1784" s="3">
        <f>parking_demand_data_2024_ver0!L1784</f>
        <v>0</v>
      </c>
      <c r="N1784" s="3">
        <f>parking_demand_data_2024_ver0!M1784</f>
        <v>65</v>
      </c>
      <c r="O1784" s="3">
        <f>parking_demand_data_2024_ver0!N1784</f>
        <v>0</v>
      </c>
      <c r="P1784" s="3">
        <f>parking_demand_data_2024_ver0!O1784</f>
        <v>50</v>
      </c>
      <c r="Q1784" s="3">
        <f>parking_demand_data_2024_ver0!P1784</f>
        <v>15</v>
      </c>
      <c r="R1784" s="3">
        <f>parking_demand_data_2024_ver0!Q1784</f>
        <v>0</v>
      </c>
      <c r="S1784" s="3">
        <f>parking_demand_data_2024_ver0!R1784</f>
        <v>0</v>
      </c>
      <c r="T1784" s="3">
        <f>parking_demand_data_2024_ver0!S1784</f>
        <v>0</v>
      </c>
    </row>
    <row r="1785" spans="1:20" x14ac:dyDescent="0.25">
      <c r="A1785">
        <v>18149</v>
      </c>
      <c r="B1785" t="s">
        <v>103</v>
      </c>
      <c r="C1785">
        <v>7</v>
      </c>
      <c r="D1785" s="3">
        <f>parking_demand_data_2024_ver0!D1785*calibration!$I$31</f>
        <v>28.035500682437199</v>
      </c>
      <c r="E1785" s="3">
        <f>parking_demand_data_2024_ver0!E1785*calibration!$I$31</f>
        <v>7.5465681513962907E-2</v>
      </c>
      <c r="F1785" s="3">
        <f t="shared" si="27"/>
        <v>28.11096636395116</v>
      </c>
      <c r="G1785" s="3">
        <f>parking_demand_data_2024_ver0!F1785</f>
        <v>2</v>
      </c>
      <c r="H1785" s="3">
        <f>parking_demand_data_2024_ver0!G1785</f>
        <v>0</v>
      </c>
      <c r="I1785" s="3">
        <f>parking_demand_data_2024_ver0!H1785</f>
        <v>1</v>
      </c>
      <c r="J1785" s="3">
        <f>parking_demand_data_2024_ver0!I1785</f>
        <v>1</v>
      </c>
      <c r="K1785" s="3">
        <f>parking_demand_data_2024_ver0!J1785</f>
        <v>0</v>
      </c>
      <c r="L1785" s="3">
        <f>parking_demand_data_2024_ver0!K1785</f>
        <v>0</v>
      </c>
      <c r="M1785" s="3">
        <f>parking_demand_data_2024_ver0!L1785</f>
        <v>0</v>
      </c>
      <c r="N1785" s="3">
        <f>parking_demand_data_2024_ver0!M1785</f>
        <v>65</v>
      </c>
      <c r="O1785" s="3">
        <f>parking_demand_data_2024_ver0!N1785</f>
        <v>0</v>
      </c>
      <c r="P1785" s="3">
        <f>parking_demand_data_2024_ver0!O1785</f>
        <v>50</v>
      </c>
      <c r="Q1785" s="3">
        <f>parking_demand_data_2024_ver0!P1785</f>
        <v>15</v>
      </c>
      <c r="R1785" s="3">
        <f>parking_demand_data_2024_ver0!Q1785</f>
        <v>0</v>
      </c>
      <c r="S1785" s="3">
        <f>parking_demand_data_2024_ver0!R1785</f>
        <v>0</v>
      </c>
      <c r="T1785" s="3">
        <f>parking_demand_data_2024_ver0!S1785</f>
        <v>0</v>
      </c>
    </row>
    <row r="1786" spans="1:20" x14ac:dyDescent="0.25">
      <c r="A1786">
        <v>18149</v>
      </c>
      <c r="B1786" t="s">
        <v>103</v>
      </c>
      <c r="C1786">
        <v>8</v>
      </c>
      <c r="D1786" s="3">
        <f>parking_demand_data_2024_ver0!D1786*calibration!$I$31</f>
        <v>19.092817423032599</v>
      </c>
      <c r="E1786" s="3">
        <f>parking_demand_data_2024_ver0!E1786*calibration!$I$31</f>
        <v>0.52825977059773999</v>
      </c>
      <c r="F1786" s="3">
        <f t="shared" si="27"/>
        <v>19.621077193630338</v>
      </c>
      <c r="G1786" s="3">
        <f>parking_demand_data_2024_ver0!F1786</f>
        <v>2</v>
      </c>
      <c r="H1786" s="3">
        <f>parking_demand_data_2024_ver0!G1786</f>
        <v>0</v>
      </c>
      <c r="I1786" s="3">
        <f>parking_demand_data_2024_ver0!H1786</f>
        <v>1</v>
      </c>
      <c r="J1786" s="3">
        <f>parking_demand_data_2024_ver0!I1786</f>
        <v>1</v>
      </c>
      <c r="K1786" s="3">
        <f>parking_demand_data_2024_ver0!J1786</f>
        <v>0</v>
      </c>
      <c r="L1786" s="3">
        <f>parking_demand_data_2024_ver0!K1786</f>
        <v>0</v>
      </c>
      <c r="M1786" s="3">
        <f>parking_demand_data_2024_ver0!L1786</f>
        <v>0</v>
      </c>
      <c r="N1786" s="3">
        <f>parking_demand_data_2024_ver0!M1786</f>
        <v>65</v>
      </c>
      <c r="O1786" s="3">
        <f>parking_demand_data_2024_ver0!N1786</f>
        <v>0</v>
      </c>
      <c r="P1786" s="3">
        <f>parking_demand_data_2024_ver0!O1786</f>
        <v>50</v>
      </c>
      <c r="Q1786" s="3">
        <f>parking_demand_data_2024_ver0!P1786</f>
        <v>15</v>
      </c>
      <c r="R1786" s="3">
        <f>parking_demand_data_2024_ver0!Q1786</f>
        <v>0</v>
      </c>
      <c r="S1786" s="3">
        <f>parking_demand_data_2024_ver0!R1786</f>
        <v>0</v>
      </c>
      <c r="T1786" s="3">
        <f>parking_demand_data_2024_ver0!S1786</f>
        <v>0</v>
      </c>
    </row>
    <row r="1787" spans="1:20" x14ac:dyDescent="0.25">
      <c r="A1787">
        <v>18149</v>
      </c>
      <c r="B1787" t="s">
        <v>103</v>
      </c>
      <c r="C1787">
        <v>9</v>
      </c>
      <c r="D1787" s="3">
        <f>parking_demand_data_2024_ver0!D1787*calibration!$I$31</f>
        <v>14.6403422137088</v>
      </c>
      <c r="E1787" s="3">
        <f>parking_demand_data_2024_ver0!E1787*calibration!$I$31</f>
        <v>1.3583822672513299</v>
      </c>
      <c r="F1787" s="3">
        <f t="shared" si="27"/>
        <v>15.99872448096013</v>
      </c>
      <c r="G1787" s="3">
        <f>parking_demand_data_2024_ver0!F1787</f>
        <v>2</v>
      </c>
      <c r="H1787" s="3">
        <f>parking_demand_data_2024_ver0!G1787</f>
        <v>0</v>
      </c>
      <c r="I1787" s="3">
        <f>parking_demand_data_2024_ver0!H1787</f>
        <v>1</v>
      </c>
      <c r="J1787" s="3">
        <f>parking_demand_data_2024_ver0!I1787</f>
        <v>1</v>
      </c>
      <c r="K1787" s="3">
        <f>parking_demand_data_2024_ver0!J1787</f>
        <v>0</v>
      </c>
      <c r="L1787" s="3">
        <f>parking_demand_data_2024_ver0!K1787</f>
        <v>0</v>
      </c>
      <c r="M1787" s="3">
        <f>parking_demand_data_2024_ver0!L1787</f>
        <v>0</v>
      </c>
      <c r="N1787" s="3">
        <f>parking_demand_data_2024_ver0!M1787</f>
        <v>65</v>
      </c>
      <c r="O1787" s="3">
        <f>parking_demand_data_2024_ver0!N1787</f>
        <v>0</v>
      </c>
      <c r="P1787" s="3">
        <f>parking_demand_data_2024_ver0!O1787</f>
        <v>50</v>
      </c>
      <c r="Q1787" s="3">
        <f>parking_demand_data_2024_ver0!P1787</f>
        <v>15</v>
      </c>
      <c r="R1787" s="3">
        <f>parking_demand_data_2024_ver0!Q1787</f>
        <v>0</v>
      </c>
      <c r="S1787" s="3">
        <f>parking_demand_data_2024_ver0!R1787</f>
        <v>0</v>
      </c>
      <c r="T1787" s="3">
        <f>parking_demand_data_2024_ver0!S1787</f>
        <v>0</v>
      </c>
    </row>
    <row r="1788" spans="1:20" x14ac:dyDescent="0.25">
      <c r="A1788">
        <v>18149</v>
      </c>
      <c r="B1788" t="s">
        <v>103</v>
      </c>
      <c r="C1788">
        <v>10</v>
      </c>
      <c r="D1788" s="3">
        <f>parking_demand_data_2024_ver0!D1788*calibration!$I$31</f>
        <v>12.149974723748</v>
      </c>
      <c r="E1788" s="3">
        <f>parking_demand_data_2024_ver0!E1788*calibration!$I$31</f>
        <v>0.86785533741057397</v>
      </c>
      <c r="F1788" s="3">
        <f t="shared" si="27"/>
        <v>13.017830061158575</v>
      </c>
      <c r="G1788" s="3">
        <f>parking_demand_data_2024_ver0!F1788</f>
        <v>2</v>
      </c>
      <c r="H1788" s="3">
        <f>parking_demand_data_2024_ver0!G1788</f>
        <v>0</v>
      </c>
      <c r="I1788" s="3">
        <f>parking_demand_data_2024_ver0!H1788</f>
        <v>1</v>
      </c>
      <c r="J1788" s="3">
        <f>parking_demand_data_2024_ver0!I1788</f>
        <v>1</v>
      </c>
      <c r="K1788" s="3">
        <f>parking_demand_data_2024_ver0!J1788</f>
        <v>0</v>
      </c>
      <c r="L1788" s="3">
        <f>parking_demand_data_2024_ver0!K1788</f>
        <v>0</v>
      </c>
      <c r="M1788" s="3">
        <f>parking_demand_data_2024_ver0!L1788</f>
        <v>0</v>
      </c>
      <c r="N1788" s="3">
        <f>parking_demand_data_2024_ver0!M1788</f>
        <v>65</v>
      </c>
      <c r="O1788" s="3">
        <f>parking_demand_data_2024_ver0!N1788</f>
        <v>0</v>
      </c>
      <c r="P1788" s="3">
        <f>parking_demand_data_2024_ver0!O1788</f>
        <v>50</v>
      </c>
      <c r="Q1788" s="3">
        <f>parking_demand_data_2024_ver0!P1788</f>
        <v>15</v>
      </c>
      <c r="R1788" s="3">
        <f>parking_demand_data_2024_ver0!Q1788</f>
        <v>0</v>
      </c>
      <c r="S1788" s="3">
        <f>parking_demand_data_2024_ver0!R1788</f>
        <v>0</v>
      </c>
      <c r="T1788" s="3">
        <f>parking_demand_data_2024_ver0!S1788</f>
        <v>0</v>
      </c>
    </row>
    <row r="1789" spans="1:20" x14ac:dyDescent="0.25">
      <c r="A1789">
        <v>18149</v>
      </c>
      <c r="B1789" t="s">
        <v>103</v>
      </c>
      <c r="C1789">
        <v>11</v>
      </c>
      <c r="D1789" s="3">
        <f>parking_demand_data_2024_ver0!D1789*calibration!$I$31</f>
        <v>9.5086758707593297</v>
      </c>
      <c r="E1789" s="3">
        <f>parking_demand_data_2024_ver0!E1789*calibration!$I$31</f>
        <v>0.452794089083777</v>
      </c>
      <c r="F1789" s="3">
        <f t="shared" si="27"/>
        <v>9.9614699598431073</v>
      </c>
      <c r="G1789" s="3">
        <f>parking_demand_data_2024_ver0!F1789</f>
        <v>2</v>
      </c>
      <c r="H1789" s="3">
        <f>parking_demand_data_2024_ver0!G1789</f>
        <v>0</v>
      </c>
      <c r="I1789" s="3">
        <f>parking_demand_data_2024_ver0!H1789</f>
        <v>1</v>
      </c>
      <c r="J1789" s="3">
        <f>parking_demand_data_2024_ver0!I1789</f>
        <v>1</v>
      </c>
      <c r="K1789" s="3">
        <f>parking_demand_data_2024_ver0!J1789</f>
        <v>0</v>
      </c>
      <c r="L1789" s="3">
        <f>parking_demand_data_2024_ver0!K1789</f>
        <v>0</v>
      </c>
      <c r="M1789" s="3">
        <f>parking_demand_data_2024_ver0!L1789</f>
        <v>0</v>
      </c>
      <c r="N1789" s="3">
        <f>parking_demand_data_2024_ver0!M1789</f>
        <v>65</v>
      </c>
      <c r="O1789" s="3">
        <f>parking_demand_data_2024_ver0!N1789</f>
        <v>0</v>
      </c>
      <c r="P1789" s="3">
        <f>parking_demand_data_2024_ver0!O1789</f>
        <v>50</v>
      </c>
      <c r="Q1789" s="3">
        <f>parking_demand_data_2024_ver0!P1789</f>
        <v>15</v>
      </c>
      <c r="R1789" s="3">
        <f>parking_demand_data_2024_ver0!Q1789</f>
        <v>0</v>
      </c>
      <c r="S1789" s="3">
        <f>parking_demand_data_2024_ver0!R1789</f>
        <v>0</v>
      </c>
      <c r="T1789" s="3">
        <f>parking_demand_data_2024_ver0!S1789</f>
        <v>0</v>
      </c>
    </row>
    <row r="1790" spans="1:20" x14ac:dyDescent="0.25">
      <c r="A1790">
        <v>18149</v>
      </c>
      <c r="B1790" t="s">
        <v>103</v>
      </c>
      <c r="C1790">
        <v>12</v>
      </c>
      <c r="D1790" s="3">
        <f>parking_demand_data_2024_ver0!D1790*calibration!$I$31</f>
        <v>8.2634921257789404</v>
      </c>
      <c r="E1790" s="3">
        <f>parking_demand_data_2024_ver0!E1790*calibration!$I$31</f>
        <v>0.90558817816755499</v>
      </c>
      <c r="F1790" s="3">
        <f t="shared" si="27"/>
        <v>9.1690803039464956</v>
      </c>
      <c r="G1790" s="3">
        <f>parking_demand_data_2024_ver0!F1790</f>
        <v>2</v>
      </c>
      <c r="H1790" s="3">
        <f>parking_demand_data_2024_ver0!G1790</f>
        <v>0</v>
      </c>
      <c r="I1790" s="3">
        <f>parking_demand_data_2024_ver0!H1790</f>
        <v>1</v>
      </c>
      <c r="J1790" s="3">
        <f>parking_demand_data_2024_ver0!I1790</f>
        <v>1</v>
      </c>
      <c r="K1790" s="3">
        <f>parking_demand_data_2024_ver0!J1790</f>
        <v>0</v>
      </c>
      <c r="L1790" s="3">
        <f>parking_demand_data_2024_ver0!K1790</f>
        <v>0</v>
      </c>
      <c r="M1790" s="3">
        <f>parking_demand_data_2024_ver0!L1790</f>
        <v>0</v>
      </c>
      <c r="N1790" s="3">
        <f>parking_demand_data_2024_ver0!M1790</f>
        <v>65</v>
      </c>
      <c r="O1790" s="3">
        <f>parking_demand_data_2024_ver0!N1790</f>
        <v>0</v>
      </c>
      <c r="P1790" s="3">
        <f>parking_demand_data_2024_ver0!O1790</f>
        <v>50</v>
      </c>
      <c r="Q1790" s="3">
        <f>parking_demand_data_2024_ver0!P1790</f>
        <v>15</v>
      </c>
      <c r="R1790" s="3">
        <f>parking_demand_data_2024_ver0!Q1790</f>
        <v>0</v>
      </c>
      <c r="S1790" s="3">
        <f>parking_demand_data_2024_ver0!R1790</f>
        <v>0</v>
      </c>
      <c r="T1790" s="3">
        <f>parking_demand_data_2024_ver0!S1790</f>
        <v>0</v>
      </c>
    </row>
    <row r="1791" spans="1:20" x14ac:dyDescent="0.25">
      <c r="A1791">
        <v>18149</v>
      </c>
      <c r="B1791" t="s">
        <v>103</v>
      </c>
      <c r="C1791">
        <v>13</v>
      </c>
      <c r="D1791" s="3">
        <f>parking_demand_data_2024_ver0!D1791*calibration!$I$31</f>
        <v>7.9616293997230896</v>
      </c>
      <c r="E1791" s="3">
        <f>parking_demand_data_2024_ver0!E1791*calibration!$I$31</f>
        <v>1.0942523819524601</v>
      </c>
      <c r="F1791" s="3">
        <f t="shared" si="27"/>
        <v>9.0558817816755504</v>
      </c>
      <c r="G1791" s="3">
        <f>parking_demand_data_2024_ver0!F1791</f>
        <v>2</v>
      </c>
      <c r="H1791" s="3">
        <f>parking_demand_data_2024_ver0!G1791</f>
        <v>0</v>
      </c>
      <c r="I1791" s="3">
        <f>parking_demand_data_2024_ver0!H1791</f>
        <v>1</v>
      </c>
      <c r="J1791" s="3">
        <f>parking_demand_data_2024_ver0!I1791</f>
        <v>1</v>
      </c>
      <c r="K1791" s="3">
        <f>parking_demand_data_2024_ver0!J1791</f>
        <v>0</v>
      </c>
      <c r="L1791" s="3">
        <f>parking_demand_data_2024_ver0!K1791</f>
        <v>0</v>
      </c>
      <c r="M1791" s="3">
        <f>parking_demand_data_2024_ver0!L1791</f>
        <v>0</v>
      </c>
      <c r="N1791" s="3">
        <f>parking_demand_data_2024_ver0!M1791</f>
        <v>65</v>
      </c>
      <c r="O1791" s="3">
        <f>parking_demand_data_2024_ver0!N1791</f>
        <v>0</v>
      </c>
      <c r="P1791" s="3">
        <f>parking_demand_data_2024_ver0!O1791</f>
        <v>50</v>
      </c>
      <c r="Q1791" s="3">
        <f>parking_demand_data_2024_ver0!P1791</f>
        <v>15</v>
      </c>
      <c r="R1791" s="3">
        <f>parking_demand_data_2024_ver0!Q1791</f>
        <v>0</v>
      </c>
      <c r="S1791" s="3">
        <f>parking_demand_data_2024_ver0!R1791</f>
        <v>0</v>
      </c>
      <c r="T1791" s="3">
        <f>parking_demand_data_2024_ver0!S1791</f>
        <v>0</v>
      </c>
    </row>
    <row r="1792" spans="1:20" x14ac:dyDescent="0.25">
      <c r="A1792">
        <v>18149</v>
      </c>
      <c r="B1792" t="s">
        <v>103</v>
      </c>
      <c r="C1792">
        <v>14</v>
      </c>
      <c r="D1792" s="3">
        <f>parking_demand_data_2024_ver0!D1792*calibration!$I$31</f>
        <v>8.9804161001615892</v>
      </c>
      <c r="E1792" s="3">
        <f>parking_demand_data_2024_ver0!E1792*calibration!$I$31</f>
        <v>0.67919113362566597</v>
      </c>
      <c r="F1792" s="3">
        <f t="shared" si="27"/>
        <v>9.6596072337872556</v>
      </c>
      <c r="G1792" s="3">
        <f>parking_demand_data_2024_ver0!F1792</f>
        <v>2</v>
      </c>
      <c r="H1792" s="3">
        <f>parking_demand_data_2024_ver0!G1792</f>
        <v>0</v>
      </c>
      <c r="I1792" s="3">
        <f>parking_demand_data_2024_ver0!H1792</f>
        <v>1</v>
      </c>
      <c r="J1792" s="3">
        <f>parking_demand_data_2024_ver0!I1792</f>
        <v>1</v>
      </c>
      <c r="K1792" s="3">
        <f>parking_demand_data_2024_ver0!J1792</f>
        <v>0</v>
      </c>
      <c r="L1792" s="3">
        <f>parking_demand_data_2024_ver0!K1792</f>
        <v>0</v>
      </c>
      <c r="M1792" s="3">
        <f>parking_demand_data_2024_ver0!L1792</f>
        <v>0</v>
      </c>
      <c r="N1792" s="3">
        <f>parking_demand_data_2024_ver0!M1792</f>
        <v>65</v>
      </c>
      <c r="O1792" s="3">
        <f>parking_demand_data_2024_ver0!N1792</f>
        <v>0</v>
      </c>
      <c r="P1792" s="3">
        <f>parking_demand_data_2024_ver0!O1792</f>
        <v>50</v>
      </c>
      <c r="Q1792" s="3">
        <f>parking_demand_data_2024_ver0!P1792</f>
        <v>15</v>
      </c>
      <c r="R1792" s="3">
        <f>parking_demand_data_2024_ver0!Q1792</f>
        <v>0</v>
      </c>
      <c r="S1792" s="3">
        <f>parking_demand_data_2024_ver0!R1792</f>
        <v>0</v>
      </c>
      <c r="T1792" s="3">
        <f>parking_demand_data_2024_ver0!S1792</f>
        <v>0</v>
      </c>
    </row>
    <row r="1793" spans="1:20" x14ac:dyDescent="0.25">
      <c r="A1793">
        <v>18149</v>
      </c>
      <c r="B1793" t="s">
        <v>103</v>
      </c>
      <c r="C1793">
        <v>15</v>
      </c>
      <c r="D1793" s="3">
        <f>parking_demand_data_2024_ver0!D1793*calibration!$I$31</f>
        <v>10.150134163628</v>
      </c>
      <c r="E1793" s="3">
        <f>parking_demand_data_2024_ver0!E1793*calibration!$I$31</f>
        <v>0.15093136302792501</v>
      </c>
      <c r="F1793" s="3">
        <f t="shared" si="27"/>
        <v>10.301065526655925</v>
      </c>
      <c r="G1793" s="3">
        <f>parking_demand_data_2024_ver0!F1793</f>
        <v>2</v>
      </c>
      <c r="H1793" s="3">
        <f>parking_demand_data_2024_ver0!G1793</f>
        <v>0</v>
      </c>
      <c r="I1793" s="3">
        <f>parking_demand_data_2024_ver0!H1793</f>
        <v>1</v>
      </c>
      <c r="J1793" s="3">
        <f>parking_demand_data_2024_ver0!I1793</f>
        <v>1</v>
      </c>
      <c r="K1793" s="3">
        <f>parking_demand_data_2024_ver0!J1793</f>
        <v>0</v>
      </c>
      <c r="L1793" s="3">
        <f>parking_demand_data_2024_ver0!K1793</f>
        <v>0</v>
      </c>
      <c r="M1793" s="3">
        <f>parking_demand_data_2024_ver0!L1793</f>
        <v>0</v>
      </c>
      <c r="N1793" s="3">
        <f>parking_demand_data_2024_ver0!M1793</f>
        <v>65</v>
      </c>
      <c r="O1793" s="3">
        <f>parking_demand_data_2024_ver0!N1793</f>
        <v>0</v>
      </c>
      <c r="P1793" s="3">
        <f>parking_demand_data_2024_ver0!O1793</f>
        <v>50</v>
      </c>
      <c r="Q1793" s="3">
        <f>parking_demand_data_2024_ver0!P1793</f>
        <v>15</v>
      </c>
      <c r="R1793" s="3">
        <f>parking_demand_data_2024_ver0!Q1793</f>
        <v>0</v>
      </c>
      <c r="S1793" s="3">
        <f>parking_demand_data_2024_ver0!R1793</f>
        <v>0</v>
      </c>
      <c r="T1793" s="3">
        <f>parking_demand_data_2024_ver0!S1793</f>
        <v>0</v>
      </c>
    </row>
    <row r="1794" spans="1:20" x14ac:dyDescent="0.25">
      <c r="A1794">
        <v>18149</v>
      </c>
      <c r="B1794" t="s">
        <v>103</v>
      </c>
      <c r="C1794">
        <v>16</v>
      </c>
      <c r="D1794" s="3">
        <f>parking_demand_data_2024_ver0!D1794*calibration!$I$31</f>
        <v>13.206494264943499</v>
      </c>
      <c r="E1794" s="3">
        <f>parking_demand_data_2024_ver0!E1794*calibration!$I$31</f>
        <v>7.5465681513962907E-2</v>
      </c>
      <c r="F1794" s="3">
        <f t="shared" si="27"/>
        <v>13.281959946457462</v>
      </c>
      <c r="G1794" s="3">
        <f>parking_demand_data_2024_ver0!F1794</f>
        <v>2</v>
      </c>
      <c r="H1794" s="3">
        <f>parking_demand_data_2024_ver0!G1794</f>
        <v>0</v>
      </c>
      <c r="I1794" s="3">
        <f>parking_demand_data_2024_ver0!H1794</f>
        <v>1</v>
      </c>
      <c r="J1794" s="3">
        <f>parking_demand_data_2024_ver0!I1794</f>
        <v>1</v>
      </c>
      <c r="K1794" s="3">
        <f>parking_demand_data_2024_ver0!J1794</f>
        <v>0</v>
      </c>
      <c r="L1794" s="3">
        <f>parking_demand_data_2024_ver0!K1794</f>
        <v>0</v>
      </c>
      <c r="M1794" s="3">
        <f>parking_demand_data_2024_ver0!L1794</f>
        <v>0</v>
      </c>
      <c r="N1794" s="3">
        <f>parking_demand_data_2024_ver0!M1794</f>
        <v>65</v>
      </c>
      <c r="O1794" s="3">
        <f>parking_demand_data_2024_ver0!N1794</f>
        <v>0</v>
      </c>
      <c r="P1794" s="3">
        <f>parking_demand_data_2024_ver0!O1794</f>
        <v>50</v>
      </c>
      <c r="Q1794" s="3">
        <f>parking_demand_data_2024_ver0!P1794</f>
        <v>15</v>
      </c>
      <c r="R1794" s="3">
        <f>parking_demand_data_2024_ver0!Q1794</f>
        <v>0</v>
      </c>
      <c r="S1794" s="3">
        <f>parking_demand_data_2024_ver0!R1794</f>
        <v>0</v>
      </c>
      <c r="T1794" s="3">
        <f>parking_demand_data_2024_ver0!S1794</f>
        <v>0</v>
      </c>
    </row>
    <row r="1795" spans="1:20" x14ac:dyDescent="0.25">
      <c r="A1795">
        <v>18149</v>
      </c>
      <c r="B1795" t="s">
        <v>103</v>
      </c>
      <c r="C1795">
        <v>17</v>
      </c>
      <c r="D1795" s="3">
        <f>parking_demand_data_2024_ver0!D1795*calibration!$I$31</f>
        <v>16.6779156145858</v>
      </c>
      <c r="E1795" s="3">
        <f>parking_demand_data_2024_ver0!E1795*calibration!$I$31</f>
        <v>0</v>
      </c>
      <c r="F1795" s="3">
        <f t="shared" ref="F1795:F1858" si="28">SUM(D1795:E1795)</f>
        <v>16.6779156145858</v>
      </c>
      <c r="G1795" s="3">
        <f>parking_demand_data_2024_ver0!F1795</f>
        <v>2</v>
      </c>
      <c r="H1795" s="3">
        <f>parking_demand_data_2024_ver0!G1795</f>
        <v>0</v>
      </c>
      <c r="I1795" s="3">
        <f>parking_demand_data_2024_ver0!H1795</f>
        <v>1</v>
      </c>
      <c r="J1795" s="3">
        <f>parking_demand_data_2024_ver0!I1795</f>
        <v>1</v>
      </c>
      <c r="K1795" s="3">
        <f>parking_demand_data_2024_ver0!J1795</f>
        <v>0</v>
      </c>
      <c r="L1795" s="3">
        <f>parking_demand_data_2024_ver0!K1795</f>
        <v>0</v>
      </c>
      <c r="M1795" s="3">
        <f>parking_demand_data_2024_ver0!L1795</f>
        <v>0</v>
      </c>
      <c r="N1795" s="3">
        <f>parking_demand_data_2024_ver0!M1795</f>
        <v>65</v>
      </c>
      <c r="O1795" s="3">
        <f>parking_demand_data_2024_ver0!N1795</f>
        <v>0</v>
      </c>
      <c r="P1795" s="3">
        <f>parking_demand_data_2024_ver0!O1795</f>
        <v>50</v>
      </c>
      <c r="Q1795" s="3">
        <f>parking_demand_data_2024_ver0!P1795</f>
        <v>15</v>
      </c>
      <c r="R1795" s="3">
        <f>parking_demand_data_2024_ver0!Q1795</f>
        <v>0</v>
      </c>
      <c r="S1795" s="3">
        <f>parking_demand_data_2024_ver0!R1795</f>
        <v>0</v>
      </c>
      <c r="T1795" s="3">
        <f>parking_demand_data_2024_ver0!S1795</f>
        <v>0</v>
      </c>
    </row>
    <row r="1796" spans="1:20" x14ac:dyDescent="0.25">
      <c r="A1796">
        <v>18149</v>
      </c>
      <c r="B1796" t="s">
        <v>103</v>
      </c>
      <c r="C1796">
        <v>18</v>
      </c>
      <c r="D1796" s="3">
        <f>parking_demand_data_2024_ver0!D1796*calibration!$I$31</f>
        <v>22.828368657973801</v>
      </c>
      <c r="E1796" s="3">
        <f>parking_demand_data_2024_ver0!E1796*calibration!$I$31</f>
        <v>0</v>
      </c>
      <c r="F1796" s="3">
        <f t="shared" si="28"/>
        <v>22.828368657973801</v>
      </c>
      <c r="G1796" s="3">
        <f>parking_demand_data_2024_ver0!F1796</f>
        <v>2</v>
      </c>
      <c r="H1796" s="3">
        <f>parking_demand_data_2024_ver0!G1796</f>
        <v>0</v>
      </c>
      <c r="I1796" s="3">
        <f>parking_demand_data_2024_ver0!H1796</f>
        <v>1</v>
      </c>
      <c r="J1796" s="3">
        <f>parking_demand_data_2024_ver0!I1796</f>
        <v>1</v>
      </c>
      <c r="K1796" s="3">
        <f>parking_demand_data_2024_ver0!J1796</f>
        <v>0</v>
      </c>
      <c r="L1796" s="3">
        <f>parking_demand_data_2024_ver0!K1796</f>
        <v>0</v>
      </c>
      <c r="M1796" s="3">
        <f>parking_demand_data_2024_ver0!L1796</f>
        <v>0</v>
      </c>
      <c r="N1796" s="3">
        <f>parking_demand_data_2024_ver0!M1796</f>
        <v>65</v>
      </c>
      <c r="O1796" s="3">
        <f>parking_demand_data_2024_ver0!N1796</f>
        <v>0</v>
      </c>
      <c r="P1796" s="3">
        <f>parking_demand_data_2024_ver0!O1796</f>
        <v>50</v>
      </c>
      <c r="Q1796" s="3">
        <f>parking_demand_data_2024_ver0!P1796</f>
        <v>15</v>
      </c>
      <c r="R1796" s="3">
        <f>parking_demand_data_2024_ver0!Q1796</f>
        <v>0</v>
      </c>
      <c r="S1796" s="3">
        <f>parking_demand_data_2024_ver0!R1796</f>
        <v>0</v>
      </c>
      <c r="T1796" s="3">
        <f>parking_demand_data_2024_ver0!S1796</f>
        <v>0</v>
      </c>
    </row>
    <row r="1797" spans="1:20" x14ac:dyDescent="0.25">
      <c r="A1797">
        <v>18149</v>
      </c>
      <c r="B1797" t="s">
        <v>103</v>
      </c>
      <c r="C1797">
        <v>19</v>
      </c>
      <c r="D1797" s="3">
        <f>parking_demand_data_2024_ver0!D1797*calibration!$I$31</f>
        <v>30.714532376182898</v>
      </c>
      <c r="E1797" s="3">
        <f>parking_demand_data_2024_ver0!E1797*calibration!$I$31</f>
        <v>0</v>
      </c>
      <c r="F1797" s="3">
        <f t="shared" si="28"/>
        <v>30.714532376182898</v>
      </c>
      <c r="G1797" s="3">
        <f>parking_demand_data_2024_ver0!F1797</f>
        <v>2</v>
      </c>
      <c r="H1797" s="3">
        <f>parking_demand_data_2024_ver0!G1797</f>
        <v>0</v>
      </c>
      <c r="I1797" s="3">
        <f>parking_demand_data_2024_ver0!H1797</f>
        <v>1</v>
      </c>
      <c r="J1797" s="3">
        <f>parking_demand_data_2024_ver0!I1797</f>
        <v>1</v>
      </c>
      <c r="K1797" s="3">
        <f>parking_demand_data_2024_ver0!J1797</f>
        <v>0</v>
      </c>
      <c r="L1797" s="3">
        <f>parking_demand_data_2024_ver0!K1797</f>
        <v>0</v>
      </c>
      <c r="M1797" s="3">
        <f>parking_demand_data_2024_ver0!L1797</f>
        <v>0</v>
      </c>
      <c r="N1797" s="3">
        <f>parking_demand_data_2024_ver0!M1797</f>
        <v>65</v>
      </c>
      <c r="O1797" s="3">
        <f>parking_demand_data_2024_ver0!N1797</f>
        <v>0</v>
      </c>
      <c r="P1797" s="3">
        <f>parking_demand_data_2024_ver0!O1797</f>
        <v>50</v>
      </c>
      <c r="Q1797" s="3">
        <f>parking_demand_data_2024_ver0!P1797</f>
        <v>15</v>
      </c>
      <c r="R1797" s="3">
        <f>parking_demand_data_2024_ver0!Q1797</f>
        <v>0</v>
      </c>
      <c r="S1797" s="3">
        <f>parking_demand_data_2024_ver0!R1797</f>
        <v>0</v>
      </c>
      <c r="T1797" s="3">
        <f>parking_demand_data_2024_ver0!S1797</f>
        <v>0</v>
      </c>
    </row>
    <row r="1798" spans="1:20" x14ac:dyDescent="0.25">
      <c r="A1798">
        <v>18149</v>
      </c>
      <c r="B1798" t="s">
        <v>103</v>
      </c>
      <c r="C1798">
        <v>20</v>
      </c>
      <c r="D1798" s="3">
        <f>parking_demand_data_2024_ver0!D1798*calibration!$I$31</f>
        <v>36.449924171244099</v>
      </c>
      <c r="E1798" s="3">
        <f>parking_demand_data_2024_ver0!E1798*calibration!$I$31</f>
        <v>7.5465681513962907E-2</v>
      </c>
      <c r="F1798" s="3">
        <f t="shared" si="28"/>
        <v>36.52538985275806</v>
      </c>
      <c r="G1798" s="3">
        <f>parking_demand_data_2024_ver0!F1798</f>
        <v>2</v>
      </c>
      <c r="H1798" s="3">
        <f>parking_demand_data_2024_ver0!G1798</f>
        <v>0</v>
      </c>
      <c r="I1798" s="3">
        <f>parking_demand_data_2024_ver0!H1798</f>
        <v>1</v>
      </c>
      <c r="J1798" s="3">
        <f>parking_demand_data_2024_ver0!I1798</f>
        <v>1</v>
      </c>
      <c r="K1798" s="3">
        <f>parking_demand_data_2024_ver0!J1798</f>
        <v>0</v>
      </c>
      <c r="L1798" s="3">
        <f>parking_demand_data_2024_ver0!K1798</f>
        <v>0</v>
      </c>
      <c r="M1798" s="3">
        <f>parking_demand_data_2024_ver0!L1798</f>
        <v>0</v>
      </c>
      <c r="N1798" s="3">
        <f>parking_demand_data_2024_ver0!M1798</f>
        <v>65</v>
      </c>
      <c r="O1798" s="3">
        <f>parking_demand_data_2024_ver0!N1798</f>
        <v>0</v>
      </c>
      <c r="P1798" s="3">
        <f>parking_demand_data_2024_ver0!O1798</f>
        <v>50</v>
      </c>
      <c r="Q1798" s="3">
        <f>parking_demand_data_2024_ver0!P1798</f>
        <v>15</v>
      </c>
      <c r="R1798" s="3">
        <f>parking_demand_data_2024_ver0!Q1798</f>
        <v>0</v>
      </c>
      <c r="S1798" s="3">
        <f>parking_demand_data_2024_ver0!R1798</f>
        <v>0</v>
      </c>
      <c r="T1798" s="3">
        <f>parking_demand_data_2024_ver0!S1798</f>
        <v>0</v>
      </c>
    </row>
    <row r="1799" spans="1:20" x14ac:dyDescent="0.25">
      <c r="A1799">
        <v>18149</v>
      </c>
      <c r="B1799" t="s">
        <v>103</v>
      </c>
      <c r="C1799">
        <v>21</v>
      </c>
      <c r="D1799" s="3">
        <f>parking_demand_data_2024_ver0!D1799*calibration!$I$31</f>
        <v>40.147742565428302</v>
      </c>
      <c r="E1799" s="3">
        <f>parking_demand_data_2024_ver0!E1799*calibration!$I$31</f>
        <v>7.5465681513962907E-2</v>
      </c>
      <c r="F1799" s="3">
        <f t="shared" si="28"/>
        <v>40.223208246942264</v>
      </c>
      <c r="G1799" s="3">
        <f>parking_demand_data_2024_ver0!F1799</f>
        <v>2</v>
      </c>
      <c r="H1799" s="3">
        <f>parking_demand_data_2024_ver0!G1799</f>
        <v>0</v>
      </c>
      <c r="I1799" s="3">
        <f>parking_demand_data_2024_ver0!H1799</f>
        <v>1</v>
      </c>
      <c r="J1799" s="3">
        <f>parking_demand_data_2024_ver0!I1799</f>
        <v>1</v>
      </c>
      <c r="K1799" s="3">
        <f>parking_demand_data_2024_ver0!J1799</f>
        <v>0</v>
      </c>
      <c r="L1799" s="3">
        <f>parking_demand_data_2024_ver0!K1799</f>
        <v>0</v>
      </c>
      <c r="M1799" s="3">
        <f>parking_demand_data_2024_ver0!L1799</f>
        <v>0</v>
      </c>
      <c r="N1799" s="3">
        <f>parking_demand_data_2024_ver0!M1799</f>
        <v>65</v>
      </c>
      <c r="O1799" s="3">
        <f>parking_demand_data_2024_ver0!N1799</f>
        <v>0</v>
      </c>
      <c r="P1799" s="3">
        <f>parking_demand_data_2024_ver0!O1799</f>
        <v>50</v>
      </c>
      <c r="Q1799" s="3">
        <f>parking_demand_data_2024_ver0!P1799</f>
        <v>15</v>
      </c>
      <c r="R1799" s="3">
        <f>parking_demand_data_2024_ver0!Q1799</f>
        <v>0</v>
      </c>
      <c r="S1799" s="3">
        <f>parking_demand_data_2024_ver0!R1799</f>
        <v>0</v>
      </c>
      <c r="T1799" s="3">
        <f>parking_demand_data_2024_ver0!S1799</f>
        <v>0</v>
      </c>
    </row>
    <row r="1800" spans="1:20" x14ac:dyDescent="0.25">
      <c r="A1800">
        <v>18149</v>
      </c>
      <c r="B1800" t="s">
        <v>103</v>
      </c>
      <c r="C1800">
        <v>22</v>
      </c>
      <c r="D1800" s="3">
        <f>parking_demand_data_2024_ver0!D1800*calibration!$I$31</f>
        <v>42.939972781444901</v>
      </c>
      <c r="E1800" s="3">
        <f>parking_demand_data_2024_ver0!E1800*calibration!$I$31</f>
        <v>7.5465681513962907E-2</v>
      </c>
      <c r="F1800" s="3">
        <f t="shared" si="28"/>
        <v>43.015438462958862</v>
      </c>
      <c r="G1800" s="3">
        <f>parking_demand_data_2024_ver0!F1800</f>
        <v>2</v>
      </c>
      <c r="H1800" s="3">
        <f>parking_demand_data_2024_ver0!G1800</f>
        <v>0</v>
      </c>
      <c r="I1800" s="3">
        <f>parking_demand_data_2024_ver0!H1800</f>
        <v>1</v>
      </c>
      <c r="J1800" s="3">
        <f>parking_demand_data_2024_ver0!I1800</f>
        <v>1</v>
      </c>
      <c r="K1800" s="3">
        <f>parking_demand_data_2024_ver0!J1800</f>
        <v>0</v>
      </c>
      <c r="L1800" s="3">
        <f>parking_demand_data_2024_ver0!K1800</f>
        <v>0</v>
      </c>
      <c r="M1800" s="3">
        <f>parking_demand_data_2024_ver0!L1800</f>
        <v>0</v>
      </c>
      <c r="N1800" s="3">
        <f>parking_demand_data_2024_ver0!M1800</f>
        <v>65</v>
      </c>
      <c r="O1800" s="3">
        <f>parking_demand_data_2024_ver0!N1800</f>
        <v>0</v>
      </c>
      <c r="P1800" s="3">
        <f>parking_demand_data_2024_ver0!O1800</f>
        <v>50</v>
      </c>
      <c r="Q1800" s="3">
        <f>parking_demand_data_2024_ver0!P1800</f>
        <v>15</v>
      </c>
      <c r="R1800" s="3">
        <f>parking_demand_data_2024_ver0!Q1800</f>
        <v>0</v>
      </c>
      <c r="S1800" s="3">
        <f>parking_demand_data_2024_ver0!R1800</f>
        <v>0</v>
      </c>
      <c r="T1800" s="3">
        <f>parking_demand_data_2024_ver0!S1800</f>
        <v>0</v>
      </c>
    </row>
    <row r="1801" spans="1:20" x14ac:dyDescent="0.25">
      <c r="A1801">
        <v>18149</v>
      </c>
      <c r="B1801" t="s">
        <v>103</v>
      </c>
      <c r="C1801">
        <v>23</v>
      </c>
      <c r="D1801" s="3">
        <f>parking_demand_data_2024_ver0!D1801*calibration!$I$31</f>
        <v>45.6190044751906</v>
      </c>
      <c r="E1801" s="3">
        <f>parking_demand_data_2024_ver0!E1801*calibration!$I$31</f>
        <v>7.5465681513962907E-2</v>
      </c>
      <c r="F1801" s="3">
        <f t="shared" si="28"/>
        <v>45.694470156704561</v>
      </c>
      <c r="G1801" s="3">
        <f>parking_demand_data_2024_ver0!F1801</f>
        <v>2</v>
      </c>
      <c r="H1801" s="3">
        <f>parking_demand_data_2024_ver0!G1801</f>
        <v>0</v>
      </c>
      <c r="I1801" s="3">
        <f>parking_demand_data_2024_ver0!H1801</f>
        <v>1</v>
      </c>
      <c r="J1801" s="3">
        <f>parking_demand_data_2024_ver0!I1801</f>
        <v>1</v>
      </c>
      <c r="K1801" s="3">
        <f>parking_demand_data_2024_ver0!J1801</f>
        <v>0</v>
      </c>
      <c r="L1801" s="3">
        <f>parking_demand_data_2024_ver0!K1801</f>
        <v>0</v>
      </c>
      <c r="M1801" s="3">
        <f>parking_demand_data_2024_ver0!L1801</f>
        <v>0</v>
      </c>
      <c r="N1801" s="3">
        <f>parking_demand_data_2024_ver0!M1801</f>
        <v>65</v>
      </c>
      <c r="O1801" s="3">
        <f>parking_demand_data_2024_ver0!N1801</f>
        <v>0</v>
      </c>
      <c r="P1801" s="3">
        <f>parking_demand_data_2024_ver0!O1801</f>
        <v>50</v>
      </c>
      <c r="Q1801" s="3">
        <f>parking_demand_data_2024_ver0!P1801</f>
        <v>15</v>
      </c>
      <c r="R1801" s="3">
        <f>parking_demand_data_2024_ver0!Q1801</f>
        <v>0</v>
      </c>
      <c r="S1801" s="3">
        <f>parking_demand_data_2024_ver0!R1801</f>
        <v>0</v>
      </c>
      <c r="T1801" s="3">
        <f>parking_demand_data_2024_ver0!S1801</f>
        <v>0</v>
      </c>
    </row>
    <row r="1802" spans="1:20" x14ac:dyDescent="0.25">
      <c r="A1802">
        <v>18151</v>
      </c>
      <c r="B1802" t="s">
        <v>104</v>
      </c>
      <c r="C1802">
        <v>0</v>
      </c>
      <c r="D1802" s="3">
        <f>parking_demand_data_2024_ver0!D1802*calibration!$I$31</f>
        <v>427.08733936220801</v>
      </c>
      <c r="E1802" s="3">
        <f>parking_demand_data_2024_ver0!E1802*calibration!$I$31</f>
        <v>44.643098524512098</v>
      </c>
      <c r="F1802" s="3">
        <f t="shared" si="28"/>
        <v>471.7304378867201</v>
      </c>
      <c r="G1802" s="3">
        <f>parking_demand_data_2024_ver0!F1802</f>
        <v>5</v>
      </c>
      <c r="H1802" s="3">
        <f>parking_demand_data_2024_ver0!G1802</f>
        <v>2</v>
      </c>
      <c r="I1802" s="3">
        <f>parking_demand_data_2024_ver0!H1802</f>
        <v>1</v>
      </c>
      <c r="J1802" s="3">
        <f>parking_demand_data_2024_ver0!I1802</f>
        <v>1</v>
      </c>
      <c r="K1802" s="3">
        <f>parking_demand_data_2024_ver0!J1802</f>
        <v>0</v>
      </c>
      <c r="L1802" s="3">
        <f>parking_demand_data_2024_ver0!K1802</f>
        <v>0</v>
      </c>
      <c r="M1802" s="3">
        <f>parking_demand_data_2024_ver0!L1802</f>
        <v>1</v>
      </c>
      <c r="N1802" s="3">
        <f>parking_demand_data_2024_ver0!M1802</f>
        <v>372</v>
      </c>
      <c r="O1802" s="3">
        <f>parking_demand_data_2024_ver0!N1802</f>
        <v>240</v>
      </c>
      <c r="P1802" s="3">
        <f>parking_demand_data_2024_ver0!O1802</f>
        <v>60</v>
      </c>
      <c r="Q1802" s="3">
        <f>parking_demand_data_2024_ver0!P1802</f>
        <v>25</v>
      </c>
      <c r="R1802" s="3">
        <f>parking_demand_data_2024_ver0!Q1802</f>
        <v>0</v>
      </c>
      <c r="S1802" s="3">
        <f>parking_demand_data_2024_ver0!R1802</f>
        <v>0</v>
      </c>
      <c r="T1802" s="3">
        <f>parking_demand_data_2024_ver0!S1802</f>
        <v>47</v>
      </c>
    </row>
    <row r="1803" spans="1:20" x14ac:dyDescent="0.25">
      <c r="A1803">
        <v>18151</v>
      </c>
      <c r="B1803" t="s">
        <v>104</v>
      </c>
      <c r="C1803">
        <v>1</v>
      </c>
      <c r="D1803" s="3">
        <f>parking_demand_data_2024_ver0!D1803*calibration!$I$31</f>
        <v>427.8</v>
      </c>
      <c r="E1803" s="3">
        <f>parking_demand_data_2024_ver0!E1803*calibration!$I$31</f>
        <v>45.661185149928599</v>
      </c>
      <c r="F1803" s="3">
        <f t="shared" si="28"/>
        <v>473.46118514992861</v>
      </c>
      <c r="G1803" s="3">
        <f>parking_demand_data_2024_ver0!F1803</f>
        <v>5</v>
      </c>
      <c r="H1803" s="3">
        <f>parking_demand_data_2024_ver0!G1803</f>
        <v>2</v>
      </c>
      <c r="I1803" s="3">
        <f>parking_demand_data_2024_ver0!H1803</f>
        <v>1</v>
      </c>
      <c r="J1803" s="3">
        <f>parking_demand_data_2024_ver0!I1803</f>
        <v>1</v>
      </c>
      <c r="K1803" s="3">
        <f>parking_demand_data_2024_ver0!J1803</f>
        <v>0</v>
      </c>
      <c r="L1803" s="3">
        <f>parking_demand_data_2024_ver0!K1803</f>
        <v>0</v>
      </c>
      <c r="M1803" s="3">
        <f>parking_demand_data_2024_ver0!L1803</f>
        <v>1</v>
      </c>
      <c r="N1803" s="3">
        <f>parking_demand_data_2024_ver0!M1803</f>
        <v>372</v>
      </c>
      <c r="O1803" s="3">
        <f>parking_demand_data_2024_ver0!N1803</f>
        <v>240</v>
      </c>
      <c r="P1803" s="3">
        <f>parking_demand_data_2024_ver0!O1803</f>
        <v>60</v>
      </c>
      <c r="Q1803" s="3">
        <f>parking_demand_data_2024_ver0!P1803</f>
        <v>25</v>
      </c>
      <c r="R1803" s="3">
        <f>parking_demand_data_2024_ver0!Q1803</f>
        <v>0</v>
      </c>
      <c r="S1803" s="3">
        <f>parking_demand_data_2024_ver0!R1803</f>
        <v>0</v>
      </c>
      <c r="T1803" s="3">
        <f>parking_demand_data_2024_ver0!S1803</f>
        <v>47</v>
      </c>
    </row>
    <row r="1804" spans="1:20" x14ac:dyDescent="0.25">
      <c r="A1804">
        <v>18151</v>
      </c>
      <c r="B1804" t="s">
        <v>104</v>
      </c>
      <c r="C1804">
        <v>2</v>
      </c>
      <c r="D1804" s="3">
        <f>parking_demand_data_2024_ver0!D1804*calibration!$I$31</f>
        <v>426.01834840552101</v>
      </c>
      <c r="E1804" s="3">
        <f>parking_demand_data_2024_ver0!E1804*calibration!$I$31</f>
        <v>44.541289861970398</v>
      </c>
      <c r="F1804" s="3">
        <f t="shared" si="28"/>
        <v>470.55963826749144</v>
      </c>
      <c r="G1804" s="3">
        <f>parking_demand_data_2024_ver0!F1804</f>
        <v>5</v>
      </c>
      <c r="H1804" s="3">
        <f>parking_demand_data_2024_ver0!G1804</f>
        <v>2</v>
      </c>
      <c r="I1804" s="3">
        <f>parking_demand_data_2024_ver0!H1804</f>
        <v>1</v>
      </c>
      <c r="J1804" s="3">
        <f>parking_demand_data_2024_ver0!I1804</f>
        <v>1</v>
      </c>
      <c r="K1804" s="3">
        <f>parking_demand_data_2024_ver0!J1804</f>
        <v>0</v>
      </c>
      <c r="L1804" s="3">
        <f>parking_demand_data_2024_ver0!K1804</f>
        <v>0</v>
      </c>
      <c r="M1804" s="3">
        <f>parking_demand_data_2024_ver0!L1804</f>
        <v>1</v>
      </c>
      <c r="N1804" s="3">
        <f>parking_demand_data_2024_ver0!M1804</f>
        <v>372</v>
      </c>
      <c r="O1804" s="3">
        <f>parking_demand_data_2024_ver0!N1804</f>
        <v>240</v>
      </c>
      <c r="P1804" s="3">
        <f>parking_demand_data_2024_ver0!O1804</f>
        <v>60</v>
      </c>
      <c r="Q1804" s="3">
        <f>parking_demand_data_2024_ver0!P1804</f>
        <v>25</v>
      </c>
      <c r="R1804" s="3">
        <f>parking_demand_data_2024_ver0!Q1804</f>
        <v>0</v>
      </c>
      <c r="S1804" s="3">
        <f>parking_demand_data_2024_ver0!R1804</f>
        <v>0</v>
      </c>
      <c r="T1804" s="3">
        <f>parking_demand_data_2024_ver0!S1804</f>
        <v>47</v>
      </c>
    </row>
    <row r="1805" spans="1:20" x14ac:dyDescent="0.25">
      <c r="A1805">
        <v>18151</v>
      </c>
      <c r="B1805" t="s">
        <v>104</v>
      </c>
      <c r="C1805">
        <v>3</v>
      </c>
      <c r="D1805" s="3">
        <f>parking_demand_data_2024_ver0!D1805*calibration!$I$31</f>
        <v>413.801308900523</v>
      </c>
      <c r="E1805" s="3">
        <f>parking_demand_data_2024_ver0!E1805*calibration!$I$31</f>
        <v>45.355759162303599</v>
      </c>
      <c r="F1805" s="3">
        <f t="shared" si="28"/>
        <v>459.15706806282662</v>
      </c>
      <c r="G1805" s="3">
        <f>parking_demand_data_2024_ver0!F1805</f>
        <v>5</v>
      </c>
      <c r="H1805" s="3">
        <f>parking_demand_data_2024_ver0!G1805</f>
        <v>2</v>
      </c>
      <c r="I1805" s="3">
        <f>parking_demand_data_2024_ver0!H1805</f>
        <v>1</v>
      </c>
      <c r="J1805" s="3">
        <f>parking_demand_data_2024_ver0!I1805</f>
        <v>1</v>
      </c>
      <c r="K1805" s="3">
        <f>parking_demand_data_2024_ver0!J1805</f>
        <v>0</v>
      </c>
      <c r="L1805" s="3">
        <f>parking_demand_data_2024_ver0!K1805</f>
        <v>0</v>
      </c>
      <c r="M1805" s="3">
        <f>parking_demand_data_2024_ver0!L1805</f>
        <v>1</v>
      </c>
      <c r="N1805" s="3">
        <f>parking_demand_data_2024_ver0!M1805</f>
        <v>372</v>
      </c>
      <c r="O1805" s="3">
        <f>parking_demand_data_2024_ver0!N1805</f>
        <v>240</v>
      </c>
      <c r="P1805" s="3">
        <f>parking_demand_data_2024_ver0!O1805</f>
        <v>60</v>
      </c>
      <c r="Q1805" s="3">
        <f>parking_demand_data_2024_ver0!P1805</f>
        <v>25</v>
      </c>
      <c r="R1805" s="3">
        <f>parking_demand_data_2024_ver0!Q1805</f>
        <v>0</v>
      </c>
      <c r="S1805" s="3">
        <f>parking_demand_data_2024_ver0!R1805</f>
        <v>0</v>
      </c>
      <c r="T1805" s="3">
        <f>parking_demand_data_2024_ver0!S1805</f>
        <v>47</v>
      </c>
    </row>
    <row r="1806" spans="1:20" x14ac:dyDescent="0.25">
      <c r="A1806">
        <v>18151</v>
      </c>
      <c r="B1806" t="s">
        <v>104</v>
      </c>
      <c r="C1806">
        <v>4</v>
      </c>
      <c r="D1806" s="3">
        <f>parking_demand_data_2024_ver0!D1806*calibration!$I$31</f>
        <v>388.603664921465</v>
      </c>
      <c r="E1806" s="3">
        <f>parking_demand_data_2024_ver0!E1806*calibration!$I$31</f>
        <v>46.119324131366</v>
      </c>
      <c r="F1806" s="3">
        <f t="shared" si="28"/>
        <v>434.722989052831</v>
      </c>
      <c r="G1806" s="3">
        <f>parking_demand_data_2024_ver0!F1806</f>
        <v>5</v>
      </c>
      <c r="H1806" s="3">
        <f>parking_demand_data_2024_ver0!G1806</f>
        <v>2</v>
      </c>
      <c r="I1806" s="3">
        <f>parking_demand_data_2024_ver0!H1806</f>
        <v>1</v>
      </c>
      <c r="J1806" s="3">
        <f>parking_demand_data_2024_ver0!I1806</f>
        <v>1</v>
      </c>
      <c r="K1806" s="3">
        <f>parking_demand_data_2024_ver0!J1806</f>
        <v>0</v>
      </c>
      <c r="L1806" s="3">
        <f>parking_demand_data_2024_ver0!K1806</f>
        <v>0</v>
      </c>
      <c r="M1806" s="3">
        <f>parking_demand_data_2024_ver0!L1806</f>
        <v>1</v>
      </c>
      <c r="N1806" s="3">
        <f>parking_demand_data_2024_ver0!M1806</f>
        <v>372</v>
      </c>
      <c r="O1806" s="3">
        <f>parking_demand_data_2024_ver0!N1806</f>
        <v>240</v>
      </c>
      <c r="P1806" s="3">
        <f>parking_demand_data_2024_ver0!O1806</f>
        <v>60</v>
      </c>
      <c r="Q1806" s="3">
        <f>parking_demand_data_2024_ver0!P1806</f>
        <v>25</v>
      </c>
      <c r="R1806" s="3">
        <f>parking_demand_data_2024_ver0!Q1806</f>
        <v>0</v>
      </c>
      <c r="S1806" s="3">
        <f>parking_demand_data_2024_ver0!R1806</f>
        <v>0</v>
      </c>
      <c r="T1806" s="3">
        <f>parking_demand_data_2024_ver0!S1806</f>
        <v>47</v>
      </c>
    </row>
    <row r="1807" spans="1:20" x14ac:dyDescent="0.25">
      <c r="A1807">
        <v>18151</v>
      </c>
      <c r="B1807" t="s">
        <v>104</v>
      </c>
      <c r="C1807">
        <v>5</v>
      </c>
      <c r="D1807" s="3">
        <f>parking_demand_data_2024_ver0!D1807*calibration!$I$31</f>
        <v>377.20109471680098</v>
      </c>
      <c r="E1807" s="3">
        <f>parking_demand_data_2024_ver0!E1807*calibration!$I$31</f>
        <v>46.3229414564493</v>
      </c>
      <c r="F1807" s="3">
        <f t="shared" si="28"/>
        <v>423.52403617325029</v>
      </c>
      <c r="G1807" s="3">
        <f>parking_demand_data_2024_ver0!F1807</f>
        <v>5</v>
      </c>
      <c r="H1807" s="3">
        <f>parking_demand_data_2024_ver0!G1807</f>
        <v>2</v>
      </c>
      <c r="I1807" s="3">
        <f>parking_demand_data_2024_ver0!H1807</f>
        <v>1</v>
      </c>
      <c r="J1807" s="3">
        <f>parking_demand_data_2024_ver0!I1807</f>
        <v>1</v>
      </c>
      <c r="K1807" s="3">
        <f>parking_demand_data_2024_ver0!J1807</f>
        <v>0</v>
      </c>
      <c r="L1807" s="3">
        <f>parking_demand_data_2024_ver0!K1807</f>
        <v>0</v>
      </c>
      <c r="M1807" s="3">
        <f>parking_demand_data_2024_ver0!L1807</f>
        <v>1</v>
      </c>
      <c r="N1807" s="3">
        <f>parking_demand_data_2024_ver0!M1807</f>
        <v>372</v>
      </c>
      <c r="O1807" s="3">
        <f>parking_demand_data_2024_ver0!N1807</f>
        <v>240</v>
      </c>
      <c r="P1807" s="3">
        <f>parking_demand_data_2024_ver0!O1807</f>
        <v>60</v>
      </c>
      <c r="Q1807" s="3">
        <f>parking_demand_data_2024_ver0!P1807</f>
        <v>25</v>
      </c>
      <c r="R1807" s="3">
        <f>parking_demand_data_2024_ver0!Q1807</f>
        <v>0</v>
      </c>
      <c r="S1807" s="3">
        <f>parking_demand_data_2024_ver0!R1807</f>
        <v>0</v>
      </c>
      <c r="T1807" s="3">
        <f>parking_demand_data_2024_ver0!S1807</f>
        <v>47</v>
      </c>
    </row>
    <row r="1808" spans="1:20" x14ac:dyDescent="0.25">
      <c r="A1808">
        <v>18151</v>
      </c>
      <c r="B1808" t="s">
        <v>104</v>
      </c>
      <c r="C1808">
        <v>6</v>
      </c>
      <c r="D1808" s="3">
        <f>parking_demand_data_2024_ver0!D1808*calibration!$I$31</f>
        <v>352.86882436934701</v>
      </c>
      <c r="E1808" s="3">
        <f>parking_demand_data_2024_ver0!E1808*calibration!$I$31</f>
        <v>46.5774631128034</v>
      </c>
      <c r="F1808" s="3">
        <f t="shared" si="28"/>
        <v>399.44628748215041</v>
      </c>
      <c r="G1808" s="3">
        <f>parking_demand_data_2024_ver0!F1808</f>
        <v>5</v>
      </c>
      <c r="H1808" s="3">
        <f>parking_demand_data_2024_ver0!G1808</f>
        <v>2</v>
      </c>
      <c r="I1808" s="3">
        <f>parking_demand_data_2024_ver0!H1808</f>
        <v>1</v>
      </c>
      <c r="J1808" s="3">
        <f>parking_demand_data_2024_ver0!I1808</f>
        <v>1</v>
      </c>
      <c r="K1808" s="3">
        <f>parking_demand_data_2024_ver0!J1808</f>
        <v>0</v>
      </c>
      <c r="L1808" s="3">
        <f>parking_demand_data_2024_ver0!K1808</f>
        <v>0</v>
      </c>
      <c r="M1808" s="3">
        <f>parking_demand_data_2024_ver0!L1808</f>
        <v>1</v>
      </c>
      <c r="N1808" s="3">
        <f>parking_demand_data_2024_ver0!M1808</f>
        <v>372</v>
      </c>
      <c r="O1808" s="3">
        <f>parking_demand_data_2024_ver0!N1808</f>
        <v>240</v>
      </c>
      <c r="P1808" s="3">
        <f>parking_demand_data_2024_ver0!O1808</f>
        <v>60</v>
      </c>
      <c r="Q1808" s="3">
        <f>parking_demand_data_2024_ver0!P1808</f>
        <v>25</v>
      </c>
      <c r="R1808" s="3">
        <f>parking_demand_data_2024_ver0!Q1808</f>
        <v>0</v>
      </c>
      <c r="S1808" s="3">
        <f>parking_demand_data_2024_ver0!R1808</f>
        <v>0</v>
      </c>
      <c r="T1808" s="3">
        <f>parking_demand_data_2024_ver0!S1808</f>
        <v>47</v>
      </c>
    </row>
    <row r="1809" spans="1:20" x14ac:dyDescent="0.25">
      <c r="A1809">
        <v>18151</v>
      </c>
      <c r="B1809" t="s">
        <v>104</v>
      </c>
      <c r="C1809">
        <v>7</v>
      </c>
      <c r="D1809" s="3">
        <f>parking_demand_data_2024_ver0!D1809*calibration!$I$31</f>
        <v>308.48024750118901</v>
      </c>
      <c r="E1809" s="3">
        <f>parking_demand_data_2024_ver0!E1809*calibration!$I$31</f>
        <v>44.235863874345497</v>
      </c>
      <c r="F1809" s="3">
        <f t="shared" si="28"/>
        <v>352.71611137553452</v>
      </c>
      <c r="G1809" s="3">
        <f>parking_demand_data_2024_ver0!F1809</f>
        <v>5</v>
      </c>
      <c r="H1809" s="3">
        <f>parking_demand_data_2024_ver0!G1809</f>
        <v>2</v>
      </c>
      <c r="I1809" s="3">
        <f>parking_demand_data_2024_ver0!H1809</f>
        <v>1</v>
      </c>
      <c r="J1809" s="3">
        <f>parking_demand_data_2024_ver0!I1809</f>
        <v>1</v>
      </c>
      <c r="K1809" s="3">
        <f>parking_demand_data_2024_ver0!J1809</f>
        <v>0</v>
      </c>
      <c r="L1809" s="3">
        <f>parking_demand_data_2024_ver0!K1809</f>
        <v>0</v>
      </c>
      <c r="M1809" s="3">
        <f>parking_demand_data_2024_ver0!L1809</f>
        <v>1</v>
      </c>
      <c r="N1809" s="3">
        <f>parking_demand_data_2024_ver0!M1809</f>
        <v>372</v>
      </c>
      <c r="O1809" s="3">
        <f>parking_demand_data_2024_ver0!N1809</f>
        <v>240</v>
      </c>
      <c r="P1809" s="3">
        <f>parking_demand_data_2024_ver0!O1809</f>
        <v>60</v>
      </c>
      <c r="Q1809" s="3">
        <f>parking_demand_data_2024_ver0!P1809</f>
        <v>25</v>
      </c>
      <c r="R1809" s="3">
        <f>parking_demand_data_2024_ver0!Q1809</f>
        <v>0</v>
      </c>
      <c r="S1809" s="3">
        <f>parking_demand_data_2024_ver0!R1809</f>
        <v>0</v>
      </c>
      <c r="T1809" s="3">
        <f>parking_demand_data_2024_ver0!S1809</f>
        <v>47</v>
      </c>
    </row>
    <row r="1810" spans="1:20" x14ac:dyDescent="0.25">
      <c r="A1810">
        <v>18151</v>
      </c>
      <c r="B1810" t="s">
        <v>104</v>
      </c>
      <c r="C1810">
        <v>8</v>
      </c>
      <c r="D1810" s="3">
        <f>parking_demand_data_2024_ver0!D1810*calibration!$I$31</f>
        <v>279.413874345549</v>
      </c>
      <c r="E1810" s="3">
        <f>parking_demand_data_2024_ver0!E1810*calibration!$I$31</f>
        <v>54.111304140885203</v>
      </c>
      <c r="F1810" s="3">
        <f t="shared" si="28"/>
        <v>333.52517848643419</v>
      </c>
      <c r="G1810" s="3">
        <f>parking_demand_data_2024_ver0!F1810</f>
        <v>5</v>
      </c>
      <c r="H1810" s="3">
        <f>parking_demand_data_2024_ver0!G1810</f>
        <v>2</v>
      </c>
      <c r="I1810" s="3">
        <f>parking_demand_data_2024_ver0!H1810</f>
        <v>1</v>
      </c>
      <c r="J1810" s="3">
        <f>parking_demand_data_2024_ver0!I1810</f>
        <v>1</v>
      </c>
      <c r="K1810" s="3">
        <f>parking_demand_data_2024_ver0!J1810</f>
        <v>0</v>
      </c>
      <c r="L1810" s="3">
        <f>parking_demand_data_2024_ver0!K1810</f>
        <v>0</v>
      </c>
      <c r="M1810" s="3">
        <f>parking_demand_data_2024_ver0!L1810</f>
        <v>1</v>
      </c>
      <c r="N1810" s="3">
        <f>parking_demand_data_2024_ver0!M1810</f>
        <v>372</v>
      </c>
      <c r="O1810" s="3">
        <f>parking_demand_data_2024_ver0!N1810</f>
        <v>240</v>
      </c>
      <c r="P1810" s="3">
        <f>parking_demand_data_2024_ver0!O1810</f>
        <v>60</v>
      </c>
      <c r="Q1810" s="3">
        <f>parking_demand_data_2024_ver0!P1810</f>
        <v>25</v>
      </c>
      <c r="R1810" s="3">
        <f>parking_demand_data_2024_ver0!Q1810</f>
        <v>0</v>
      </c>
      <c r="S1810" s="3">
        <f>parking_demand_data_2024_ver0!R1810</f>
        <v>0</v>
      </c>
      <c r="T1810" s="3">
        <f>parking_demand_data_2024_ver0!S1810</f>
        <v>47</v>
      </c>
    </row>
    <row r="1811" spans="1:20" x14ac:dyDescent="0.25">
      <c r="A1811">
        <v>18151</v>
      </c>
      <c r="B1811" t="s">
        <v>104</v>
      </c>
      <c r="C1811">
        <v>9</v>
      </c>
      <c r="D1811" s="3">
        <f>parking_demand_data_2024_ver0!D1811*calibration!$I$31</f>
        <v>245.00254640647299</v>
      </c>
      <c r="E1811" s="3">
        <f>parking_demand_data_2024_ver0!E1811*calibration!$I$31</f>
        <v>41.385221323179401</v>
      </c>
      <c r="F1811" s="3">
        <f t="shared" si="28"/>
        <v>286.38776772965241</v>
      </c>
      <c r="G1811" s="3">
        <f>parking_demand_data_2024_ver0!F1811</f>
        <v>5</v>
      </c>
      <c r="H1811" s="3">
        <f>parking_demand_data_2024_ver0!G1811</f>
        <v>2</v>
      </c>
      <c r="I1811" s="3">
        <f>parking_demand_data_2024_ver0!H1811</f>
        <v>1</v>
      </c>
      <c r="J1811" s="3">
        <f>parking_demand_data_2024_ver0!I1811</f>
        <v>1</v>
      </c>
      <c r="K1811" s="3">
        <f>parking_demand_data_2024_ver0!J1811</f>
        <v>0</v>
      </c>
      <c r="L1811" s="3">
        <f>parking_demand_data_2024_ver0!K1811</f>
        <v>0</v>
      </c>
      <c r="M1811" s="3">
        <f>parking_demand_data_2024_ver0!L1811</f>
        <v>1</v>
      </c>
      <c r="N1811" s="3">
        <f>parking_demand_data_2024_ver0!M1811</f>
        <v>372</v>
      </c>
      <c r="O1811" s="3">
        <f>parking_demand_data_2024_ver0!N1811</f>
        <v>240</v>
      </c>
      <c r="P1811" s="3">
        <f>parking_demand_data_2024_ver0!O1811</f>
        <v>60</v>
      </c>
      <c r="Q1811" s="3">
        <f>parking_demand_data_2024_ver0!P1811</f>
        <v>25</v>
      </c>
      <c r="R1811" s="3">
        <f>parking_demand_data_2024_ver0!Q1811</f>
        <v>0</v>
      </c>
      <c r="S1811" s="3">
        <f>parking_demand_data_2024_ver0!R1811</f>
        <v>0</v>
      </c>
      <c r="T1811" s="3">
        <f>parking_demand_data_2024_ver0!S1811</f>
        <v>47</v>
      </c>
    </row>
    <row r="1812" spans="1:20" x14ac:dyDescent="0.25">
      <c r="A1812">
        <v>18151</v>
      </c>
      <c r="B1812" t="s">
        <v>104</v>
      </c>
      <c r="C1812">
        <v>10</v>
      </c>
      <c r="D1812" s="3">
        <f>parking_demand_data_2024_ver0!D1812*calibration!$I$31</f>
        <v>221.23022370299799</v>
      </c>
      <c r="E1812" s="3">
        <f>parking_demand_data_2024_ver0!E1812*calibration!$I$31</f>
        <v>29.320894811994201</v>
      </c>
      <c r="F1812" s="3">
        <f t="shared" si="28"/>
        <v>250.5511185149922</v>
      </c>
      <c r="G1812" s="3">
        <f>parking_demand_data_2024_ver0!F1812</f>
        <v>5</v>
      </c>
      <c r="H1812" s="3">
        <f>parking_demand_data_2024_ver0!G1812</f>
        <v>2</v>
      </c>
      <c r="I1812" s="3">
        <f>parking_demand_data_2024_ver0!H1812</f>
        <v>1</v>
      </c>
      <c r="J1812" s="3">
        <f>parking_demand_data_2024_ver0!I1812</f>
        <v>1</v>
      </c>
      <c r="K1812" s="3">
        <f>parking_demand_data_2024_ver0!J1812</f>
        <v>0</v>
      </c>
      <c r="L1812" s="3">
        <f>parking_demand_data_2024_ver0!K1812</f>
        <v>0</v>
      </c>
      <c r="M1812" s="3">
        <f>parking_demand_data_2024_ver0!L1812</f>
        <v>1</v>
      </c>
      <c r="N1812" s="3">
        <f>parking_demand_data_2024_ver0!M1812</f>
        <v>372</v>
      </c>
      <c r="O1812" s="3">
        <f>parking_demand_data_2024_ver0!N1812</f>
        <v>240</v>
      </c>
      <c r="P1812" s="3">
        <f>parking_demand_data_2024_ver0!O1812</f>
        <v>60</v>
      </c>
      <c r="Q1812" s="3">
        <f>parking_demand_data_2024_ver0!P1812</f>
        <v>25</v>
      </c>
      <c r="R1812" s="3">
        <f>parking_demand_data_2024_ver0!Q1812</f>
        <v>0</v>
      </c>
      <c r="S1812" s="3">
        <f>parking_demand_data_2024_ver0!R1812</f>
        <v>0</v>
      </c>
      <c r="T1812" s="3">
        <f>parking_demand_data_2024_ver0!S1812</f>
        <v>47</v>
      </c>
    </row>
    <row r="1813" spans="1:20" x14ac:dyDescent="0.25">
      <c r="A1813">
        <v>18151</v>
      </c>
      <c r="B1813" t="s">
        <v>104</v>
      </c>
      <c r="C1813">
        <v>11</v>
      </c>
      <c r="D1813" s="3">
        <f>parking_demand_data_2024_ver0!D1813*calibration!$I$31</f>
        <v>215.12170395049901</v>
      </c>
      <c r="E1813" s="3">
        <f>parking_demand_data_2024_ver0!E1813*calibration!$I$31</f>
        <v>28.7100428367444</v>
      </c>
      <c r="F1813" s="3">
        <f t="shared" si="28"/>
        <v>243.83174678724342</v>
      </c>
      <c r="G1813" s="3">
        <f>parking_demand_data_2024_ver0!F1813</f>
        <v>5</v>
      </c>
      <c r="H1813" s="3">
        <f>parking_demand_data_2024_ver0!G1813</f>
        <v>2</v>
      </c>
      <c r="I1813" s="3">
        <f>parking_demand_data_2024_ver0!H1813</f>
        <v>1</v>
      </c>
      <c r="J1813" s="3">
        <f>parking_demand_data_2024_ver0!I1813</f>
        <v>1</v>
      </c>
      <c r="K1813" s="3">
        <f>parking_demand_data_2024_ver0!J1813</f>
        <v>0</v>
      </c>
      <c r="L1813" s="3">
        <f>parking_demand_data_2024_ver0!K1813</f>
        <v>0</v>
      </c>
      <c r="M1813" s="3">
        <f>parking_demand_data_2024_ver0!L1813</f>
        <v>1</v>
      </c>
      <c r="N1813" s="3">
        <f>parking_demand_data_2024_ver0!M1813</f>
        <v>372</v>
      </c>
      <c r="O1813" s="3">
        <f>parking_demand_data_2024_ver0!N1813</f>
        <v>240</v>
      </c>
      <c r="P1813" s="3">
        <f>parking_demand_data_2024_ver0!O1813</f>
        <v>60</v>
      </c>
      <c r="Q1813" s="3">
        <f>parking_demand_data_2024_ver0!P1813</f>
        <v>25</v>
      </c>
      <c r="R1813" s="3">
        <f>parking_demand_data_2024_ver0!Q1813</f>
        <v>0</v>
      </c>
      <c r="S1813" s="3">
        <f>parking_demand_data_2024_ver0!R1813</f>
        <v>0</v>
      </c>
      <c r="T1813" s="3">
        <f>parking_demand_data_2024_ver0!S1813</f>
        <v>47</v>
      </c>
    </row>
    <row r="1814" spans="1:20" x14ac:dyDescent="0.25">
      <c r="A1814">
        <v>18151</v>
      </c>
      <c r="B1814" t="s">
        <v>104</v>
      </c>
      <c r="C1814">
        <v>12</v>
      </c>
      <c r="D1814" s="3">
        <f>parking_demand_data_2024_ver0!D1814*calibration!$I$31</f>
        <v>215.01989528795801</v>
      </c>
      <c r="E1814" s="3">
        <f>parking_demand_data_2024_ver0!E1814*calibration!$I$31</f>
        <v>30.440790099952299</v>
      </c>
      <c r="F1814" s="3">
        <f t="shared" si="28"/>
        <v>245.4606853879103</v>
      </c>
      <c r="G1814" s="3">
        <f>parking_demand_data_2024_ver0!F1814</f>
        <v>5</v>
      </c>
      <c r="H1814" s="3">
        <f>parking_demand_data_2024_ver0!G1814</f>
        <v>2</v>
      </c>
      <c r="I1814" s="3">
        <f>parking_demand_data_2024_ver0!H1814</f>
        <v>1</v>
      </c>
      <c r="J1814" s="3">
        <f>parking_demand_data_2024_ver0!I1814</f>
        <v>1</v>
      </c>
      <c r="K1814" s="3">
        <f>parking_demand_data_2024_ver0!J1814</f>
        <v>0</v>
      </c>
      <c r="L1814" s="3">
        <f>parking_demand_data_2024_ver0!K1814</f>
        <v>0</v>
      </c>
      <c r="M1814" s="3">
        <f>parking_demand_data_2024_ver0!L1814</f>
        <v>1</v>
      </c>
      <c r="N1814" s="3">
        <f>parking_demand_data_2024_ver0!M1814</f>
        <v>372</v>
      </c>
      <c r="O1814" s="3">
        <f>parking_demand_data_2024_ver0!N1814</f>
        <v>240</v>
      </c>
      <c r="P1814" s="3">
        <f>parking_demand_data_2024_ver0!O1814</f>
        <v>60</v>
      </c>
      <c r="Q1814" s="3">
        <f>parking_demand_data_2024_ver0!P1814</f>
        <v>25</v>
      </c>
      <c r="R1814" s="3">
        <f>parking_demand_data_2024_ver0!Q1814</f>
        <v>0</v>
      </c>
      <c r="S1814" s="3">
        <f>parking_demand_data_2024_ver0!R1814</f>
        <v>0</v>
      </c>
      <c r="T1814" s="3">
        <f>parking_demand_data_2024_ver0!S1814</f>
        <v>47</v>
      </c>
    </row>
    <row r="1815" spans="1:20" x14ac:dyDescent="0.25">
      <c r="A1815">
        <v>18151</v>
      </c>
      <c r="B1815" t="s">
        <v>104</v>
      </c>
      <c r="C1815">
        <v>13</v>
      </c>
      <c r="D1815" s="3">
        <f>parking_demand_data_2024_ver0!D1815*calibration!$I$31</f>
        <v>223.21549262255999</v>
      </c>
      <c r="E1815" s="3">
        <f>parking_demand_data_2024_ver0!E1815*calibration!$I$31</f>
        <v>27.386530223702898</v>
      </c>
      <c r="F1815" s="3">
        <f t="shared" si="28"/>
        <v>250.60202284626288</v>
      </c>
      <c r="G1815" s="3">
        <f>parking_demand_data_2024_ver0!F1815</f>
        <v>5</v>
      </c>
      <c r="H1815" s="3">
        <f>parking_demand_data_2024_ver0!G1815</f>
        <v>2</v>
      </c>
      <c r="I1815" s="3">
        <f>parking_demand_data_2024_ver0!H1815</f>
        <v>1</v>
      </c>
      <c r="J1815" s="3">
        <f>parking_demand_data_2024_ver0!I1815</f>
        <v>1</v>
      </c>
      <c r="K1815" s="3">
        <f>parking_demand_data_2024_ver0!J1815</f>
        <v>0</v>
      </c>
      <c r="L1815" s="3">
        <f>parking_demand_data_2024_ver0!K1815</f>
        <v>0</v>
      </c>
      <c r="M1815" s="3">
        <f>parking_demand_data_2024_ver0!L1815</f>
        <v>1</v>
      </c>
      <c r="N1815" s="3">
        <f>parking_demand_data_2024_ver0!M1815</f>
        <v>372</v>
      </c>
      <c r="O1815" s="3">
        <f>parking_demand_data_2024_ver0!N1815</f>
        <v>240</v>
      </c>
      <c r="P1815" s="3">
        <f>parking_demand_data_2024_ver0!O1815</f>
        <v>60</v>
      </c>
      <c r="Q1815" s="3">
        <f>parking_demand_data_2024_ver0!P1815</f>
        <v>25</v>
      </c>
      <c r="R1815" s="3">
        <f>parking_demand_data_2024_ver0!Q1815</f>
        <v>0</v>
      </c>
      <c r="S1815" s="3">
        <f>parking_demand_data_2024_ver0!R1815</f>
        <v>0</v>
      </c>
      <c r="T1815" s="3">
        <f>parking_demand_data_2024_ver0!S1815</f>
        <v>47</v>
      </c>
    </row>
    <row r="1816" spans="1:20" x14ac:dyDescent="0.25">
      <c r="A1816">
        <v>18151</v>
      </c>
      <c r="B1816" t="s">
        <v>104</v>
      </c>
      <c r="C1816">
        <v>14</v>
      </c>
      <c r="D1816" s="3">
        <f>parking_demand_data_2024_ver0!D1816*calibration!$I$31</f>
        <v>235.483436458829</v>
      </c>
      <c r="E1816" s="3">
        <f>parking_demand_data_2024_ver0!E1816*calibration!$I$31</f>
        <v>22.7033317467872</v>
      </c>
      <c r="F1816" s="3">
        <f t="shared" si="28"/>
        <v>258.1867682056162</v>
      </c>
      <c r="G1816" s="3">
        <f>parking_demand_data_2024_ver0!F1816</f>
        <v>5</v>
      </c>
      <c r="H1816" s="3">
        <f>parking_demand_data_2024_ver0!G1816</f>
        <v>2</v>
      </c>
      <c r="I1816" s="3">
        <f>parking_demand_data_2024_ver0!H1816</f>
        <v>1</v>
      </c>
      <c r="J1816" s="3">
        <f>parking_demand_data_2024_ver0!I1816</f>
        <v>1</v>
      </c>
      <c r="K1816" s="3">
        <f>parking_demand_data_2024_ver0!J1816</f>
        <v>0</v>
      </c>
      <c r="L1816" s="3">
        <f>parking_demand_data_2024_ver0!K1816</f>
        <v>0</v>
      </c>
      <c r="M1816" s="3">
        <f>parking_demand_data_2024_ver0!L1816</f>
        <v>1</v>
      </c>
      <c r="N1816" s="3">
        <f>parking_demand_data_2024_ver0!M1816</f>
        <v>372</v>
      </c>
      <c r="O1816" s="3">
        <f>parking_demand_data_2024_ver0!N1816</f>
        <v>240</v>
      </c>
      <c r="P1816" s="3">
        <f>parking_demand_data_2024_ver0!O1816</f>
        <v>60</v>
      </c>
      <c r="Q1816" s="3">
        <f>parking_demand_data_2024_ver0!P1816</f>
        <v>25</v>
      </c>
      <c r="R1816" s="3">
        <f>parking_demand_data_2024_ver0!Q1816</f>
        <v>0</v>
      </c>
      <c r="S1816" s="3">
        <f>parking_demand_data_2024_ver0!R1816</f>
        <v>0</v>
      </c>
      <c r="T1816" s="3">
        <f>parking_demand_data_2024_ver0!S1816</f>
        <v>47</v>
      </c>
    </row>
    <row r="1817" spans="1:20" x14ac:dyDescent="0.25">
      <c r="A1817">
        <v>18151</v>
      </c>
      <c r="B1817" t="s">
        <v>104</v>
      </c>
      <c r="C1817">
        <v>15</v>
      </c>
      <c r="D1817" s="3">
        <f>parking_demand_data_2024_ver0!D1817*calibration!$I$31</f>
        <v>245.86792003807699</v>
      </c>
      <c r="E1817" s="3">
        <f>parking_demand_data_2024_ver0!E1817*calibration!$I$31</f>
        <v>22.9069490718705</v>
      </c>
      <c r="F1817" s="3">
        <f t="shared" si="28"/>
        <v>268.77486910994747</v>
      </c>
      <c r="G1817" s="3">
        <f>parking_demand_data_2024_ver0!F1817</f>
        <v>5</v>
      </c>
      <c r="H1817" s="3">
        <f>parking_demand_data_2024_ver0!G1817</f>
        <v>2</v>
      </c>
      <c r="I1817" s="3">
        <f>parking_demand_data_2024_ver0!H1817</f>
        <v>1</v>
      </c>
      <c r="J1817" s="3">
        <f>parking_demand_data_2024_ver0!I1817</f>
        <v>1</v>
      </c>
      <c r="K1817" s="3">
        <f>parking_demand_data_2024_ver0!J1817</f>
        <v>0</v>
      </c>
      <c r="L1817" s="3">
        <f>parking_demand_data_2024_ver0!K1817</f>
        <v>0</v>
      </c>
      <c r="M1817" s="3">
        <f>parking_demand_data_2024_ver0!L1817</f>
        <v>1</v>
      </c>
      <c r="N1817" s="3">
        <f>parking_demand_data_2024_ver0!M1817</f>
        <v>372</v>
      </c>
      <c r="O1817" s="3">
        <f>parking_demand_data_2024_ver0!N1817</f>
        <v>240</v>
      </c>
      <c r="P1817" s="3">
        <f>parking_demand_data_2024_ver0!O1817</f>
        <v>60</v>
      </c>
      <c r="Q1817" s="3">
        <f>parking_demand_data_2024_ver0!P1817</f>
        <v>25</v>
      </c>
      <c r="R1817" s="3">
        <f>parking_demand_data_2024_ver0!Q1817</f>
        <v>0</v>
      </c>
      <c r="S1817" s="3">
        <f>parking_demand_data_2024_ver0!R1817</f>
        <v>0</v>
      </c>
      <c r="T1817" s="3">
        <f>parking_demand_data_2024_ver0!S1817</f>
        <v>47</v>
      </c>
    </row>
    <row r="1818" spans="1:20" x14ac:dyDescent="0.25">
      <c r="A1818">
        <v>18151</v>
      </c>
      <c r="B1818" t="s">
        <v>104</v>
      </c>
      <c r="C1818">
        <v>16</v>
      </c>
      <c r="D1818" s="3">
        <f>parking_demand_data_2024_ver0!D1818*calibration!$I$31</f>
        <v>254.419847691575</v>
      </c>
      <c r="E1818" s="3">
        <f>parking_demand_data_2024_ver0!E1818*calibration!$I$31</f>
        <v>21.074393146120801</v>
      </c>
      <c r="F1818" s="3">
        <f t="shared" si="28"/>
        <v>275.49424083769583</v>
      </c>
      <c r="G1818" s="3">
        <f>parking_demand_data_2024_ver0!F1818</f>
        <v>5</v>
      </c>
      <c r="H1818" s="3">
        <f>parking_demand_data_2024_ver0!G1818</f>
        <v>2</v>
      </c>
      <c r="I1818" s="3">
        <f>parking_demand_data_2024_ver0!H1818</f>
        <v>1</v>
      </c>
      <c r="J1818" s="3">
        <f>parking_demand_data_2024_ver0!I1818</f>
        <v>1</v>
      </c>
      <c r="K1818" s="3">
        <f>parking_demand_data_2024_ver0!J1818</f>
        <v>0</v>
      </c>
      <c r="L1818" s="3">
        <f>parking_demand_data_2024_ver0!K1818</f>
        <v>0</v>
      </c>
      <c r="M1818" s="3">
        <f>parking_demand_data_2024_ver0!L1818</f>
        <v>1</v>
      </c>
      <c r="N1818" s="3">
        <f>parking_demand_data_2024_ver0!M1818</f>
        <v>372</v>
      </c>
      <c r="O1818" s="3">
        <f>parking_demand_data_2024_ver0!N1818</f>
        <v>240</v>
      </c>
      <c r="P1818" s="3">
        <f>parking_demand_data_2024_ver0!O1818</f>
        <v>60</v>
      </c>
      <c r="Q1818" s="3">
        <f>parking_demand_data_2024_ver0!P1818</f>
        <v>25</v>
      </c>
      <c r="R1818" s="3">
        <f>parking_demand_data_2024_ver0!Q1818</f>
        <v>0</v>
      </c>
      <c r="S1818" s="3">
        <f>parking_demand_data_2024_ver0!R1818</f>
        <v>0</v>
      </c>
      <c r="T1818" s="3">
        <f>parking_demand_data_2024_ver0!S1818</f>
        <v>47</v>
      </c>
    </row>
    <row r="1819" spans="1:20" x14ac:dyDescent="0.25">
      <c r="A1819">
        <v>18151</v>
      </c>
      <c r="B1819" t="s">
        <v>104</v>
      </c>
      <c r="C1819">
        <v>17</v>
      </c>
      <c r="D1819" s="3">
        <f>parking_demand_data_2024_ver0!D1819*calibration!$I$31</f>
        <v>279.77020466444498</v>
      </c>
      <c r="E1819" s="3">
        <f>parking_demand_data_2024_ver0!E1819*calibration!$I$31</f>
        <v>23.772322703474501</v>
      </c>
      <c r="F1819" s="3">
        <f t="shared" si="28"/>
        <v>303.54252736791949</v>
      </c>
      <c r="G1819" s="3">
        <f>parking_demand_data_2024_ver0!F1819</f>
        <v>5</v>
      </c>
      <c r="H1819" s="3">
        <f>parking_demand_data_2024_ver0!G1819</f>
        <v>2</v>
      </c>
      <c r="I1819" s="3">
        <f>parking_demand_data_2024_ver0!H1819</f>
        <v>1</v>
      </c>
      <c r="J1819" s="3">
        <f>parking_demand_data_2024_ver0!I1819</f>
        <v>1</v>
      </c>
      <c r="K1819" s="3">
        <f>parking_demand_data_2024_ver0!J1819</f>
        <v>0</v>
      </c>
      <c r="L1819" s="3">
        <f>parking_demand_data_2024_ver0!K1819</f>
        <v>0</v>
      </c>
      <c r="M1819" s="3">
        <f>parking_demand_data_2024_ver0!L1819</f>
        <v>1</v>
      </c>
      <c r="N1819" s="3">
        <f>parking_demand_data_2024_ver0!M1819</f>
        <v>372</v>
      </c>
      <c r="O1819" s="3">
        <f>parking_demand_data_2024_ver0!N1819</f>
        <v>240</v>
      </c>
      <c r="P1819" s="3">
        <f>parking_demand_data_2024_ver0!O1819</f>
        <v>60</v>
      </c>
      <c r="Q1819" s="3">
        <f>parking_demand_data_2024_ver0!P1819</f>
        <v>25</v>
      </c>
      <c r="R1819" s="3">
        <f>parking_demand_data_2024_ver0!Q1819</f>
        <v>0</v>
      </c>
      <c r="S1819" s="3">
        <f>parking_demand_data_2024_ver0!R1819</f>
        <v>0</v>
      </c>
      <c r="T1819" s="3">
        <f>parking_demand_data_2024_ver0!S1819</f>
        <v>47</v>
      </c>
    </row>
    <row r="1820" spans="1:20" x14ac:dyDescent="0.25">
      <c r="A1820">
        <v>18151</v>
      </c>
      <c r="B1820" t="s">
        <v>104</v>
      </c>
      <c r="C1820">
        <v>18</v>
      </c>
      <c r="D1820" s="3">
        <f>parking_demand_data_2024_ver0!D1820*calibration!$I$31</f>
        <v>308.98929081389798</v>
      </c>
      <c r="E1820" s="3">
        <f>parking_demand_data_2024_ver0!E1820*calibration!$I$31</f>
        <v>25.248548310328399</v>
      </c>
      <c r="F1820" s="3">
        <f t="shared" si="28"/>
        <v>334.23783912422635</v>
      </c>
      <c r="G1820" s="3">
        <f>parking_demand_data_2024_ver0!F1820</f>
        <v>5</v>
      </c>
      <c r="H1820" s="3">
        <f>parking_demand_data_2024_ver0!G1820</f>
        <v>2</v>
      </c>
      <c r="I1820" s="3">
        <f>parking_demand_data_2024_ver0!H1820</f>
        <v>1</v>
      </c>
      <c r="J1820" s="3">
        <f>parking_demand_data_2024_ver0!I1820</f>
        <v>1</v>
      </c>
      <c r="K1820" s="3">
        <f>parking_demand_data_2024_ver0!J1820</f>
        <v>0</v>
      </c>
      <c r="L1820" s="3">
        <f>parking_demand_data_2024_ver0!K1820</f>
        <v>0</v>
      </c>
      <c r="M1820" s="3">
        <f>parking_demand_data_2024_ver0!L1820</f>
        <v>1</v>
      </c>
      <c r="N1820" s="3">
        <f>parking_demand_data_2024_ver0!M1820</f>
        <v>372</v>
      </c>
      <c r="O1820" s="3">
        <f>parking_demand_data_2024_ver0!N1820</f>
        <v>240</v>
      </c>
      <c r="P1820" s="3">
        <f>parking_demand_data_2024_ver0!O1820</f>
        <v>60</v>
      </c>
      <c r="Q1820" s="3">
        <f>parking_demand_data_2024_ver0!P1820</f>
        <v>25</v>
      </c>
      <c r="R1820" s="3">
        <f>parking_demand_data_2024_ver0!Q1820</f>
        <v>0</v>
      </c>
      <c r="S1820" s="3">
        <f>parking_demand_data_2024_ver0!R1820</f>
        <v>0</v>
      </c>
      <c r="T1820" s="3">
        <f>parking_demand_data_2024_ver0!S1820</f>
        <v>47</v>
      </c>
    </row>
    <row r="1821" spans="1:20" x14ac:dyDescent="0.25">
      <c r="A1821">
        <v>18151</v>
      </c>
      <c r="B1821" t="s">
        <v>104</v>
      </c>
      <c r="C1821">
        <v>19</v>
      </c>
      <c r="D1821" s="3">
        <f>parking_demand_data_2024_ver0!D1821*calibration!$I$31</f>
        <v>338.20837696335002</v>
      </c>
      <c r="E1821" s="3">
        <f>parking_demand_data_2024_ver0!E1821*calibration!$I$31</f>
        <v>26.1648262732032</v>
      </c>
      <c r="F1821" s="3">
        <f t="shared" si="28"/>
        <v>364.37320323655319</v>
      </c>
      <c r="G1821" s="3">
        <f>parking_demand_data_2024_ver0!F1821</f>
        <v>5</v>
      </c>
      <c r="H1821" s="3">
        <f>parking_demand_data_2024_ver0!G1821</f>
        <v>2</v>
      </c>
      <c r="I1821" s="3">
        <f>parking_demand_data_2024_ver0!H1821</f>
        <v>1</v>
      </c>
      <c r="J1821" s="3">
        <f>parking_demand_data_2024_ver0!I1821</f>
        <v>1</v>
      </c>
      <c r="K1821" s="3">
        <f>parking_demand_data_2024_ver0!J1821</f>
        <v>0</v>
      </c>
      <c r="L1821" s="3">
        <f>parking_demand_data_2024_ver0!K1821</f>
        <v>0</v>
      </c>
      <c r="M1821" s="3">
        <f>parking_demand_data_2024_ver0!L1821</f>
        <v>1</v>
      </c>
      <c r="N1821" s="3">
        <f>parking_demand_data_2024_ver0!M1821</f>
        <v>372</v>
      </c>
      <c r="O1821" s="3">
        <f>parking_demand_data_2024_ver0!N1821</f>
        <v>240</v>
      </c>
      <c r="P1821" s="3">
        <f>parking_demand_data_2024_ver0!O1821</f>
        <v>60</v>
      </c>
      <c r="Q1821" s="3">
        <f>parking_demand_data_2024_ver0!P1821</f>
        <v>25</v>
      </c>
      <c r="R1821" s="3">
        <f>parking_demand_data_2024_ver0!Q1821</f>
        <v>0</v>
      </c>
      <c r="S1821" s="3">
        <f>parking_demand_data_2024_ver0!R1821</f>
        <v>0</v>
      </c>
      <c r="T1821" s="3">
        <f>parking_demand_data_2024_ver0!S1821</f>
        <v>47</v>
      </c>
    </row>
    <row r="1822" spans="1:20" x14ac:dyDescent="0.25">
      <c r="A1822">
        <v>18151</v>
      </c>
      <c r="B1822" t="s">
        <v>104</v>
      </c>
      <c r="C1822">
        <v>20</v>
      </c>
      <c r="D1822" s="3">
        <f>parking_demand_data_2024_ver0!D1822*calibration!$I$31</f>
        <v>367.783793431699</v>
      </c>
      <c r="E1822" s="3">
        <f>parking_demand_data_2024_ver0!E1822*calibration!$I$31</f>
        <v>32.935102332222698</v>
      </c>
      <c r="F1822" s="3">
        <f t="shared" si="28"/>
        <v>400.71889576392169</v>
      </c>
      <c r="G1822" s="3">
        <f>parking_demand_data_2024_ver0!F1822</f>
        <v>5</v>
      </c>
      <c r="H1822" s="3">
        <f>parking_demand_data_2024_ver0!G1822</f>
        <v>2</v>
      </c>
      <c r="I1822" s="3">
        <f>parking_demand_data_2024_ver0!H1822</f>
        <v>1</v>
      </c>
      <c r="J1822" s="3">
        <f>parking_demand_data_2024_ver0!I1822</f>
        <v>1</v>
      </c>
      <c r="K1822" s="3">
        <f>parking_demand_data_2024_ver0!J1822</f>
        <v>0</v>
      </c>
      <c r="L1822" s="3">
        <f>parking_demand_data_2024_ver0!K1822</f>
        <v>0</v>
      </c>
      <c r="M1822" s="3">
        <f>parking_demand_data_2024_ver0!L1822</f>
        <v>1</v>
      </c>
      <c r="N1822" s="3">
        <f>parking_demand_data_2024_ver0!M1822</f>
        <v>372</v>
      </c>
      <c r="O1822" s="3">
        <f>parking_demand_data_2024_ver0!N1822</f>
        <v>240</v>
      </c>
      <c r="P1822" s="3">
        <f>parking_demand_data_2024_ver0!O1822</f>
        <v>60</v>
      </c>
      <c r="Q1822" s="3">
        <f>parking_demand_data_2024_ver0!P1822</f>
        <v>25</v>
      </c>
      <c r="R1822" s="3">
        <f>parking_demand_data_2024_ver0!Q1822</f>
        <v>0</v>
      </c>
      <c r="S1822" s="3">
        <f>parking_demand_data_2024_ver0!R1822</f>
        <v>0</v>
      </c>
      <c r="T1822" s="3">
        <f>parking_demand_data_2024_ver0!S1822</f>
        <v>47</v>
      </c>
    </row>
    <row r="1823" spans="1:20" x14ac:dyDescent="0.25">
      <c r="A1823">
        <v>18151</v>
      </c>
      <c r="B1823" t="s">
        <v>104</v>
      </c>
      <c r="C1823">
        <v>21</v>
      </c>
      <c r="D1823" s="3">
        <f>parking_demand_data_2024_ver0!D1823*calibration!$I$31</f>
        <v>392.52329842931903</v>
      </c>
      <c r="E1823" s="3">
        <f>parking_demand_data_2024_ver0!E1823*calibration!$I$31</f>
        <v>39.501761066158899</v>
      </c>
      <c r="F1823" s="3">
        <f t="shared" si="28"/>
        <v>432.02505949547793</v>
      </c>
      <c r="G1823" s="3">
        <f>parking_demand_data_2024_ver0!F1823</f>
        <v>5</v>
      </c>
      <c r="H1823" s="3">
        <f>parking_demand_data_2024_ver0!G1823</f>
        <v>2</v>
      </c>
      <c r="I1823" s="3">
        <f>parking_demand_data_2024_ver0!H1823</f>
        <v>1</v>
      </c>
      <c r="J1823" s="3">
        <f>parking_demand_data_2024_ver0!I1823</f>
        <v>1</v>
      </c>
      <c r="K1823" s="3">
        <f>parking_demand_data_2024_ver0!J1823</f>
        <v>0</v>
      </c>
      <c r="L1823" s="3">
        <f>parking_demand_data_2024_ver0!K1823</f>
        <v>0</v>
      </c>
      <c r="M1823" s="3">
        <f>parking_demand_data_2024_ver0!L1823</f>
        <v>1</v>
      </c>
      <c r="N1823" s="3">
        <f>parking_demand_data_2024_ver0!M1823</f>
        <v>372</v>
      </c>
      <c r="O1823" s="3">
        <f>parking_demand_data_2024_ver0!N1823</f>
        <v>240</v>
      </c>
      <c r="P1823" s="3">
        <f>parking_demand_data_2024_ver0!O1823</f>
        <v>60</v>
      </c>
      <c r="Q1823" s="3">
        <f>parking_demand_data_2024_ver0!P1823</f>
        <v>25</v>
      </c>
      <c r="R1823" s="3">
        <f>parking_demand_data_2024_ver0!Q1823</f>
        <v>0</v>
      </c>
      <c r="S1823" s="3">
        <f>parking_demand_data_2024_ver0!R1823</f>
        <v>0</v>
      </c>
      <c r="T1823" s="3">
        <f>parking_demand_data_2024_ver0!S1823</f>
        <v>47</v>
      </c>
    </row>
    <row r="1824" spans="1:20" x14ac:dyDescent="0.25">
      <c r="A1824">
        <v>18151</v>
      </c>
      <c r="B1824" t="s">
        <v>104</v>
      </c>
      <c r="C1824">
        <v>22</v>
      </c>
      <c r="D1824" s="3">
        <f>parking_demand_data_2024_ver0!D1824*calibration!$I$31</f>
        <v>410.18710138029502</v>
      </c>
      <c r="E1824" s="3">
        <f>parking_demand_data_2024_ver0!E1824*calibration!$I$31</f>
        <v>41.537934316991901</v>
      </c>
      <c r="F1824" s="3">
        <f t="shared" si="28"/>
        <v>451.7250356972869</v>
      </c>
      <c r="G1824" s="3">
        <f>parking_demand_data_2024_ver0!F1824</f>
        <v>5</v>
      </c>
      <c r="H1824" s="3">
        <f>parking_demand_data_2024_ver0!G1824</f>
        <v>2</v>
      </c>
      <c r="I1824" s="3">
        <f>parking_demand_data_2024_ver0!H1824</f>
        <v>1</v>
      </c>
      <c r="J1824" s="3">
        <f>parking_demand_data_2024_ver0!I1824</f>
        <v>1</v>
      </c>
      <c r="K1824" s="3">
        <f>parking_demand_data_2024_ver0!J1824</f>
        <v>0</v>
      </c>
      <c r="L1824" s="3">
        <f>parking_demand_data_2024_ver0!K1824</f>
        <v>0</v>
      </c>
      <c r="M1824" s="3">
        <f>parking_demand_data_2024_ver0!L1824</f>
        <v>1</v>
      </c>
      <c r="N1824" s="3">
        <f>parking_demand_data_2024_ver0!M1824</f>
        <v>372</v>
      </c>
      <c r="O1824" s="3">
        <f>parking_demand_data_2024_ver0!N1824</f>
        <v>240</v>
      </c>
      <c r="P1824" s="3">
        <f>parking_demand_data_2024_ver0!O1824</f>
        <v>60</v>
      </c>
      <c r="Q1824" s="3">
        <f>parking_demand_data_2024_ver0!P1824</f>
        <v>25</v>
      </c>
      <c r="R1824" s="3">
        <f>parking_demand_data_2024_ver0!Q1824</f>
        <v>0</v>
      </c>
      <c r="S1824" s="3">
        <f>parking_demand_data_2024_ver0!R1824</f>
        <v>0</v>
      </c>
      <c r="T1824" s="3">
        <f>parking_demand_data_2024_ver0!S1824</f>
        <v>47</v>
      </c>
    </row>
    <row r="1825" spans="1:20" x14ac:dyDescent="0.25">
      <c r="A1825">
        <v>18151</v>
      </c>
      <c r="B1825" t="s">
        <v>104</v>
      </c>
      <c r="C1825">
        <v>23</v>
      </c>
      <c r="D1825" s="3">
        <f>parking_demand_data_2024_ver0!D1825*calibration!$I$31</f>
        <v>417.00828177058497</v>
      </c>
      <c r="E1825" s="3">
        <f>parking_demand_data_2024_ver0!E1825*calibration!$I$31</f>
        <v>39.450856734888099</v>
      </c>
      <c r="F1825" s="3">
        <f t="shared" si="28"/>
        <v>456.45913850547305</v>
      </c>
      <c r="G1825" s="3">
        <f>parking_demand_data_2024_ver0!F1825</f>
        <v>5</v>
      </c>
      <c r="H1825" s="3">
        <f>parking_demand_data_2024_ver0!G1825</f>
        <v>2</v>
      </c>
      <c r="I1825" s="3">
        <f>parking_demand_data_2024_ver0!H1825</f>
        <v>1</v>
      </c>
      <c r="J1825" s="3">
        <f>parking_demand_data_2024_ver0!I1825</f>
        <v>1</v>
      </c>
      <c r="K1825" s="3">
        <f>parking_demand_data_2024_ver0!J1825</f>
        <v>0</v>
      </c>
      <c r="L1825" s="3">
        <f>parking_demand_data_2024_ver0!K1825</f>
        <v>0</v>
      </c>
      <c r="M1825" s="3">
        <f>parking_demand_data_2024_ver0!L1825</f>
        <v>1</v>
      </c>
      <c r="N1825" s="3">
        <f>parking_demand_data_2024_ver0!M1825</f>
        <v>372</v>
      </c>
      <c r="O1825" s="3">
        <f>parking_demand_data_2024_ver0!N1825</f>
        <v>240</v>
      </c>
      <c r="P1825" s="3">
        <f>parking_demand_data_2024_ver0!O1825</f>
        <v>60</v>
      </c>
      <c r="Q1825" s="3">
        <f>parking_demand_data_2024_ver0!P1825</f>
        <v>25</v>
      </c>
      <c r="R1825" s="3">
        <f>parking_demand_data_2024_ver0!Q1825</f>
        <v>0</v>
      </c>
      <c r="S1825" s="3">
        <f>parking_demand_data_2024_ver0!R1825</f>
        <v>0</v>
      </c>
      <c r="T1825" s="3">
        <f>parking_demand_data_2024_ver0!S1825</f>
        <v>47</v>
      </c>
    </row>
    <row r="1826" spans="1:20" x14ac:dyDescent="0.25">
      <c r="A1826">
        <v>18153</v>
      </c>
      <c r="B1826" t="s">
        <v>105</v>
      </c>
      <c r="C1826">
        <v>0</v>
      </c>
      <c r="D1826" s="3">
        <f>parking_demand_data_2024_ver0!D1826*calibration!$I$31</f>
        <v>25.699638306163699</v>
      </c>
      <c r="E1826" s="3">
        <f>parking_demand_data_2024_ver0!E1826*calibration!$I$31</f>
        <v>0</v>
      </c>
      <c r="F1826" s="3">
        <f t="shared" si="28"/>
        <v>25.699638306163699</v>
      </c>
      <c r="G1826" s="3">
        <f>parking_demand_data_2024_ver0!F1826</f>
        <v>2</v>
      </c>
      <c r="H1826" s="3">
        <f>parking_demand_data_2024_ver0!G1826</f>
        <v>0</v>
      </c>
      <c r="I1826" s="3">
        <f>parking_demand_data_2024_ver0!H1826</f>
        <v>0</v>
      </c>
      <c r="J1826" s="3">
        <f>parking_demand_data_2024_ver0!I1826</f>
        <v>2</v>
      </c>
      <c r="K1826" s="3">
        <f>parking_demand_data_2024_ver0!J1826</f>
        <v>0</v>
      </c>
      <c r="L1826" s="3">
        <f>parking_demand_data_2024_ver0!K1826</f>
        <v>0</v>
      </c>
      <c r="M1826" s="3">
        <f>parking_demand_data_2024_ver0!L1826</f>
        <v>0</v>
      </c>
      <c r="N1826" s="3">
        <f>parking_demand_data_2024_ver0!M1826</f>
        <v>42</v>
      </c>
      <c r="O1826" s="3">
        <f>parking_demand_data_2024_ver0!N1826</f>
        <v>0</v>
      </c>
      <c r="P1826" s="3">
        <f>parking_demand_data_2024_ver0!O1826</f>
        <v>0</v>
      </c>
      <c r="Q1826" s="3">
        <f>parking_demand_data_2024_ver0!P1826</f>
        <v>42</v>
      </c>
      <c r="R1826" s="3">
        <f>parking_demand_data_2024_ver0!Q1826</f>
        <v>0</v>
      </c>
      <c r="S1826" s="3">
        <f>parking_demand_data_2024_ver0!R1826</f>
        <v>0</v>
      </c>
      <c r="T1826" s="3">
        <f>parking_demand_data_2024_ver0!S1826</f>
        <v>0</v>
      </c>
    </row>
    <row r="1827" spans="1:20" x14ac:dyDescent="0.25">
      <c r="A1827">
        <v>18153</v>
      </c>
      <c r="B1827" t="s">
        <v>105</v>
      </c>
      <c r="C1827">
        <v>1</v>
      </c>
      <c r="D1827" s="3">
        <f>parking_demand_data_2024_ver0!D1827*calibration!$I$31</f>
        <v>26.972382298468901</v>
      </c>
      <c r="E1827" s="3">
        <f>parking_demand_data_2024_ver0!E1827*calibration!$I$31</f>
        <v>0</v>
      </c>
      <c r="F1827" s="3">
        <f t="shared" si="28"/>
        <v>26.972382298468901</v>
      </c>
      <c r="G1827" s="3">
        <f>parking_demand_data_2024_ver0!F1827</f>
        <v>2</v>
      </c>
      <c r="H1827" s="3">
        <f>parking_demand_data_2024_ver0!G1827</f>
        <v>0</v>
      </c>
      <c r="I1827" s="3">
        <f>parking_demand_data_2024_ver0!H1827</f>
        <v>0</v>
      </c>
      <c r="J1827" s="3">
        <f>parking_demand_data_2024_ver0!I1827</f>
        <v>2</v>
      </c>
      <c r="K1827" s="3">
        <f>parking_demand_data_2024_ver0!J1827</f>
        <v>0</v>
      </c>
      <c r="L1827" s="3">
        <f>parking_demand_data_2024_ver0!K1827</f>
        <v>0</v>
      </c>
      <c r="M1827" s="3">
        <f>parking_demand_data_2024_ver0!L1827</f>
        <v>0</v>
      </c>
      <c r="N1827" s="3">
        <f>parking_demand_data_2024_ver0!M1827</f>
        <v>42</v>
      </c>
      <c r="O1827" s="3">
        <f>parking_demand_data_2024_ver0!N1827</f>
        <v>0</v>
      </c>
      <c r="P1827" s="3">
        <f>parking_demand_data_2024_ver0!O1827</f>
        <v>0</v>
      </c>
      <c r="Q1827" s="3">
        <f>parking_demand_data_2024_ver0!P1827</f>
        <v>42</v>
      </c>
      <c r="R1827" s="3">
        <f>parking_demand_data_2024_ver0!Q1827</f>
        <v>0</v>
      </c>
      <c r="S1827" s="3">
        <f>parking_demand_data_2024_ver0!R1827</f>
        <v>0</v>
      </c>
      <c r="T1827" s="3">
        <f>parking_demand_data_2024_ver0!S1827</f>
        <v>0</v>
      </c>
    </row>
    <row r="1828" spans="1:20" x14ac:dyDescent="0.25">
      <c r="A1828">
        <v>18153</v>
      </c>
      <c r="B1828" t="s">
        <v>105</v>
      </c>
      <c r="C1828">
        <v>2</v>
      </c>
      <c r="D1828" s="3">
        <f>parking_demand_data_2024_ver0!D1828*calibration!$I$31</f>
        <v>27.608754294621502</v>
      </c>
      <c r="E1828" s="3">
        <f>parking_demand_data_2024_ver0!E1828*calibration!$I$31</f>
        <v>0</v>
      </c>
      <c r="F1828" s="3">
        <f t="shared" si="28"/>
        <v>27.608754294621502</v>
      </c>
      <c r="G1828" s="3">
        <f>parking_demand_data_2024_ver0!F1828</f>
        <v>2</v>
      </c>
      <c r="H1828" s="3">
        <f>parking_demand_data_2024_ver0!G1828</f>
        <v>0</v>
      </c>
      <c r="I1828" s="3">
        <f>parking_demand_data_2024_ver0!H1828</f>
        <v>0</v>
      </c>
      <c r="J1828" s="3">
        <f>parking_demand_data_2024_ver0!I1828</f>
        <v>2</v>
      </c>
      <c r="K1828" s="3">
        <f>parking_demand_data_2024_ver0!J1828</f>
        <v>0</v>
      </c>
      <c r="L1828" s="3">
        <f>parking_demand_data_2024_ver0!K1828</f>
        <v>0</v>
      </c>
      <c r="M1828" s="3">
        <f>parking_demand_data_2024_ver0!L1828</f>
        <v>0</v>
      </c>
      <c r="N1828" s="3">
        <f>parking_demand_data_2024_ver0!M1828</f>
        <v>42</v>
      </c>
      <c r="O1828" s="3">
        <f>parking_demand_data_2024_ver0!N1828</f>
        <v>0</v>
      </c>
      <c r="P1828" s="3">
        <f>parking_demand_data_2024_ver0!O1828</f>
        <v>0</v>
      </c>
      <c r="Q1828" s="3">
        <f>parking_demand_data_2024_ver0!P1828</f>
        <v>42</v>
      </c>
      <c r="R1828" s="3">
        <f>parking_demand_data_2024_ver0!Q1828</f>
        <v>0</v>
      </c>
      <c r="S1828" s="3">
        <f>parking_demand_data_2024_ver0!R1828</f>
        <v>0</v>
      </c>
      <c r="T1828" s="3">
        <f>parking_demand_data_2024_ver0!S1828</f>
        <v>0</v>
      </c>
    </row>
    <row r="1829" spans="1:20" x14ac:dyDescent="0.25">
      <c r="A1829">
        <v>18153</v>
      </c>
      <c r="B1829" t="s">
        <v>105</v>
      </c>
      <c r="C1829">
        <v>3</v>
      </c>
      <c r="D1829" s="3">
        <f>parking_demand_data_2024_ver0!D1829*calibration!$I$31</f>
        <v>27.510850910598101</v>
      </c>
      <c r="E1829" s="3">
        <f>parking_demand_data_2024_ver0!E1829*calibration!$I$31</f>
        <v>0</v>
      </c>
      <c r="F1829" s="3">
        <f t="shared" si="28"/>
        <v>27.510850910598101</v>
      </c>
      <c r="G1829" s="3">
        <f>parking_demand_data_2024_ver0!F1829</f>
        <v>2</v>
      </c>
      <c r="H1829" s="3">
        <f>parking_demand_data_2024_ver0!G1829</f>
        <v>0</v>
      </c>
      <c r="I1829" s="3">
        <f>parking_demand_data_2024_ver0!H1829</f>
        <v>0</v>
      </c>
      <c r="J1829" s="3">
        <f>parking_demand_data_2024_ver0!I1829</f>
        <v>2</v>
      </c>
      <c r="K1829" s="3">
        <f>parking_demand_data_2024_ver0!J1829</f>
        <v>0</v>
      </c>
      <c r="L1829" s="3">
        <f>parking_demand_data_2024_ver0!K1829</f>
        <v>0</v>
      </c>
      <c r="M1829" s="3">
        <f>parking_demand_data_2024_ver0!L1829</f>
        <v>0</v>
      </c>
      <c r="N1829" s="3">
        <f>parking_demand_data_2024_ver0!M1829</f>
        <v>42</v>
      </c>
      <c r="O1829" s="3">
        <f>parking_demand_data_2024_ver0!N1829</f>
        <v>0</v>
      </c>
      <c r="P1829" s="3">
        <f>parking_demand_data_2024_ver0!O1829</f>
        <v>0</v>
      </c>
      <c r="Q1829" s="3">
        <f>parking_demand_data_2024_ver0!P1829</f>
        <v>42</v>
      </c>
      <c r="R1829" s="3">
        <f>parking_demand_data_2024_ver0!Q1829</f>
        <v>0</v>
      </c>
      <c r="S1829" s="3">
        <f>parking_demand_data_2024_ver0!R1829</f>
        <v>0</v>
      </c>
      <c r="T1829" s="3">
        <f>parking_demand_data_2024_ver0!S1829</f>
        <v>0</v>
      </c>
    </row>
    <row r="1830" spans="1:20" x14ac:dyDescent="0.25">
      <c r="A1830">
        <v>18153</v>
      </c>
      <c r="B1830" t="s">
        <v>105</v>
      </c>
      <c r="C1830">
        <v>4</v>
      </c>
      <c r="D1830" s="3">
        <f>parking_demand_data_2024_ver0!D1830*calibration!$I$31</f>
        <v>26.825527222433699</v>
      </c>
      <c r="E1830" s="3">
        <f>parking_demand_data_2024_ver0!E1830*calibration!$I$31</f>
        <v>0</v>
      </c>
      <c r="F1830" s="3">
        <f t="shared" si="28"/>
        <v>26.825527222433699</v>
      </c>
      <c r="G1830" s="3">
        <f>parking_demand_data_2024_ver0!F1830</f>
        <v>2</v>
      </c>
      <c r="H1830" s="3">
        <f>parking_demand_data_2024_ver0!G1830</f>
        <v>0</v>
      </c>
      <c r="I1830" s="3">
        <f>parking_demand_data_2024_ver0!H1830</f>
        <v>0</v>
      </c>
      <c r="J1830" s="3">
        <f>parking_demand_data_2024_ver0!I1830</f>
        <v>2</v>
      </c>
      <c r="K1830" s="3">
        <f>parking_demand_data_2024_ver0!J1830</f>
        <v>0</v>
      </c>
      <c r="L1830" s="3">
        <f>parking_demand_data_2024_ver0!K1830</f>
        <v>0</v>
      </c>
      <c r="M1830" s="3">
        <f>parking_demand_data_2024_ver0!L1830</f>
        <v>0</v>
      </c>
      <c r="N1830" s="3">
        <f>parking_demand_data_2024_ver0!M1830</f>
        <v>42</v>
      </c>
      <c r="O1830" s="3">
        <f>parking_demand_data_2024_ver0!N1830</f>
        <v>0</v>
      </c>
      <c r="P1830" s="3">
        <f>parking_demand_data_2024_ver0!O1830</f>
        <v>0</v>
      </c>
      <c r="Q1830" s="3">
        <f>parking_demand_data_2024_ver0!P1830</f>
        <v>42</v>
      </c>
      <c r="R1830" s="3">
        <f>parking_demand_data_2024_ver0!Q1830</f>
        <v>0</v>
      </c>
      <c r="S1830" s="3">
        <f>parking_demand_data_2024_ver0!R1830</f>
        <v>0</v>
      </c>
      <c r="T1830" s="3">
        <f>parking_demand_data_2024_ver0!S1830</f>
        <v>0</v>
      </c>
    </row>
    <row r="1831" spans="1:20" x14ac:dyDescent="0.25">
      <c r="A1831">
        <v>18153</v>
      </c>
      <c r="B1831" t="s">
        <v>105</v>
      </c>
      <c r="C1831">
        <v>5</v>
      </c>
      <c r="D1831" s="3">
        <f>parking_demand_data_2024_ver0!D1831*calibration!$I$31</f>
        <v>25.3080247700697</v>
      </c>
      <c r="E1831" s="3">
        <f>parking_demand_data_2024_ver0!E1831*calibration!$I$31</f>
        <v>0</v>
      </c>
      <c r="F1831" s="3">
        <f t="shared" si="28"/>
        <v>25.3080247700697</v>
      </c>
      <c r="G1831" s="3">
        <f>parking_demand_data_2024_ver0!F1831</f>
        <v>2</v>
      </c>
      <c r="H1831" s="3">
        <f>parking_demand_data_2024_ver0!G1831</f>
        <v>0</v>
      </c>
      <c r="I1831" s="3">
        <f>parking_demand_data_2024_ver0!H1831</f>
        <v>0</v>
      </c>
      <c r="J1831" s="3">
        <f>parking_demand_data_2024_ver0!I1831</f>
        <v>2</v>
      </c>
      <c r="K1831" s="3">
        <f>parking_demand_data_2024_ver0!J1831</f>
        <v>0</v>
      </c>
      <c r="L1831" s="3">
        <f>parking_demand_data_2024_ver0!K1831</f>
        <v>0</v>
      </c>
      <c r="M1831" s="3">
        <f>parking_demand_data_2024_ver0!L1831</f>
        <v>0</v>
      </c>
      <c r="N1831" s="3">
        <f>parking_demand_data_2024_ver0!M1831</f>
        <v>42</v>
      </c>
      <c r="O1831" s="3">
        <f>parking_demand_data_2024_ver0!N1831</f>
        <v>0</v>
      </c>
      <c r="P1831" s="3">
        <f>parking_demand_data_2024_ver0!O1831</f>
        <v>0</v>
      </c>
      <c r="Q1831" s="3">
        <f>parking_demand_data_2024_ver0!P1831</f>
        <v>42</v>
      </c>
      <c r="R1831" s="3">
        <f>parking_demand_data_2024_ver0!Q1831</f>
        <v>0</v>
      </c>
      <c r="S1831" s="3">
        <f>parking_demand_data_2024_ver0!R1831</f>
        <v>0</v>
      </c>
      <c r="T1831" s="3">
        <f>parking_demand_data_2024_ver0!S1831</f>
        <v>0</v>
      </c>
    </row>
    <row r="1832" spans="1:20" x14ac:dyDescent="0.25">
      <c r="A1832">
        <v>18153</v>
      </c>
      <c r="B1832" t="s">
        <v>105</v>
      </c>
      <c r="C1832">
        <v>6</v>
      </c>
      <c r="D1832" s="3">
        <f>parking_demand_data_2024_ver0!D1832*calibration!$I$31</f>
        <v>23.301005397588401</v>
      </c>
      <c r="E1832" s="3">
        <f>parking_demand_data_2024_ver0!E1832*calibration!$I$31</f>
        <v>0</v>
      </c>
      <c r="F1832" s="3">
        <f t="shared" si="28"/>
        <v>23.301005397588401</v>
      </c>
      <c r="G1832" s="3">
        <f>parking_demand_data_2024_ver0!F1832</f>
        <v>2</v>
      </c>
      <c r="H1832" s="3">
        <f>parking_demand_data_2024_ver0!G1832</f>
        <v>0</v>
      </c>
      <c r="I1832" s="3">
        <f>parking_demand_data_2024_ver0!H1832</f>
        <v>0</v>
      </c>
      <c r="J1832" s="3">
        <f>parking_demand_data_2024_ver0!I1832</f>
        <v>2</v>
      </c>
      <c r="K1832" s="3">
        <f>parking_demand_data_2024_ver0!J1832</f>
        <v>0</v>
      </c>
      <c r="L1832" s="3">
        <f>parking_demand_data_2024_ver0!K1832</f>
        <v>0</v>
      </c>
      <c r="M1832" s="3">
        <f>parking_demand_data_2024_ver0!L1832</f>
        <v>0</v>
      </c>
      <c r="N1832" s="3">
        <f>parking_demand_data_2024_ver0!M1832</f>
        <v>42</v>
      </c>
      <c r="O1832" s="3">
        <f>parking_demand_data_2024_ver0!N1832</f>
        <v>0</v>
      </c>
      <c r="P1832" s="3">
        <f>parking_demand_data_2024_ver0!O1832</f>
        <v>0</v>
      </c>
      <c r="Q1832" s="3">
        <f>parking_demand_data_2024_ver0!P1832</f>
        <v>42</v>
      </c>
      <c r="R1832" s="3">
        <f>parking_demand_data_2024_ver0!Q1832</f>
        <v>0</v>
      </c>
      <c r="S1832" s="3">
        <f>parking_demand_data_2024_ver0!R1832</f>
        <v>0</v>
      </c>
      <c r="T1832" s="3">
        <f>parking_demand_data_2024_ver0!S1832</f>
        <v>0</v>
      </c>
    </row>
    <row r="1833" spans="1:20" x14ac:dyDescent="0.25">
      <c r="A1833">
        <v>18153</v>
      </c>
      <c r="B1833" t="s">
        <v>105</v>
      </c>
      <c r="C1833">
        <v>7</v>
      </c>
      <c r="D1833" s="3">
        <f>parking_demand_data_2024_ver0!D1833*calibration!$I$31</f>
        <v>19.8743869567666</v>
      </c>
      <c r="E1833" s="3">
        <f>parking_demand_data_2024_ver0!E1833*calibration!$I$31</f>
        <v>0</v>
      </c>
      <c r="F1833" s="3">
        <f t="shared" si="28"/>
        <v>19.8743869567666</v>
      </c>
      <c r="G1833" s="3">
        <f>parking_demand_data_2024_ver0!F1833</f>
        <v>2</v>
      </c>
      <c r="H1833" s="3">
        <f>parking_demand_data_2024_ver0!G1833</f>
        <v>0</v>
      </c>
      <c r="I1833" s="3">
        <f>parking_demand_data_2024_ver0!H1833</f>
        <v>0</v>
      </c>
      <c r="J1833" s="3">
        <f>parking_demand_data_2024_ver0!I1833</f>
        <v>2</v>
      </c>
      <c r="K1833" s="3">
        <f>parking_demand_data_2024_ver0!J1833</f>
        <v>0</v>
      </c>
      <c r="L1833" s="3">
        <f>parking_demand_data_2024_ver0!K1833</f>
        <v>0</v>
      </c>
      <c r="M1833" s="3">
        <f>parking_demand_data_2024_ver0!L1833</f>
        <v>0</v>
      </c>
      <c r="N1833" s="3">
        <f>parking_demand_data_2024_ver0!M1833</f>
        <v>42</v>
      </c>
      <c r="O1833" s="3">
        <f>parking_demand_data_2024_ver0!N1833</f>
        <v>0</v>
      </c>
      <c r="P1833" s="3">
        <f>parking_demand_data_2024_ver0!O1833</f>
        <v>0</v>
      </c>
      <c r="Q1833" s="3">
        <f>parking_demand_data_2024_ver0!P1833</f>
        <v>42</v>
      </c>
      <c r="R1833" s="3">
        <f>parking_demand_data_2024_ver0!Q1833</f>
        <v>0</v>
      </c>
      <c r="S1833" s="3">
        <f>parking_demand_data_2024_ver0!R1833</f>
        <v>0</v>
      </c>
      <c r="T1833" s="3">
        <f>parking_demand_data_2024_ver0!S1833</f>
        <v>0</v>
      </c>
    </row>
    <row r="1834" spans="1:20" x14ac:dyDescent="0.25">
      <c r="A1834">
        <v>18153</v>
      </c>
      <c r="B1834" t="s">
        <v>105</v>
      </c>
      <c r="C1834">
        <v>8</v>
      </c>
      <c r="D1834" s="3">
        <f>parking_demand_data_2024_ver0!D1834*calibration!$I$31</f>
        <v>15.5666380597334</v>
      </c>
      <c r="E1834" s="3">
        <f>parking_demand_data_2024_ver0!E1834*calibration!$I$31</f>
        <v>0</v>
      </c>
      <c r="F1834" s="3">
        <f t="shared" si="28"/>
        <v>15.5666380597334</v>
      </c>
      <c r="G1834" s="3">
        <f>parking_demand_data_2024_ver0!F1834</f>
        <v>2</v>
      </c>
      <c r="H1834" s="3">
        <f>parking_demand_data_2024_ver0!G1834</f>
        <v>0</v>
      </c>
      <c r="I1834" s="3">
        <f>parking_demand_data_2024_ver0!H1834</f>
        <v>0</v>
      </c>
      <c r="J1834" s="3">
        <f>parking_demand_data_2024_ver0!I1834</f>
        <v>2</v>
      </c>
      <c r="K1834" s="3">
        <f>parking_demand_data_2024_ver0!J1834</f>
        <v>0</v>
      </c>
      <c r="L1834" s="3">
        <f>parking_demand_data_2024_ver0!K1834</f>
        <v>0</v>
      </c>
      <c r="M1834" s="3">
        <f>parking_demand_data_2024_ver0!L1834</f>
        <v>0</v>
      </c>
      <c r="N1834" s="3">
        <f>parking_demand_data_2024_ver0!M1834</f>
        <v>42</v>
      </c>
      <c r="O1834" s="3">
        <f>parking_demand_data_2024_ver0!N1834</f>
        <v>0</v>
      </c>
      <c r="P1834" s="3">
        <f>parking_demand_data_2024_ver0!O1834</f>
        <v>0</v>
      </c>
      <c r="Q1834" s="3">
        <f>parking_demand_data_2024_ver0!P1834</f>
        <v>42</v>
      </c>
      <c r="R1834" s="3">
        <f>parking_demand_data_2024_ver0!Q1834</f>
        <v>0</v>
      </c>
      <c r="S1834" s="3">
        <f>parking_demand_data_2024_ver0!R1834</f>
        <v>0</v>
      </c>
      <c r="T1834" s="3">
        <f>parking_demand_data_2024_ver0!S1834</f>
        <v>0</v>
      </c>
    </row>
    <row r="1835" spans="1:20" x14ac:dyDescent="0.25">
      <c r="A1835">
        <v>18153</v>
      </c>
      <c r="B1835" t="s">
        <v>105</v>
      </c>
      <c r="C1835">
        <v>9</v>
      </c>
      <c r="D1835" s="3">
        <f>parking_demand_data_2024_ver0!D1835*calibration!$I$31</f>
        <v>11.9442128508646</v>
      </c>
      <c r="E1835" s="3">
        <f>parking_demand_data_2024_ver0!E1835*calibration!$I$31</f>
        <v>0.58742030414088398</v>
      </c>
      <c r="F1835" s="3">
        <f t="shared" si="28"/>
        <v>12.531633155005485</v>
      </c>
      <c r="G1835" s="3">
        <f>parking_demand_data_2024_ver0!F1835</f>
        <v>2</v>
      </c>
      <c r="H1835" s="3">
        <f>parking_demand_data_2024_ver0!G1835</f>
        <v>0</v>
      </c>
      <c r="I1835" s="3">
        <f>parking_demand_data_2024_ver0!H1835</f>
        <v>0</v>
      </c>
      <c r="J1835" s="3">
        <f>parking_demand_data_2024_ver0!I1835</f>
        <v>2</v>
      </c>
      <c r="K1835" s="3">
        <f>parking_demand_data_2024_ver0!J1835</f>
        <v>0</v>
      </c>
      <c r="L1835" s="3">
        <f>parking_demand_data_2024_ver0!K1835</f>
        <v>0</v>
      </c>
      <c r="M1835" s="3">
        <f>parking_demand_data_2024_ver0!L1835</f>
        <v>0</v>
      </c>
      <c r="N1835" s="3">
        <f>parking_demand_data_2024_ver0!M1835</f>
        <v>42</v>
      </c>
      <c r="O1835" s="3">
        <f>parking_demand_data_2024_ver0!N1835</f>
        <v>0</v>
      </c>
      <c r="P1835" s="3">
        <f>parking_demand_data_2024_ver0!O1835</f>
        <v>0</v>
      </c>
      <c r="Q1835" s="3">
        <f>parking_demand_data_2024_ver0!P1835</f>
        <v>42</v>
      </c>
      <c r="R1835" s="3">
        <f>parking_demand_data_2024_ver0!Q1835</f>
        <v>0</v>
      </c>
      <c r="S1835" s="3">
        <f>parking_demand_data_2024_ver0!R1835</f>
        <v>0</v>
      </c>
      <c r="T1835" s="3">
        <f>parking_demand_data_2024_ver0!S1835</f>
        <v>0</v>
      </c>
    </row>
    <row r="1836" spans="1:20" x14ac:dyDescent="0.25">
      <c r="A1836">
        <v>18153</v>
      </c>
      <c r="B1836" t="s">
        <v>105</v>
      </c>
      <c r="C1836">
        <v>10</v>
      </c>
      <c r="D1836" s="3">
        <f>parking_demand_data_2024_ver0!D1836*calibration!$I$31</f>
        <v>8.8113045621132695</v>
      </c>
      <c r="E1836" s="3">
        <f>parking_demand_data_2024_ver0!E1836*calibration!$I$31</f>
        <v>0.979033840234807</v>
      </c>
      <c r="F1836" s="3">
        <f t="shared" si="28"/>
        <v>9.7903384023480768</v>
      </c>
      <c r="G1836" s="3">
        <f>parking_demand_data_2024_ver0!F1836</f>
        <v>2</v>
      </c>
      <c r="H1836" s="3">
        <f>parking_demand_data_2024_ver0!G1836</f>
        <v>0</v>
      </c>
      <c r="I1836" s="3">
        <f>parking_demand_data_2024_ver0!H1836</f>
        <v>0</v>
      </c>
      <c r="J1836" s="3">
        <f>parking_demand_data_2024_ver0!I1836</f>
        <v>2</v>
      </c>
      <c r="K1836" s="3">
        <f>parking_demand_data_2024_ver0!J1836</f>
        <v>0</v>
      </c>
      <c r="L1836" s="3">
        <f>parking_demand_data_2024_ver0!K1836</f>
        <v>0</v>
      </c>
      <c r="M1836" s="3">
        <f>parking_demand_data_2024_ver0!L1836</f>
        <v>0</v>
      </c>
      <c r="N1836" s="3">
        <f>parking_demand_data_2024_ver0!M1836</f>
        <v>42</v>
      </c>
      <c r="O1836" s="3">
        <f>parking_demand_data_2024_ver0!N1836</f>
        <v>0</v>
      </c>
      <c r="P1836" s="3">
        <f>parking_demand_data_2024_ver0!O1836</f>
        <v>0</v>
      </c>
      <c r="Q1836" s="3">
        <f>parking_demand_data_2024_ver0!P1836</f>
        <v>42</v>
      </c>
      <c r="R1836" s="3">
        <f>parking_demand_data_2024_ver0!Q1836</f>
        <v>0</v>
      </c>
      <c r="S1836" s="3">
        <f>parking_demand_data_2024_ver0!R1836</f>
        <v>0</v>
      </c>
      <c r="T1836" s="3">
        <f>parking_demand_data_2024_ver0!S1836</f>
        <v>0</v>
      </c>
    </row>
    <row r="1837" spans="1:20" x14ac:dyDescent="0.25">
      <c r="A1837">
        <v>18153</v>
      </c>
      <c r="B1837" t="s">
        <v>105</v>
      </c>
      <c r="C1837">
        <v>11</v>
      </c>
      <c r="D1837" s="3">
        <f>parking_demand_data_2024_ver0!D1837*calibration!$I$31</f>
        <v>7.5385605698080198</v>
      </c>
      <c r="E1837" s="3">
        <f>parking_demand_data_2024_ver0!E1837*calibration!$I$31</f>
        <v>1.3706473763287299</v>
      </c>
      <c r="F1837" s="3">
        <f t="shared" si="28"/>
        <v>8.9092079461367497</v>
      </c>
      <c r="G1837" s="3">
        <f>parking_demand_data_2024_ver0!F1837</f>
        <v>2</v>
      </c>
      <c r="H1837" s="3">
        <f>parking_demand_data_2024_ver0!G1837</f>
        <v>0</v>
      </c>
      <c r="I1837" s="3">
        <f>parking_demand_data_2024_ver0!H1837</f>
        <v>0</v>
      </c>
      <c r="J1837" s="3">
        <f>parking_demand_data_2024_ver0!I1837</f>
        <v>2</v>
      </c>
      <c r="K1837" s="3">
        <f>parking_demand_data_2024_ver0!J1837</f>
        <v>0</v>
      </c>
      <c r="L1837" s="3">
        <f>parking_demand_data_2024_ver0!K1837</f>
        <v>0</v>
      </c>
      <c r="M1837" s="3">
        <f>parking_demand_data_2024_ver0!L1837</f>
        <v>0</v>
      </c>
      <c r="N1837" s="3">
        <f>parking_demand_data_2024_ver0!M1837</f>
        <v>42</v>
      </c>
      <c r="O1837" s="3">
        <f>parking_demand_data_2024_ver0!N1837</f>
        <v>0</v>
      </c>
      <c r="P1837" s="3">
        <f>parking_demand_data_2024_ver0!O1837</f>
        <v>0</v>
      </c>
      <c r="Q1837" s="3">
        <f>parking_demand_data_2024_ver0!P1837</f>
        <v>42</v>
      </c>
      <c r="R1837" s="3">
        <f>parking_demand_data_2024_ver0!Q1837</f>
        <v>0</v>
      </c>
      <c r="S1837" s="3">
        <f>parking_demand_data_2024_ver0!R1837</f>
        <v>0</v>
      </c>
      <c r="T1837" s="3">
        <f>parking_demand_data_2024_ver0!S1837</f>
        <v>0</v>
      </c>
    </row>
    <row r="1838" spans="1:20" x14ac:dyDescent="0.25">
      <c r="A1838">
        <v>18153</v>
      </c>
      <c r="B1838" t="s">
        <v>105</v>
      </c>
      <c r="C1838">
        <v>12</v>
      </c>
      <c r="D1838" s="3">
        <f>parking_demand_data_2024_ver0!D1838*calibration!$I$31</f>
        <v>6.4126716535379904</v>
      </c>
      <c r="E1838" s="3">
        <f>parking_demand_data_2024_ver0!E1838*calibration!$I$31</f>
        <v>1.32169568431699</v>
      </c>
      <c r="F1838" s="3">
        <f t="shared" si="28"/>
        <v>7.7343673378549802</v>
      </c>
      <c r="G1838" s="3">
        <f>parking_demand_data_2024_ver0!F1838</f>
        <v>2</v>
      </c>
      <c r="H1838" s="3">
        <f>parking_demand_data_2024_ver0!G1838</f>
        <v>0</v>
      </c>
      <c r="I1838" s="3">
        <f>parking_demand_data_2024_ver0!H1838</f>
        <v>0</v>
      </c>
      <c r="J1838" s="3">
        <f>parking_demand_data_2024_ver0!I1838</f>
        <v>2</v>
      </c>
      <c r="K1838" s="3">
        <f>parking_demand_data_2024_ver0!J1838</f>
        <v>0</v>
      </c>
      <c r="L1838" s="3">
        <f>parking_demand_data_2024_ver0!K1838</f>
        <v>0</v>
      </c>
      <c r="M1838" s="3">
        <f>parking_demand_data_2024_ver0!L1838</f>
        <v>0</v>
      </c>
      <c r="N1838" s="3">
        <f>parking_demand_data_2024_ver0!M1838</f>
        <v>42</v>
      </c>
      <c r="O1838" s="3">
        <f>parking_demand_data_2024_ver0!N1838</f>
        <v>0</v>
      </c>
      <c r="P1838" s="3">
        <f>parking_demand_data_2024_ver0!O1838</f>
        <v>0</v>
      </c>
      <c r="Q1838" s="3">
        <f>parking_demand_data_2024_ver0!P1838</f>
        <v>42</v>
      </c>
      <c r="R1838" s="3">
        <f>parking_demand_data_2024_ver0!Q1838</f>
        <v>0</v>
      </c>
      <c r="S1838" s="3">
        <f>parking_demand_data_2024_ver0!R1838</f>
        <v>0</v>
      </c>
      <c r="T1838" s="3">
        <f>parking_demand_data_2024_ver0!S1838</f>
        <v>0</v>
      </c>
    </row>
    <row r="1839" spans="1:20" x14ac:dyDescent="0.25">
      <c r="A1839">
        <v>18153</v>
      </c>
      <c r="B1839" t="s">
        <v>105</v>
      </c>
      <c r="C1839">
        <v>13</v>
      </c>
      <c r="D1839" s="3">
        <f>parking_demand_data_2024_ver0!D1839*calibration!$I$31</f>
        <v>7.4406571857845396</v>
      </c>
      <c r="E1839" s="3">
        <f>parking_demand_data_2024_ver0!E1839*calibration!$I$31</f>
        <v>1.07693722425828</v>
      </c>
      <c r="F1839" s="3">
        <f t="shared" si="28"/>
        <v>8.51759441004282</v>
      </c>
      <c r="G1839" s="3">
        <f>parking_demand_data_2024_ver0!F1839</f>
        <v>2</v>
      </c>
      <c r="H1839" s="3">
        <f>parking_demand_data_2024_ver0!G1839</f>
        <v>0</v>
      </c>
      <c r="I1839" s="3">
        <f>parking_demand_data_2024_ver0!H1839</f>
        <v>0</v>
      </c>
      <c r="J1839" s="3">
        <f>parking_demand_data_2024_ver0!I1839</f>
        <v>2</v>
      </c>
      <c r="K1839" s="3">
        <f>parking_demand_data_2024_ver0!J1839</f>
        <v>0</v>
      </c>
      <c r="L1839" s="3">
        <f>parking_demand_data_2024_ver0!K1839</f>
        <v>0</v>
      </c>
      <c r="M1839" s="3">
        <f>parking_demand_data_2024_ver0!L1839</f>
        <v>0</v>
      </c>
      <c r="N1839" s="3">
        <f>parking_demand_data_2024_ver0!M1839</f>
        <v>42</v>
      </c>
      <c r="O1839" s="3">
        <f>parking_demand_data_2024_ver0!N1839</f>
        <v>0</v>
      </c>
      <c r="P1839" s="3">
        <f>parking_demand_data_2024_ver0!O1839</f>
        <v>0</v>
      </c>
      <c r="Q1839" s="3">
        <f>parking_demand_data_2024_ver0!P1839</f>
        <v>42</v>
      </c>
      <c r="R1839" s="3">
        <f>parking_demand_data_2024_ver0!Q1839</f>
        <v>0</v>
      </c>
      <c r="S1839" s="3">
        <f>parking_demand_data_2024_ver0!R1839</f>
        <v>0</v>
      </c>
      <c r="T1839" s="3">
        <f>parking_demand_data_2024_ver0!S1839</f>
        <v>0</v>
      </c>
    </row>
    <row r="1840" spans="1:20" x14ac:dyDescent="0.25">
      <c r="A1840">
        <v>18153</v>
      </c>
      <c r="B1840" t="s">
        <v>105</v>
      </c>
      <c r="C1840">
        <v>14</v>
      </c>
      <c r="D1840" s="3">
        <f>parking_demand_data_2024_ver0!D1840*calibration!$I$31</f>
        <v>7.2448504177375703</v>
      </c>
      <c r="E1840" s="3">
        <f>parking_demand_data_2024_ver0!E1840*calibration!$I$31</f>
        <v>0.88113045621132702</v>
      </c>
      <c r="F1840" s="3">
        <f t="shared" si="28"/>
        <v>8.1259808739488975</v>
      </c>
      <c r="G1840" s="3">
        <f>parking_demand_data_2024_ver0!F1840</f>
        <v>2</v>
      </c>
      <c r="H1840" s="3">
        <f>parking_demand_data_2024_ver0!G1840</f>
        <v>0</v>
      </c>
      <c r="I1840" s="3">
        <f>parking_demand_data_2024_ver0!H1840</f>
        <v>0</v>
      </c>
      <c r="J1840" s="3">
        <f>parking_demand_data_2024_ver0!I1840</f>
        <v>2</v>
      </c>
      <c r="K1840" s="3">
        <f>parking_demand_data_2024_ver0!J1840</f>
        <v>0</v>
      </c>
      <c r="L1840" s="3">
        <f>parking_demand_data_2024_ver0!K1840</f>
        <v>0</v>
      </c>
      <c r="M1840" s="3">
        <f>parking_demand_data_2024_ver0!L1840</f>
        <v>0</v>
      </c>
      <c r="N1840" s="3">
        <f>parking_demand_data_2024_ver0!M1840</f>
        <v>42</v>
      </c>
      <c r="O1840" s="3">
        <f>parking_demand_data_2024_ver0!N1840</f>
        <v>0</v>
      </c>
      <c r="P1840" s="3">
        <f>parking_demand_data_2024_ver0!O1840</f>
        <v>0</v>
      </c>
      <c r="Q1840" s="3">
        <f>parking_demand_data_2024_ver0!P1840</f>
        <v>42</v>
      </c>
      <c r="R1840" s="3">
        <f>parking_demand_data_2024_ver0!Q1840</f>
        <v>0</v>
      </c>
      <c r="S1840" s="3">
        <f>parking_demand_data_2024_ver0!R1840</f>
        <v>0</v>
      </c>
      <c r="T1840" s="3">
        <f>parking_demand_data_2024_ver0!S1840</f>
        <v>0</v>
      </c>
    </row>
    <row r="1841" spans="1:20" x14ac:dyDescent="0.25">
      <c r="A1841">
        <v>18153</v>
      </c>
      <c r="B1841" t="s">
        <v>105</v>
      </c>
      <c r="C1841">
        <v>15</v>
      </c>
      <c r="D1841" s="3">
        <f>parking_demand_data_2024_ver0!D1841*calibration!$I$31</f>
        <v>8.3217876419958596</v>
      </c>
      <c r="E1841" s="3">
        <f>parking_demand_data_2024_ver0!E1841*calibration!$I$31</f>
        <v>0.244758460058701</v>
      </c>
      <c r="F1841" s="3">
        <f t="shared" si="28"/>
        <v>8.566546102054561</v>
      </c>
      <c r="G1841" s="3">
        <f>parking_demand_data_2024_ver0!F1841</f>
        <v>2</v>
      </c>
      <c r="H1841" s="3">
        <f>parking_demand_data_2024_ver0!G1841</f>
        <v>0</v>
      </c>
      <c r="I1841" s="3">
        <f>parking_demand_data_2024_ver0!H1841</f>
        <v>0</v>
      </c>
      <c r="J1841" s="3">
        <f>parking_demand_data_2024_ver0!I1841</f>
        <v>2</v>
      </c>
      <c r="K1841" s="3">
        <f>parking_demand_data_2024_ver0!J1841</f>
        <v>0</v>
      </c>
      <c r="L1841" s="3">
        <f>parking_demand_data_2024_ver0!K1841</f>
        <v>0</v>
      </c>
      <c r="M1841" s="3">
        <f>parking_demand_data_2024_ver0!L1841</f>
        <v>0</v>
      </c>
      <c r="N1841" s="3">
        <f>parking_demand_data_2024_ver0!M1841</f>
        <v>42</v>
      </c>
      <c r="O1841" s="3">
        <f>parking_demand_data_2024_ver0!N1841</f>
        <v>0</v>
      </c>
      <c r="P1841" s="3">
        <f>parking_demand_data_2024_ver0!O1841</f>
        <v>0</v>
      </c>
      <c r="Q1841" s="3">
        <f>parking_demand_data_2024_ver0!P1841</f>
        <v>42</v>
      </c>
      <c r="R1841" s="3">
        <f>parking_demand_data_2024_ver0!Q1841</f>
        <v>0</v>
      </c>
      <c r="S1841" s="3">
        <f>parking_demand_data_2024_ver0!R1841</f>
        <v>0</v>
      </c>
      <c r="T1841" s="3">
        <f>parking_demand_data_2024_ver0!S1841</f>
        <v>0</v>
      </c>
    </row>
    <row r="1842" spans="1:20" x14ac:dyDescent="0.25">
      <c r="A1842">
        <v>18153</v>
      </c>
      <c r="B1842" t="s">
        <v>105</v>
      </c>
      <c r="C1842">
        <v>16</v>
      </c>
      <c r="D1842" s="3">
        <f>parking_demand_data_2024_ver0!D1842*calibration!$I$31</f>
        <v>10.377758706488899</v>
      </c>
      <c r="E1842" s="3">
        <f>parking_demand_data_2024_ver0!E1842*calibration!$I$31</f>
        <v>0.14685507603522099</v>
      </c>
      <c r="F1842" s="3">
        <f t="shared" si="28"/>
        <v>10.524613782524121</v>
      </c>
      <c r="G1842" s="3">
        <f>parking_demand_data_2024_ver0!F1842</f>
        <v>2</v>
      </c>
      <c r="H1842" s="3">
        <f>parking_demand_data_2024_ver0!G1842</f>
        <v>0</v>
      </c>
      <c r="I1842" s="3">
        <f>parking_demand_data_2024_ver0!H1842</f>
        <v>0</v>
      </c>
      <c r="J1842" s="3">
        <f>parking_demand_data_2024_ver0!I1842</f>
        <v>2</v>
      </c>
      <c r="K1842" s="3">
        <f>parking_demand_data_2024_ver0!J1842</f>
        <v>0</v>
      </c>
      <c r="L1842" s="3">
        <f>parking_demand_data_2024_ver0!K1842</f>
        <v>0</v>
      </c>
      <c r="M1842" s="3">
        <f>parking_demand_data_2024_ver0!L1842</f>
        <v>0</v>
      </c>
      <c r="N1842" s="3">
        <f>parking_demand_data_2024_ver0!M1842</f>
        <v>42</v>
      </c>
      <c r="O1842" s="3">
        <f>parking_demand_data_2024_ver0!N1842</f>
        <v>0</v>
      </c>
      <c r="P1842" s="3">
        <f>parking_demand_data_2024_ver0!O1842</f>
        <v>0</v>
      </c>
      <c r="Q1842" s="3">
        <f>parking_demand_data_2024_ver0!P1842</f>
        <v>42</v>
      </c>
      <c r="R1842" s="3">
        <f>parking_demand_data_2024_ver0!Q1842</f>
        <v>0</v>
      </c>
      <c r="S1842" s="3">
        <f>parking_demand_data_2024_ver0!R1842</f>
        <v>0</v>
      </c>
      <c r="T1842" s="3">
        <f>parking_demand_data_2024_ver0!S1842</f>
        <v>0</v>
      </c>
    </row>
    <row r="1843" spans="1:20" x14ac:dyDescent="0.25">
      <c r="A1843">
        <v>18153</v>
      </c>
      <c r="B1843" t="s">
        <v>105</v>
      </c>
      <c r="C1843">
        <v>17</v>
      </c>
      <c r="D1843" s="3">
        <f>parking_demand_data_2024_ver0!D1843*calibration!$I$31</f>
        <v>11.307840854712</v>
      </c>
      <c r="E1843" s="3">
        <f>parking_demand_data_2024_ver0!E1843*calibration!$I$31</f>
        <v>0.14685507603522099</v>
      </c>
      <c r="F1843" s="3">
        <f t="shared" si="28"/>
        <v>11.454695930747221</v>
      </c>
      <c r="G1843" s="3">
        <f>parking_demand_data_2024_ver0!F1843</f>
        <v>2</v>
      </c>
      <c r="H1843" s="3">
        <f>parking_demand_data_2024_ver0!G1843</f>
        <v>0</v>
      </c>
      <c r="I1843" s="3">
        <f>parking_demand_data_2024_ver0!H1843</f>
        <v>0</v>
      </c>
      <c r="J1843" s="3">
        <f>parking_demand_data_2024_ver0!I1843</f>
        <v>2</v>
      </c>
      <c r="K1843" s="3">
        <f>parking_demand_data_2024_ver0!J1843</f>
        <v>0</v>
      </c>
      <c r="L1843" s="3">
        <f>parking_demand_data_2024_ver0!K1843</f>
        <v>0</v>
      </c>
      <c r="M1843" s="3">
        <f>parking_demand_data_2024_ver0!L1843</f>
        <v>0</v>
      </c>
      <c r="N1843" s="3">
        <f>parking_demand_data_2024_ver0!M1843</f>
        <v>42</v>
      </c>
      <c r="O1843" s="3">
        <f>parking_demand_data_2024_ver0!N1843</f>
        <v>0</v>
      </c>
      <c r="P1843" s="3">
        <f>parking_demand_data_2024_ver0!O1843</f>
        <v>0</v>
      </c>
      <c r="Q1843" s="3">
        <f>parking_demand_data_2024_ver0!P1843</f>
        <v>42</v>
      </c>
      <c r="R1843" s="3">
        <f>parking_demand_data_2024_ver0!Q1843</f>
        <v>0</v>
      </c>
      <c r="S1843" s="3">
        <f>parking_demand_data_2024_ver0!R1843</f>
        <v>0</v>
      </c>
      <c r="T1843" s="3">
        <f>parking_demand_data_2024_ver0!S1843</f>
        <v>0</v>
      </c>
    </row>
    <row r="1844" spans="1:20" x14ac:dyDescent="0.25">
      <c r="A1844">
        <v>18153</v>
      </c>
      <c r="B1844" t="s">
        <v>105</v>
      </c>
      <c r="C1844">
        <v>18</v>
      </c>
      <c r="D1844" s="3">
        <f>parking_demand_data_2024_ver0!D1844*calibration!$I$31</f>
        <v>13.3638119192051</v>
      </c>
      <c r="E1844" s="3">
        <f>parking_demand_data_2024_ver0!E1844*calibration!$I$31</f>
        <v>0</v>
      </c>
      <c r="F1844" s="3">
        <f t="shared" si="28"/>
        <v>13.3638119192051</v>
      </c>
      <c r="G1844" s="3">
        <f>parking_demand_data_2024_ver0!F1844</f>
        <v>2</v>
      </c>
      <c r="H1844" s="3">
        <f>parking_demand_data_2024_ver0!G1844</f>
        <v>0</v>
      </c>
      <c r="I1844" s="3">
        <f>parking_demand_data_2024_ver0!H1844</f>
        <v>0</v>
      </c>
      <c r="J1844" s="3">
        <f>parking_demand_data_2024_ver0!I1844</f>
        <v>2</v>
      </c>
      <c r="K1844" s="3">
        <f>parking_demand_data_2024_ver0!J1844</f>
        <v>0</v>
      </c>
      <c r="L1844" s="3">
        <f>parking_demand_data_2024_ver0!K1844</f>
        <v>0</v>
      </c>
      <c r="M1844" s="3">
        <f>parking_demand_data_2024_ver0!L1844</f>
        <v>0</v>
      </c>
      <c r="N1844" s="3">
        <f>parking_demand_data_2024_ver0!M1844</f>
        <v>42</v>
      </c>
      <c r="O1844" s="3">
        <f>parking_demand_data_2024_ver0!N1844</f>
        <v>0</v>
      </c>
      <c r="P1844" s="3">
        <f>parking_demand_data_2024_ver0!O1844</f>
        <v>0</v>
      </c>
      <c r="Q1844" s="3">
        <f>parking_demand_data_2024_ver0!P1844</f>
        <v>42</v>
      </c>
      <c r="R1844" s="3">
        <f>parking_demand_data_2024_ver0!Q1844</f>
        <v>0</v>
      </c>
      <c r="S1844" s="3">
        <f>parking_demand_data_2024_ver0!R1844</f>
        <v>0</v>
      </c>
      <c r="T1844" s="3">
        <f>parking_demand_data_2024_ver0!S1844</f>
        <v>0</v>
      </c>
    </row>
    <row r="1845" spans="1:20" x14ac:dyDescent="0.25">
      <c r="A1845">
        <v>18153</v>
      </c>
      <c r="B1845" t="s">
        <v>105</v>
      </c>
      <c r="C1845">
        <v>19</v>
      </c>
      <c r="D1845" s="3">
        <f>parking_demand_data_2024_ver0!D1845*calibration!$I$31</f>
        <v>16.007203287839101</v>
      </c>
      <c r="E1845" s="3">
        <f>parking_demand_data_2024_ver0!E1845*calibration!$I$31</f>
        <v>0</v>
      </c>
      <c r="F1845" s="3">
        <f t="shared" si="28"/>
        <v>16.007203287839101</v>
      </c>
      <c r="G1845" s="3">
        <f>parking_demand_data_2024_ver0!F1845</f>
        <v>2</v>
      </c>
      <c r="H1845" s="3">
        <f>parking_demand_data_2024_ver0!G1845</f>
        <v>0</v>
      </c>
      <c r="I1845" s="3">
        <f>parking_demand_data_2024_ver0!H1845</f>
        <v>0</v>
      </c>
      <c r="J1845" s="3">
        <f>parking_demand_data_2024_ver0!I1845</f>
        <v>2</v>
      </c>
      <c r="K1845" s="3">
        <f>parking_demand_data_2024_ver0!J1845</f>
        <v>0</v>
      </c>
      <c r="L1845" s="3">
        <f>parking_demand_data_2024_ver0!K1845</f>
        <v>0</v>
      </c>
      <c r="M1845" s="3">
        <f>parking_demand_data_2024_ver0!L1845</f>
        <v>0</v>
      </c>
      <c r="N1845" s="3">
        <f>parking_demand_data_2024_ver0!M1845</f>
        <v>42</v>
      </c>
      <c r="O1845" s="3">
        <f>parking_demand_data_2024_ver0!N1845</f>
        <v>0</v>
      </c>
      <c r="P1845" s="3">
        <f>parking_demand_data_2024_ver0!O1845</f>
        <v>0</v>
      </c>
      <c r="Q1845" s="3">
        <f>parking_demand_data_2024_ver0!P1845</f>
        <v>42</v>
      </c>
      <c r="R1845" s="3">
        <f>parking_demand_data_2024_ver0!Q1845</f>
        <v>0</v>
      </c>
      <c r="S1845" s="3">
        <f>parking_demand_data_2024_ver0!R1845</f>
        <v>0</v>
      </c>
      <c r="T1845" s="3">
        <f>parking_demand_data_2024_ver0!S1845</f>
        <v>0</v>
      </c>
    </row>
    <row r="1846" spans="1:20" x14ac:dyDescent="0.25">
      <c r="A1846">
        <v>18153</v>
      </c>
      <c r="B1846" t="s">
        <v>105</v>
      </c>
      <c r="C1846">
        <v>20</v>
      </c>
      <c r="D1846" s="3">
        <f>parking_demand_data_2024_ver0!D1846*calibration!$I$31</f>
        <v>18.112126044343899</v>
      </c>
      <c r="E1846" s="3">
        <f>parking_demand_data_2024_ver0!E1846*calibration!$I$31</f>
        <v>0</v>
      </c>
      <c r="F1846" s="3">
        <f t="shared" si="28"/>
        <v>18.112126044343899</v>
      </c>
      <c r="G1846" s="3">
        <f>parking_demand_data_2024_ver0!F1846</f>
        <v>2</v>
      </c>
      <c r="H1846" s="3">
        <f>parking_demand_data_2024_ver0!G1846</f>
        <v>0</v>
      </c>
      <c r="I1846" s="3">
        <f>parking_demand_data_2024_ver0!H1846</f>
        <v>0</v>
      </c>
      <c r="J1846" s="3">
        <f>parking_demand_data_2024_ver0!I1846</f>
        <v>2</v>
      </c>
      <c r="K1846" s="3">
        <f>parking_demand_data_2024_ver0!J1846</f>
        <v>0</v>
      </c>
      <c r="L1846" s="3">
        <f>parking_demand_data_2024_ver0!K1846</f>
        <v>0</v>
      </c>
      <c r="M1846" s="3">
        <f>parking_demand_data_2024_ver0!L1846</f>
        <v>0</v>
      </c>
      <c r="N1846" s="3">
        <f>parking_demand_data_2024_ver0!M1846</f>
        <v>42</v>
      </c>
      <c r="O1846" s="3">
        <f>parking_demand_data_2024_ver0!N1846</f>
        <v>0</v>
      </c>
      <c r="P1846" s="3">
        <f>parking_demand_data_2024_ver0!O1846</f>
        <v>0</v>
      </c>
      <c r="Q1846" s="3">
        <f>parking_demand_data_2024_ver0!P1846</f>
        <v>42</v>
      </c>
      <c r="R1846" s="3">
        <f>parking_demand_data_2024_ver0!Q1846</f>
        <v>0</v>
      </c>
      <c r="S1846" s="3">
        <f>parking_demand_data_2024_ver0!R1846</f>
        <v>0</v>
      </c>
      <c r="T1846" s="3">
        <f>parking_demand_data_2024_ver0!S1846</f>
        <v>0</v>
      </c>
    </row>
    <row r="1847" spans="1:20" x14ac:dyDescent="0.25">
      <c r="A1847">
        <v>18153</v>
      </c>
      <c r="B1847" t="s">
        <v>105</v>
      </c>
      <c r="C1847">
        <v>21</v>
      </c>
      <c r="D1847" s="3">
        <f>parking_demand_data_2024_ver0!D1847*calibration!$I$31</f>
        <v>20.6086623369427</v>
      </c>
      <c r="E1847" s="3">
        <f>parking_demand_data_2024_ver0!E1847*calibration!$I$31</f>
        <v>0</v>
      </c>
      <c r="F1847" s="3">
        <f t="shared" si="28"/>
        <v>20.6086623369427</v>
      </c>
      <c r="G1847" s="3">
        <f>parking_demand_data_2024_ver0!F1847</f>
        <v>2</v>
      </c>
      <c r="H1847" s="3">
        <f>parking_demand_data_2024_ver0!G1847</f>
        <v>0</v>
      </c>
      <c r="I1847" s="3">
        <f>parking_demand_data_2024_ver0!H1847</f>
        <v>0</v>
      </c>
      <c r="J1847" s="3">
        <f>parking_demand_data_2024_ver0!I1847</f>
        <v>2</v>
      </c>
      <c r="K1847" s="3">
        <f>parking_demand_data_2024_ver0!J1847</f>
        <v>0</v>
      </c>
      <c r="L1847" s="3">
        <f>parking_demand_data_2024_ver0!K1847</f>
        <v>0</v>
      </c>
      <c r="M1847" s="3">
        <f>parking_demand_data_2024_ver0!L1847</f>
        <v>0</v>
      </c>
      <c r="N1847" s="3">
        <f>parking_demand_data_2024_ver0!M1847</f>
        <v>42</v>
      </c>
      <c r="O1847" s="3">
        <f>parking_demand_data_2024_ver0!N1847</f>
        <v>0</v>
      </c>
      <c r="P1847" s="3">
        <f>parking_demand_data_2024_ver0!O1847</f>
        <v>0</v>
      </c>
      <c r="Q1847" s="3">
        <f>parking_demand_data_2024_ver0!P1847</f>
        <v>42</v>
      </c>
      <c r="R1847" s="3">
        <f>parking_demand_data_2024_ver0!Q1847</f>
        <v>0</v>
      </c>
      <c r="S1847" s="3">
        <f>parking_demand_data_2024_ver0!R1847</f>
        <v>0</v>
      </c>
      <c r="T1847" s="3">
        <f>parking_demand_data_2024_ver0!S1847</f>
        <v>0</v>
      </c>
    </row>
    <row r="1848" spans="1:20" x14ac:dyDescent="0.25">
      <c r="A1848">
        <v>18153</v>
      </c>
      <c r="B1848" t="s">
        <v>105</v>
      </c>
      <c r="C1848">
        <v>22</v>
      </c>
      <c r="D1848" s="3">
        <f>parking_demand_data_2024_ver0!D1848*calibration!$I$31</f>
        <v>22.6646334014358</v>
      </c>
      <c r="E1848" s="3">
        <f>parking_demand_data_2024_ver0!E1848*calibration!$I$31</f>
        <v>0</v>
      </c>
      <c r="F1848" s="3">
        <f t="shared" si="28"/>
        <v>22.6646334014358</v>
      </c>
      <c r="G1848" s="3">
        <f>parking_demand_data_2024_ver0!F1848</f>
        <v>2</v>
      </c>
      <c r="H1848" s="3">
        <f>parking_demand_data_2024_ver0!G1848</f>
        <v>0</v>
      </c>
      <c r="I1848" s="3">
        <f>parking_demand_data_2024_ver0!H1848</f>
        <v>0</v>
      </c>
      <c r="J1848" s="3">
        <f>parking_demand_data_2024_ver0!I1848</f>
        <v>2</v>
      </c>
      <c r="K1848" s="3">
        <f>parking_demand_data_2024_ver0!J1848</f>
        <v>0</v>
      </c>
      <c r="L1848" s="3">
        <f>parking_demand_data_2024_ver0!K1848</f>
        <v>0</v>
      </c>
      <c r="M1848" s="3">
        <f>parking_demand_data_2024_ver0!L1848</f>
        <v>0</v>
      </c>
      <c r="N1848" s="3">
        <f>parking_demand_data_2024_ver0!M1848</f>
        <v>42</v>
      </c>
      <c r="O1848" s="3">
        <f>parking_demand_data_2024_ver0!N1848</f>
        <v>0</v>
      </c>
      <c r="P1848" s="3">
        <f>parking_demand_data_2024_ver0!O1848</f>
        <v>0</v>
      </c>
      <c r="Q1848" s="3">
        <f>parking_demand_data_2024_ver0!P1848</f>
        <v>42</v>
      </c>
      <c r="R1848" s="3">
        <f>parking_demand_data_2024_ver0!Q1848</f>
        <v>0</v>
      </c>
      <c r="S1848" s="3">
        <f>parking_demand_data_2024_ver0!R1848</f>
        <v>0</v>
      </c>
      <c r="T1848" s="3">
        <f>parking_demand_data_2024_ver0!S1848</f>
        <v>0</v>
      </c>
    </row>
    <row r="1849" spans="1:20" x14ac:dyDescent="0.25">
      <c r="A1849">
        <v>18153</v>
      </c>
      <c r="B1849" t="s">
        <v>105</v>
      </c>
      <c r="C1849">
        <v>23</v>
      </c>
      <c r="D1849" s="3">
        <f>parking_demand_data_2024_ver0!D1849*calibration!$I$31</f>
        <v>24.426894313858401</v>
      </c>
      <c r="E1849" s="3">
        <f>parking_demand_data_2024_ver0!E1849*calibration!$I$31</f>
        <v>0</v>
      </c>
      <c r="F1849" s="3">
        <f t="shared" si="28"/>
        <v>24.426894313858401</v>
      </c>
      <c r="G1849" s="3">
        <f>parking_demand_data_2024_ver0!F1849</f>
        <v>2</v>
      </c>
      <c r="H1849" s="3">
        <f>parking_demand_data_2024_ver0!G1849</f>
        <v>0</v>
      </c>
      <c r="I1849" s="3">
        <f>parking_demand_data_2024_ver0!H1849</f>
        <v>0</v>
      </c>
      <c r="J1849" s="3">
        <f>parking_demand_data_2024_ver0!I1849</f>
        <v>2</v>
      </c>
      <c r="K1849" s="3">
        <f>parking_demand_data_2024_ver0!J1849</f>
        <v>0</v>
      </c>
      <c r="L1849" s="3">
        <f>parking_demand_data_2024_ver0!K1849</f>
        <v>0</v>
      </c>
      <c r="M1849" s="3">
        <f>parking_demand_data_2024_ver0!L1849</f>
        <v>0</v>
      </c>
      <c r="N1849" s="3">
        <f>parking_demand_data_2024_ver0!M1849</f>
        <v>42</v>
      </c>
      <c r="O1849" s="3">
        <f>parking_demand_data_2024_ver0!N1849</f>
        <v>0</v>
      </c>
      <c r="P1849" s="3">
        <f>parking_demand_data_2024_ver0!O1849</f>
        <v>0</v>
      </c>
      <c r="Q1849" s="3">
        <f>parking_demand_data_2024_ver0!P1849</f>
        <v>42</v>
      </c>
      <c r="R1849" s="3">
        <f>parking_demand_data_2024_ver0!Q1849</f>
        <v>0</v>
      </c>
      <c r="S1849" s="3">
        <f>parking_demand_data_2024_ver0!R1849</f>
        <v>0</v>
      </c>
      <c r="T1849" s="3">
        <f>parking_demand_data_2024_ver0!S1849</f>
        <v>0</v>
      </c>
    </row>
    <row r="1850" spans="1:20" x14ac:dyDescent="0.25">
      <c r="A1850">
        <v>18155</v>
      </c>
      <c r="B1850" t="s">
        <v>106</v>
      </c>
      <c r="C1850">
        <v>0</v>
      </c>
      <c r="D1850" s="3">
        <f>parking_demand_data_2024_ver0!D1850*calibration!$I$31</f>
        <v>0</v>
      </c>
      <c r="E1850" s="3">
        <f>parking_demand_data_2024_ver0!E1850*calibration!$I$31</f>
        <v>0</v>
      </c>
      <c r="F1850" s="3">
        <f t="shared" si="28"/>
        <v>0</v>
      </c>
      <c r="G1850" s="3">
        <f>parking_demand_data_2024_ver0!F1850</f>
        <v>0</v>
      </c>
      <c r="H1850" s="3">
        <f>parking_demand_data_2024_ver0!G1850</f>
        <v>0</v>
      </c>
      <c r="I1850" s="3">
        <f>parking_demand_data_2024_ver0!H1850</f>
        <v>0</v>
      </c>
      <c r="J1850" s="3">
        <f>parking_demand_data_2024_ver0!I1850</f>
        <v>0</v>
      </c>
      <c r="K1850" s="3">
        <f>parking_demand_data_2024_ver0!J1850</f>
        <v>0</v>
      </c>
      <c r="L1850" s="3">
        <f>parking_demand_data_2024_ver0!K1850</f>
        <v>0</v>
      </c>
      <c r="M1850" s="3">
        <f>parking_demand_data_2024_ver0!L1850</f>
        <v>0</v>
      </c>
      <c r="N1850" s="3">
        <f>parking_demand_data_2024_ver0!M1850</f>
        <v>0</v>
      </c>
      <c r="O1850" s="3">
        <f>parking_demand_data_2024_ver0!N1850</f>
        <v>0</v>
      </c>
      <c r="P1850" s="3">
        <f>parking_demand_data_2024_ver0!O1850</f>
        <v>0</v>
      </c>
      <c r="Q1850" s="3">
        <f>parking_demand_data_2024_ver0!P1850</f>
        <v>0</v>
      </c>
      <c r="R1850" s="3">
        <f>parking_demand_data_2024_ver0!Q1850</f>
        <v>0</v>
      </c>
      <c r="S1850" s="3">
        <f>parking_demand_data_2024_ver0!R1850</f>
        <v>0</v>
      </c>
      <c r="T1850" s="3">
        <f>parking_demand_data_2024_ver0!S1850</f>
        <v>0</v>
      </c>
    </row>
    <row r="1851" spans="1:20" x14ac:dyDescent="0.25">
      <c r="A1851">
        <v>18155</v>
      </c>
      <c r="B1851" t="s">
        <v>106</v>
      </c>
      <c r="C1851">
        <v>1</v>
      </c>
      <c r="D1851" s="3">
        <f>parking_demand_data_2024_ver0!D1851*calibration!$I$31</f>
        <v>0</v>
      </c>
      <c r="E1851" s="3">
        <f>parking_demand_data_2024_ver0!E1851*calibration!$I$31</f>
        <v>0</v>
      </c>
      <c r="F1851" s="3">
        <f t="shared" si="28"/>
        <v>0</v>
      </c>
      <c r="G1851" s="3">
        <f>parking_demand_data_2024_ver0!F1851</f>
        <v>0</v>
      </c>
      <c r="H1851" s="3">
        <f>parking_demand_data_2024_ver0!G1851</f>
        <v>0</v>
      </c>
      <c r="I1851" s="3">
        <f>parking_demand_data_2024_ver0!H1851</f>
        <v>0</v>
      </c>
      <c r="J1851" s="3">
        <f>parking_demand_data_2024_ver0!I1851</f>
        <v>0</v>
      </c>
      <c r="K1851" s="3">
        <f>parking_demand_data_2024_ver0!J1851</f>
        <v>0</v>
      </c>
      <c r="L1851" s="3">
        <f>parking_demand_data_2024_ver0!K1851</f>
        <v>0</v>
      </c>
      <c r="M1851" s="3">
        <f>parking_demand_data_2024_ver0!L1851</f>
        <v>0</v>
      </c>
      <c r="N1851" s="3">
        <f>parking_demand_data_2024_ver0!M1851</f>
        <v>0</v>
      </c>
      <c r="O1851" s="3">
        <f>parking_demand_data_2024_ver0!N1851</f>
        <v>0</v>
      </c>
      <c r="P1851" s="3">
        <f>parking_demand_data_2024_ver0!O1851</f>
        <v>0</v>
      </c>
      <c r="Q1851" s="3">
        <f>parking_demand_data_2024_ver0!P1851</f>
        <v>0</v>
      </c>
      <c r="R1851" s="3">
        <f>parking_demand_data_2024_ver0!Q1851</f>
        <v>0</v>
      </c>
      <c r="S1851" s="3">
        <f>parking_demand_data_2024_ver0!R1851</f>
        <v>0</v>
      </c>
      <c r="T1851" s="3">
        <f>parking_demand_data_2024_ver0!S1851</f>
        <v>0</v>
      </c>
    </row>
    <row r="1852" spans="1:20" x14ac:dyDescent="0.25">
      <c r="A1852">
        <v>18155</v>
      </c>
      <c r="B1852" t="s">
        <v>106</v>
      </c>
      <c r="C1852">
        <v>2</v>
      </c>
      <c r="D1852" s="3">
        <f>parking_demand_data_2024_ver0!D1852*calibration!$I$31</f>
        <v>0</v>
      </c>
      <c r="E1852" s="3">
        <f>parking_demand_data_2024_ver0!E1852*calibration!$I$31</f>
        <v>0</v>
      </c>
      <c r="F1852" s="3">
        <f t="shared" si="28"/>
        <v>0</v>
      </c>
      <c r="G1852" s="3">
        <f>parking_demand_data_2024_ver0!F1852</f>
        <v>0</v>
      </c>
      <c r="H1852" s="3">
        <f>parking_demand_data_2024_ver0!G1852</f>
        <v>0</v>
      </c>
      <c r="I1852" s="3">
        <f>parking_demand_data_2024_ver0!H1852</f>
        <v>0</v>
      </c>
      <c r="J1852" s="3">
        <f>parking_demand_data_2024_ver0!I1852</f>
        <v>0</v>
      </c>
      <c r="K1852" s="3">
        <f>parking_demand_data_2024_ver0!J1852</f>
        <v>0</v>
      </c>
      <c r="L1852" s="3">
        <f>parking_demand_data_2024_ver0!K1852</f>
        <v>0</v>
      </c>
      <c r="M1852" s="3">
        <f>parking_demand_data_2024_ver0!L1852</f>
        <v>0</v>
      </c>
      <c r="N1852" s="3">
        <f>parking_demand_data_2024_ver0!M1852</f>
        <v>0</v>
      </c>
      <c r="O1852" s="3">
        <f>parking_demand_data_2024_ver0!N1852</f>
        <v>0</v>
      </c>
      <c r="P1852" s="3">
        <f>parking_demand_data_2024_ver0!O1852</f>
        <v>0</v>
      </c>
      <c r="Q1852" s="3">
        <f>parking_demand_data_2024_ver0!P1852</f>
        <v>0</v>
      </c>
      <c r="R1852" s="3">
        <f>parking_demand_data_2024_ver0!Q1852</f>
        <v>0</v>
      </c>
      <c r="S1852" s="3">
        <f>parking_demand_data_2024_ver0!R1852</f>
        <v>0</v>
      </c>
      <c r="T1852" s="3">
        <f>parking_demand_data_2024_ver0!S1852</f>
        <v>0</v>
      </c>
    </row>
    <row r="1853" spans="1:20" x14ac:dyDescent="0.25">
      <c r="A1853">
        <v>18155</v>
      </c>
      <c r="B1853" t="s">
        <v>106</v>
      </c>
      <c r="C1853">
        <v>3</v>
      </c>
      <c r="D1853" s="3">
        <f>parking_demand_data_2024_ver0!D1853*calibration!$I$31</f>
        <v>0</v>
      </c>
      <c r="E1853" s="3">
        <f>parking_demand_data_2024_ver0!E1853*calibration!$I$31</f>
        <v>0</v>
      </c>
      <c r="F1853" s="3">
        <f t="shared" si="28"/>
        <v>0</v>
      </c>
      <c r="G1853" s="3">
        <f>parking_demand_data_2024_ver0!F1853</f>
        <v>0</v>
      </c>
      <c r="H1853" s="3">
        <f>parking_demand_data_2024_ver0!G1853</f>
        <v>0</v>
      </c>
      <c r="I1853" s="3">
        <f>parking_demand_data_2024_ver0!H1853</f>
        <v>0</v>
      </c>
      <c r="J1853" s="3">
        <f>parking_demand_data_2024_ver0!I1853</f>
        <v>0</v>
      </c>
      <c r="K1853" s="3">
        <f>parking_demand_data_2024_ver0!J1853</f>
        <v>0</v>
      </c>
      <c r="L1853" s="3">
        <f>parking_demand_data_2024_ver0!K1853</f>
        <v>0</v>
      </c>
      <c r="M1853" s="3">
        <f>parking_demand_data_2024_ver0!L1853</f>
        <v>0</v>
      </c>
      <c r="N1853" s="3">
        <f>parking_demand_data_2024_ver0!M1853</f>
        <v>0</v>
      </c>
      <c r="O1853" s="3">
        <f>parking_demand_data_2024_ver0!N1853</f>
        <v>0</v>
      </c>
      <c r="P1853" s="3">
        <f>parking_demand_data_2024_ver0!O1853</f>
        <v>0</v>
      </c>
      <c r="Q1853" s="3">
        <f>parking_demand_data_2024_ver0!P1853</f>
        <v>0</v>
      </c>
      <c r="R1853" s="3">
        <f>parking_demand_data_2024_ver0!Q1853</f>
        <v>0</v>
      </c>
      <c r="S1853" s="3">
        <f>parking_demand_data_2024_ver0!R1853</f>
        <v>0</v>
      </c>
      <c r="T1853" s="3">
        <f>parking_demand_data_2024_ver0!S1853</f>
        <v>0</v>
      </c>
    </row>
    <row r="1854" spans="1:20" x14ac:dyDescent="0.25">
      <c r="A1854">
        <v>18155</v>
      </c>
      <c r="B1854" t="s">
        <v>106</v>
      </c>
      <c r="C1854">
        <v>4</v>
      </c>
      <c r="D1854" s="3">
        <f>parking_demand_data_2024_ver0!D1854*calibration!$I$31</f>
        <v>0</v>
      </c>
      <c r="E1854" s="3">
        <f>parking_demand_data_2024_ver0!E1854*calibration!$I$31</f>
        <v>0</v>
      </c>
      <c r="F1854" s="3">
        <f t="shared" si="28"/>
        <v>0</v>
      </c>
      <c r="G1854" s="3">
        <f>parking_demand_data_2024_ver0!F1854</f>
        <v>0</v>
      </c>
      <c r="H1854" s="3">
        <f>parking_demand_data_2024_ver0!G1854</f>
        <v>0</v>
      </c>
      <c r="I1854" s="3">
        <f>parking_demand_data_2024_ver0!H1854</f>
        <v>0</v>
      </c>
      <c r="J1854" s="3">
        <f>parking_demand_data_2024_ver0!I1854</f>
        <v>0</v>
      </c>
      <c r="K1854" s="3">
        <f>parking_demand_data_2024_ver0!J1854</f>
        <v>0</v>
      </c>
      <c r="L1854" s="3">
        <f>parking_demand_data_2024_ver0!K1854</f>
        <v>0</v>
      </c>
      <c r="M1854" s="3">
        <f>parking_demand_data_2024_ver0!L1854</f>
        <v>0</v>
      </c>
      <c r="N1854" s="3">
        <f>parking_demand_data_2024_ver0!M1854</f>
        <v>0</v>
      </c>
      <c r="O1854" s="3">
        <f>parking_demand_data_2024_ver0!N1854</f>
        <v>0</v>
      </c>
      <c r="P1854" s="3">
        <f>parking_demand_data_2024_ver0!O1854</f>
        <v>0</v>
      </c>
      <c r="Q1854" s="3">
        <f>parking_demand_data_2024_ver0!P1854</f>
        <v>0</v>
      </c>
      <c r="R1854" s="3">
        <f>parking_demand_data_2024_ver0!Q1854</f>
        <v>0</v>
      </c>
      <c r="S1854" s="3">
        <f>parking_demand_data_2024_ver0!R1854</f>
        <v>0</v>
      </c>
      <c r="T1854" s="3">
        <f>parking_demand_data_2024_ver0!S1854</f>
        <v>0</v>
      </c>
    </row>
    <row r="1855" spans="1:20" x14ac:dyDescent="0.25">
      <c r="A1855">
        <v>18155</v>
      </c>
      <c r="B1855" t="s">
        <v>106</v>
      </c>
      <c r="C1855">
        <v>5</v>
      </c>
      <c r="D1855" s="3">
        <f>parking_demand_data_2024_ver0!D1855*calibration!$I$31</f>
        <v>0</v>
      </c>
      <c r="E1855" s="3">
        <f>parking_demand_data_2024_ver0!E1855*calibration!$I$31</f>
        <v>0</v>
      </c>
      <c r="F1855" s="3">
        <f t="shared" si="28"/>
        <v>0</v>
      </c>
      <c r="G1855" s="3">
        <f>parking_demand_data_2024_ver0!F1855</f>
        <v>0</v>
      </c>
      <c r="H1855" s="3">
        <f>parking_demand_data_2024_ver0!G1855</f>
        <v>0</v>
      </c>
      <c r="I1855" s="3">
        <f>parking_demand_data_2024_ver0!H1855</f>
        <v>0</v>
      </c>
      <c r="J1855" s="3">
        <f>parking_demand_data_2024_ver0!I1855</f>
        <v>0</v>
      </c>
      <c r="K1855" s="3">
        <f>parking_demand_data_2024_ver0!J1855</f>
        <v>0</v>
      </c>
      <c r="L1855" s="3">
        <f>parking_demand_data_2024_ver0!K1855</f>
        <v>0</v>
      </c>
      <c r="M1855" s="3">
        <f>parking_demand_data_2024_ver0!L1855</f>
        <v>0</v>
      </c>
      <c r="N1855" s="3">
        <f>parking_demand_data_2024_ver0!M1855</f>
        <v>0</v>
      </c>
      <c r="O1855" s="3">
        <f>parking_demand_data_2024_ver0!N1855</f>
        <v>0</v>
      </c>
      <c r="P1855" s="3">
        <f>parking_demand_data_2024_ver0!O1855</f>
        <v>0</v>
      </c>
      <c r="Q1855" s="3">
        <f>parking_demand_data_2024_ver0!P1855</f>
        <v>0</v>
      </c>
      <c r="R1855" s="3">
        <f>parking_demand_data_2024_ver0!Q1855</f>
        <v>0</v>
      </c>
      <c r="S1855" s="3">
        <f>parking_demand_data_2024_ver0!R1855</f>
        <v>0</v>
      </c>
      <c r="T1855" s="3">
        <f>parking_demand_data_2024_ver0!S1855</f>
        <v>0</v>
      </c>
    </row>
    <row r="1856" spans="1:20" x14ac:dyDescent="0.25">
      <c r="A1856">
        <v>18155</v>
      </c>
      <c r="B1856" t="s">
        <v>106</v>
      </c>
      <c r="C1856">
        <v>6</v>
      </c>
      <c r="D1856" s="3">
        <f>parking_demand_data_2024_ver0!D1856*calibration!$I$31</f>
        <v>0</v>
      </c>
      <c r="E1856" s="3">
        <f>parking_demand_data_2024_ver0!E1856*calibration!$I$31</f>
        <v>0</v>
      </c>
      <c r="F1856" s="3">
        <f t="shared" si="28"/>
        <v>0</v>
      </c>
      <c r="G1856" s="3">
        <f>parking_demand_data_2024_ver0!F1856</f>
        <v>0</v>
      </c>
      <c r="H1856" s="3">
        <f>parking_demand_data_2024_ver0!G1856</f>
        <v>0</v>
      </c>
      <c r="I1856" s="3">
        <f>parking_demand_data_2024_ver0!H1856</f>
        <v>0</v>
      </c>
      <c r="J1856" s="3">
        <f>parking_demand_data_2024_ver0!I1856</f>
        <v>0</v>
      </c>
      <c r="K1856" s="3">
        <f>parking_demand_data_2024_ver0!J1856</f>
        <v>0</v>
      </c>
      <c r="L1856" s="3">
        <f>parking_demand_data_2024_ver0!K1856</f>
        <v>0</v>
      </c>
      <c r="M1856" s="3">
        <f>parking_demand_data_2024_ver0!L1856</f>
        <v>0</v>
      </c>
      <c r="N1856" s="3">
        <f>parking_demand_data_2024_ver0!M1856</f>
        <v>0</v>
      </c>
      <c r="O1856" s="3">
        <f>parking_demand_data_2024_ver0!N1856</f>
        <v>0</v>
      </c>
      <c r="P1856" s="3">
        <f>parking_demand_data_2024_ver0!O1856</f>
        <v>0</v>
      </c>
      <c r="Q1856" s="3">
        <f>parking_demand_data_2024_ver0!P1856</f>
        <v>0</v>
      </c>
      <c r="R1856" s="3">
        <f>parking_demand_data_2024_ver0!Q1856</f>
        <v>0</v>
      </c>
      <c r="S1856" s="3">
        <f>parking_demand_data_2024_ver0!R1856</f>
        <v>0</v>
      </c>
      <c r="T1856" s="3">
        <f>parking_demand_data_2024_ver0!S1856</f>
        <v>0</v>
      </c>
    </row>
    <row r="1857" spans="1:20" x14ac:dyDescent="0.25">
      <c r="A1857">
        <v>18155</v>
      </c>
      <c r="B1857" t="s">
        <v>106</v>
      </c>
      <c r="C1857">
        <v>7</v>
      </c>
      <c r="D1857" s="3">
        <f>parking_demand_data_2024_ver0!D1857*calibration!$I$31</f>
        <v>0</v>
      </c>
      <c r="E1857" s="3">
        <f>parking_demand_data_2024_ver0!E1857*calibration!$I$31</f>
        <v>0</v>
      </c>
      <c r="F1857" s="3">
        <f t="shared" si="28"/>
        <v>0</v>
      </c>
      <c r="G1857" s="3">
        <f>parking_demand_data_2024_ver0!F1857</f>
        <v>0</v>
      </c>
      <c r="H1857" s="3">
        <f>parking_demand_data_2024_ver0!G1857</f>
        <v>0</v>
      </c>
      <c r="I1857" s="3">
        <f>parking_demand_data_2024_ver0!H1857</f>
        <v>0</v>
      </c>
      <c r="J1857" s="3">
        <f>parking_demand_data_2024_ver0!I1857</f>
        <v>0</v>
      </c>
      <c r="K1857" s="3">
        <f>parking_demand_data_2024_ver0!J1857</f>
        <v>0</v>
      </c>
      <c r="L1857" s="3">
        <f>parking_demand_data_2024_ver0!K1857</f>
        <v>0</v>
      </c>
      <c r="M1857" s="3">
        <f>parking_demand_data_2024_ver0!L1857</f>
        <v>0</v>
      </c>
      <c r="N1857" s="3">
        <f>parking_demand_data_2024_ver0!M1857</f>
        <v>0</v>
      </c>
      <c r="O1857" s="3">
        <f>parking_demand_data_2024_ver0!N1857</f>
        <v>0</v>
      </c>
      <c r="P1857" s="3">
        <f>parking_demand_data_2024_ver0!O1857</f>
        <v>0</v>
      </c>
      <c r="Q1857" s="3">
        <f>parking_demand_data_2024_ver0!P1857</f>
        <v>0</v>
      </c>
      <c r="R1857" s="3">
        <f>parking_demand_data_2024_ver0!Q1857</f>
        <v>0</v>
      </c>
      <c r="S1857" s="3">
        <f>parking_demand_data_2024_ver0!R1857</f>
        <v>0</v>
      </c>
      <c r="T1857" s="3">
        <f>parking_demand_data_2024_ver0!S1857</f>
        <v>0</v>
      </c>
    </row>
    <row r="1858" spans="1:20" x14ac:dyDescent="0.25">
      <c r="A1858">
        <v>18155</v>
      </c>
      <c r="B1858" t="s">
        <v>106</v>
      </c>
      <c r="C1858">
        <v>8</v>
      </c>
      <c r="D1858" s="3">
        <f>parking_demand_data_2024_ver0!D1858*calibration!$I$31</f>
        <v>0</v>
      </c>
      <c r="E1858" s="3">
        <f>parking_demand_data_2024_ver0!E1858*calibration!$I$31</f>
        <v>0</v>
      </c>
      <c r="F1858" s="3">
        <f t="shared" si="28"/>
        <v>0</v>
      </c>
      <c r="G1858" s="3">
        <f>parking_demand_data_2024_ver0!F1858</f>
        <v>0</v>
      </c>
      <c r="H1858" s="3">
        <f>parking_demand_data_2024_ver0!G1858</f>
        <v>0</v>
      </c>
      <c r="I1858" s="3">
        <f>parking_demand_data_2024_ver0!H1858</f>
        <v>0</v>
      </c>
      <c r="J1858" s="3">
        <f>parking_demand_data_2024_ver0!I1858</f>
        <v>0</v>
      </c>
      <c r="K1858" s="3">
        <f>parking_demand_data_2024_ver0!J1858</f>
        <v>0</v>
      </c>
      <c r="L1858" s="3">
        <f>parking_demand_data_2024_ver0!K1858</f>
        <v>0</v>
      </c>
      <c r="M1858" s="3">
        <f>parking_demand_data_2024_ver0!L1858</f>
        <v>0</v>
      </c>
      <c r="N1858" s="3">
        <f>parking_demand_data_2024_ver0!M1858</f>
        <v>0</v>
      </c>
      <c r="O1858" s="3">
        <f>parking_demand_data_2024_ver0!N1858</f>
        <v>0</v>
      </c>
      <c r="P1858" s="3">
        <f>parking_demand_data_2024_ver0!O1858</f>
        <v>0</v>
      </c>
      <c r="Q1858" s="3">
        <f>parking_demand_data_2024_ver0!P1858</f>
        <v>0</v>
      </c>
      <c r="R1858" s="3">
        <f>parking_demand_data_2024_ver0!Q1858</f>
        <v>0</v>
      </c>
      <c r="S1858" s="3">
        <f>parking_demand_data_2024_ver0!R1858</f>
        <v>0</v>
      </c>
      <c r="T1858" s="3">
        <f>parking_demand_data_2024_ver0!S1858</f>
        <v>0</v>
      </c>
    </row>
    <row r="1859" spans="1:20" x14ac:dyDescent="0.25">
      <c r="A1859">
        <v>18155</v>
      </c>
      <c r="B1859" t="s">
        <v>106</v>
      </c>
      <c r="C1859">
        <v>9</v>
      </c>
      <c r="D1859" s="3">
        <f>parking_demand_data_2024_ver0!D1859*calibration!$I$31</f>
        <v>0</v>
      </c>
      <c r="E1859" s="3">
        <f>parking_demand_data_2024_ver0!E1859*calibration!$I$31</f>
        <v>0</v>
      </c>
      <c r="F1859" s="3">
        <f t="shared" ref="F1859:F1922" si="29">SUM(D1859:E1859)</f>
        <v>0</v>
      </c>
      <c r="G1859" s="3">
        <f>parking_demand_data_2024_ver0!F1859</f>
        <v>0</v>
      </c>
      <c r="H1859" s="3">
        <f>parking_demand_data_2024_ver0!G1859</f>
        <v>0</v>
      </c>
      <c r="I1859" s="3">
        <f>parking_demand_data_2024_ver0!H1859</f>
        <v>0</v>
      </c>
      <c r="J1859" s="3">
        <f>parking_demand_data_2024_ver0!I1859</f>
        <v>0</v>
      </c>
      <c r="K1859" s="3">
        <f>parking_demand_data_2024_ver0!J1859</f>
        <v>0</v>
      </c>
      <c r="L1859" s="3">
        <f>parking_demand_data_2024_ver0!K1859</f>
        <v>0</v>
      </c>
      <c r="M1859" s="3">
        <f>parking_demand_data_2024_ver0!L1859</f>
        <v>0</v>
      </c>
      <c r="N1859" s="3">
        <f>parking_demand_data_2024_ver0!M1859</f>
        <v>0</v>
      </c>
      <c r="O1859" s="3">
        <f>parking_demand_data_2024_ver0!N1859</f>
        <v>0</v>
      </c>
      <c r="P1859" s="3">
        <f>parking_demand_data_2024_ver0!O1859</f>
        <v>0</v>
      </c>
      <c r="Q1859" s="3">
        <f>parking_demand_data_2024_ver0!P1859</f>
        <v>0</v>
      </c>
      <c r="R1859" s="3">
        <f>parking_demand_data_2024_ver0!Q1859</f>
        <v>0</v>
      </c>
      <c r="S1859" s="3">
        <f>parking_demand_data_2024_ver0!R1859</f>
        <v>0</v>
      </c>
      <c r="T1859" s="3">
        <f>parking_demand_data_2024_ver0!S1859</f>
        <v>0</v>
      </c>
    </row>
    <row r="1860" spans="1:20" x14ac:dyDescent="0.25">
      <c r="A1860">
        <v>18155</v>
      </c>
      <c r="B1860" t="s">
        <v>106</v>
      </c>
      <c r="C1860">
        <v>10</v>
      </c>
      <c r="D1860" s="3">
        <f>parking_demand_data_2024_ver0!D1860*calibration!$I$31</f>
        <v>0</v>
      </c>
      <c r="E1860" s="3">
        <f>parking_demand_data_2024_ver0!E1860*calibration!$I$31</f>
        <v>0</v>
      </c>
      <c r="F1860" s="3">
        <f t="shared" si="29"/>
        <v>0</v>
      </c>
      <c r="G1860" s="3">
        <f>parking_demand_data_2024_ver0!F1860</f>
        <v>0</v>
      </c>
      <c r="H1860" s="3">
        <f>parking_demand_data_2024_ver0!G1860</f>
        <v>0</v>
      </c>
      <c r="I1860" s="3">
        <f>parking_demand_data_2024_ver0!H1860</f>
        <v>0</v>
      </c>
      <c r="J1860" s="3">
        <f>parking_demand_data_2024_ver0!I1860</f>
        <v>0</v>
      </c>
      <c r="K1860" s="3">
        <f>parking_demand_data_2024_ver0!J1860</f>
        <v>0</v>
      </c>
      <c r="L1860" s="3">
        <f>parking_demand_data_2024_ver0!K1860</f>
        <v>0</v>
      </c>
      <c r="M1860" s="3">
        <f>parking_demand_data_2024_ver0!L1860</f>
        <v>0</v>
      </c>
      <c r="N1860" s="3">
        <f>parking_demand_data_2024_ver0!M1860</f>
        <v>0</v>
      </c>
      <c r="O1860" s="3">
        <f>parking_demand_data_2024_ver0!N1860</f>
        <v>0</v>
      </c>
      <c r="P1860" s="3">
        <f>parking_demand_data_2024_ver0!O1860</f>
        <v>0</v>
      </c>
      <c r="Q1860" s="3">
        <f>parking_demand_data_2024_ver0!P1860</f>
        <v>0</v>
      </c>
      <c r="R1860" s="3">
        <f>parking_demand_data_2024_ver0!Q1860</f>
        <v>0</v>
      </c>
      <c r="S1860" s="3">
        <f>parking_demand_data_2024_ver0!R1860</f>
        <v>0</v>
      </c>
      <c r="T1860" s="3">
        <f>parking_demand_data_2024_ver0!S1860</f>
        <v>0</v>
      </c>
    </row>
    <row r="1861" spans="1:20" x14ac:dyDescent="0.25">
      <c r="A1861">
        <v>18155</v>
      </c>
      <c r="B1861" t="s">
        <v>106</v>
      </c>
      <c r="C1861">
        <v>11</v>
      </c>
      <c r="D1861" s="3">
        <f>parking_demand_data_2024_ver0!D1861*calibration!$I$31</f>
        <v>0</v>
      </c>
      <c r="E1861" s="3">
        <f>parking_demand_data_2024_ver0!E1861*calibration!$I$31</f>
        <v>0</v>
      </c>
      <c r="F1861" s="3">
        <f t="shared" si="29"/>
        <v>0</v>
      </c>
      <c r="G1861" s="3">
        <f>parking_demand_data_2024_ver0!F1861</f>
        <v>0</v>
      </c>
      <c r="H1861" s="3">
        <f>parking_demand_data_2024_ver0!G1861</f>
        <v>0</v>
      </c>
      <c r="I1861" s="3">
        <f>parking_demand_data_2024_ver0!H1861</f>
        <v>0</v>
      </c>
      <c r="J1861" s="3">
        <f>parking_demand_data_2024_ver0!I1861</f>
        <v>0</v>
      </c>
      <c r="K1861" s="3">
        <f>parking_demand_data_2024_ver0!J1861</f>
        <v>0</v>
      </c>
      <c r="L1861" s="3">
        <f>parking_demand_data_2024_ver0!K1861</f>
        <v>0</v>
      </c>
      <c r="M1861" s="3">
        <f>parking_demand_data_2024_ver0!L1861</f>
        <v>0</v>
      </c>
      <c r="N1861" s="3">
        <f>parking_demand_data_2024_ver0!M1861</f>
        <v>0</v>
      </c>
      <c r="O1861" s="3">
        <f>parking_demand_data_2024_ver0!N1861</f>
        <v>0</v>
      </c>
      <c r="P1861" s="3">
        <f>parking_demand_data_2024_ver0!O1861</f>
        <v>0</v>
      </c>
      <c r="Q1861" s="3">
        <f>parking_demand_data_2024_ver0!P1861</f>
        <v>0</v>
      </c>
      <c r="R1861" s="3">
        <f>parking_demand_data_2024_ver0!Q1861</f>
        <v>0</v>
      </c>
      <c r="S1861" s="3">
        <f>parking_demand_data_2024_ver0!R1861</f>
        <v>0</v>
      </c>
      <c r="T1861" s="3">
        <f>parking_demand_data_2024_ver0!S1861</f>
        <v>0</v>
      </c>
    </row>
    <row r="1862" spans="1:20" x14ac:dyDescent="0.25">
      <c r="A1862">
        <v>18155</v>
      </c>
      <c r="B1862" t="s">
        <v>106</v>
      </c>
      <c r="C1862">
        <v>12</v>
      </c>
      <c r="D1862" s="3">
        <f>parking_demand_data_2024_ver0!D1862*calibration!$I$31</f>
        <v>0</v>
      </c>
      <c r="E1862" s="3">
        <f>parking_demand_data_2024_ver0!E1862*calibration!$I$31</f>
        <v>0</v>
      </c>
      <c r="F1862" s="3">
        <f t="shared" si="29"/>
        <v>0</v>
      </c>
      <c r="G1862" s="3">
        <f>parking_demand_data_2024_ver0!F1862</f>
        <v>0</v>
      </c>
      <c r="H1862" s="3">
        <f>parking_demand_data_2024_ver0!G1862</f>
        <v>0</v>
      </c>
      <c r="I1862" s="3">
        <f>parking_demand_data_2024_ver0!H1862</f>
        <v>0</v>
      </c>
      <c r="J1862" s="3">
        <f>parking_demand_data_2024_ver0!I1862</f>
        <v>0</v>
      </c>
      <c r="K1862" s="3">
        <f>parking_demand_data_2024_ver0!J1862</f>
        <v>0</v>
      </c>
      <c r="L1862" s="3">
        <f>parking_demand_data_2024_ver0!K1862</f>
        <v>0</v>
      </c>
      <c r="M1862" s="3">
        <f>parking_demand_data_2024_ver0!L1862</f>
        <v>0</v>
      </c>
      <c r="N1862" s="3">
        <f>parking_demand_data_2024_ver0!M1862</f>
        <v>0</v>
      </c>
      <c r="O1862" s="3">
        <f>parking_demand_data_2024_ver0!N1862</f>
        <v>0</v>
      </c>
      <c r="P1862" s="3">
        <f>parking_demand_data_2024_ver0!O1862</f>
        <v>0</v>
      </c>
      <c r="Q1862" s="3">
        <f>parking_demand_data_2024_ver0!P1862</f>
        <v>0</v>
      </c>
      <c r="R1862" s="3">
        <f>parking_demand_data_2024_ver0!Q1862</f>
        <v>0</v>
      </c>
      <c r="S1862" s="3">
        <f>parking_demand_data_2024_ver0!R1862</f>
        <v>0</v>
      </c>
      <c r="T1862" s="3">
        <f>parking_demand_data_2024_ver0!S1862</f>
        <v>0</v>
      </c>
    </row>
    <row r="1863" spans="1:20" x14ac:dyDescent="0.25">
      <c r="A1863">
        <v>18155</v>
      </c>
      <c r="B1863" t="s">
        <v>106</v>
      </c>
      <c r="C1863">
        <v>13</v>
      </c>
      <c r="D1863" s="3">
        <f>parking_demand_data_2024_ver0!D1863*calibration!$I$31</f>
        <v>0</v>
      </c>
      <c r="E1863" s="3">
        <f>parking_demand_data_2024_ver0!E1863*calibration!$I$31</f>
        <v>0</v>
      </c>
      <c r="F1863" s="3">
        <f t="shared" si="29"/>
        <v>0</v>
      </c>
      <c r="G1863" s="3">
        <f>parking_demand_data_2024_ver0!F1863</f>
        <v>0</v>
      </c>
      <c r="H1863" s="3">
        <f>parking_demand_data_2024_ver0!G1863</f>
        <v>0</v>
      </c>
      <c r="I1863" s="3">
        <f>parking_demand_data_2024_ver0!H1863</f>
        <v>0</v>
      </c>
      <c r="J1863" s="3">
        <f>parking_demand_data_2024_ver0!I1863</f>
        <v>0</v>
      </c>
      <c r="K1863" s="3">
        <f>parking_demand_data_2024_ver0!J1863</f>
        <v>0</v>
      </c>
      <c r="L1863" s="3">
        <f>parking_demand_data_2024_ver0!K1863</f>
        <v>0</v>
      </c>
      <c r="M1863" s="3">
        <f>parking_demand_data_2024_ver0!L1863</f>
        <v>0</v>
      </c>
      <c r="N1863" s="3">
        <f>parking_demand_data_2024_ver0!M1863</f>
        <v>0</v>
      </c>
      <c r="O1863" s="3">
        <f>parking_demand_data_2024_ver0!N1863</f>
        <v>0</v>
      </c>
      <c r="P1863" s="3">
        <f>parking_demand_data_2024_ver0!O1863</f>
        <v>0</v>
      </c>
      <c r="Q1863" s="3">
        <f>parking_demand_data_2024_ver0!P1863</f>
        <v>0</v>
      </c>
      <c r="R1863" s="3">
        <f>parking_demand_data_2024_ver0!Q1863</f>
        <v>0</v>
      </c>
      <c r="S1863" s="3">
        <f>parking_demand_data_2024_ver0!R1863</f>
        <v>0</v>
      </c>
      <c r="T1863" s="3">
        <f>parking_demand_data_2024_ver0!S1863</f>
        <v>0</v>
      </c>
    </row>
    <row r="1864" spans="1:20" x14ac:dyDescent="0.25">
      <c r="A1864">
        <v>18155</v>
      </c>
      <c r="B1864" t="s">
        <v>106</v>
      </c>
      <c r="C1864">
        <v>14</v>
      </c>
      <c r="D1864" s="3">
        <f>parking_demand_data_2024_ver0!D1864*calibration!$I$31</f>
        <v>0</v>
      </c>
      <c r="E1864" s="3">
        <f>parking_demand_data_2024_ver0!E1864*calibration!$I$31</f>
        <v>0</v>
      </c>
      <c r="F1864" s="3">
        <f t="shared" si="29"/>
        <v>0</v>
      </c>
      <c r="G1864" s="3">
        <f>parking_demand_data_2024_ver0!F1864</f>
        <v>0</v>
      </c>
      <c r="H1864" s="3">
        <f>parking_demand_data_2024_ver0!G1864</f>
        <v>0</v>
      </c>
      <c r="I1864" s="3">
        <f>parking_demand_data_2024_ver0!H1864</f>
        <v>0</v>
      </c>
      <c r="J1864" s="3">
        <f>parking_demand_data_2024_ver0!I1864</f>
        <v>0</v>
      </c>
      <c r="K1864" s="3">
        <f>parking_demand_data_2024_ver0!J1864</f>
        <v>0</v>
      </c>
      <c r="L1864" s="3">
        <f>parking_demand_data_2024_ver0!K1864</f>
        <v>0</v>
      </c>
      <c r="M1864" s="3">
        <f>parking_demand_data_2024_ver0!L1864</f>
        <v>0</v>
      </c>
      <c r="N1864" s="3">
        <f>parking_demand_data_2024_ver0!M1864</f>
        <v>0</v>
      </c>
      <c r="O1864" s="3">
        <f>parking_demand_data_2024_ver0!N1864</f>
        <v>0</v>
      </c>
      <c r="P1864" s="3">
        <f>parking_demand_data_2024_ver0!O1864</f>
        <v>0</v>
      </c>
      <c r="Q1864" s="3">
        <f>parking_demand_data_2024_ver0!P1864</f>
        <v>0</v>
      </c>
      <c r="R1864" s="3">
        <f>parking_demand_data_2024_ver0!Q1864</f>
        <v>0</v>
      </c>
      <c r="S1864" s="3">
        <f>parking_demand_data_2024_ver0!R1864</f>
        <v>0</v>
      </c>
      <c r="T1864" s="3">
        <f>parking_demand_data_2024_ver0!S1864</f>
        <v>0</v>
      </c>
    </row>
    <row r="1865" spans="1:20" x14ac:dyDescent="0.25">
      <c r="A1865">
        <v>18155</v>
      </c>
      <c r="B1865" t="s">
        <v>106</v>
      </c>
      <c r="C1865">
        <v>15</v>
      </c>
      <c r="D1865" s="3">
        <f>parking_demand_data_2024_ver0!D1865*calibration!$I$31</f>
        <v>0</v>
      </c>
      <c r="E1865" s="3">
        <f>parking_demand_data_2024_ver0!E1865*calibration!$I$31</f>
        <v>0</v>
      </c>
      <c r="F1865" s="3">
        <f t="shared" si="29"/>
        <v>0</v>
      </c>
      <c r="G1865" s="3">
        <f>parking_demand_data_2024_ver0!F1865</f>
        <v>0</v>
      </c>
      <c r="H1865" s="3">
        <f>parking_demand_data_2024_ver0!G1865</f>
        <v>0</v>
      </c>
      <c r="I1865" s="3">
        <f>parking_demand_data_2024_ver0!H1865</f>
        <v>0</v>
      </c>
      <c r="J1865" s="3">
        <f>parking_demand_data_2024_ver0!I1865</f>
        <v>0</v>
      </c>
      <c r="K1865" s="3">
        <f>parking_demand_data_2024_ver0!J1865</f>
        <v>0</v>
      </c>
      <c r="L1865" s="3">
        <f>parking_demand_data_2024_ver0!K1865</f>
        <v>0</v>
      </c>
      <c r="M1865" s="3">
        <f>parking_demand_data_2024_ver0!L1865</f>
        <v>0</v>
      </c>
      <c r="N1865" s="3">
        <f>parking_demand_data_2024_ver0!M1865</f>
        <v>0</v>
      </c>
      <c r="O1865" s="3">
        <f>parking_demand_data_2024_ver0!N1865</f>
        <v>0</v>
      </c>
      <c r="P1865" s="3">
        <f>parking_demand_data_2024_ver0!O1865</f>
        <v>0</v>
      </c>
      <c r="Q1865" s="3">
        <f>parking_demand_data_2024_ver0!P1865</f>
        <v>0</v>
      </c>
      <c r="R1865" s="3">
        <f>parking_demand_data_2024_ver0!Q1865</f>
        <v>0</v>
      </c>
      <c r="S1865" s="3">
        <f>parking_demand_data_2024_ver0!R1865</f>
        <v>0</v>
      </c>
      <c r="T1865" s="3">
        <f>parking_demand_data_2024_ver0!S1865</f>
        <v>0</v>
      </c>
    </row>
    <row r="1866" spans="1:20" x14ac:dyDescent="0.25">
      <c r="A1866">
        <v>18155</v>
      </c>
      <c r="B1866" t="s">
        <v>106</v>
      </c>
      <c r="C1866">
        <v>16</v>
      </c>
      <c r="D1866" s="3">
        <f>parking_demand_data_2024_ver0!D1866*calibration!$I$31</f>
        <v>0</v>
      </c>
      <c r="E1866" s="3">
        <f>parking_demand_data_2024_ver0!E1866*calibration!$I$31</f>
        <v>0</v>
      </c>
      <c r="F1866" s="3">
        <f t="shared" si="29"/>
        <v>0</v>
      </c>
      <c r="G1866" s="3">
        <f>parking_demand_data_2024_ver0!F1866</f>
        <v>0</v>
      </c>
      <c r="H1866" s="3">
        <f>parking_demand_data_2024_ver0!G1866</f>
        <v>0</v>
      </c>
      <c r="I1866" s="3">
        <f>parking_demand_data_2024_ver0!H1866</f>
        <v>0</v>
      </c>
      <c r="J1866" s="3">
        <f>parking_demand_data_2024_ver0!I1866</f>
        <v>0</v>
      </c>
      <c r="K1866" s="3">
        <f>parking_demand_data_2024_ver0!J1866</f>
        <v>0</v>
      </c>
      <c r="L1866" s="3">
        <f>parking_demand_data_2024_ver0!K1866</f>
        <v>0</v>
      </c>
      <c r="M1866" s="3">
        <f>parking_demand_data_2024_ver0!L1866</f>
        <v>0</v>
      </c>
      <c r="N1866" s="3">
        <f>parking_demand_data_2024_ver0!M1866</f>
        <v>0</v>
      </c>
      <c r="O1866" s="3">
        <f>parking_demand_data_2024_ver0!N1866</f>
        <v>0</v>
      </c>
      <c r="P1866" s="3">
        <f>parking_demand_data_2024_ver0!O1866</f>
        <v>0</v>
      </c>
      <c r="Q1866" s="3">
        <f>parking_demand_data_2024_ver0!P1866</f>
        <v>0</v>
      </c>
      <c r="R1866" s="3">
        <f>parking_demand_data_2024_ver0!Q1866</f>
        <v>0</v>
      </c>
      <c r="S1866" s="3">
        <f>parking_demand_data_2024_ver0!R1866</f>
        <v>0</v>
      </c>
      <c r="T1866" s="3">
        <f>parking_demand_data_2024_ver0!S1866</f>
        <v>0</v>
      </c>
    </row>
    <row r="1867" spans="1:20" x14ac:dyDescent="0.25">
      <c r="A1867">
        <v>18155</v>
      </c>
      <c r="B1867" t="s">
        <v>106</v>
      </c>
      <c r="C1867">
        <v>17</v>
      </c>
      <c r="D1867" s="3">
        <f>parking_demand_data_2024_ver0!D1867*calibration!$I$31</f>
        <v>0</v>
      </c>
      <c r="E1867" s="3">
        <f>parking_demand_data_2024_ver0!E1867*calibration!$I$31</f>
        <v>0</v>
      </c>
      <c r="F1867" s="3">
        <f t="shared" si="29"/>
        <v>0</v>
      </c>
      <c r="G1867" s="3">
        <f>parking_demand_data_2024_ver0!F1867</f>
        <v>0</v>
      </c>
      <c r="H1867" s="3">
        <f>parking_demand_data_2024_ver0!G1867</f>
        <v>0</v>
      </c>
      <c r="I1867" s="3">
        <f>parking_demand_data_2024_ver0!H1867</f>
        <v>0</v>
      </c>
      <c r="J1867" s="3">
        <f>parking_demand_data_2024_ver0!I1867</f>
        <v>0</v>
      </c>
      <c r="K1867" s="3">
        <f>parking_demand_data_2024_ver0!J1867</f>
        <v>0</v>
      </c>
      <c r="L1867" s="3">
        <f>parking_demand_data_2024_ver0!K1867</f>
        <v>0</v>
      </c>
      <c r="M1867" s="3">
        <f>parking_demand_data_2024_ver0!L1867</f>
        <v>0</v>
      </c>
      <c r="N1867" s="3">
        <f>parking_demand_data_2024_ver0!M1867</f>
        <v>0</v>
      </c>
      <c r="O1867" s="3">
        <f>parking_demand_data_2024_ver0!N1867</f>
        <v>0</v>
      </c>
      <c r="P1867" s="3">
        <f>parking_demand_data_2024_ver0!O1867</f>
        <v>0</v>
      </c>
      <c r="Q1867" s="3">
        <f>parking_demand_data_2024_ver0!P1867</f>
        <v>0</v>
      </c>
      <c r="R1867" s="3">
        <f>parking_demand_data_2024_ver0!Q1867</f>
        <v>0</v>
      </c>
      <c r="S1867" s="3">
        <f>parking_demand_data_2024_ver0!R1867</f>
        <v>0</v>
      </c>
      <c r="T1867" s="3">
        <f>parking_demand_data_2024_ver0!S1867</f>
        <v>0</v>
      </c>
    </row>
    <row r="1868" spans="1:20" x14ac:dyDescent="0.25">
      <c r="A1868">
        <v>18155</v>
      </c>
      <c r="B1868" t="s">
        <v>106</v>
      </c>
      <c r="C1868">
        <v>18</v>
      </c>
      <c r="D1868" s="3">
        <f>parking_demand_data_2024_ver0!D1868*calibration!$I$31</f>
        <v>0</v>
      </c>
      <c r="E1868" s="3">
        <f>parking_demand_data_2024_ver0!E1868*calibration!$I$31</f>
        <v>0</v>
      </c>
      <c r="F1868" s="3">
        <f t="shared" si="29"/>
        <v>0</v>
      </c>
      <c r="G1868" s="3">
        <f>parking_demand_data_2024_ver0!F1868</f>
        <v>0</v>
      </c>
      <c r="H1868" s="3">
        <f>parking_demand_data_2024_ver0!G1868</f>
        <v>0</v>
      </c>
      <c r="I1868" s="3">
        <f>parking_demand_data_2024_ver0!H1868</f>
        <v>0</v>
      </c>
      <c r="J1868" s="3">
        <f>parking_demand_data_2024_ver0!I1868</f>
        <v>0</v>
      </c>
      <c r="K1868" s="3">
        <f>parking_demand_data_2024_ver0!J1868</f>
        <v>0</v>
      </c>
      <c r="L1868" s="3">
        <f>parking_demand_data_2024_ver0!K1868</f>
        <v>0</v>
      </c>
      <c r="M1868" s="3">
        <f>parking_demand_data_2024_ver0!L1868</f>
        <v>0</v>
      </c>
      <c r="N1868" s="3">
        <f>parking_demand_data_2024_ver0!M1868</f>
        <v>0</v>
      </c>
      <c r="O1868" s="3">
        <f>parking_demand_data_2024_ver0!N1868</f>
        <v>0</v>
      </c>
      <c r="P1868" s="3">
        <f>parking_demand_data_2024_ver0!O1868</f>
        <v>0</v>
      </c>
      <c r="Q1868" s="3">
        <f>parking_demand_data_2024_ver0!P1868</f>
        <v>0</v>
      </c>
      <c r="R1868" s="3">
        <f>parking_demand_data_2024_ver0!Q1868</f>
        <v>0</v>
      </c>
      <c r="S1868" s="3">
        <f>parking_demand_data_2024_ver0!R1868</f>
        <v>0</v>
      </c>
      <c r="T1868" s="3">
        <f>parking_demand_data_2024_ver0!S1868</f>
        <v>0</v>
      </c>
    </row>
    <row r="1869" spans="1:20" x14ac:dyDescent="0.25">
      <c r="A1869">
        <v>18155</v>
      </c>
      <c r="B1869" t="s">
        <v>106</v>
      </c>
      <c r="C1869">
        <v>19</v>
      </c>
      <c r="D1869" s="3">
        <f>parking_demand_data_2024_ver0!D1869*calibration!$I$31</f>
        <v>0</v>
      </c>
      <c r="E1869" s="3">
        <f>parking_demand_data_2024_ver0!E1869*calibration!$I$31</f>
        <v>0</v>
      </c>
      <c r="F1869" s="3">
        <f t="shared" si="29"/>
        <v>0</v>
      </c>
      <c r="G1869" s="3">
        <f>parking_demand_data_2024_ver0!F1869</f>
        <v>0</v>
      </c>
      <c r="H1869" s="3">
        <f>parking_demand_data_2024_ver0!G1869</f>
        <v>0</v>
      </c>
      <c r="I1869" s="3">
        <f>parking_demand_data_2024_ver0!H1869</f>
        <v>0</v>
      </c>
      <c r="J1869" s="3">
        <f>parking_demand_data_2024_ver0!I1869</f>
        <v>0</v>
      </c>
      <c r="K1869" s="3">
        <f>parking_demand_data_2024_ver0!J1869</f>
        <v>0</v>
      </c>
      <c r="L1869" s="3">
        <f>parking_demand_data_2024_ver0!K1869</f>
        <v>0</v>
      </c>
      <c r="M1869" s="3">
        <f>parking_demand_data_2024_ver0!L1869</f>
        <v>0</v>
      </c>
      <c r="N1869" s="3">
        <f>parking_demand_data_2024_ver0!M1869</f>
        <v>0</v>
      </c>
      <c r="O1869" s="3">
        <f>parking_demand_data_2024_ver0!N1869</f>
        <v>0</v>
      </c>
      <c r="P1869" s="3">
        <f>parking_demand_data_2024_ver0!O1869</f>
        <v>0</v>
      </c>
      <c r="Q1869" s="3">
        <f>parking_demand_data_2024_ver0!P1869</f>
        <v>0</v>
      </c>
      <c r="R1869" s="3">
        <f>parking_demand_data_2024_ver0!Q1869</f>
        <v>0</v>
      </c>
      <c r="S1869" s="3">
        <f>parking_demand_data_2024_ver0!R1869</f>
        <v>0</v>
      </c>
      <c r="T1869" s="3">
        <f>parking_demand_data_2024_ver0!S1869</f>
        <v>0</v>
      </c>
    </row>
    <row r="1870" spans="1:20" x14ac:dyDescent="0.25">
      <c r="A1870">
        <v>18155</v>
      </c>
      <c r="B1870" t="s">
        <v>106</v>
      </c>
      <c r="C1870">
        <v>20</v>
      </c>
      <c r="D1870" s="3">
        <f>parking_demand_data_2024_ver0!D1870*calibration!$I$31</f>
        <v>0</v>
      </c>
      <c r="E1870" s="3">
        <f>parking_demand_data_2024_ver0!E1870*calibration!$I$31</f>
        <v>0</v>
      </c>
      <c r="F1870" s="3">
        <f t="shared" si="29"/>
        <v>0</v>
      </c>
      <c r="G1870" s="3">
        <f>parking_demand_data_2024_ver0!F1870</f>
        <v>0</v>
      </c>
      <c r="H1870" s="3">
        <f>parking_demand_data_2024_ver0!G1870</f>
        <v>0</v>
      </c>
      <c r="I1870" s="3">
        <f>parking_demand_data_2024_ver0!H1870</f>
        <v>0</v>
      </c>
      <c r="J1870" s="3">
        <f>parking_demand_data_2024_ver0!I1870</f>
        <v>0</v>
      </c>
      <c r="K1870" s="3">
        <f>parking_demand_data_2024_ver0!J1870</f>
        <v>0</v>
      </c>
      <c r="L1870" s="3">
        <f>parking_demand_data_2024_ver0!K1870</f>
        <v>0</v>
      </c>
      <c r="M1870" s="3">
        <f>parking_demand_data_2024_ver0!L1870</f>
        <v>0</v>
      </c>
      <c r="N1870" s="3">
        <f>parking_demand_data_2024_ver0!M1870</f>
        <v>0</v>
      </c>
      <c r="O1870" s="3">
        <f>parking_demand_data_2024_ver0!N1870</f>
        <v>0</v>
      </c>
      <c r="P1870" s="3">
        <f>parking_demand_data_2024_ver0!O1870</f>
        <v>0</v>
      </c>
      <c r="Q1870" s="3">
        <f>parking_demand_data_2024_ver0!P1870</f>
        <v>0</v>
      </c>
      <c r="R1870" s="3">
        <f>parking_demand_data_2024_ver0!Q1870</f>
        <v>0</v>
      </c>
      <c r="S1870" s="3">
        <f>parking_demand_data_2024_ver0!R1870</f>
        <v>0</v>
      </c>
      <c r="T1870" s="3">
        <f>parking_demand_data_2024_ver0!S1870</f>
        <v>0</v>
      </c>
    </row>
    <row r="1871" spans="1:20" x14ac:dyDescent="0.25">
      <c r="A1871">
        <v>18155</v>
      </c>
      <c r="B1871" t="s">
        <v>106</v>
      </c>
      <c r="C1871">
        <v>21</v>
      </c>
      <c r="D1871" s="3">
        <f>parking_demand_data_2024_ver0!D1871*calibration!$I$31</f>
        <v>0</v>
      </c>
      <c r="E1871" s="3">
        <f>parking_demand_data_2024_ver0!E1871*calibration!$I$31</f>
        <v>0</v>
      </c>
      <c r="F1871" s="3">
        <f t="shared" si="29"/>
        <v>0</v>
      </c>
      <c r="G1871" s="3">
        <f>parking_demand_data_2024_ver0!F1871</f>
        <v>0</v>
      </c>
      <c r="H1871" s="3">
        <f>parking_demand_data_2024_ver0!G1871</f>
        <v>0</v>
      </c>
      <c r="I1871" s="3">
        <f>parking_demand_data_2024_ver0!H1871</f>
        <v>0</v>
      </c>
      <c r="J1871" s="3">
        <f>parking_demand_data_2024_ver0!I1871</f>
        <v>0</v>
      </c>
      <c r="K1871" s="3">
        <f>parking_demand_data_2024_ver0!J1871</f>
        <v>0</v>
      </c>
      <c r="L1871" s="3">
        <f>parking_demand_data_2024_ver0!K1871</f>
        <v>0</v>
      </c>
      <c r="M1871" s="3">
        <f>parking_demand_data_2024_ver0!L1871</f>
        <v>0</v>
      </c>
      <c r="N1871" s="3">
        <f>parking_demand_data_2024_ver0!M1871</f>
        <v>0</v>
      </c>
      <c r="O1871" s="3">
        <f>parking_demand_data_2024_ver0!N1871</f>
        <v>0</v>
      </c>
      <c r="P1871" s="3">
        <f>parking_demand_data_2024_ver0!O1871</f>
        <v>0</v>
      </c>
      <c r="Q1871" s="3">
        <f>parking_demand_data_2024_ver0!P1871</f>
        <v>0</v>
      </c>
      <c r="R1871" s="3">
        <f>parking_demand_data_2024_ver0!Q1871</f>
        <v>0</v>
      </c>
      <c r="S1871" s="3">
        <f>parking_demand_data_2024_ver0!R1871</f>
        <v>0</v>
      </c>
      <c r="T1871" s="3">
        <f>parking_demand_data_2024_ver0!S1871</f>
        <v>0</v>
      </c>
    </row>
    <row r="1872" spans="1:20" x14ac:dyDescent="0.25">
      <c r="A1872">
        <v>18155</v>
      </c>
      <c r="B1872" t="s">
        <v>106</v>
      </c>
      <c r="C1872">
        <v>22</v>
      </c>
      <c r="D1872" s="3">
        <f>parking_demand_data_2024_ver0!D1872*calibration!$I$31</f>
        <v>0</v>
      </c>
      <c r="E1872" s="3">
        <f>parking_demand_data_2024_ver0!E1872*calibration!$I$31</f>
        <v>0</v>
      </c>
      <c r="F1872" s="3">
        <f t="shared" si="29"/>
        <v>0</v>
      </c>
      <c r="G1872" s="3">
        <f>parking_demand_data_2024_ver0!F1872</f>
        <v>0</v>
      </c>
      <c r="H1872" s="3">
        <f>parking_demand_data_2024_ver0!G1872</f>
        <v>0</v>
      </c>
      <c r="I1872" s="3">
        <f>parking_demand_data_2024_ver0!H1872</f>
        <v>0</v>
      </c>
      <c r="J1872" s="3">
        <f>parking_demand_data_2024_ver0!I1872</f>
        <v>0</v>
      </c>
      <c r="K1872" s="3">
        <f>parking_demand_data_2024_ver0!J1872</f>
        <v>0</v>
      </c>
      <c r="L1872" s="3">
        <f>parking_demand_data_2024_ver0!K1872</f>
        <v>0</v>
      </c>
      <c r="M1872" s="3">
        <f>parking_demand_data_2024_ver0!L1872</f>
        <v>0</v>
      </c>
      <c r="N1872" s="3">
        <f>parking_demand_data_2024_ver0!M1872</f>
        <v>0</v>
      </c>
      <c r="O1872" s="3">
        <f>parking_demand_data_2024_ver0!N1872</f>
        <v>0</v>
      </c>
      <c r="P1872" s="3">
        <f>parking_demand_data_2024_ver0!O1872</f>
        <v>0</v>
      </c>
      <c r="Q1872" s="3">
        <f>parking_demand_data_2024_ver0!P1872</f>
        <v>0</v>
      </c>
      <c r="R1872" s="3">
        <f>parking_demand_data_2024_ver0!Q1872</f>
        <v>0</v>
      </c>
      <c r="S1872" s="3">
        <f>parking_demand_data_2024_ver0!R1872</f>
        <v>0</v>
      </c>
      <c r="T1872" s="3">
        <f>parking_demand_data_2024_ver0!S1872</f>
        <v>0</v>
      </c>
    </row>
    <row r="1873" spans="1:20" x14ac:dyDescent="0.25">
      <c r="A1873">
        <v>18155</v>
      </c>
      <c r="B1873" t="s">
        <v>106</v>
      </c>
      <c r="C1873">
        <v>23</v>
      </c>
      <c r="D1873" s="3">
        <f>parking_demand_data_2024_ver0!D1873*calibration!$I$31</f>
        <v>0</v>
      </c>
      <c r="E1873" s="3">
        <f>parking_demand_data_2024_ver0!E1873*calibration!$I$31</f>
        <v>0</v>
      </c>
      <c r="F1873" s="3">
        <f t="shared" si="29"/>
        <v>0</v>
      </c>
      <c r="G1873" s="3">
        <f>parking_demand_data_2024_ver0!F1873</f>
        <v>0</v>
      </c>
      <c r="H1873" s="3">
        <f>parking_demand_data_2024_ver0!G1873</f>
        <v>0</v>
      </c>
      <c r="I1873" s="3">
        <f>parking_demand_data_2024_ver0!H1873</f>
        <v>0</v>
      </c>
      <c r="J1873" s="3">
        <f>parking_demand_data_2024_ver0!I1873</f>
        <v>0</v>
      </c>
      <c r="K1873" s="3">
        <f>parking_demand_data_2024_ver0!J1873</f>
        <v>0</v>
      </c>
      <c r="L1873" s="3">
        <f>parking_demand_data_2024_ver0!K1873</f>
        <v>0</v>
      </c>
      <c r="M1873" s="3">
        <f>parking_demand_data_2024_ver0!L1873</f>
        <v>0</v>
      </c>
      <c r="N1873" s="3">
        <f>parking_demand_data_2024_ver0!M1873</f>
        <v>0</v>
      </c>
      <c r="O1873" s="3">
        <f>parking_demand_data_2024_ver0!N1873</f>
        <v>0</v>
      </c>
      <c r="P1873" s="3">
        <f>parking_demand_data_2024_ver0!O1873</f>
        <v>0</v>
      </c>
      <c r="Q1873" s="3">
        <f>parking_demand_data_2024_ver0!P1873</f>
        <v>0</v>
      </c>
      <c r="R1873" s="3">
        <f>parking_demand_data_2024_ver0!Q1873</f>
        <v>0</v>
      </c>
      <c r="S1873" s="3">
        <f>parking_demand_data_2024_ver0!R1873</f>
        <v>0</v>
      </c>
      <c r="T1873" s="3">
        <f>parking_demand_data_2024_ver0!S1873</f>
        <v>0</v>
      </c>
    </row>
    <row r="1874" spans="1:20" x14ac:dyDescent="0.25">
      <c r="A1874">
        <v>18157</v>
      </c>
      <c r="B1874" t="s">
        <v>107</v>
      </c>
      <c r="C1874">
        <v>0</v>
      </c>
      <c r="D1874" s="3">
        <f>parking_demand_data_2024_ver0!D1874*calibration!$I$31</f>
        <v>103.22995951417001</v>
      </c>
      <c r="E1874" s="3">
        <f>parking_demand_data_2024_ver0!E1874*calibration!$I$31</f>
        <v>14.4564777327935</v>
      </c>
      <c r="F1874" s="3">
        <f t="shared" si="29"/>
        <v>117.68643724696351</v>
      </c>
      <c r="G1874" s="3">
        <f>parking_demand_data_2024_ver0!F1874</f>
        <v>3</v>
      </c>
      <c r="H1874" s="3">
        <f>parking_demand_data_2024_ver0!G1874</f>
        <v>0</v>
      </c>
      <c r="I1874" s="3">
        <f>parking_demand_data_2024_ver0!H1874</f>
        <v>1</v>
      </c>
      <c r="J1874" s="3">
        <f>parking_demand_data_2024_ver0!I1874</f>
        <v>2</v>
      </c>
      <c r="K1874" s="3">
        <f>parking_demand_data_2024_ver0!J1874</f>
        <v>0</v>
      </c>
      <c r="L1874" s="3">
        <f>parking_demand_data_2024_ver0!K1874</f>
        <v>0</v>
      </c>
      <c r="M1874" s="3">
        <f>parking_demand_data_2024_ver0!L1874</f>
        <v>0</v>
      </c>
      <c r="N1874" s="3">
        <f>parking_demand_data_2024_ver0!M1874</f>
        <v>92</v>
      </c>
      <c r="O1874" s="3">
        <f>parking_demand_data_2024_ver0!N1874</f>
        <v>0</v>
      </c>
      <c r="P1874" s="3">
        <f>parking_demand_data_2024_ver0!O1874</f>
        <v>64</v>
      </c>
      <c r="Q1874" s="3">
        <f>parking_demand_data_2024_ver0!P1874</f>
        <v>28</v>
      </c>
      <c r="R1874" s="3">
        <f>parking_demand_data_2024_ver0!Q1874</f>
        <v>0</v>
      </c>
      <c r="S1874" s="3">
        <f>parking_demand_data_2024_ver0!R1874</f>
        <v>0</v>
      </c>
      <c r="T1874" s="3">
        <f>parking_demand_data_2024_ver0!S1874</f>
        <v>0</v>
      </c>
    </row>
    <row r="1875" spans="1:20" x14ac:dyDescent="0.25">
      <c r="A1875">
        <v>18157</v>
      </c>
      <c r="B1875" t="s">
        <v>107</v>
      </c>
      <c r="C1875">
        <v>1</v>
      </c>
      <c r="D1875" s="3">
        <f>parking_demand_data_2024_ver0!D1875*calibration!$I$31</f>
        <v>103.908164642375</v>
      </c>
      <c r="E1875" s="3">
        <f>parking_demand_data_2024_ver0!E1875*calibration!$I$31</f>
        <v>16.276923076923001</v>
      </c>
      <c r="F1875" s="3">
        <f t="shared" si="29"/>
        <v>120.185087719298</v>
      </c>
      <c r="G1875" s="3">
        <f>parking_demand_data_2024_ver0!F1875</f>
        <v>3</v>
      </c>
      <c r="H1875" s="3">
        <f>parking_demand_data_2024_ver0!G1875</f>
        <v>0</v>
      </c>
      <c r="I1875" s="3">
        <f>parking_demand_data_2024_ver0!H1875</f>
        <v>1</v>
      </c>
      <c r="J1875" s="3">
        <f>parking_demand_data_2024_ver0!I1875</f>
        <v>2</v>
      </c>
      <c r="K1875" s="3">
        <f>parking_demand_data_2024_ver0!J1875</f>
        <v>0</v>
      </c>
      <c r="L1875" s="3">
        <f>parking_demand_data_2024_ver0!K1875</f>
        <v>0</v>
      </c>
      <c r="M1875" s="3">
        <f>parking_demand_data_2024_ver0!L1875</f>
        <v>0</v>
      </c>
      <c r="N1875" s="3">
        <f>parking_demand_data_2024_ver0!M1875</f>
        <v>92</v>
      </c>
      <c r="O1875" s="3">
        <f>parking_demand_data_2024_ver0!N1875</f>
        <v>0</v>
      </c>
      <c r="P1875" s="3">
        <f>parking_demand_data_2024_ver0!O1875</f>
        <v>64</v>
      </c>
      <c r="Q1875" s="3">
        <f>parking_demand_data_2024_ver0!P1875</f>
        <v>28</v>
      </c>
      <c r="R1875" s="3">
        <f>parking_demand_data_2024_ver0!Q1875</f>
        <v>0</v>
      </c>
      <c r="S1875" s="3">
        <f>parking_demand_data_2024_ver0!R1875</f>
        <v>0</v>
      </c>
      <c r="T1875" s="3">
        <f>parking_demand_data_2024_ver0!S1875</f>
        <v>0</v>
      </c>
    </row>
    <row r="1876" spans="1:20" x14ac:dyDescent="0.25">
      <c r="A1876">
        <v>18157</v>
      </c>
      <c r="B1876" t="s">
        <v>107</v>
      </c>
      <c r="C1876">
        <v>2</v>
      </c>
      <c r="D1876" s="3">
        <f>parking_demand_data_2024_ver0!D1876*calibration!$I$31</f>
        <v>105.799999999999</v>
      </c>
      <c r="E1876" s="3">
        <f>parking_demand_data_2024_ver0!E1876*calibration!$I$31</f>
        <v>17.383468286099799</v>
      </c>
      <c r="F1876" s="3">
        <f t="shared" si="29"/>
        <v>123.1834682860988</v>
      </c>
      <c r="G1876" s="3">
        <f>parking_demand_data_2024_ver0!F1876</f>
        <v>3</v>
      </c>
      <c r="H1876" s="3">
        <f>parking_demand_data_2024_ver0!G1876</f>
        <v>0</v>
      </c>
      <c r="I1876" s="3">
        <f>parking_demand_data_2024_ver0!H1876</f>
        <v>1</v>
      </c>
      <c r="J1876" s="3">
        <f>parking_demand_data_2024_ver0!I1876</f>
        <v>2</v>
      </c>
      <c r="K1876" s="3">
        <f>parking_demand_data_2024_ver0!J1876</f>
        <v>0</v>
      </c>
      <c r="L1876" s="3">
        <f>parking_demand_data_2024_ver0!K1876</f>
        <v>0</v>
      </c>
      <c r="M1876" s="3">
        <f>parking_demand_data_2024_ver0!L1876</f>
        <v>0</v>
      </c>
      <c r="N1876" s="3">
        <f>parking_demand_data_2024_ver0!M1876</f>
        <v>92</v>
      </c>
      <c r="O1876" s="3">
        <f>parking_demand_data_2024_ver0!N1876</f>
        <v>0</v>
      </c>
      <c r="P1876" s="3">
        <f>parking_demand_data_2024_ver0!O1876</f>
        <v>64</v>
      </c>
      <c r="Q1876" s="3">
        <f>parking_demand_data_2024_ver0!P1876</f>
        <v>28</v>
      </c>
      <c r="R1876" s="3">
        <f>parking_demand_data_2024_ver0!Q1876</f>
        <v>0</v>
      </c>
      <c r="S1876" s="3">
        <f>parking_demand_data_2024_ver0!R1876</f>
        <v>0</v>
      </c>
      <c r="T1876" s="3">
        <f>parking_demand_data_2024_ver0!S1876</f>
        <v>0</v>
      </c>
    </row>
    <row r="1877" spans="1:20" x14ac:dyDescent="0.25">
      <c r="A1877">
        <v>18157</v>
      </c>
      <c r="B1877" t="s">
        <v>107</v>
      </c>
      <c r="C1877">
        <v>3</v>
      </c>
      <c r="D1877" s="3">
        <f>parking_demand_data_2024_ver0!D1877*calibration!$I$31</f>
        <v>103.22995951417001</v>
      </c>
      <c r="E1877" s="3">
        <f>parking_demand_data_2024_ver0!E1877*calibration!$I$31</f>
        <v>18.347233468285999</v>
      </c>
      <c r="F1877" s="3">
        <f t="shared" si="29"/>
        <v>121.57719298245601</v>
      </c>
      <c r="G1877" s="3">
        <f>parking_demand_data_2024_ver0!F1877</f>
        <v>3</v>
      </c>
      <c r="H1877" s="3">
        <f>parking_demand_data_2024_ver0!G1877</f>
        <v>0</v>
      </c>
      <c r="I1877" s="3">
        <f>parking_demand_data_2024_ver0!H1877</f>
        <v>1</v>
      </c>
      <c r="J1877" s="3">
        <f>parking_demand_data_2024_ver0!I1877</f>
        <v>2</v>
      </c>
      <c r="K1877" s="3">
        <f>parking_demand_data_2024_ver0!J1877</f>
        <v>0</v>
      </c>
      <c r="L1877" s="3">
        <f>parking_demand_data_2024_ver0!K1877</f>
        <v>0</v>
      </c>
      <c r="M1877" s="3">
        <f>parking_demand_data_2024_ver0!L1877</f>
        <v>0</v>
      </c>
      <c r="N1877" s="3">
        <f>parking_demand_data_2024_ver0!M1877</f>
        <v>92</v>
      </c>
      <c r="O1877" s="3">
        <f>parking_demand_data_2024_ver0!N1877</f>
        <v>0</v>
      </c>
      <c r="P1877" s="3">
        <f>parking_demand_data_2024_ver0!O1877</f>
        <v>64</v>
      </c>
      <c r="Q1877" s="3">
        <f>parking_demand_data_2024_ver0!P1877</f>
        <v>28</v>
      </c>
      <c r="R1877" s="3">
        <f>parking_demand_data_2024_ver0!Q1877</f>
        <v>0</v>
      </c>
      <c r="S1877" s="3">
        <f>parking_demand_data_2024_ver0!R1877</f>
        <v>0</v>
      </c>
      <c r="T1877" s="3">
        <f>parking_demand_data_2024_ver0!S1877</f>
        <v>0</v>
      </c>
    </row>
    <row r="1878" spans="1:20" x14ac:dyDescent="0.25">
      <c r="A1878">
        <v>18157</v>
      </c>
      <c r="B1878" t="s">
        <v>107</v>
      </c>
      <c r="C1878">
        <v>4</v>
      </c>
      <c r="D1878" s="3">
        <f>parking_demand_data_2024_ver0!D1878*calibration!$I$31</f>
        <v>98.625303643724607</v>
      </c>
      <c r="E1878" s="3">
        <f>parking_demand_data_2024_ver0!E1878*calibration!$I$31</f>
        <v>19.632253711200999</v>
      </c>
      <c r="F1878" s="3">
        <f t="shared" si="29"/>
        <v>118.25755735492561</v>
      </c>
      <c r="G1878" s="3">
        <f>parking_demand_data_2024_ver0!F1878</f>
        <v>3</v>
      </c>
      <c r="H1878" s="3">
        <f>parking_demand_data_2024_ver0!G1878</f>
        <v>0</v>
      </c>
      <c r="I1878" s="3">
        <f>parking_demand_data_2024_ver0!H1878</f>
        <v>1</v>
      </c>
      <c r="J1878" s="3">
        <f>parking_demand_data_2024_ver0!I1878</f>
        <v>2</v>
      </c>
      <c r="K1878" s="3">
        <f>parking_demand_data_2024_ver0!J1878</f>
        <v>0</v>
      </c>
      <c r="L1878" s="3">
        <f>parking_demand_data_2024_ver0!K1878</f>
        <v>0</v>
      </c>
      <c r="M1878" s="3">
        <f>parking_demand_data_2024_ver0!L1878</f>
        <v>0</v>
      </c>
      <c r="N1878" s="3">
        <f>parking_demand_data_2024_ver0!M1878</f>
        <v>92</v>
      </c>
      <c r="O1878" s="3">
        <f>parking_demand_data_2024_ver0!N1878</f>
        <v>0</v>
      </c>
      <c r="P1878" s="3">
        <f>parking_demand_data_2024_ver0!O1878</f>
        <v>64</v>
      </c>
      <c r="Q1878" s="3">
        <f>parking_demand_data_2024_ver0!P1878</f>
        <v>28</v>
      </c>
      <c r="R1878" s="3">
        <f>parking_demand_data_2024_ver0!Q1878</f>
        <v>0</v>
      </c>
      <c r="S1878" s="3">
        <f>parking_demand_data_2024_ver0!R1878</f>
        <v>0</v>
      </c>
      <c r="T1878" s="3">
        <f>parking_demand_data_2024_ver0!S1878</f>
        <v>0</v>
      </c>
    </row>
    <row r="1879" spans="1:20" x14ac:dyDescent="0.25">
      <c r="A1879">
        <v>18157</v>
      </c>
      <c r="B1879" t="s">
        <v>107</v>
      </c>
      <c r="C1879">
        <v>5</v>
      </c>
      <c r="D1879" s="3">
        <f>parking_demand_data_2024_ver0!D1879*calibration!$I$31</f>
        <v>92.450067476383197</v>
      </c>
      <c r="E1879" s="3">
        <f>parking_demand_data_2024_ver0!E1879*calibration!$I$31</f>
        <v>19.203913630229401</v>
      </c>
      <c r="F1879" s="3">
        <f t="shared" si="29"/>
        <v>111.6539811066126</v>
      </c>
      <c r="G1879" s="3">
        <f>parking_demand_data_2024_ver0!F1879</f>
        <v>3</v>
      </c>
      <c r="H1879" s="3">
        <f>parking_demand_data_2024_ver0!G1879</f>
        <v>0</v>
      </c>
      <c r="I1879" s="3">
        <f>parking_demand_data_2024_ver0!H1879</f>
        <v>1</v>
      </c>
      <c r="J1879" s="3">
        <f>parking_demand_data_2024_ver0!I1879</f>
        <v>2</v>
      </c>
      <c r="K1879" s="3">
        <f>parking_demand_data_2024_ver0!J1879</f>
        <v>0</v>
      </c>
      <c r="L1879" s="3">
        <f>parking_demand_data_2024_ver0!K1879</f>
        <v>0</v>
      </c>
      <c r="M1879" s="3">
        <f>parking_demand_data_2024_ver0!L1879</f>
        <v>0</v>
      </c>
      <c r="N1879" s="3">
        <f>parking_demand_data_2024_ver0!M1879</f>
        <v>92</v>
      </c>
      <c r="O1879" s="3">
        <f>parking_demand_data_2024_ver0!N1879</f>
        <v>0</v>
      </c>
      <c r="P1879" s="3">
        <f>parking_demand_data_2024_ver0!O1879</f>
        <v>64</v>
      </c>
      <c r="Q1879" s="3">
        <f>parking_demand_data_2024_ver0!P1879</f>
        <v>28</v>
      </c>
      <c r="R1879" s="3">
        <f>parking_demand_data_2024_ver0!Q1879</f>
        <v>0</v>
      </c>
      <c r="S1879" s="3">
        <f>parking_demand_data_2024_ver0!R1879</f>
        <v>0</v>
      </c>
      <c r="T1879" s="3">
        <f>parking_demand_data_2024_ver0!S1879</f>
        <v>0</v>
      </c>
    </row>
    <row r="1880" spans="1:20" x14ac:dyDescent="0.25">
      <c r="A1880">
        <v>18157</v>
      </c>
      <c r="B1880" t="s">
        <v>107</v>
      </c>
      <c r="C1880">
        <v>6</v>
      </c>
      <c r="D1880" s="3">
        <f>parking_demand_data_2024_ver0!D1880*calibration!$I$31</f>
        <v>85.489541160593703</v>
      </c>
      <c r="E1880" s="3">
        <f>parking_demand_data_2024_ver0!E1880*calibration!$I$31</f>
        <v>19.3109986504723</v>
      </c>
      <c r="F1880" s="3">
        <f t="shared" si="29"/>
        <v>104.800539811066</v>
      </c>
      <c r="G1880" s="3">
        <f>parking_demand_data_2024_ver0!F1880</f>
        <v>3</v>
      </c>
      <c r="H1880" s="3">
        <f>parking_demand_data_2024_ver0!G1880</f>
        <v>0</v>
      </c>
      <c r="I1880" s="3">
        <f>parking_demand_data_2024_ver0!H1880</f>
        <v>1</v>
      </c>
      <c r="J1880" s="3">
        <f>parking_demand_data_2024_ver0!I1880</f>
        <v>2</v>
      </c>
      <c r="K1880" s="3">
        <f>parking_demand_data_2024_ver0!J1880</f>
        <v>0</v>
      </c>
      <c r="L1880" s="3">
        <f>parking_demand_data_2024_ver0!K1880</f>
        <v>0</v>
      </c>
      <c r="M1880" s="3">
        <f>parking_demand_data_2024_ver0!L1880</f>
        <v>0</v>
      </c>
      <c r="N1880" s="3">
        <f>parking_demand_data_2024_ver0!M1880</f>
        <v>92</v>
      </c>
      <c r="O1880" s="3">
        <f>parking_demand_data_2024_ver0!N1880</f>
        <v>0</v>
      </c>
      <c r="P1880" s="3">
        <f>parking_demand_data_2024_ver0!O1880</f>
        <v>64</v>
      </c>
      <c r="Q1880" s="3">
        <f>parking_demand_data_2024_ver0!P1880</f>
        <v>28</v>
      </c>
      <c r="R1880" s="3">
        <f>parking_demand_data_2024_ver0!Q1880</f>
        <v>0</v>
      </c>
      <c r="S1880" s="3">
        <f>parking_demand_data_2024_ver0!R1880</f>
        <v>0</v>
      </c>
      <c r="T1880" s="3">
        <f>parking_demand_data_2024_ver0!S1880</f>
        <v>0</v>
      </c>
    </row>
    <row r="1881" spans="1:20" x14ac:dyDescent="0.25">
      <c r="A1881">
        <v>18157</v>
      </c>
      <c r="B1881" t="s">
        <v>107</v>
      </c>
      <c r="C1881">
        <v>7</v>
      </c>
      <c r="D1881" s="3">
        <f>parking_demand_data_2024_ver0!D1881*calibration!$I$31</f>
        <v>81.991430499325205</v>
      </c>
      <c r="E1881" s="3">
        <f>parking_demand_data_2024_ver0!E1881*calibration!$I$31</f>
        <v>17.740418353576199</v>
      </c>
      <c r="F1881" s="3">
        <f t="shared" si="29"/>
        <v>99.731848852901408</v>
      </c>
      <c r="G1881" s="3">
        <f>parking_demand_data_2024_ver0!F1881</f>
        <v>3</v>
      </c>
      <c r="H1881" s="3">
        <f>parking_demand_data_2024_ver0!G1881</f>
        <v>0</v>
      </c>
      <c r="I1881" s="3">
        <f>parking_demand_data_2024_ver0!H1881</f>
        <v>1</v>
      </c>
      <c r="J1881" s="3">
        <f>parking_demand_data_2024_ver0!I1881</f>
        <v>2</v>
      </c>
      <c r="K1881" s="3">
        <f>parking_demand_data_2024_ver0!J1881</f>
        <v>0</v>
      </c>
      <c r="L1881" s="3">
        <f>parking_demand_data_2024_ver0!K1881</f>
        <v>0</v>
      </c>
      <c r="M1881" s="3">
        <f>parking_demand_data_2024_ver0!L1881</f>
        <v>0</v>
      </c>
      <c r="N1881" s="3">
        <f>parking_demand_data_2024_ver0!M1881</f>
        <v>92</v>
      </c>
      <c r="O1881" s="3">
        <f>parking_demand_data_2024_ver0!N1881</f>
        <v>0</v>
      </c>
      <c r="P1881" s="3">
        <f>parking_demand_data_2024_ver0!O1881</f>
        <v>64</v>
      </c>
      <c r="Q1881" s="3">
        <f>parking_demand_data_2024_ver0!P1881</f>
        <v>28</v>
      </c>
      <c r="R1881" s="3">
        <f>parking_demand_data_2024_ver0!Q1881</f>
        <v>0</v>
      </c>
      <c r="S1881" s="3">
        <f>parking_demand_data_2024_ver0!R1881</f>
        <v>0</v>
      </c>
      <c r="T1881" s="3">
        <f>parking_demand_data_2024_ver0!S1881</f>
        <v>0</v>
      </c>
    </row>
    <row r="1882" spans="1:20" x14ac:dyDescent="0.25">
      <c r="A1882">
        <v>18157</v>
      </c>
      <c r="B1882" t="s">
        <v>107</v>
      </c>
      <c r="C1882">
        <v>8</v>
      </c>
      <c r="D1882" s="3">
        <f>parking_demand_data_2024_ver0!D1882*calibration!$I$31</f>
        <v>75.709109311740804</v>
      </c>
      <c r="E1882" s="3">
        <f>parking_demand_data_2024_ver0!E1882*calibration!$I$31</f>
        <v>15.384547908232101</v>
      </c>
      <c r="F1882" s="3">
        <f t="shared" si="29"/>
        <v>91.093657219972897</v>
      </c>
      <c r="G1882" s="3">
        <f>parking_demand_data_2024_ver0!F1882</f>
        <v>3</v>
      </c>
      <c r="H1882" s="3">
        <f>parking_demand_data_2024_ver0!G1882</f>
        <v>0</v>
      </c>
      <c r="I1882" s="3">
        <f>parking_demand_data_2024_ver0!H1882</f>
        <v>1</v>
      </c>
      <c r="J1882" s="3">
        <f>parking_demand_data_2024_ver0!I1882</f>
        <v>2</v>
      </c>
      <c r="K1882" s="3">
        <f>parking_demand_data_2024_ver0!J1882</f>
        <v>0</v>
      </c>
      <c r="L1882" s="3">
        <f>parking_demand_data_2024_ver0!K1882</f>
        <v>0</v>
      </c>
      <c r="M1882" s="3">
        <f>parking_demand_data_2024_ver0!L1882</f>
        <v>0</v>
      </c>
      <c r="N1882" s="3">
        <f>parking_demand_data_2024_ver0!M1882</f>
        <v>92</v>
      </c>
      <c r="O1882" s="3">
        <f>parking_demand_data_2024_ver0!N1882</f>
        <v>0</v>
      </c>
      <c r="P1882" s="3">
        <f>parking_demand_data_2024_ver0!O1882</f>
        <v>64</v>
      </c>
      <c r="Q1882" s="3">
        <f>parking_demand_data_2024_ver0!P1882</f>
        <v>28</v>
      </c>
      <c r="R1882" s="3">
        <f>parking_demand_data_2024_ver0!Q1882</f>
        <v>0</v>
      </c>
      <c r="S1882" s="3">
        <f>parking_demand_data_2024_ver0!R1882</f>
        <v>0</v>
      </c>
      <c r="T1882" s="3">
        <f>parking_demand_data_2024_ver0!S1882</f>
        <v>0</v>
      </c>
    </row>
    <row r="1883" spans="1:20" x14ac:dyDescent="0.25">
      <c r="A1883">
        <v>18157</v>
      </c>
      <c r="B1883" t="s">
        <v>107</v>
      </c>
      <c r="C1883">
        <v>9</v>
      </c>
      <c r="D1883" s="3">
        <f>parking_demand_data_2024_ver0!D1883*calibration!$I$31</f>
        <v>65.179082321187494</v>
      </c>
      <c r="E1883" s="3">
        <f>parking_demand_data_2024_ver0!E1883*calibration!$I$31</f>
        <v>11.3510121457489</v>
      </c>
      <c r="F1883" s="3">
        <f t="shared" si="29"/>
        <v>76.53009446693639</v>
      </c>
      <c r="G1883" s="3">
        <f>parking_demand_data_2024_ver0!F1883</f>
        <v>3</v>
      </c>
      <c r="H1883" s="3">
        <f>parking_demand_data_2024_ver0!G1883</f>
        <v>0</v>
      </c>
      <c r="I1883" s="3">
        <f>parking_demand_data_2024_ver0!H1883</f>
        <v>1</v>
      </c>
      <c r="J1883" s="3">
        <f>parking_demand_data_2024_ver0!I1883</f>
        <v>2</v>
      </c>
      <c r="K1883" s="3">
        <f>parking_demand_data_2024_ver0!J1883</f>
        <v>0</v>
      </c>
      <c r="L1883" s="3">
        <f>parking_demand_data_2024_ver0!K1883</f>
        <v>0</v>
      </c>
      <c r="M1883" s="3">
        <f>parking_demand_data_2024_ver0!L1883</f>
        <v>0</v>
      </c>
      <c r="N1883" s="3">
        <f>parking_demand_data_2024_ver0!M1883</f>
        <v>92</v>
      </c>
      <c r="O1883" s="3">
        <f>parking_demand_data_2024_ver0!N1883</f>
        <v>0</v>
      </c>
      <c r="P1883" s="3">
        <f>parking_demand_data_2024_ver0!O1883</f>
        <v>64</v>
      </c>
      <c r="Q1883" s="3">
        <f>parking_demand_data_2024_ver0!P1883</f>
        <v>28</v>
      </c>
      <c r="R1883" s="3">
        <f>parking_demand_data_2024_ver0!Q1883</f>
        <v>0</v>
      </c>
      <c r="S1883" s="3">
        <f>parking_demand_data_2024_ver0!R1883</f>
        <v>0</v>
      </c>
      <c r="T1883" s="3">
        <f>parking_demand_data_2024_ver0!S1883</f>
        <v>0</v>
      </c>
    </row>
    <row r="1884" spans="1:20" x14ac:dyDescent="0.25">
      <c r="A1884">
        <v>18157</v>
      </c>
      <c r="B1884" t="s">
        <v>107</v>
      </c>
      <c r="C1884">
        <v>10</v>
      </c>
      <c r="D1884" s="3">
        <f>parking_demand_data_2024_ver0!D1884*calibration!$I$31</f>
        <v>62.501956815114603</v>
      </c>
      <c r="E1884" s="3">
        <f>parking_demand_data_2024_ver0!E1884*calibration!$I$31</f>
        <v>11.3153171390013</v>
      </c>
      <c r="F1884" s="3">
        <f t="shared" si="29"/>
        <v>73.817273954115905</v>
      </c>
      <c r="G1884" s="3">
        <f>parking_demand_data_2024_ver0!F1884</f>
        <v>3</v>
      </c>
      <c r="H1884" s="3">
        <f>parking_demand_data_2024_ver0!G1884</f>
        <v>0</v>
      </c>
      <c r="I1884" s="3">
        <f>parking_demand_data_2024_ver0!H1884</f>
        <v>1</v>
      </c>
      <c r="J1884" s="3">
        <f>parking_demand_data_2024_ver0!I1884</f>
        <v>2</v>
      </c>
      <c r="K1884" s="3">
        <f>parking_demand_data_2024_ver0!J1884</f>
        <v>0</v>
      </c>
      <c r="L1884" s="3">
        <f>parking_demand_data_2024_ver0!K1884</f>
        <v>0</v>
      </c>
      <c r="M1884" s="3">
        <f>parking_demand_data_2024_ver0!L1884</f>
        <v>0</v>
      </c>
      <c r="N1884" s="3">
        <f>parking_demand_data_2024_ver0!M1884</f>
        <v>92</v>
      </c>
      <c r="O1884" s="3">
        <f>parking_demand_data_2024_ver0!N1884</f>
        <v>0</v>
      </c>
      <c r="P1884" s="3">
        <f>parking_demand_data_2024_ver0!O1884</f>
        <v>64</v>
      </c>
      <c r="Q1884" s="3">
        <f>parking_demand_data_2024_ver0!P1884</f>
        <v>28</v>
      </c>
      <c r="R1884" s="3">
        <f>parking_demand_data_2024_ver0!Q1884</f>
        <v>0</v>
      </c>
      <c r="S1884" s="3">
        <f>parking_demand_data_2024_ver0!R1884</f>
        <v>0</v>
      </c>
      <c r="T1884" s="3">
        <f>parking_demand_data_2024_ver0!S1884</f>
        <v>0</v>
      </c>
    </row>
    <row r="1885" spans="1:20" x14ac:dyDescent="0.25">
      <c r="A1885">
        <v>18157</v>
      </c>
      <c r="B1885" t="s">
        <v>107</v>
      </c>
      <c r="C1885">
        <v>11</v>
      </c>
      <c r="D1885" s="3">
        <f>parking_demand_data_2024_ver0!D1885*calibration!$I$31</f>
        <v>64.358097165991794</v>
      </c>
      <c r="E1885" s="3">
        <f>parking_demand_data_2024_ver0!E1885*calibration!$I$31</f>
        <v>9.8161268556005297</v>
      </c>
      <c r="F1885" s="3">
        <f t="shared" si="29"/>
        <v>74.174224021592323</v>
      </c>
      <c r="G1885" s="3">
        <f>parking_demand_data_2024_ver0!F1885</f>
        <v>3</v>
      </c>
      <c r="H1885" s="3">
        <f>parking_demand_data_2024_ver0!G1885</f>
        <v>0</v>
      </c>
      <c r="I1885" s="3">
        <f>parking_demand_data_2024_ver0!H1885</f>
        <v>1</v>
      </c>
      <c r="J1885" s="3">
        <f>parking_demand_data_2024_ver0!I1885</f>
        <v>2</v>
      </c>
      <c r="K1885" s="3">
        <f>parking_demand_data_2024_ver0!J1885</f>
        <v>0</v>
      </c>
      <c r="L1885" s="3">
        <f>parking_demand_data_2024_ver0!K1885</f>
        <v>0</v>
      </c>
      <c r="M1885" s="3">
        <f>parking_demand_data_2024_ver0!L1885</f>
        <v>0</v>
      </c>
      <c r="N1885" s="3">
        <f>parking_demand_data_2024_ver0!M1885</f>
        <v>92</v>
      </c>
      <c r="O1885" s="3">
        <f>parking_demand_data_2024_ver0!N1885</f>
        <v>0</v>
      </c>
      <c r="P1885" s="3">
        <f>parking_demand_data_2024_ver0!O1885</f>
        <v>64</v>
      </c>
      <c r="Q1885" s="3">
        <f>parking_demand_data_2024_ver0!P1885</f>
        <v>28</v>
      </c>
      <c r="R1885" s="3">
        <f>parking_demand_data_2024_ver0!Q1885</f>
        <v>0</v>
      </c>
      <c r="S1885" s="3">
        <f>parking_demand_data_2024_ver0!R1885</f>
        <v>0</v>
      </c>
      <c r="T1885" s="3">
        <f>parking_demand_data_2024_ver0!S1885</f>
        <v>0</v>
      </c>
    </row>
    <row r="1886" spans="1:20" x14ac:dyDescent="0.25">
      <c r="A1886">
        <v>18157</v>
      </c>
      <c r="B1886" t="s">
        <v>107</v>
      </c>
      <c r="C1886">
        <v>12</v>
      </c>
      <c r="D1886" s="3">
        <f>parking_demand_data_2024_ver0!D1886*calibration!$I$31</f>
        <v>63.751282051281997</v>
      </c>
      <c r="E1886" s="3">
        <f>parking_demand_data_2024_ver0!E1886*calibration!$I$31</f>
        <v>9.7090418353576204</v>
      </c>
      <c r="F1886" s="3">
        <f t="shared" si="29"/>
        <v>73.460323886639614</v>
      </c>
      <c r="G1886" s="3">
        <f>parking_demand_data_2024_ver0!F1886</f>
        <v>3</v>
      </c>
      <c r="H1886" s="3">
        <f>parking_demand_data_2024_ver0!G1886</f>
        <v>0</v>
      </c>
      <c r="I1886" s="3">
        <f>parking_demand_data_2024_ver0!H1886</f>
        <v>1</v>
      </c>
      <c r="J1886" s="3">
        <f>parking_demand_data_2024_ver0!I1886</f>
        <v>2</v>
      </c>
      <c r="K1886" s="3">
        <f>parking_demand_data_2024_ver0!J1886</f>
        <v>0</v>
      </c>
      <c r="L1886" s="3">
        <f>parking_demand_data_2024_ver0!K1886</f>
        <v>0</v>
      </c>
      <c r="M1886" s="3">
        <f>parking_demand_data_2024_ver0!L1886</f>
        <v>0</v>
      </c>
      <c r="N1886" s="3">
        <f>parking_demand_data_2024_ver0!M1886</f>
        <v>92</v>
      </c>
      <c r="O1886" s="3">
        <f>parking_demand_data_2024_ver0!N1886</f>
        <v>0</v>
      </c>
      <c r="P1886" s="3">
        <f>parking_demand_data_2024_ver0!O1886</f>
        <v>64</v>
      </c>
      <c r="Q1886" s="3">
        <f>parking_demand_data_2024_ver0!P1886</f>
        <v>28</v>
      </c>
      <c r="R1886" s="3">
        <f>parking_demand_data_2024_ver0!Q1886</f>
        <v>0</v>
      </c>
      <c r="S1886" s="3">
        <f>parking_demand_data_2024_ver0!R1886</f>
        <v>0</v>
      </c>
      <c r="T1886" s="3">
        <f>parking_demand_data_2024_ver0!S1886</f>
        <v>0</v>
      </c>
    </row>
    <row r="1887" spans="1:20" x14ac:dyDescent="0.25">
      <c r="A1887">
        <v>18157</v>
      </c>
      <c r="B1887" t="s">
        <v>107</v>
      </c>
      <c r="C1887">
        <v>13</v>
      </c>
      <c r="D1887" s="3">
        <f>parking_demand_data_2024_ver0!D1887*calibration!$I$31</f>
        <v>69.248313090418307</v>
      </c>
      <c r="E1887" s="3">
        <f>parking_demand_data_2024_ver0!E1887*calibration!$I$31</f>
        <v>9.1379217273954101</v>
      </c>
      <c r="F1887" s="3">
        <f t="shared" si="29"/>
        <v>78.386234817813715</v>
      </c>
      <c r="G1887" s="3">
        <f>parking_demand_data_2024_ver0!F1887</f>
        <v>3</v>
      </c>
      <c r="H1887" s="3">
        <f>parking_demand_data_2024_ver0!G1887</f>
        <v>0</v>
      </c>
      <c r="I1887" s="3">
        <f>parking_demand_data_2024_ver0!H1887</f>
        <v>1</v>
      </c>
      <c r="J1887" s="3">
        <f>parking_demand_data_2024_ver0!I1887</f>
        <v>2</v>
      </c>
      <c r="K1887" s="3">
        <f>parking_demand_data_2024_ver0!J1887</f>
        <v>0</v>
      </c>
      <c r="L1887" s="3">
        <f>parking_demand_data_2024_ver0!K1887</f>
        <v>0</v>
      </c>
      <c r="M1887" s="3">
        <f>parking_demand_data_2024_ver0!L1887</f>
        <v>0</v>
      </c>
      <c r="N1887" s="3">
        <f>parking_demand_data_2024_ver0!M1887</f>
        <v>92</v>
      </c>
      <c r="O1887" s="3">
        <f>parking_demand_data_2024_ver0!N1887</f>
        <v>0</v>
      </c>
      <c r="P1887" s="3">
        <f>parking_demand_data_2024_ver0!O1887</f>
        <v>64</v>
      </c>
      <c r="Q1887" s="3">
        <f>parking_demand_data_2024_ver0!P1887</f>
        <v>28</v>
      </c>
      <c r="R1887" s="3">
        <f>parking_demand_data_2024_ver0!Q1887</f>
        <v>0</v>
      </c>
      <c r="S1887" s="3">
        <f>parking_demand_data_2024_ver0!R1887</f>
        <v>0</v>
      </c>
      <c r="T1887" s="3">
        <f>parking_demand_data_2024_ver0!S1887</f>
        <v>0</v>
      </c>
    </row>
    <row r="1888" spans="1:20" x14ac:dyDescent="0.25">
      <c r="A1888">
        <v>18157</v>
      </c>
      <c r="B1888" t="s">
        <v>107</v>
      </c>
      <c r="C1888">
        <v>14</v>
      </c>
      <c r="D1888" s="3">
        <f>parking_demand_data_2024_ver0!D1888*calibration!$I$31</f>
        <v>70.997368421052599</v>
      </c>
      <c r="E1888" s="3">
        <f>parking_demand_data_2024_ver0!E1888*calibration!$I$31</f>
        <v>6.7106612685559996</v>
      </c>
      <c r="F1888" s="3">
        <f t="shared" si="29"/>
        <v>77.708029689608594</v>
      </c>
      <c r="G1888" s="3">
        <f>parking_demand_data_2024_ver0!F1888</f>
        <v>3</v>
      </c>
      <c r="H1888" s="3">
        <f>parking_demand_data_2024_ver0!G1888</f>
        <v>0</v>
      </c>
      <c r="I1888" s="3">
        <f>parking_demand_data_2024_ver0!H1888</f>
        <v>1</v>
      </c>
      <c r="J1888" s="3">
        <f>parking_demand_data_2024_ver0!I1888</f>
        <v>2</v>
      </c>
      <c r="K1888" s="3">
        <f>parking_demand_data_2024_ver0!J1888</f>
        <v>0</v>
      </c>
      <c r="L1888" s="3">
        <f>parking_demand_data_2024_ver0!K1888</f>
        <v>0</v>
      </c>
      <c r="M1888" s="3">
        <f>parking_demand_data_2024_ver0!L1888</f>
        <v>0</v>
      </c>
      <c r="N1888" s="3">
        <f>parking_demand_data_2024_ver0!M1888</f>
        <v>92</v>
      </c>
      <c r="O1888" s="3">
        <f>parking_demand_data_2024_ver0!N1888</f>
        <v>0</v>
      </c>
      <c r="P1888" s="3">
        <f>parking_demand_data_2024_ver0!O1888</f>
        <v>64</v>
      </c>
      <c r="Q1888" s="3">
        <f>parking_demand_data_2024_ver0!P1888</f>
        <v>28</v>
      </c>
      <c r="R1888" s="3">
        <f>parking_demand_data_2024_ver0!Q1888</f>
        <v>0</v>
      </c>
      <c r="S1888" s="3">
        <f>parking_demand_data_2024_ver0!R1888</f>
        <v>0</v>
      </c>
      <c r="T1888" s="3">
        <f>parking_demand_data_2024_ver0!S1888</f>
        <v>0</v>
      </c>
    </row>
    <row r="1889" spans="1:20" x14ac:dyDescent="0.25">
      <c r="A1889">
        <v>18157</v>
      </c>
      <c r="B1889" t="s">
        <v>107</v>
      </c>
      <c r="C1889">
        <v>15</v>
      </c>
      <c r="D1889" s="3">
        <f>parking_demand_data_2024_ver0!D1889*calibration!$I$31</f>
        <v>77.422469635627493</v>
      </c>
      <c r="E1889" s="3">
        <f>parking_demand_data_2024_ver0!E1889*calibration!$I$31</f>
        <v>4.17631578947368</v>
      </c>
      <c r="F1889" s="3">
        <f t="shared" si="29"/>
        <v>81.59878542510117</v>
      </c>
      <c r="G1889" s="3">
        <f>parking_demand_data_2024_ver0!F1889</f>
        <v>3</v>
      </c>
      <c r="H1889" s="3">
        <f>parking_demand_data_2024_ver0!G1889</f>
        <v>0</v>
      </c>
      <c r="I1889" s="3">
        <f>parking_demand_data_2024_ver0!H1889</f>
        <v>1</v>
      </c>
      <c r="J1889" s="3">
        <f>parking_demand_data_2024_ver0!I1889</f>
        <v>2</v>
      </c>
      <c r="K1889" s="3">
        <f>parking_demand_data_2024_ver0!J1889</f>
        <v>0</v>
      </c>
      <c r="L1889" s="3">
        <f>parking_demand_data_2024_ver0!K1889</f>
        <v>0</v>
      </c>
      <c r="M1889" s="3">
        <f>parking_demand_data_2024_ver0!L1889</f>
        <v>0</v>
      </c>
      <c r="N1889" s="3">
        <f>parking_demand_data_2024_ver0!M1889</f>
        <v>92</v>
      </c>
      <c r="O1889" s="3">
        <f>parking_demand_data_2024_ver0!N1889</f>
        <v>0</v>
      </c>
      <c r="P1889" s="3">
        <f>parking_demand_data_2024_ver0!O1889</f>
        <v>64</v>
      </c>
      <c r="Q1889" s="3">
        <f>parking_demand_data_2024_ver0!P1889</f>
        <v>28</v>
      </c>
      <c r="R1889" s="3">
        <f>parking_demand_data_2024_ver0!Q1889</f>
        <v>0</v>
      </c>
      <c r="S1889" s="3">
        <f>parking_demand_data_2024_ver0!R1889</f>
        <v>0</v>
      </c>
      <c r="T1889" s="3">
        <f>parking_demand_data_2024_ver0!S1889</f>
        <v>0</v>
      </c>
    </row>
    <row r="1890" spans="1:20" x14ac:dyDescent="0.25">
      <c r="A1890">
        <v>18157</v>
      </c>
      <c r="B1890" t="s">
        <v>107</v>
      </c>
      <c r="C1890">
        <v>16</v>
      </c>
      <c r="D1890" s="3">
        <f>parking_demand_data_2024_ver0!D1890*calibration!$I$31</f>
        <v>78.957354925775903</v>
      </c>
      <c r="E1890" s="3">
        <f>parking_demand_data_2024_ver0!E1890*calibration!$I$31</f>
        <v>3.5695006747638298</v>
      </c>
      <c r="F1890" s="3">
        <f t="shared" si="29"/>
        <v>82.526855600539733</v>
      </c>
      <c r="G1890" s="3">
        <f>parking_demand_data_2024_ver0!F1890</f>
        <v>3</v>
      </c>
      <c r="H1890" s="3">
        <f>parking_demand_data_2024_ver0!G1890</f>
        <v>0</v>
      </c>
      <c r="I1890" s="3">
        <f>parking_demand_data_2024_ver0!H1890</f>
        <v>1</v>
      </c>
      <c r="J1890" s="3">
        <f>parking_demand_data_2024_ver0!I1890</f>
        <v>2</v>
      </c>
      <c r="K1890" s="3">
        <f>parking_demand_data_2024_ver0!J1890</f>
        <v>0</v>
      </c>
      <c r="L1890" s="3">
        <f>parking_demand_data_2024_ver0!K1890</f>
        <v>0</v>
      </c>
      <c r="M1890" s="3">
        <f>parking_demand_data_2024_ver0!L1890</f>
        <v>0</v>
      </c>
      <c r="N1890" s="3">
        <f>parking_demand_data_2024_ver0!M1890</f>
        <v>92</v>
      </c>
      <c r="O1890" s="3">
        <f>parking_demand_data_2024_ver0!N1890</f>
        <v>0</v>
      </c>
      <c r="P1890" s="3">
        <f>parking_demand_data_2024_ver0!O1890</f>
        <v>64</v>
      </c>
      <c r="Q1890" s="3">
        <f>parking_demand_data_2024_ver0!P1890</f>
        <v>28</v>
      </c>
      <c r="R1890" s="3">
        <f>parking_demand_data_2024_ver0!Q1890</f>
        <v>0</v>
      </c>
      <c r="S1890" s="3">
        <f>parking_demand_data_2024_ver0!R1890</f>
        <v>0</v>
      </c>
      <c r="T1890" s="3">
        <f>parking_demand_data_2024_ver0!S1890</f>
        <v>0</v>
      </c>
    </row>
    <row r="1891" spans="1:20" x14ac:dyDescent="0.25">
      <c r="A1891">
        <v>18157</v>
      </c>
      <c r="B1891" t="s">
        <v>107</v>
      </c>
      <c r="C1891">
        <v>17</v>
      </c>
      <c r="D1891" s="3">
        <f>parking_demand_data_2024_ver0!D1891*calibration!$I$31</f>
        <v>84.739946018893306</v>
      </c>
      <c r="E1891" s="3">
        <f>parking_demand_data_2024_ver0!E1891*calibration!$I$31</f>
        <v>4.1049257759784004</v>
      </c>
      <c r="F1891" s="3">
        <f t="shared" si="29"/>
        <v>88.844871794871707</v>
      </c>
      <c r="G1891" s="3">
        <f>parking_demand_data_2024_ver0!F1891</f>
        <v>3</v>
      </c>
      <c r="H1891" s="3">
        <f>parking_demand_data_2024_ver0!G1891</f>
        <v>0</v>
      </c>
      <c r="I1891" s="3">
        <f>parking_demand_data_2024_ver0!H1891</f>
        <v>1</v>
      </c>
      <c r="J1891" s="3">
        <f>parking_demand_data_2024_ver0!I1891</f>
        <v>2</v>
      </c>
      <c r="K1891" s="3">
        <f>parking_demand_data_2024_ver0!J1891</f>
        <v>0</v>
      </c>
      <c r="L1891" s="3">
        <f>parking_demand_data_2024_ver0!K1891</f>
        <v>0</v>
      </c>
      <c r="M1891" s="3">
        <f>parking_demand_data_2024_ver0!L1891</f>
        <v>0</v>
      </c>
      <c r="N1891" s="3">
        <f>parking_demand_data_2024_ver0!M1891</f>
        <v>92</v>
      </c>
      <c r="O1891" s="3">
        <f>parking_demand_data_2024_ver0!N1891</f>
        <v>0</v>
      </c>
      <c r="P1891" s="3">
        <f>parking_demand_data_2024_ver0!O1891</f>
        <v>64</v>
      </c>
      <c r="Q1891" s="3">
        <f>parking_demand_data_2024_ver0!P1891</f>
        <v>28</v>
      </c>
      <c r="R1891" s="3">
        <f>parking_demand_data_2024_ver0!Q1891</f>
        <v>0</v>
      </c>
      <c r="S1891" s="3">
        <f>parking_demand_data_2024_ver0!R1891</f>
        <v>0</v>
      </c>
      <c r="T1891" s="3">
        <f>parking_demand_data_2024_ver0!S1891</f>
        <v>0</v>
      </c>
    </row>
    <row r="1892" spans="1:20" x14ac:dyDescent="0.25">
      <c r="A1892">
        <v>18157</v>
      </c>
      <c r="B1892" t="s">
        <v>107</v>
      </c>
      <c r="C1892">
        <v>18</v>
      </c>
      <c r="D1892" s="3">
        <f>parking_demand_data_2024_ver0!D1892*calibration!$I$31</f>
        <v>91.629082321187497</v>
      </c>
      <c r="E1892" s="3">
        <f>parking_demand_data_2024_ver0!E1892*calibration!$I$31</f>
        <v>4.2120107962213202</v>
      </c>
      <c r="F1892" s="3">
        <f t="shared" si="29"/>
        <v>95.841093117408818</v>
      </c>
      <c r="G1892" s="3">
        <f>parking_demand_data_2024_ver0!F1892</f>
        <v>3</v>
      </c>
      <c r="H1892" s="3">
        <f>parking_demand_data_2024_ver0!G1892</f>
        <v>0</v>
      </c>
      <c r="I1892" s="3">
        <f>parking_demand_data_2024_ver0!H1892</f>
        <v>1</v>
      </c>
      <c r="J1892" s="3">
        <f>parking_demand_data_2024_ver0!I1892</f>
        <v>2</v>
      </c>
      <c r="K1892" s="3">
        <f>parking_demand_data_2024_ver0!J1892</f>
        <v>0</v>
      </c>
      <c r="L1892" s="3">
        <f>parking_demand_data_2024_ver0!K1892</f>
        <v>0</v>
      </c>
      <c r="M1892" s="3">
        <f>parking_demand_data_2024_ver0!L1892</f>
        <v>0</v>
      </c>
      <c r="N1892" s="3">
        <f>parking_demand_data_2024_ver0!M1892</f>
        <v>92</v>
      </c>
      <c r="O1892" s="3">
        <f>parking_demand_data_2024_ver0!N1892</f>
        <v>0</v>
      </c>
      <c r="P1892" s="3">
        <f>parking_demand_data_2024_ver0!O1892</f>
        <v>64</v>
      </c>
      <c r="Q1892" s="3">
        <f>parking_demand_data_2024_ver0!P1892</f>
        <v>28</v>
      </c>
      <c r="R1892" s="3">
        <f>parking_demand_data_2024_ver0!Q1892</f>
        <v>0</v>
      </c>
      <c r="S1892" s="3">
        <f>parking_demand_data_2024_ver0!R1892</f>
        <v>0</v>
      </c>
      <c r="T1892" s="3">
        <f>parking_demand_data_2024_ver0!S1892</f>
        <v>0</v>
      </c>
    </row>
    <row r="1893" spans="1:20" x14ac:dyDescent="0.25">
      <c r="A1893">
        <v>18157</v>
      </c>
      <c r="B1893" t="s">
        <v>107</v>
      </c>
      <c r="C1893">
        <v>19</v>
      </c>
      <c r="D1893" s="3">
        <f>parking_demand_data_2024_ver0!D1893*calibration!$I$31</f>
        <v>96.554993252361598</v>
      </c>
      <c r="E1893" s="3">
        <f>parking_demand_data_2024_ver0!E1893*calibration!$I$31</f>
        <v>4.4261808367071502</v>
      </c>
      <c r="F1893" s="3">
        <f t="shared" si="29"/>
        <v>100.98117408906874</v>
      </c>
      <c r="G1893" s="3">
        <f>parking_demand_data_2024_ver0!F1893</f>
        <v>3</v>
      </c>
      <c r="H1893" s="3">
        <f>parking_demand_data_2024_ver0!G1893</f>
        <v>0</v>
      </c>
      <c r="I1893" s="3">
        <f>parking_demand_data_2024_ver0!H1893</f>
        <v>1</v>
      </c>
      <c r="J1893" s="3">
        <f>parking_demand_data_2024_ver0!I1893</f>
        <v>2</v>
      </c>
      <c r="K1893" s="3">
        <f>parking_demand_data_2024_ver0!J1893</f>
        <v>0</v>
      </c>
      <c r="L1893" s="3">
        <f>parking_demand_data_2024_ver0!K1893</f>
        <v>0</v>
      </c>
      <c r="M1893" s="3">
        <f>parking_demand_data_2024_ver0!L1893</f>
        <v>0</v>
      </c>
      <c r="N1893" s="3">
        <f>parking_demand_data_2024_ver0!M1893</f>
        <v>92</v>
      </c>
      <c r="O1893" s="3">
        <f>parking_demand_data_2024_ver0!N1893</f>
        <v>0</v>
      </c>
      <c r="P1893" s="3">
        <f>parking_demand_data_2024_ver0!O1893</f>
        <v>64</v>
      </c>
      <c r="Q1893" s="3">
        <f>parking_demand_data_2024_ver0!P1893</f>
        <v>28</v>
      </c>
      <c r="R1893" s="3">
        <f>parking_demand_data_2024_ver0!Q1893</f>
        <v>0</v>
      </c>
      <c r="S1893" s="3">
        <f>parking_demand_data_2024_ver0!R1893</f>
        <v>0</v>
      </c>
      <c r="T1893" s="3">
        <f>parking_demand_data_2024_ver0!S1893</f>
        <v>0</v>
      </c>
    </row>
    <row r="1894" spans="1:20" x14ac:dyDescent="0.25">
      <c r="A1894">
        <v>18157</v>
      </c>
      <c r="B1894" t="s">
        <v>107</v>
      </c>
      <c r="C1894">
        <v>20</v>
      </c>
      <c r="D1894" s="3">
        <f>parking_demand_data_2024_ver0!D1894*calibration!$I$31</f>
        <v>97.982793522267201</v>
      </c>
      <c r="E1894" s="3">
        <f>parking_demand_data_2024_ver0!E1894*calibration!$I$31</f>
        <v>5.8539811066126797</v>
      </c>
      <c r="F1894" s="3">
        <f t="shared" si="29"/>
        <v>103.83677462887988</v>
      </c>
      <c r="G1894" s="3">
        <f>parking_demand_data_2024_ver0!F1894</f>
        <v>3</v>
      </c>
      <c r="H1894" s="3">
        <f>parking_demand_data_2024_ver0!G1894</f>
        <v>0</v>
      </c>
      <c r="I1894" s="3">
        <f>parking_demand_data_2024_ver0!H1894</f>
        <v>1</v>
      </c>
      <c r="J1894" s="3">
        <f>parking_demand_data_2024_ver0!I1894</f>
        <v>2</v>
      </c>
      <c r="K1894" s="3">
        <f>parking_demand_data_2024_ver0!J1894</f>
        <v>0</v>
      </c>
      <c r="L1894" s="3">
        <f>parking_demand_data_2024_ver0!K1894</f>
        <v>0</v>
      </c>
      <c r="M1894" s="3">
        <f>parking_demand_data_2024_ver0!L1894</f>
        <v>0</v>
      </c>
      <c r="N1894" s="3">
        <f>parking_demand_data_2024_ver0!M1894</f>
        <v>92</v>
      </c>
      <c r="O1894" s="3">
        <f>parking_demand_data_2024_ver0!N1894</f>
        <v>0</v>
      </c>
      <c r="P1894" s="3">
        <f>parking_demand_data_2024_ver0!O1894</f>
        <v>64</v>
      </c>
      <c r="Q1894" s="3">
        <f>parking_demand_data_2024_ver0!P1894</f>
        <v>28</v>
      </c>
      <c r="R1894" s="3">
        <f>parking_demand_data_2024_ver0!Q1894</f>
        <v>0</v>
      </c>
      <c r="S1894" s="3">
        <f>parking_demand_data_2024_ver0!R1894</f>
        <v>0</v>
      </c>
      <c r="T1894" s="3">
        <f>parking_demand_data_2024_ver0!S1894</f>
        <v>0</v>
      </c>
    </row>
    <row r="1895" spans="1:20" x14ac:dyDescent="0.25">
      <c r="A1895">
        <v>18157</v>
      </c>
      <c r="B1895" t="s">
        <v>107</v>
      </c>
      <c r="C1895">
        <v>21</v>
      </c>
      <c r="D1895" s="3">
        <f>parking_demand_data_2024_ver0!D1895*calibration!$I$31</f>
        <v>100.909784075573</v>
      </c>
      <c r="E1895" s="3">
        <f>parking_demand_data_2024_ver0!E1895*calibration!$I$31</f>
        <v>8.35263157894736</v>
      </c>
      <c r="F1895" s="3">
        <f t="shared" si="29"/>
        <v>109.26241565452037</v>
      </c>
      <c r="G1895" s="3">
        <f>parking_demand_data_2024_ver0!F1895</f>
        <v>3</v>
      </c>
      <c r="H1895" s="3">
        <f>parking_demand_data_2024_ver0!G1895</f>
        <v>0</v>
      </c>
      <c r="I1895" s="3">
        <f>parking_demand_data_2024_ver0!H1895</f>
        <v>1</v>
      </c>
      <c r="J1895" s="3">
        <f>parking_demand_data_2024_ver0!I1895</f>
        <v>2</v>
      </c>
      <c r="K1895" s="3">
        <f>parking_demand_data_2024_ver0!J1895</f>
        <v>0</v>
      </c>
      <c r="L1895" s="3">
        <f>parking_demand_data_2024_ver0!K1895</f>
        <v>0</v>
      </c>
      <c r="M1895" s="3">
        <f>parking_demand_data_2024_ver0!L1895</f>
        <v>0</v>
      </c>
      <c r="N1895" s="3">
        <f>parking_demand_data_2024_ver0!M1895</f>
        <v>92</v>
      </c>
      <c r="O1895" s="3">
        <f>parking_demand_data_2024_ver0!N1895</f>
        <v>0</v>
      </c>
      <c r="P1895" s="3">
        <f>parking_demand_data_2024_ver0!O1895</f>
        <v>64</v>
      </c>
      <c r="Q1895" s="3">
        <f>parking_demand_data_2024_ver0!P1895</f>
        <v>28</v>
      </c>
      <c r="R1895" s="3">
        <f>parking_demand_data_2024_ver0!Q1895</f>
        <v>0</v>
      </c>
      <c r="S1895" s="3">
        <f>parking_demand_data_2024_ver0!R1895</f>
        <v>0</v>
      </c>
      <c r="T1895" s="3">
        <f>parking_demand_data_2024_ver0!S1895</f>
        <v>0</v>
      </c>
    </row>
    <row r="1896" spans="1:20" x14ac:dyDescent="0.25">
      <c r="A1896">
        <v>18157</v>
      </c>
      <c r="B1896" t="s">
        <v>107</v>
      </c>
      <c r="C1896">
        <v>22</v>
      </c>
      <c r="D1896" s="3">
        <f>parking_demand_data_2024_ver0!D1896*calibration!$I$31</f>
        <v>102.873009446693</v>
      </c>
      <c r="E1896" s="3">
        <f>parking_demand_data_2024_ver0!E1896*calibration!$I$31</f>
        <v>11.065452091767799</v>
      </c>
      <c r="F1896" s="3">
        <f t="shared" si="29"/>
        <v>113.9384615384608</v>
      </c>
      <c r="G1896" s="3">
        <f>parking_demand_data_2024_ver0!F1896</f>
        <v>3</v>
      </c>
      <c r="H1896" s="3">
        <f>parking_demand_data_2024_ver0!G1896</f>
        <v>0</v>
      </c>
      <c r="I1896" s="3">
        <f>parking_demand_data_2024_ver0!H1896</f>
        <v>1</v>
      </c>
      <c r="J1896" s="3">
        <f>parking_demand_data_2024_ver0!I1896</f>
        <v>2</v>
      </c>
      <c r="K1896" s="3">
        <f>parking_demand_data_2024_ver0!J1896</f>
        <v>0</v>
      </c>
      <c r="L1896" s="3">
        <f>parking_demand_data_2024_ver0!K1896</f>
        <v>0</v>
      </c>
      <c r="M1896" s="3">
        <f>parking_demand_data_2024_ver0!L1896</f>
        <v>0</v>
      </c>
      <c r="N1896" s="3">
        <f>parking_demand_data_2024_ver0!M1896</f>
        <v>92</v>
      </c>
      <c r="O1896" s="3">
        <f>parking_demand_data_2024_ver0!N1896</f>
        <v>0</v>
      </c>
      <c r="P1896" s="3">
        <f>parking_demand_data_2024_ver0!O1896</f>
        <v>64</v>
      </c>
      <c r="Q1896" s="3">
        <f>parking_demand_data_2024_ver0!P1896</f>
        <v>28</v>
      </c>
      <c r="R1896" s="3">
        <f>parking_demand_data_2024_ver0!Q1896</f>
        <v>0</v>
      </c>
      <c r="S1896" s="3">
        <f>parking_demand_data_2024_ver0!R1896</f>
        <v>0</v>
      </c>
      <c r="T1896" s="3">
        <f>parking_demand_data_2024_ver0!S1896</f>
        <v>0</v>
      </c>
    </row>
    <row r="1897" spans="1:20" x14ac:dyDescent="0.25">
      <c r="A1897">
        <v>18157</v>
      </c>
      <c r="B1897" t="s">
        <v>107</v>
      </c>
      <c r="C1897">
        <v>23</v>
      </c>
      <c r="D1897" s="3">
        <f>parking_demand_data_2024_ver0!D1897*calibration!$I$31</f>
        <v>103.693994601889</v>
      </c>
      <c r="E1897" s="3">
        <f>parking_demand_data_2024_ver0!E1897*calibration!$I$31</f>
        <v>12.564642375168599</v>
      </c>
      <c r="F1897" s="3">
        <f t="shared" si="29"/>
        <v>116.25863697705761</v>
      </c>
      <c r="G1897" s="3">
        <f>parking_demand_data_2024_ver0!F1897</f>
        <v>3</v>
      </c>
      <c r="H1897" s="3">
        <f>parking_demand_data_2024_ver0!G1897</f>
        <v>0</v>
      </c>
      <c r="I1897" s="3">
        <f>parking_demand_data_2024_ver0!H1897</f>
        <v>1</v>
      </c>
      <c r="J1897" s="3">
        <f>parking_demand_data_2024_ver0!I1897</f>
        <v>2</v>
      </c>
      <c r="K1897" s="3">
        <f>parking_demand_data_2024_ver0!J1897</f>
        <v>0</v>
      </c>
      <c r="L1897" s="3">
        <f>parking_demand_data_2024_ver0!K1897</f>
        <v>0</v>
      </c>
      <c r="M1897" s="3">
        <f>parking_demand_data_2024_ver0!L1897</f>
        <v>0</v>
      </c>
      <c r="N1897" s="3">
        <f>parking_demand_data_2024_ver0!M1897</f>
        <v>92</v>
      </c>
      <c r="O1897" s="3">
        <f>parking_demand_data_2024_ver0!N1897</f>
        <v>0</v>
      </c>
      <c r="P1897" s="3">
        <f>parking_demand_data_2024_ver0!O1897</f>
        <v>64</v>
      </c>
      <c r="Q1897" s="3">
        <f>parking_demand_data_2024_ver0!P1897</f>
        <v>28</v>
      </c>
      <c r="R1897" s="3">
        <f>parking_demand_data_2024_ver0!Q1897</f>
        <v>0</v>
      </c>
      <c r="S1897" s="3">
        <f>parking_demand_data_2024_ver0!R1897</f>
        <v>0</v>
      </c>
      <c r="T1897" s="3">
        <f>parking_demand_data_2024_ver0!S1897</f>
        <v>0</v>
      </c>
    </row>
    <row r="1898" spans="1:20" x14ac:dyDescent="0.25">
      <c r="A1898">
        <v>18159</v>
      </c>
      <c r="B1898" t="s">
        <v>108</v>
      </c>
      <c r="C1898">
        <v>0</v>
      </c>
      <c r="D1898" s="3">
        <f>parking_demand_data_2024_ver0!D1898*calibration!$I$31</f>
        <v>0</v>
      </c>
      <c r="E1898" s="3">
        <f>parking_demand_data_2024_ver0!E1898*calibration!$I$31</f>
        <v>0</v>
      </c>
      <c r="F1898" s="3">
        <f t="shared" si="29"/>
        <v>0</v>
      </c>
      <c r="G1898" s="3">
        <f>parking_demand_data_2024_ver0!F1898</f>
        <v>0</v>
      </c>
      <c r="H1898" s="3">
        <f>parking_demand_data_2024_ver0!G1898</f>
        <v>0</v>
      </c>
      <c r="I1898" s="3">
        <f>parking_demand_data_2024_ver0!H1898</f>
        <v>0</v>
      </c>
      <c r="J1898" s="3">
        <f>parking_demand_data_2024_ver0!I1898</f>
        <v>0</v>
      </c>
      <c r="K1898" s="3">
        <f>parking_demand_data_2024_ver0!J1898</f>
        <v>0</v>
      </c>
      <c r="L1898" s="3">
        <f>parking_demand_data_2024_ver0!K1898</f>
        <v>0</v>
      </c>
      <c r="M1898" s="3">
        <f>parking_demand_data_2024_ver0!L1898</f>
        <v>0</v>
      </c>
      <c r="N1898" s="3">
        <f>parking_demand_data_2024_ver0!M1898</f>
        <v>0</v>
      </c>
      <c r="O1898" s="3">
        <f>parking_demand_data_2024_ver0!N1898</f>
        <v>0</v>
      </c>
      <c r="P1898" s="3">
        <f>parking_demand_data_2024_ver0!O1898</f>
        <v>0</v>
      </c>
      <c r="Q1898" s="3">
        <f>parking_demand_data_2024_ver0!P1898</f>
        <v>0</v>
      </c>
      <c r="R1898" s="3">
        <f>parking_demand_data_2024_ver0!Q1898</f>
        <v>0</v>
      </c>
      <c r="S1898" s="3">
        <f>parking_demand_data_2024_ver0!R1898</f>
        <v>0</v>
      </c>
      <c r="T1898" s="3">
        <f>parking_demand_data_2024_ver0!S1898</f>
        <v>0</v>
      </c>
    </row>
    <row r="1899" spans="1:20" x14ac:dyDescent="0.25">
      <c r="A1899">
        <v>18159</v>
      </c>
      <c r="B1899" t="s">
        <v>108</v>
      </c>
      <c r="C1899">
        <v>1</v>
      </c>
      <c r="D1899" s="3">
        <f>parking_demand_data_2024_ver0!D1899*calibration!$I$31</f>
        <v>0</v>
      </c>
      <c r="E1899" s="3">
        <f>parking_demand_data_2024_ver0!E1899*calibration!$I$31</f>
        <v>0</v>
      </c>
      <c r="F1899" s="3">
        <f t="shared" si="29"/>
        <v>0</v>
      </c>
      <c r="G1899" s="3">
        <f>parking_demand_data_2024_ver0!F1899</f>
        <v>0</v>
      </c>
      <c r="H1899" s="3">
        <f>parking_demand_data_2024_ver0!G1899</f>
        <v>0</v>
      </c>
      <c r="I1899" s="3">
        <f>parking_demand_data_2024_ver0!H1899</f>
        <v>0</v>
      </c>
      <c r="J1899" s="3">
        <f>parking_demand_data_2024_ver0!I1899</f>
        <v>0</v>
      </c>
      <c r="K1899" s="3">
        <f>parking_demand_data_2024_ver0!J1899</f>
        <v>0</v>
      </c>
      <c r="L1899" s="3">
        <f>parking_demand_data_2024_ver0!K1899</f>
        <v>0</v>
      </c>
      <c r="M1899" s="3">
        <f>parking_demand_data_2024_ver0!L1899</f>
        <v>0</v>
      </c>
      <c r="N1899" s="3">
        <f>parking_demand_data_2024_ver0!M1899</f>
        <v>0</v>
      </c>
      <c r="O1899" s="3">
        <f>parking_demand_data_2024_ver0!N1899</f>
        <v>0</v>
      </c>
      <c r="P1899" s="3">
        <f>parking_demand_data_2024_ver0!O1899</f>
        <v>0</v>
      </c>
      <c r="Q1899" s="3">
        <f>parking_demand_data_2024_ver0!P1899</f>
        <v>0</v>
      </c>
      <c r="R1899" s="3">
        <f>parking_demand_data_2024_ver0!Q1899</f>
        <v>0</v>
      </c>
      <c r="S1899" s="3">
        <f>parking_demand_data_2024_ver0!R1899</f>
        <v>0</v>
      </c>
      <c r="T1899" s="3">
        <f>parking_demand_data_2024_ver0!S1899</f>
        <v>0</v>
      </c>
    </row>
    <row r="1900" spans="1:20" x14ac:dyDescent="0.25">
      <c r="A1900">
        <v>18159</v>
      </c>
      <c r="B1900" t="s">
        <v>108</v>
      </c>
      <c r="C1900">
        <v>2</v>
      </c>
      <c r="D1900" s="3">
        <f>parking_demand_data_2024_ver0!D1900*calibration!$I$31</f>
        <v>0</v>
      </c>
      <c r="E1900" s="3">
        <f>parking_demand_data_2024_ver0!E1900*calibration!$I$31</f>
        <v>0</v>
      </c>
      <c r="F1900" s="3">
        <f t="shared" si="29"/>
        <v>0</v>
      </c>
      <c r="G1900" s="3">
        <f>parking_demand_data_2024_ver0!F1900</f>
        <v>0</v>
      </c>
      <c r="H1900" s="3">
        <f>parking_demand_data_2024_ver0!G1900</f>
        <v>0</v>
      </c>
      <c r="I1900" s="3">
        <f>parking_demand_data_2024_ver0!H1900</f>
        <v>0</v>
      </c>
      <c r="J1900" s="3">
        <f>parking_demand_data_2024_ver0!I1900</f>
        <v>0</v>
      </c>
      <c r="K1900" s="3">
        <f>parking_demand_data_2024_ver0!J1900</f>
        <v>0</v>
      </c>
      <c r="L1900" s="3">
        <f>parking_demand_data_2024_ver0!K1900</f>
        <v>0</v>
      </c>
      <c r="M1900" s="3">
        <f>parking_demand_data_2024_ver0!L1900</f>
        <v>0</v>
      </c>
      <c r="N1900" s="3">
        <f>parking_demand_data_2024_ver0!M1900</f>
        <v>0</v>
      </c>
      <c r="O1900" s="3">
        <f>parking_demand_data_2024_ver0!N1900</f>
        <v>0</v>
      </c>
      <c r="P1900" s="3">
        <f>parking_demand_data_2024_ver0!O1900</f>
        <v>0</v>
      </c>
      <c r="Q1900" s="3">
        <f>parking_demand_data_2024_ver0!P1900</f>
        <v>0</v>
      </c>
      <c r="R1900" s="3">
        <f>parking_demand_data_2024_ver0!Q1900</f>
        <v>0</v>
      </c>
      <c r="S1900" s="3">
        <f>parking_demand_data_2024_ver0!R1900</f>
        <v>0</v>
      </c>
      <c r="T1900" s="3">
        <f>parking_demand_data_2024_ver0!S1900</f>
        <v>0</v>
      </c>
    </row>
    <row r="1901" spans="1:20" x14ac:dyDescent="0.25">
      <c r="A1901">
        <v>18159</v>
      </c>
      <c r="B1901" t="s">
        <v>108</v>
      </c>
      <c r="C1901">
        <v>3</v>
      </c>
      <c r="D1901" s="3">
        <f>parking_demand_data_2024_ver0!D1901*calibration!$I$31</f>
        <v>0</v>
      </c>
      <c r="E1901" s="3">
        <f>parking_demand_data_2024_ver0!E1901*calibration!$I$31</f>
        <v>0</v>
      </c>
      <c r="F1901" s="3">
        <f t="shared" si="29"/>
        <v>0</v>
      </c>
      <c r="G1901" s="3">
        <f>parking_demand_data_2024_ver0!F1901</f>
        <v>0</v>
      </c>
      <c r="H1901" s="3">
        <f>parking_demand_data_2024_ver0!G1901</f>
        <v>0</v>
      </c>
      <c r="I1901" s="3">
        <f>parking_demand_data_2024_ver0!H1901</f>
        <v>0</v>
      </c>
      <c r="J1901" s="3">
        <f>parking_demand_data_2024_ver0!I1901</f>
        <v>0</v>
      </c>
      <c r="K1901" s="3">
        <f>parking_demand_data_2024_ver0!J1901</f>
        <v>0</v>
      </c>
      <c r="L1901" s="3">
        <f>parking_demand_data_2024_ver0!K1901</f>
        <v>0</v>
      </c>
      <c r="M1901" s="3">
        <f>parking_demand_data_2024_ver0!L1901</f>
        <v>0</v>
      </c>
      <c r="N1901" s="3">
        <f>parking_demand_data_2024_ver0!M1901</f>
        <v>0</v>
      </c>
      <c r="O1901" s="3">
        <f>parking_demand_data_2024_ver0!N1901</f>
        <v>0</v>
      </c>
      <c r="P1901" s="3">
        <f>parking_demand_data_2024_ver0!O1901</f>
        <v>0</v>
      </c>
      <c r="Q1901" s="3">
        <f>parking_demand_data_2024_ver0!P1901</f>
        <v>0</v>
      </c>
      <c r="R1901" s="3">
        <f>parking_demand_data_2024_ver0!Q1901</f>
        <v>0</v>
      </c>
      <c r="S1901" s="3">
        <f>parking_demand_data_2024_ver0!R1901</f>
        <v>0</v>
      </c>
      <c r="T1901" s="3">
        <f>parking_demand_data_2024_ver0!S1901</f>
        <v>0</v>
      </c>
    </row>
    <row r="1902" spans="1:20" x14ac:dyDescent="0.25">
      <c r="A1902">
        <v>18159</v>
      </c>
      <c r="B1902" t="s">
        <v>108</v>
      </c>
      <c r="C1902">
        <v>4</v>
      </c>
      <c r="D1902" s="3">
        <f>parking_demand_data_2024_ver0!D1902*calibration!$I$31</f>
        <v>0</v>
      </c>
      <c r="E1902" s="3">
        <f>parking_demand_data_2024_ver0!E1902*calibration!$I$31</f>
        <v>0</v>
      </c>
      <c r="F1902" s="3">
        <f t="shared" si="29"/>
        <v>0</v>
      </c>
      <c r="G1902" s="3">
        <f>parking_demand_data_2024_ver0!F1902</f>
        <v>0</v>
      </c>
      <c r="H1902" s="3">
        <f>parking_demand_data_2024_ver0!G1902</f>
        <v>0</v>
      </c>
      <c r="I1902" s="3">
        <f>parking_demand_data_2024_ver0!H1902</f>
        <v>0</v>
      </c>
      <c r="J1902" s="3">
        <f>parking_demand_data_2024_ver0!I1902</f>
        <v>0</v>
      </c>
      <c r="K1902" s="3">
        <f>parking_demand_data_2024_ver0!J1902</f>
        <v>0</v>
      </c>
      <c r="L1902" s="3">
        <f>parking_demand_data_2024_ver0!K1902</f>
        <v>0</v>
      </c>
      <c r="M1902" s="3">
        <f>parking_demand_data_2024_ver0!L1902</f>
        <v>0</v>
      </c>
      <c r="N1902" s="3">
        <f>parking_demand_data_2024_ver0!M1902</f>
        <v>0</v>
      </c>
      <c r="O1902" s="3">
        <f>parking_demand_data_2024_ver0!N1902</f>
        <v>0</v>
      </c>
      <c r="P1902" s="3">
        <f>parking_demand_data_2024_ver0!O1902</f>
        <v>0</v>
      </c>
      <c r="Q1902" s="3">
        <f>parking_demand_data_2024_ver0!P1902</f>
        <v>0</v>
      </c>
      <c r="R1902" s="3">
        <f>parking_demand_data_2024_ver0!Q1902</f>
        <v>0</v>
      </c>
      <c r="S1902" s="3">
        <f>parking_demand_data_2024_ver0!R1902</f>
        <v>0</v>
      </c>
      <c r="T1902" s="3">
        <f>parking_demand_data_2024_ver0!S1902</f>
        <v>0</v>
      </c>
    </row>
    <row r="1903" spans="1:20" x14ac:dyDescent="0.25">
      <c r="A1903">
        <v>18159</v>
      </c>
      <c r="B1903" t="s">
        <v>108</v>
      </c>
      <c r="C1903">
        <v>5</v>
      </c>
      <c r="D1903" s="3">
        <f>parking_demand_data_2024_ver0!D1903*calibration!$I$31</f>
        <v>0</v>
      </c>
      <c r="E1903" s="3">
        <f>parking_demand_data_2024_ver0!E1903*calibration!$I$31</f>
        <v>0</v>
      </c>
      <c r="F1903" s="3">
        <f t="shared" si="29"/>
        <v>0</v>
      </c>
      <c r="G1903" s="3">
        <f>parking_demand_data_2024_ver0!F1903</f>
        <v>0</v>
      </c>
      <c r="H1903" s="3">
        <f>parking_demand_data_2024_ver0!G1903</f>
        <v>0</v>
      </c>
      <c r="I1903" s="3">
        <f>parking_demand_data_2024_ver0!H1903</f>
        <v>0</v>
      </c>
      <c r="J1903" s="3">
        <f>parking_demand_data_2024_ver0!I1903</f>
        <v>0</v>
      </c>
      <c r="K1903" s="3">
        <f>parking_demand_data_2024_ver0!J1903</f>
        <v>0</v>
      </c>
      <c r="L1903" s="3">
        <f>parking_demand_data_2024_ver0!K1903</f>
        <v>0</v>
      </c>
      <c r="M1903" s="3">
        <f>parking_demand_data_2024_ver0!L1903</f>
        <v>0</v>
      </c>
      <c r="N1903" s="3">
        <f>parking_demand_data_2024_ver0!M1903</f>
        <v>0</v>
      </c>
      <c r="O1903" s="3">
        <f>parking_demand_data_2024_ver0!N1903</f>
        <v>0</v>
      </c>
      <c r="P1903" s="3">
        <f>parking_demand_data_2024_ver0!O1903</f>
        <v>0</v>
      </c>
      <c r="Q1903" s="3">
        <f>parking_demand_data_2024_ver0!P1903</f>
        <v>0</v>
      </c>
      <c r="R1903" s="3">
        <f>parking_demand_data_2024_ver0!Q1903</f>
        <v>0</v>
      </c>
      <c r="S1903" s="3">
        <f>parking_demand_data_2024_ver0!R1903</f>
        <v>0</v>
      </c>
      <c r="T1903" s="3">
        <f>parking_demand_data_2024_ver0!S1903</f>
        <v>0</v>
      </c>
    </row>
    <row r="1904" spans="1:20" x14ac:dyDescent="0.25">
      <c r="A1904">
        <v>18159</v>
      </c>
      <c r="B1904" t="s">
        <v>108</v>
      </c>
      <c r="C1904">
        <v>6</v>
      </c>
      <c r="D1904" s="3">
        <f>parking_demand_data_2024_ver0!D1904*calibration!$I$31</f>
        <v>0</v>
      </c>
      <c r="E1904" s="3">
        <f>parking_demand_data_2024_ver0!E1904*calibration!$I$31</f>
        <v>0</v>
      </c>
      <c r="F1904" s="3">
        <f t="shared" si="29"/>
        <v>0</v>
      </c>
      <c r="G1904" s="3">
        <f>parking_demand_data_2024_ver0!F1904</f>
        <v>0</v>
      </c>
      <c r="H1904" s="3">
        <f>parking_demand_data_2024_ver0!G1904</f>
        <v>0</v>
      </c>
      <c r="I1904" s="3">
        <f>parking_demand_data_2024_ver0!H1904</f>
        <v>0</v>
      </c>
      <c r="J1904" s="3">
        <f>parking_demand_data_2024_ver0!I1904</f>
        <v>0</v>
      </c>
      <c r="K1904" s="3">
        <f>parking_demand_data_2024_ver0!J1904</f>
        <v>0</v>
      </c>
      <c r="L1904" s="3">
        <f>parking_demand_data_2024_ver0!K1904</f>
        <v>0</v>
      </c>
      <c r="M1904" s="3">
        <f>parking_demand_data_2024_ver0!L1904</f>
        <v>0</v>
      </c>
      <c r="N1904" s="3">
        <f>parking_demand_data_2024_ver0!M1904</f>
        <v>0</v>
      </c>
      <c r="O1904" s="3">
        <f>parking_demand_data_2024_ver0!N1904</f>
        <v>0</v>
      </c>
      <c r="P1904" s="3">
        <f>parking_demand_data_2024_ver0!O1904</f>
        <v>0</v>
      </c>
      <c r="Q1904" s="3">
        <f>parking_demand_data_2024_ver0!P1904</f>
        <v>0</v>
      </c>
      <c r="R1904" s="3">
        <f>parking_demand_data_2024_ver0!Q1904</f>
        <v>0</v>
      </c>
      <c r="S1904" s="3">
        <f>parking_demand_data_2024_ver0!R1904</f>
        <v>0</v>
      </c>
      <c r="T1904" s="3">
        <f>parking_demand_data_2024_ver0!S1904</f>
        <v>0</v>
      </c>
    </row>
    <row r="1905" spans="1:20" x14ac:dyDescent="0.25">
      <c r="A1905">
        <v>18159</v>
      </c>
      <c r="B1905" t="s">
        <v>108</v>
      </c>
      <c r="C1905">
        <v>7</v>
      </c>
      <c r="D1905" s="3">
        <f>parking_demand_data_2024_ver0!D1905*calibration!$I$31</f>
        <v>0</v>
      </c>
      <c r="E1905" s="3">
        <f>parking_demand_data_2024_ver0!E1905*calibration!$I$31</f>
        <v>0</v>
      </c>
      <c r="F1905" s="3">
        <f t="shared" si="29"/>
        <v>0</v>
      </c>
      <c r="G1905" s="3">
        <f>parking_demand_data_2024_ver0!F1905</f>
        <v>0</v>
      </c>
      <c r="H1905" s="3">
        <f>parking_demand_data_2024_ver0!G1905</f>
        <v>0</v>
      </c>
      <c r="I1905" s="3">
        <f>parking_demand_data_2024_ver0!H1905</f>
        <v>0</v>
      </c>
      <c r="J1905" s="3">
        <f>parking_demand_data_2024_ver0!I1905</f>
        <v>0</v>
      </c>
      <c r="K1905" s="3">
        <f>parking_demand_data_2024_ver0!J1905</f>
        <v>0</v>
      </c>
      <c r="L1905" s="3">
        <f>parking_demand_data_2024_ver0!K1905</f>
        <v>0</v>
      </c>
      <c r="M1905" s="3">
        <f>parking_demand_data_2024_ver0!L1905</f>
        <v>0</v>
      </c>
      <c r="N1905" s="3">
        <f>parking_demand_data_2024_ver0!M1905</f>
        <v>0</v>
      </c>
      <c r="O1905" s="3">
        <f>parking_demand_data_2024_ver0!N1905</f>
        <v>0</v>
      </c>
      <c r="P1905" s="3">
        <f>parking_demand_data_2024_ver0!O1905</f>
        <v>0</v>
      </c>
      <c r="Q1905" s="3">
        <f>parking_demand_data_2024_ver0!P1905</f>
        <v>0</v>
      </c>
      <c r="R1905" s="3">
        <f>parking_demand_data_2024_ver0!Q1905</f>
        <v>0</v>
      </c>
      <c r="S1905" s="3">
        <f>parking_demand_data_2024_ver0!R1905</f>
        <v>0</v>
      </c>
      <c r="T1905" s="3">
        <f>parking_demand_data_2024_ver0!S1905</f>
        <v>0</v>
      </c>
    </row>
    <row r="1906" spans="1:20" x14ac:dyDescent="0.25">
      <c r="A1906">
        <v>18159</v>
      </c>
      <c r="B1906" t="s">
        <v>108</v>
      </c>
      <c r="C1906">
        <v>8</v>
      </c>
      <c r="D1906" s="3">
        <f>parking_demand_data_2024_ver0!D1906*calibration!$I$31</f>
        <v>0</v>
      </c>
      <c r="E1906" s="3">
        <f>parking_demand_data_2024_ver0!E1906*calibration!$I$31</f>
        <v>0.10545026156036399</v>
      </c>
      <c r="F1906" s="3">
        <f t="shared" si="29"/>
        <v>0.10545026156036399</v>
      </c>
      <c r="G1906" s="3">
        <f>parking_demand_data_2024_ver0!F1906</f>
        <v>0</v>
      </c>
      <c r="H1906" s="3">
        <f>parking_demand_data_2024_ver0!G1906</f>
        <v>0</v>
      </c>
      <c r="I1906" s="3">
        <f>parking_demand_data_2024_ver0!H1906</f>
        <v>0</v>
      </c>
      <c r="J1906" s="3">
        <f>parking_demand_data_2024_ver0!I1906</f>
        <v>0</v>
      </c>
      <c r="K1906" s="3">
        <f>parking_demand_data_2024_ver0!J1906</f>
        <v>0</v>
      </c>
      <c r="L1906" s="3">
        <f>parking_demand_data_2024_ver0!K1906</f>
        <v>0</v>
      </c>
      <c r="M1906" s="3">
        <f>parking_demand_data_2024_ver0!L1906</f>
        <v>0</v>
      </c>
      <c r="N1906" s="3">
        <f>parking_demand_data_2024_ver0!M1906</f>
        <v>0</v>
      </c>
      <c r="O1906" s="3">
        <f>parking_demand_data_2024_ver0!N1906</f>
        <v>0</v>
      </c>
      <c r="P1906" s="3">
        <f>parking_demand_data_2024_ver0!O1906</f>
        <v>0</v>
      </c>
      <c r="Q1906" s="3">
        <f>parking_demand_data_2024_ver0!P1906</f>
        <v>0</v>
      </c>
      <c r="R1906" s="3">
        <f>parking_demand_data_2024_ver0!Q1906</f>
        <v>0</v>
      </c>
      <c r="S1906" s="3">
        <f>parking_demand_data_2024_ver0!R1906</f>
        <v>0</v>
      </c>
      <c r="T1906" s="3">
        <f>parking_demand_data_2024_ver0!S1906</f>
        <v>0</v>
      </c>
    </row>
    <row r="1907" spans="1:20" x14ac:dyDescent="0.25">
      <c r="A1907">
        <v>18159</v>
      </c>
      <c r="B1907" t="s">
        <v>108</v>
      </c>
      <c r="C1907">
        <v>9</v>
      </c>
      <c r="D1907" s="3">
        <f>parking_demand_data_2024_ver0!D1907*calibration!$I$31</f>
        <v>0</v>
      </c>
      <c r="E1907" s="3">
        <f>parking_demand_data_2024_ver0!E1907*calibration!$I$31</f>
        <v>0.73815183092255099</v>
      </c>
      <c r="F1907" s="3">
        <f t="shared" si="29"/>
        <v>0.73815183092255099</v>
      </c>
      <c r="G1907" s="3">
        <f>parking_demand_data_2024_ver0!F1907</f>
        <v>0</v>
      </c>
      <c r="H1907" s="3">
        <f>parking_demand_data_2024_ver0!G1907</f>
        <v>0</v>
      </c>
      <c r="I1907" s="3">
        <f>parking_demand_data_2024_ver0!H1907</f>
        <v>0</v>
      </c>
      <c r="J1907" s="3">
        <f>parking_demand_data_2024_ver0!I1907</f>
        <v>0</v>
      </c>
      <c r="K1907" s="3">
        <f>parking_demand_data_2024_ver0!J1907</f>
        <v>0</v>
      </c>
      <c r="L1907" s="3">
        <f>parking_demand_data_2024_ver0!K1907</f>
        <v>0</v>
      </c>
      <c r="M1907" s="3">
        <f>parking_demand_data_2024_ver0!L1907</f>
        <v>0</v>
      </c>
      <c r="N1907" s="3">
        <f>parking_demand_data_2024_ver0!M1907</f>
        <v>0</v>
      </c>
      <c r="O1907" s="3">
        <f>parking_demand_data_2024_ver0!N1907</f>
        <v>0</v>
      </c>
      <c r="P1907" s="3">
        <f>parking_demand_data_2024_ver0!O1907</f>
        <v>0</v>
      </c>
      <c r="Q1907" s="3">
        <f>parking_demand_data_2024_ver0!P1907</f>
        <v>0</v>
      </c>
      <c r="R1907" s="3">
        <f>parking_demand_data_2024_ver0!Q1907</f>
        <v>0</v>
      </c>
      <c r="S1907" s="3">
        <f>parking_demand_data_2024_ver0!R1907</f>
        <v>0</v>
      </c>
      <c r="T1907" s="3">
        <f>parking_demand_data_2024_ver0!S1907</f>
        <v>0</v>
      </c>
    </row>
    <row r="1908" spans="1:20" x14ac:dyDescent="0.25">
      <c r="A1908">
        <v>18159</v>
      </c>
      <c r="B1908" t="s">
        <v>108</v>
      </c>
      <c r="C1908">
        <v>10</v>
      </c>
      <c r="D1908" s="3">
        <f>parking_demand_data_2024_ver0!D1908*calibration!$I$31</f>
        <v>0</v>
      </c>
      <c r="E1908" s="3">
        <f>parking_demand_data_2024_ver0!E1908*calibration!$I$31</f>
        <v>0.52725130780182194</v>
      </c>
      <c r="F1908" s="3">
        <f t="shared" si="29"/>
        <v>0.52725130780182194</v>
      </c>
      <c r="G1908" s="3">
        <f>parking_demand_data_2024_ver0!F1908</f>
        <v>0</v>
      </c>
      <c r="H1908" s="3">
        <f>parking_demand_data_2024_ver0!G1908</f>
        <v>0</v>
      </c>
      <c r="I1908" s="3">
        <f>parking_demand_data_2024_ver0!H1908</f>
        <v>0</v>
      </c>
      <c r="J1908" s="3">
        <f>parking_demand_data_2024_ver0!I1908</f>
        <v>0</v>
      </c>
      <c r="K1908" s="3">
        <f>parking_demand_data_2024_ver0!J1908</f>
        <v>0</v>
      </c>
      <c r="L1908" s="3">
        <f>parking_demand_data_2024_ver0!K1908</f>
        <v>0</v>
      </c>
      <c r="M1908" s="3">
        <f>parking_demand_data_2024_ver0!L1908</f>
        <v>0</v>
      </c>
      <c r="N1908" s="3">
        <f>parking_demand_data_2024_ver0!M1908</f>
        <v>0</v>
      </c>
      <c r="O1908" s="3">
        <f>parking_demand_data_2024_ver0!N1908</f>
        <v>0</v>
      </c>
      <c r="P1908" s="3">
        <f>parking_demand_data_2024_ver0!O1908</f>
        <v>0</v>
      </c>
      <c r="Q1908" s="3">
        <f>parking_demand_data_2024_ver0!P1908</f>
        <v>0</v>
      </c>
      <c r="R1908" s="3">
        <f>parking_demand_data_2024_ver0!Q1908</f>
        <v>0</v>
      </c>
      <c r="S1908" s="3">
        <f>parking_demand_data_2024_ver0!R1908</f>
        <v>0</v>
      </c>
      <c r="T1908" s="3">
        <f>parking_demand_data_2024_ver0!S1908</f>
        <v>0</v>
      </c>
    </row>
    <row r="1909" spans="1:20" x14ac:dyDescent="0.25">
      <c r="A1909">
        <v>18159</v>
      </c>
      <c r="B1909" t="s">
        <v>108</v>
      </c>
      <c r="C1909">
        <v>11</v>
      </c>
      <c r="D1909" s="3">
        <f>parking_demand_data_2024_ver0!D1909*calibration!$I$31</f>
        <v>0</v>
      </c>
      <c r="E1909" s="3">
        <f>parking_demand_data_2024_ver0!E1909*calibration!$I$31</f>
        <v>0.60633900397209495</v>
      </c>
      <c r="F1909" s="3">
        <f t="shared" si="29"/>
        <v>0.60633900397209495</v>
      </c>
      <c r="G1909" s="3">
        <f>parking_demand_data_2024_ver0!F1909</f>
        <v>0</v>
      </c>
      <c r="H1909" s="3">
        <f>parking_demand_data_2024_ver0!G1909</f>
        <v>0</v>
      </c>
      <c r="I1909" s="3">
        <f>parking_demand_data_2024_ver0!H1909</f>
        <v>0</v>
      </c>
      <c r="J1909" s="3">
        <f>parking_demand_data_2024_ver0!I1909</f>
        <v>0</v>
      </c>
      <c r="K1909" s="3">
        <f>parking_demand_data_2024_ver0!J1909</f>
        <v>0</v>
      </c>
      <c r="L1909" s="3">
        <f>parking_demand_data_2024_ver0!K1909</f>
        <v>0</v>
      </c>
      <c r="M1909" s="3">
        <f>parking_demand_data_2024_ver0!L1909</f>
        <v>0</v>
      </c>
      <c r="N1909" s="3">
        <f>parking_demand_data_2024_ver0!M1909</f>
        <v>0</v>
      </c>
      <c r="O1909" s="3">
        <f>parking_demand_data_2024_ver0!N1909</f>
        <v>0</v>
      </c>
      <c r="P1909" s="3">
        <f>parking_demand_data_2024_ver0!O1909</f>
        <v>0</v>
      </c>
      <c r="Q1909" s="3">
        <f>parking_demand_data_2024_ver0!P1909</f>
        <v>0</v>
      </c>
      <c r="R1909" s="3">
        <f>parking_demand_data_2024_ver0!Q1909</f>
        <v>0</v>
      </c>
      <c r="S1909" s="3">
        <f>parking_demand_data_2024_ver0!R1909</f>
        <v>0</v>
      </c>
      <c r="T1909" s="3">
        <f>parking_demand_data_2024_ver0!S1909</f>
        <v>0</v>
      </c>
    </row>
    <row r="1910" spans="1:20" x14ac:dyDescent="0.25">
      <c r="A1910">
        <v>18159</v>
      </c>
      <c r="B1910" t="s">
        <v>108</v>
      </c>
      <c r="C1910">
        <v>12</v>
      </c>
      <c r="D1910" s="3">
        <f>parking_demand_data_2024_ver0!D1910*calibration!$I$31</f>
        <v>0</v>
      </c>
      <c r="E1910" s="3">
        <f>parking_demand_data_2024_ver0!E1910*calibration!$I$31</f>
        <v>0.71178926553246002</v>
      </c>
      <c r="F1910" s="3">
        <f t="shared" si="29"/>
        <v>0.71178926553246002</v>
      </c>
      <c r="G1910" s="3">
        <f>parking_demand_data_2024_ver0!F1910</f>
        <v>0</v>
      </c>
      <c r="H1910" s="3">
        <f>parking_demand_data_2024_ver0!G1910</f>
        <v>0</v>
      </c>
      <c r="I1910" s="3">
        <f>parking_demand_data_2024_ver0!H1910</f>
        <v>0</v>
      </c>
      <c r="J1910" s="3">
        <f>parking_demand_data_2024_ver0!I1910</f>
        <v>0</v>
      </c>
      <c r="K1910" s="3">
        <f>parking_demand_data_2024_ver0!J1910</f>
        <v>0</v>
      </c>
      <c r="L1910" s="3">
        <f>parking_demand_data_2024_ver0!K1910</f>
        <v>0</v>
      </c>
      <c r="M1910" s="3">
        <f>parking_demand_data_2024_ver0!L1910</f>
        <v>0</v>
      </c>
      <c r="N1910" s="3">
        <f>parking_demand_data_2024_ver0!M1910</f>
        <v>0</v>
      </c>
      <c r="O1910" s="3">
        <f>parking_demand_data_2024_ver0!N1910</f>
        <v>0</v>
      </c>
      <c r="P1910" s="3">
        <f>parking_demand_data_2024_ver0!O1910</f>
        <v>0</v>
      </c>
      <c r="Q1910" s="3">
        <f>parking_demand_data_2024_ver0!P1910</f>
        <v>0</v>
      </c>
      <c r="R1910" s="3">
        <f>parking_demand_data_2024_ver0!Q1910</f>
        <v>0</v>
      </c>
      <c r="S1910" s="3">
        <f>parking_demand_data_2024_ver0!R1910</f>
        <v>0</v>
      </c>
      <c r="T1910" s="3">
        <f>parking_demand_data_2024_ver0!S1910</f>
        <v>0</v>
      </c>
    </row>
    <row r="1911" spans="1:20" x14ac:dyDescent="0.25">
      <c r="A1911">
        <v>18159</v>
      </c>
      <c r="B1911" t="s">
        <v>108</v>
      </c>
      <c r="C1911">
        <v>13</v>
      </c>
      <c r="D1911" s="3">
        <f>parking_demand_data_2024_ver0!D1911*calibration!$I$31</f>
        <v>0</v>
      </c>
      <c r="E1911" s="3">
        <f>parking_demand_data_2024_ver0!E1911*calibration!$I$31</f>
        <v>1.08086518099373</v>
      </c>
      <c r="F1911" s="3">
        <f t="shared" si="29"/>
        <v>1.08086518099373</v>
      </c>
      <c r="G1911" s="3">
        <f>parking_demand_data_2024_ver0!F1911</f>
        <v>0</v>
      </c>
      <c r="H1911" s="3">
        <f>parking_demand_data_2024_ver0!G1911</f>
        <v>0</v>
      </c>
      <c r="I1911" s="3">
        <f>parking_demand_data_2024_ver0!H1911</f>
        <v>0</v>
      </c>
      <c r="J1911" s="3">
        <f>parking_demand_data_2024_ver0!I1911</f>
        <v>0</v>
      </c>
      <c r="K1911" s="3">
        <f>parking_demand_data_2024_ver0!J1911</f>
        <v>0</v>
      </c>
      <c r="L1911" s="3">
        <f>parking_demand_data_2024_ver0!K1911</f>
        <v>0</v>
      </c>
      <c r="M1911" s="3">
        <f>parking_demand_data_2024_ver0!L1911</f>
        <v>0</v>
      </c>
      <c r="N1911" s="3">
        <f>parking_demand_data_2024_ver0!M1911</f>
        <v>0</v>
      </c>
      <c r="O1911" s="3">
        <f>parking_demand_data_2024_ver0!N1911</f>
        <v>0</v>
      </c>
      <c r="P1911" s="3">
        <f>parking_demand_data_2024_ver0!O1911</f>
        <v>0</v>
      </c>
      <c r="Q1911" s="3">
        <f>parking_demand_data_2024_ver0!P1911</f>
        <v>0</v>
      </c>
      <c r="R1911" s="3">
        <f>parking_demand_data_2024_ver0!Q1911</f>
        <v>0</v>
      </c>
      <c r="S1911" s="3">
        <f>parking_demand_data_2024_ver0!R1911</f>
        <v>0</v>
      </c>
      <c r="T1911" s="3">
        <f>parking_demand_data_2024_ver0!S1911</f>
        <v>0</v>
      </c>
    </row>
    <row r="1912" spans="1:20" x14ac:dyDescent="0.25">
      <c r="A1912">
        <v>18159</v>
      </c>
      <c r="B1912" t="s">
        <v>108</v>
      </c>
      <c r="C1912">
        <v>14</v>
      </c>
      <c r="D1912" s="3">
        <f>parking_demand_data_2024_ver0!D1912*calibration!$I$31</f>
        <v>0</v>
      </c>
      <c r="E1912" s="3">
        <f>parking_demand_data_2024_ver0!E1912*calibration!$I$31</f>
        <v>0.68542670014236895</v>
      </c>
      <c r="F1912" s="3">
        <f t="shared" si="29"/>
        <v>0.68542670014236895</v>
      </c>
      <c r="G1912" s="3">
        <f>parking_demand_data_2024_ver0!F1912</f>
        <v>0</v>
      </c>
      <c r="H1912" s="3">
        <f>parking_demand_data_2024_ver0!G1912</f>
        <v>0</v>
      </c>
      <c r="I1912" s="3">
        <f>parking_demand_data_2024_ver0!H1912</f>
        <v>0</v>
      </c>
      <c r="J1912" s="3">
        <f>parking_demand_data_2024_ver0!I1912</f>
        <v>0</v>
      </c>
      <c r="K1912" s="3">
        <f>parking_demand_data_2024_ver0!J1912</f>
        <v>0</v>
      </c>
      <c r="L1912" s="3">
        <f>parking_demand_data_2024_ver0!K1912</f>
        <v>0</v>
      </c>
      <c r="M1912" s="3">
        <f>parking_demand_data_2024_ver0!L1912</f>
        <v>0</v>
      </c>
      <c r="N1912" s="3">
        <f>parking_demand_data_2024_ver0!M1912</f>
        <v>0</v>
      </c>
      <c r="O1912" s="3">
        <f>parking_demand_data_2024_ver0!N1912</f>
        <v>0</v>
      </c>
      <c r="P1912" s="3">
        <f>parking_demand_data_2024_ver0!O1912</f>
        <v>0</v>
      </c>
      <c r="Q1912" s="3">
        <f>parking_demand_data_2024_ver0!P1912</f>
        <v>0</v>
      </c>
      <c r="R1912" s="3">
        <f>parking_demand_data_2024_ver0!Q1912</f>
        <v>0</v>
      </c>
      <c r="S1912" s="3">
        <f>parking_demand_data_2024_ver0!R1912</f>
        <v>0</v>
      </c>
      <c r="T1912" s="3">
        <f>parking_demand_data_2024_ver0!S1912</f>
        <v>0</v>
      </c>
    </row>
    <row r="1913" spans="1:20" x14ac:dyDescent="0.25">
      <c r="A1913">
        <v>18159</v>
      </c>
      <c r="B1913" t="s">
        <v>108</v>
      </c>
      <c r="C1913">
        <v>15</v>
      </c>
      <c r="D1913" s="3">
        <f>parking_demand_data_2024_ver0!D1913*calibration!$I$31</f>
        <v>0</v>
      </c>
      <c r="E1913" s="3">
        <f>parking_demand_data_2024_ver0!E1913*calibration!$I$31</f>
        <v>0.448163611631549</v>
      </c>
      <c r="F1913" s="3">
        <f t="shared" si="29"/>
        <v>0.448163611631549</v>
      </c>
      <c r="G1913" s="3">
        <f>parking_demand_data_2024_ver0!F1913</f>
        <v>0</v>
      </c>
      <c r="H1913" s="3">
        <f>parking_demand_data_2024_ver0!G1913</f>
        <v>0</v>
      </c>
      <c r="I1913" s="3">
        <f>parking_demand_data_2024_ver0!H1913</f>
        <v>0</v>
      </c>
      <c r="J1913" s="3">
        <f>parking_demand_data_2024_ver0!I1913</f>
        <v>0</v>
      </c>
      <c r="K1913" s="3">
        <f>parking_demand_data_2024_ver0!J1913</f>
        <v>0</v>
      </c>
      <c r="L1913" s="3">
        <f>parking_demand_data_2024_ver0!K1913</f>
        <v>0</v>
      </c>
      <c r="M1913" s="3">
        <f>parking_demand_data_2024_ver0!L1913</f>
        <v>0</v>
      </c>
      <c r="N1913" s="3">
        <f>parking_demand_data_2024_ver0!M1913</f>
        <v>0</v>
      </c>
      <c r="O1913" s="3">
        <f>parking_demand_data_2024_ver0!N1913</f>
        <v>0</v>
      </c>
      <c r="P1913" s="3">
        <f>parking_demand_data_2024_ver0!O1913</f>
        <v>0</v>
      </c>
      <c r="Q1913" s="3">
        <f>parking_demand_data_2024_ver0!P1913</f>
        <v>0</v>
      </c>
      <c r="R1913" s="3">
        <f>parking_demand_data_2024_ver0!Q1913</f>
        <v>0</v>
      </c>
      <c r="S1913" s="3">
        <f>parking_demand_data_2024_ver0!R1913</f>
        <v>0</v>
      </c>
      <c r="T1913" s="3">
        <f>parking_demand_data_2024_ver0!S1913</f>
        <v>0</v>
      </c>
    </row>
    <row r="1914" spans="1:20" x14ac:dyDescent="0.25">
      <c r="A1914">
        <v>18159</v>
      </c>
      <c r="B1914" t="s">
        <v>108</v>
      </c>
      <c r="C1914">
        <v>16</v>
      </c>
      <c r="D1914" s="3">
        <f>parking_demand_data_2024_ver0!D1914*calibration!$I$31</f>
        <v>0</v>
      </c>
      <c r="E1914" s="3">
        <f>parking_demand_data_2024_ver0!E1914*calibration!$I$31</f>
        <v>0.13181282695045499</v>
      </c>
      <c r="F1914" s="3">
        <f t="shared" si="29"/>
        <v>0.13181282695045499</v>
      </c>
      <c r="G1914" s="3">
        <f>parking_demand_data_2024_ver0!F1914</f>
        <v>0</v>
      </c>
      <c r="H1914" s="3">
        <f>parking_demand_data_2024_ver0!G1914</f>
        <v>0</v>
      </c>
      <c r="I1914" s="3">
        <f>parking_demand_data_2024_ver0!H1914</f>
        <v>0</v>
      </c>
      <c r="J1914" s="3">
        <f>parking_demand_data_2024_ver0!I1914</f>
        <v>0</v>
      </c>
      <c r="K1914" s="3">
        <f>parking_demand_data_2024_ver0!J1914</f>
        <v>0</v>
      </c>
      <c r="L1914" s="3">
        <f>parking_demand_data_2024_ver0!K1914</f>
        <v>0</v>
      </c>
      <c r="M1914" s="3">
        <f>parking_demand_data_2024_ver0!L1914</f>
        <v>0</v>
      </c>
      <c r="N1914" s="3">
        <f>parking_demand_data_2024_ver0!M1914</f>
        <v>0</v>
      </c>
      <c r="O1914" s="3">
        <f>parking_demand_data_2024_ver0!N1914</f>
        <v>0</v>
      </c>
      <c r="P1914" s="3">
        <f>parking_demand_data_2024_ver0!O1914</f>
        <v>0</v>
      </c>
      <c r="Q1914" s="3">
        <f>parking_demand_data_2024_ver0!P1914</f>
        <v>0</v>
      </c>
      <c r="R1914" s="3">
        <f>parking_demand_data_2024_ver0!Q1914</f>
        <v>0</v>
      </c>
      <c r="S1914" s="3">
        <f>parking_demand_data_2024_ver0!R1914</f>
        <v>0</v>
      </c>
      <c r="T1914" s="3">
        <f>parking_demand_data_2024_ver0!S1914</f>
        <v>0</v>
      </c>
    </row>
    <row r="1915" spans="1:20" x14ac:dyDescent="0.25">
      <c r="A1915">
        <v>18159</v>
      </c>
      <c r="B1915" t="s">
        <v>108</v>
      </c>
      <c r="C1915">
        <v>17</v>
      </c>
      <c r="D1915" s="3">
        <f>parking_demand_data_2024_ver0!D1915*calibration!$I$31</f>
        <v>0</v>
      </c>
      <c r="E1915" s="3">
        <f>parking_demand_data_2024_ver0!E1915*calibration!$I$31</f>
        <v>5.2725130780182199E-2</v>
      </c>
      <c r="F1915" s="3">
        <f t="shared" si="29"/>
        <v>5.2725130780182199E-2</v>
      </c>
      <c r="G1915" s="3">
        <f>parking_demand_data_2024_ver0!F1915</f>
        <v>0</v>
      </c>
      <c r="H1915" s="3">
        <f>parking_demand_data_2024_ver0!G1915</f>
        <v>0</v>
      </c>
      <c r="I1915" s="3">
        <f>parking_demand_data_2024_ver0!H1915</f>
        <v>0</v>
      </c>
      <c r="J1915" s="3">
        <f>parking_demand_data_2024_ver0!I1915</f>
        <v>0</v>
      </c>
      <c r="K1915" s="3">
        <f>parking_demand_data_2024_ver0!J1915</f>
        <v>0</v>
      </c>
      <c r="L1915" s="3">
        <f>parking_demand_data_2024_ver0!K1915</f>
        <v>0</v>
      </c>
      <c r="M1915" s="3">
        <f>parking_demand_data_2024_ver0!L1915</f>
        <v>0</v>
      </c>
      <c r="N1915" s="3">
        <f>parking_demand_data_2024_ver0!M1915</f>
        <v>0</v>
      </c>
      <c r="O1915" s="3">
        <f>parking_demand_data_2024_ver0!N1915</f>
        <v>0</v>
      </c>
      <c r="P1915" s="3">
        <f>parking_demand_data_2024_ver0!O1915</f>
        <v>0</v>
      </c>
      <c r="Q1915" s="3">
        <f>parking_demand_data_2024_ver0!P1915</f>
        <v>0</v>
      </c>
      <c r="R1915" s="3">
        <f>parking_demand_data_2024_ver0!Q1915</f>
        <v>0</v>
      </c>
      <c r="S1915" s="3">
        <f>parking_demand_data_2024_ver0!R1915</f>
        <v>0</v>
      </c>
      <c r="T1915" s="3">
        <f>parking_demand_data_2024_ver0!S1915</f>
        <v>0</v>
      </c>
    </row>
    <row r="1916" spans="1:20" x14ac:dyDescent="0.25">
      <c r="A1916">
        <v>18159</v>
      </c>
      <c r="B1916" t="s">
        <v>108</v>
      </c>
      <c r="C1916">
        <v>18</v>
      </c>
      <c r="D1916" s="3">
        <f>parking_demand_data_2024_ver0!D1916*calibration!$I$31</f>
        <v>0</v>
      </c>
      <c r="E1916" s="3">
        <f>parking_demand_data_2024_ver0!E1916*calibration!$I$31</f>
        <v>0</v>
      </c>
      <c r="F1916" s="3">
        <f t="shared" si="29"/>
        <v>0</v>
      </c>
      <c r="G1916" s="3">
        <f>parking_demand_data_2024_ver0!F1916</f>
        <v>0</v>
      </c>
      <c r="H1916" s="3">
        <f>parking_demand_data_2024_ver0!G1916</f>
        <v>0</v>
      </c>
      <c r="I1916" s="3">
        <f>parking_demand_data_2024_ver0!H1916</f>
        <v>0</v>
      </c>
      <c r="J1916" s="3">
        <f>parking_demand_data_2024_ver0!I1916</f>
        <v>0</v>
      </c>
      <c r="K1916" s="3">
        <f>parking_demand_data_2024_ver0!J1916</f>
        <v>0</v>
      </c>
      <c r="L1916" s="3">
        <f>parking_demand_data_2024_ver0!K1916</f>
        <v>0</v>
      </c>
      <c r="M1916" s="3">
        <f>parking_demand_data_2024_ver0!L1916</f>
        <v>0</v>
      </c>
      <c r="N1916" s="3">
        <f>parking_demand_data_2024_ver0!M1916</f>
        <v>0</v>
      </c>
      <c r="O1916" s="3">
        <f>parking_demand_data_2024_ver0!N1916</f>
        <v>0</v>
      </c>
      <c r="P1916" s="3">
        <f>parking_demand_data_2024_ver0!O1916</f>
        <v>0</v>
      </c>
      <c r="Q1916" s="3">
        <f>parking_demand_data_2024_ver0!P1916</f>
        <v>0</v>
      </c>
      <c r="R1916" s="3">
        <f>parking_demand_data_2024_ver0!Q1916</f>
        <v>0</v>
      </c>
      <c r="S1916" s="3">
        <f>parking_demand_data_2024_ver0!R1916</f>
        <v>0</v>
      </c>
      <c r="T1916" s="3">
        <f>parking_demand_data_2024_ver0!S1916</f>
        <v>0</v>
      </c>
    </row>
    <row r="1917" spans="1:20" x14ac:dyDescent="0.25">
      <c r="A1917">
        <v>18159</v>
      </c>
      <c r="B1917" t="s">
        <v>108</v>
      </c>
      <c r="C1917">
        <v>19</v>
      </c>
      <c r="D1917" s="3">
        <f>parking_demand_data_2024_ver0!D1917*calibration!$I$31</f>
        <v>0</v>
      </c>
      <c r="E1917" s="3">
        <f>parking_demand_data_2024_ver0!E1917*calibration!$I$31</f>
        <v>0</v>
      </c>
      <c r="F1917" s="3">
        <f t="shared" si="29"/>
        <v>0</v>
      </c>
      <c r="G1917" s="3">
        <f>parking_demand_data_2024_ver0!F1917</f>
        <v>0</v>
      </c>
      <c r="H1917" s="3">
        <f>parking_demand_data_2024_ver0!G1917</f>
        <v>0</v>
      </c>
      <c r="I1917" s="3">
        <f>parking_demand_data_2024_ver0!H1917</f>
        <v>0</v>
      </c>
      <c r="J1917" s="3">
        <f>parking_demand_data_2024_ver0!I1917</f>
        <v>0</v>
      </c>
      <c r="K1917" s="3">
        <f>parking_demand_data_2024_ver0!J1917</f>
        <v>0</v>
      </c>
      <c r="L1917" s="3">
        <f>parking_demand_data_2024_ver0!K1917</f>
        <v>0</v>
      </c>
      <c r="M1917" s="3">
        <f>parking_demand_data_2024_ver0!L1917</f>
        <v>0</v>
      </c>
      <c r="N1917" s="3">
        <f>parking_demand_data_2024_ver0!M1917</f>
        <v>0</v>
      </c>
      <c r="O1917" s="3">
        <f>parking_demand_data_2024_ver0!N1917</f>
        <v>0</v>
      </c>
      <c r="P1917" s="3">
        <f>parking_demand_data_2024_ver0!O1917</f>
        <v>0</v>
      </c>
      <c r="Q1917" s="3">
        <f>parking_demand_data_2024_ver0!P1917</f>
        <v>0</v>
      </c>
      <c r="R1917" s="3">
        <f>parking_demand_data_2024_ver0!Q1917</f>
        <v>0</v>
      </c>
      <c r="S1917" s="3">
        <f>parking_demand_data_2024_ver0!R1917</f>
        <v>0</v>
      </c>
      <c r="T1917" s="3">
        <f>parking_demand_data_2024_ver0!S1917</f>
        <v>0</v>
      </c>
    </row>
    <row r="1918" spans="1:20" x14ac:dyDescent="0.25">
      <c r="A1918">
        <v>18159</v>
      </c>
      <c r="B1918" t="s">
        <v>108</v>
      </c>
      <c r="C1918">
        <v>20</v>
      </c>
      <c r="D1918" s="3">
        <f>parking_demand_data_2024_ver0!D1918*calibration!$I$31</f>
        <v>0</v>
      </c>
      <c r="E1918" s="3">
        <f>parking_demand_data_2024_ver0!E1918*calibration!$I$31</f>
        <v>0</v>
      </c>
      <c r="F1918" s="3">
        <f t="shared" si="29"/>
        <v>0</v>
      </c>
      <c r="G1918" s="3">
        <f>parking_demand_data_2024_ver0!F1918</f>
        <v>0</v>
      </c>
      <c r="H1918" s="3">
        <f>parking_demand_data_2024_ver0!G1918</f>
        <v>0</v>
      </c>
      <c r="I1918" s="3">
        <f>parking_demand_data_2024_ver0!H1918</f>
        <v>0</v>
      </c>
      <c r="J1918" s="3">
        <f>parking_demand_data_2024_ver0!I1918</f>
        <v>0</v>
      </c>
      <c r="K1918" s="3">
        <f>parking_demand_data_2024_ver0!J1918</f>
        <v>0</v>
      </c>
      <c r="L1918" s="3">
        <f>parking_demand_data_2024_ver0!K1918</f>
        <v>0</v>
      </c>
      <c r="M1918" s="3">
        <f>parking_demand_data_2024_ver0!L1918</f>
        <v>0</v>
      </c>
      <c r="N1918" s="3">
        <f>parking_demand_data_2024_ver0!M1918</f>
        <v>0</v>
      </c>
      <c r="O1918" s="3">
        <f>parking_demand_data_2024_ver0!N1918</f>
        <v>0</v>
      </c>
      <c r="P1918" s="3">
        <f>parking_demand_data_2024_ver0!O1918</f>
        <v>0</v>
      </c>
      <c r="Q1918" s="3">
        <f>parking_demand_data_2024_ver0!P1918</f>
        <v>0</v>
      </c>
      <c r="R1918" s="3">
        <f>parking_demand_data_2024_ver0!Q1918</f>
        <v>0</v>
      </c>
      <c r="S1918" s="3">
        <f>parking_demand_data_2024_ver0!R1918</f>
        <v>0</v>
      </c>
      <c r="T1918" s="3">
        <f>parking_demand_data_2024_ver0!S1918</f>
        <v>0</v>
      </c>
    </row>
    <row r="1919" spans="1:20" x14ac:dyDescent="0.25">
      <c r="A1919">
        <v>18159</v>
      </c>
      <c r="B1919" t="s">
        <v>108</v>
      </c>
      <c r="C1919">
        <v>21</v>
      </c>
      <c r="D1919" s="3">
        <f>parking_demand_data_2024_ver0!D1919*calibration!$I$31</f>
        <v>0</v>
      </c>
      <c r="E1919" s="3">
        <f>parking_demand_data_2024_ver0!E1919*calibration!$I$31</f>
        <v>0</v>
      </c>
      <c r="F1919" s="3">
        <f t="shared" si="29"/>
        <v>0</v>
      </c>
      <c r="G1919" s="3">
        <f>parking_demand_data_2024_ver0!F1919</f>
        <v>0</v>
      </c>
      <c r="H1919" s="3">
        <f>parking_demand_data_2024_ver0!G1919</f>
        <v>0</v>
      </c>
      <c r="I1919" s="3">
        <f>parking_demand_data_2024_ver0!H1919</f>
        <v>0</v>
      </c>
      <c r="J1919" s="3">
        <f>parking_demand_data_2024_ver0!I1919</f>
        <v>0</v>
      </c>
      <c r="K1919" s="3">
        <f>parking_demand_data_2024_ver0!J1919</f>
        <v>0</v>
      </c>
      <c r="L1919" s="3">
        <f>parking_demand_data_2024_ver0!K1919</f>
        <v>0</v>
      </c>
      <c r="M1919" s="3">
        <f>parking_demand_data_2024_ver0!L1919</f>
        <v>0</v>
      </c>
      <c r="N1919" s="3">
        <f>parking_demand_data_2024_ver0!M1919</f>
        <v>0</v>
      </c>
      <c r="O1919" s="3">
        <f>parking_demand_data_2024_ver0!N1919</f>
        <v>0</v>
      </c>
      <c r="P1919" s="3">
        <f>parking_demand_data_2024_ver0!O1919</f>
        <v>0</v>
      </c>
      <c r="Q1919" s="3">
        <f>parking_demand_data_2024_ver0!P1919</f>
        <v>0</v>
      </c>
      <c r="R1919" s="3">
        <f>parking_demand_data_2024_ver0!Q1919</f>
        <v>0</v>
      </c>
      <c r="S1919" s="3">
        <f>parking_demand_data_2024_ver0!R1919</f>
        <v>0</v>
      </c>
      <c r="T1919" s="3">
        <f>parking_demand_data_2024_ver0!S1919</f>
        <v>0</v>
      </c>
    </row>
    <row r="1920" spans="1:20" x14ac:dyDescent="0.25">
      <c r="A1920">
        <v>18159</v>
      </c>
      <c r="B1920" t="s">
        <v>108</v>
      </c>
      <c r="C1920">
        <v>22</v>
      </c>
      <c r="D1920" s="3">
        <f>parking_demand_data_2024_ver0!D1920*calibration!$I$31</f>
        <v>0</v>
      </c>
      <c r="E1920" s="3">
        <f>parking_demand_data_2024_ver0!E1920*calibration!$I$31</f>
        <v>0</v>
      </c>
      <c r="F1920" s="3">
        <f t="shared" si="29"/>
        <v>0</v>
      </c>
      <c r="G1920" s="3">
        <f>parking_demand_data_2024_ver0!F1920</f>
        <v>0</v>
      </c>
      <c r="H1920" s="3">
        <f>parking_demand_data_2024_ver0!G1920</f>
        <v>0</v>
      </c>
      <c r="I1920" s="3">
        <f>parking_demand_data_2024_ver0!H1920</f>
        <v>0</v>
      </c>
      <c r="J1920" s="3">
        <f>parking_demand_data_2024_ver0!I1920</f>
        <v>0</v>
      </c>
      <c r="K1920" s="3">
        <f>parking_demand_data_2024_ver0!J1920</f>
        <v>0</v>
      </c>
      <c r="L1920" s="3">
        <f>parking_demand_data_2024_ver0!K1920</f>
        <v>0</v>
      </c>
      <c r="M1920" s="3">
        <f>parking_demand_data_2024_ver0!L1920</f>
        <v>0</v>
      </c>
      <c r="N1920" s="3">
        <f>parking_demand_data_2024_ver0!M1920</f>
        <v>0</v>
      </c>
      <c r="O1920" s="3">
        <f>parking_demand_data_2024_ver0!N1920</f>
        <v>0</v>
      </c>
      <c r="P1920" s="3">
        <f>parking_demand_data_2024_ver0!O1920</f>
        <v>0</v>
      </c>
      <c r="Q1920" s="3">
        <f>parking_demand_data_2024_ver0!P1920</f>
        <v>0</v>
      </c>
      <c r="R1920" s="3">
        <f>parking_demand_data_2024_ver0!Q1920</f>
        <v>0</v>
      </c>
      <c r="S1920" s="3">
        <f>parking_demand_data_2024_ver0!R1920</f>
        <v>0</v>
      </c>
      <c r="T1920" s="3">
        <f>parking_demand_data_2024_ver0!S1920</f>
        <v>0</v>
      </c>
    </row>
    <row r="1921" spans="1:20" x14ac:dyDescent="0.25">
      <c r="A1921">
        <v>18159</v>
      </c>
      <c r="B1921" t="s">
        <v>108</v>
      </c>
      <c r="C1921">
        <v>23</v>
      </c>
      <c r="D1921" s="3">
        <f>parking_demand_data_2024_ver0!D1921*calibration!$I$31</f>
        <v>0</v>
      </c>
      <c r="E1921" s="3">
        <f>parking_demand_data_2024_ver0!E1921*calibration!$I$31</f>
        <v>0</v>
      </c>
      <c r="F1921" s="3">
        <f t="shared" si="29"/>
        <v>0</v>
      </c>
      <c r="G1921" s="3">
        <f>parking_demand_data_2024_ver0!F1921</f>
        <v>0</v>
      </c>
      <c r="H1921" s="3">
        <f>parking_demand_data_2024_ver0!G1921</f>
        <v>0</v>
      </c>
      <c r="I1921" s="3">
        <f>parking_demand_data_2024_ver0!H1921</f>
        <v>0</v>
      </c>
      <c r="J1921" s="3">
        <f>parking_demand_data_2024_ver0!I1921</f>
        <v>0</v>
      </c>
      <c r="K1921" s="3">
        <f>parking_demand_data_2024_ver0!J1921</f>
        <v>0</v>
      </c>
      <c r="L1921" s="3">
        <f>parking_demand_data_2024_ver0!K1921</f>
        <v>0</v>
      </c>
      <c r="M1921" s="3">
        <f>parking_demand_data_2024_ver0!L1921</f>
        <v>0</v>
      </c>
      <c r="N1921" s="3">
        <f>parking_demand_data_2024_ver0!M1921</f>
        <v>0</v>
      </c>
      <c r="O1921" s="3">
        <f>parking_demand_data_2024_ver0!N1921</f>
        <v>0</v>
      </c>
      <c r="P1921" s="3">
        <f>parking_demand_data_2024_ver0!O1921</f>
        <v>0</v>
      </c>
      <c r="Q1921" s="3">
        <f>parking_demand_data_2024_ver0!P1921</f>
        <v>0</v>
      </c>
      <c r="R1921" s="3">
        <f>parking_demand_data_2024_ver0!Q1921</f>
        <v>0</v>
      </c>
      <c r="S1921" s="3">
        <f>parking_demand_data_2024_ver0!R1921</f>
        <v>0</v>
      </c>
      <c r="T1921" s="3">
        <f>parking_demand_data_2024_ver0!S1921</f>
        <v>0</v>
      </c>
    </row>
    <row r="1922" spans="1:20" x14ac:dyDescent="0.25">
      <c r="A1922">
        <v>18161</v>
      </c>
      <c r="B1922" t="s">
        <v>109</v>
      </c>
      <c r="C1922">
        <v>0</v>
      </c>
      <c r="D1922" s="3">
        <f>parking_demand_data_2024_ver0!D1922*calibration!$I$31</f>
        <v>0</v>
      </c>
      <c r="E1922" s="3">
        <f>parking_demand_data_2024_ver0!E1922*calibration!$I$31</f>
        <v>0</v>
      </c>
      <c r="F1922" s="3">
        <f t="shared" si="29"/>
        <v>0</v>
      </c>
      <c r="G1922" s="3">
        <f>parking_demand_data_2024_ver0!F1922</f>
        <v>0</v>
      </c>
      <c r="H1922" s="3">
        <f>parking_demand_data_2024_ver0!G1922</f>
        <v>0</v>
      </c>
      <c r="I1922" s="3">
        <f>parking_demand_data_2024_ver0!H1922</f>
        <v>0</v>
      </c>
      <c r="J1922" s="3">
        <f>parking_demand_data_2024_ver0!I1922</f>
        <v>0</v>
      </c>
      <c r="K1922" s="3">
        <f>parking_demand_data_2024_ver0!J1922</f>
        <v>0</v>
      </c>
      <c r="L1922" s="3">
        <f>parking_demand_data_2024_ver0!K1922</f>
        <v>0</v>
      </c>
      <c r="M1922" s="3">
        <f>parking_demand_data_2024_ver0!L1922</f>
        <v>0</v>
      </c>
      <c r="N1922" s="3">
        <f>parking_demand_data_2024_ver0!M1922</f>
        <v>0</v>
      </c>
      <c r="O1922" s="3">
        <f>parking_demand_data_2024_ver0!N1922</f>
        <v>0</v>
      </c>
      <c r="P1922" s="3">
        <f>parking_demand_data_2024_ver0!O1922</f>
        <v>0</v>
      </c>
      <c r="Q1922" s="3">
        <f>parking_demand_data_2024_ver0!P1922</f>
        <v>0</v>
      </c>
      <c r="R1922" s="3">
        <f>parking_demand_data_2024_ver0!Q1922</f>
        <v>0</v>
      </c>
      <c r="S1922" s="3">
        <f>parking_demand_data_2024_ver0!R1922</f>
        <v>0</v>
      </c>
      <c r="T1922" s="3">
        <f>parking_demand_data_2024_ver0!S1922</f>
        <v>0</v>
      </c>
    </row>
    <row r="1923" spans="1:20" x14ac:dyDescent="0.25">
      <c r="A1923">
        <v>18161</v>
      </c>
      <c r="B1923" t="s">
        <v>109</v>
      </c>
      <c r="C1923">
        <v>1</v>
      </c>
      <c r="D1923" s="3">
        <f>parking_demand_data_2024_ver0!D1923*calibration!$I$31</f>
        <v>0</v>
      </c>
      <c r="E1923" s="3">
        <f>parking_demand_data_2024_ver0!E1923*calibration!$I$31</f>
        <v>0</v>
      </c>
      <c r="F1923" s="3">
        <f t="shared" ref="F1923:F1986" si="30">SUM(D1923:E1923)</f>
        <v>0</v>
      </c>
      <c r="G1923" s="3">
        <f>parking_demand_data_2024_ver0!F1923</f>
        <v>0</v>
      </c>
      <c r="H1923" s="3">
        <f>parking_demand_data_2024_ver0!G1923</f>
        <v>0</v>
      </c>
      <c r="I1923" s="3">
        <f>parking_demand_data_2024_ver0!H1923</f>
        <v>0</v>
      </c>
      <c r="J1923" s="3">
        <f>parking_demand_data_2024_ver0!I1923</f>
        <v>0</v>
      </c>
      <c r="K1923" s="3">
        <f>parking_demand_data_2024_ver0!J1923</f>
        <v>0</v>
      </c>
      <c r="L1923" s="3">
        <f>parking_demand_data_2024_ver0!K1923</f>
        <v>0</v>
      </c>
      <c r="M1923" s="3">
        <f>parking_demand_data_2024_ver0!L1923</f>
        <v>0</v>
      </c>
      <c r="N1923" s="3">
        <f>parking_demand_data_2024_ver0!M1923</f>
        <v>0</v>
      </c>
      <c r="O1923" s="3">
        <f>parking_demand_data_2024_ver0!N1923</f>
        <v>0</v>
      </c>
      <c r="P1923" s="3">
        <f>parking_demand_data_2024_ver0!O1923</f>
        <v>0</v>
      </c>
      <c r="Q1923" s="3">
        <f>parking_demand_data_2024_ver0!P1923</f>
        <v>0</v>
      </c>
      <c r="R1923" s="3">
        <f>parking_demand_data_2024_ver0!Q1923</f>
        <v>0</v>
      </c>
      <c r="S1923" s="3">
        <f>parking_demand_data_2024_ver0!R1923</f>
        <v>0</v>
      </c>
      <c r="T1923" s="3">
        <f>parking_demand_data_2024_ver0!S1923</f>
        <v>0</v>
      </c>
    </row>
    <row r="1924" spans="1:20" x14ac:dyDescent="0.25">
      <c r="A1924">
        <v>18161</v>
      </c>
      <c r="B1924" t="s">
        <v>109</v>
      </c>
      <c r="C1924">
        <v>2</v>
      </c>
      <c r="D1924" s="3">
        <f>parking_demand_data_2024_ver0!D1924*calibration!$I$31</f>
        <v>0</v>
      </c>
      <c r="E1924" s="3">
        <f>parking_demand_data_2024_ver0!E1924*calibration!$I$31</f>
        <v>0</v>
      </c>
      <c r="F1924" s="3">
        <f t="shared" si="30"/>
        <v>0</v>
      </c>
      <c r="G1924" s="3">
        <f>parking_demand_data_2024_ver0!F1924</f>
        <v>0</v>
      </c>
      <c r="H1924" s="3">
        <f>parking_demand_data_2024_ver0!G1924</f>
        <v>0</v>
      </c>
      <c r="I1924" s="3">
        <f>parking_demand_data_2024_ver0!H1924</f>
        <v>0</v>
      </c>
      <c r="J1924" s="3">
        <f>parking_demand_data_2024_ver0!I1924</f>
        <v>0</v>
      </c>
      <c r="K1924" s="3">
        <f>parking_demand_data_2024_ver0!J1924</f>
        <v>0</v>
      </c>
      <c r="L1924" s="3">
        <f>parking_demand_data_2024_ver0!K1924</f>
        <v>0</v>
      </c>
      <c r="M1924" s="3">
        <f>parking_demand_data_2024_ver0!L1924</f>
        <v>0</v>
      </c>
      <c r="N1924" s="3">
        <f>parking_demand_data_2024_ver0!M1924</f>
        <v>0</v>
      </c>
      <c r="O1924" s="3">
        <f>parking_demand_data_2024_ver0!N1924</f>
        <v>0</v>
      </c>
      <c r="P1924" s="3">
        <f>parking_demand_data_2024_ver0!O1924</f>
        <v>0</v>
      </c>
      <c r="Q1924" s="3">
        <f>parking_demand_data_2024_ver0!P1924</f>
        <v>0</v>
      </c>
      <c r="R1924" s="3">
        <f>parking_demand_data_2024_ver0!Q1924</f>
        <v>0</v>
      </c>
      <c r="S1924" s="3">
        <f>parking_demand_data_2024_ver0!R1924</f>
        <v>0</v>
      </c>
      <c r="T1924" s="3">
        <f>parking_demand_data_2024_ver0!S1924</f>
        <v>0</v>
      </c>
    </row>
    <row r="1925" spans="1:20" x14ac:dyDescent="0.25">
      <c r="A1925">
        <v>18161</v>
      </c>
      <c r="B1925" t="s">
        <v>109</v>
      </c>
      <c r="C1925">
        <v>3</v>
      </c>
      <c r="D1925" s="3">
        <f>parking_demand_data_2024_ver0!D1925*calibration!$I$31</f>
        <v>0</v>
      </c>
      <c r="E1925" s="3">
        <f>parking_demand_data_2024_ver0!E1925*calibration!$I$31</f>
        <v>0</v>
      </c>
      <c r="F1925" s="3">
        <f t="shared" si="30"/>
        <v>0</v>
      </c>
      <c r="G1925" s="3">
        <f>parking_demand_data_2024_ver0!F1925</f>
        <v>0</v>
      </c>
      <c r="H1925" s="3">
        <f>parking_demand_data_2024_ver0!G1925</f>
        <v>0</v>
      </c>
      <c r="I1925" s="3">
        <f>parking_demand_data_2024_ver0!H1925</f>
        <v>0</v>
      </c>
      <c r="J1925" s="3">
        <f>parking_demand_data_2024_ver0!I1925</f>
        <v>0</v>
      </c>
      <c r="K1925" s="3">
        <f>parking_demand_data_2024_ver0!J1925</f>
        <v>0</v>
      </c>
      <c r="L1925" s="3">
        <f>parking_demand_data_2024_ver0!K1925</f>
        <v>0</v>
      </c>
      <c r="M1925" s="3">
        <f>parking_demand_data_2024_ver0!L1925</f>
        <v>0</v>
      </c>
      <c r="N1925" s="3">
        <f>parking_demand_data_2024_ver0!M1925</f>
        <v>0</v>
      </c>
      <c r="O1925" s="3">
        <f>parking_demand_data_2024_ver0!N1925</f>
        <v>0</v>
      </c>
      <c r="P1925" s="3">
        <f>parking_demand_data_2024_ver0!O1925</f>
        <v>0</v>
      </c>
      <c r="Q1925" s="3">
        <f>parking_demand_data_2024_ver0!P1925</f>
        <v>0</v>
      </c>
      <c r="R1925" s="3">
        <f>parking_demand_data_2024_ver0!Q1925</f>
        <v>0</v>
      </c>
      <c r="S1925" s="3">
        <f>parking_demand_data_2024_ver0!R1925</f>
        <v>0</v>
      </c>
      <c r="T1925" s="3">
        <f>parking_demand_data_2024_ver0!S1925</f>
        <v>0</v>
      </c>
    </row>
    <row r="1926" spans="1:20" x14ac:dyDescent="0.25">
      <c r="A1926">
        <v>18161</v>
      </c>
      <c r="B1926" t="s">
        <v>109</v>
      </c>
      <c r="C1926">
        <v>4</v>
      </c>
      <c r="D1926" s="3">
        <f>parking_demand_data_2024_ver0!D1926*calibration!$I$31</f>
        <v>0</v>
      </c>
      <c r="E1926" s="3">
        <f>parking_demand_data_2024_ver0!E1926*calibration!$I$31</f>
        <v>0</v>
      </c>
      <c r="F1926" s="3">
        <f t="shared" si="30"/>
        <v>0</v>
      </c>
      <c r="G1926" s="3">
        <f>parking_demand_data_2024_ver0!F1926</f>
        <v>0</v>
      </c>
      <c r="H1926" s="3">
        <f>parking_demand_data_2024_ver0!G1926</f>
        <v>0</v>
      </c>
      <c r="I1926" s="3">
        <f>parking_demand_data_2024_ver0!H1926</f>
        <v>0</v>
      </c>
      <c r="J1926" s="3">
        <f>parking_demand_data_2024_ver0!I1926</f>
        <v>0</v>
      </c>
      <c r="K1926" s="3">
        <f>parking_demand_data_2024_ver0!J1926</f>
        <v>0</v>
      </c>
      <c r="L1926" s="3">
        <f>parking_demand_data_2024_ver0!K1926</f>
        <v>0</v>
      </c>
      <c r="M1926" s="3">
        <f>parking_demand_data_2024_ver0!L1926</f>
        <v>0</v>
      </c>
      <c r="N1926" s="3">
        <f>parking_demand_data_2024_ver0!M1926</f>
        <v>0</v>
      </c>
      <c r="O1926" s="3">
        <f>parking_demand_data_2024_ver0!N1926</f>
        <v>0</v>
      </c>
      <c r="P1926" s="3">
        <f>parking_demand_data_2024_ver0!O1926</f>
        <v>0</v>
      </c>
      <c r="Q1926" s="3">
        <f>parking_demand_data_2024_ver0!P1926</f>
        <v>0</v>
      </c>
      <c r="R1926" s="3">
        <f>parking_demand_data_2024_ver0!Q1926</f>
        <v>0</v>
      </c>
      <c r="S1926" s="3">
        <f>parking_demand_data_2024_ver0!R1926</f>
        <v>0</v>
      </c>
      <c r="T1926" s="3">
        <f>parking_demand_data_2024_ver0!S1926</f>
        <v>0</v>
      </c>
    </row>
    <row r="1927" spans="1:20" x14ac:dyDescent="0.25">
      <c r="A1927">
        <v>18161</v>
      </c>
      <c r="B1927" t="s">
        <v>109</v>
      </c>
      <c r="C1927">
        <v>5</v>
      </c>
      <c r="D1927" s="3">
        <f>parking_demand_data_2024_ver0!D1927*calibration!$I$31</f>
        <v>0</v>
      </c>
      <c r="E1927" s="3">
        <f>parking_demand_data_2024_ver0!E1927*calibration!$I$31</f>
        <v>0</v>
      </c>
      <c r="F1927" s="3">
        <f t="shared" si="30"/>
        <v>0</v>
      </c>
      <c r="G1927" s="3">
        <f>parking_demand_data_2024_ver0!F1927</f>
        <v>0</v>
      </c>
      <c r="H1927" s="3">
        <f>parking_demand_data_2024_ver0!G1927</f>
        <v>0</v>
      </c>
      <c r="I1927" s="3">
        <f>parking_demand_data_2024_ver0!H1927</f>
        <v>0</v>
      </c>
      <c r="J1927" s="3">
        <f>parking_demand_data_2024_ver0!I1927</f>
        <v>0</v>
      </c>
      <c r="K1927" s="3">
        <f>parking_demand_data_2024_ver0!J1927</f>
        <v>0</v>
      </c>
      <c r="L1927" s="3">
        <f>parking_demand_data_2024_ver0!K1927</f>
        <v>0</v>
      </c>
      <c r="M1927" s="3">
        <f>parking_demand_data_2024_ver0!L1927</f>
        <v>0</v>
      </c>
      <c r="N1927" s="3">
        <f>parking_demand_data_2024_ver0!M1927</f>
        <v>0</v>
      </c>
      <c r="O1927" s="3">
        <f>parking_demand_data_2024_ver0!N1927</f>
        <v>0</v>
      </c>
      <c r="P1927" s="3">
        <f>parking_demand_data_2024_ver0!O1927</f>
        <v>0</v>
      </c>
      <c r="Q1927" s="3">
        <f>parking_demand_data_2024_ver0!P1927</f>
        <v>0</v>
      </c>
      <c r="R1927" s="3">
        <f>parking_demand_data_2024_ver0!Q1927</f>
        <v>0</v>
      </c>
      <c r="S1927" s="3">
        <f>parking_demand_data_2024_ver0!R1927</f>
        <v>0</v>
      </c>
      <c r="T1927" s="3">
        <f>parking_demand_data_2024_ver0!S1927</f>
        <v>0</v>
      </c>
    </row>
    <row r="1928" spans="1:20" x14ac:dyDescent="0.25">
      <c r="A1928">
        <v>18161</v>
      </c>
      <c r="B1928" t="s">
        <v>109</v>
      </c>
      <c r="C1928">
        <v>6</v>
      </c>
      <c r="D1928" s="3">
        <f>parking_demand_data_2024_ver0!D1928*calibration!$I$31</f>
        <v>0</v>
      </c>
      <c r="E1928" s="3">
        <f>parking_demand_data_2024_ver0!E1928*calibration!$I$31</f>
        <v>0</v>
      </c>
      <c r="F1928" s="3">
        <f t="shared" si="30"/>
        <v>0</v>
      </c>
      <c r="G1928" s="3">
        <f>parking_demand_data_2024_ver0!F1928</f>
        <v>0</v>
      </c>
      <c r="H1928" s="3">
        <f>parking_demand_data_2024_ver0!G1928</f>
        <v>0</v>
      </c>
      <c r="I1928" s="3">
        <f>parking_demand_data_2024_ver0!H1928</f>
        <v>0</v>
      </c>
      <c r="J1928" s="3">
        <f>parking_demand_data_2024_ver0!I1928</f>
        <v>0</v>
      </c>
      <c r="K1928" s="3">
        <f>parking_demand_data_2024_ver0!J1928</f>
        <v>0</v>
      </c>
      <c r="L1928" s="3">
        <f>parking_demand_data_2024_ver0!K1928</f>
        <v>0</v>
      </c>
      <c r="M1928" s="3">
        <f>parking_demand_data_2024_ver0!L1928</f>
        <v>0</v>
      </c>
      <c r="N1928" s="3">
        <f>parking_demand_data_2024_ver0!M1928</f>
        <v>0</v>
      </c>
      <c r="O1928" s="3">
        <f>parking_demand_data_2024_ver0!N1928</f>
        <v>0</v>
      </c>
      <c r="P1928" s="3">
        <f>parking_demand_data_2024_ver0!O1928</f>
        <v>0</v>
      </c>
      <c r="Q1928" s="3">
        <f>parking_demand_data_2024_ver0!P1928</f>
        <v>0</v>
      </c>
      <c r="R1928" s="3">
        <f>parking_demand_data_2024_ver0!Q1928</f>
        <v>0</v>
      </c>
      <c r="S1928" s="3">
        <f>parking_demand_data_2024_ver0!R1928</f>
        <v>0</v>
      </c>
      <c r="T1928" s="3">
        <f>parking_demand_data_2024_ver0!S1928</f>
        <v>0</v>
      </c>
    </row>
    <row r="1929" spans="1:20" x14ac:dyDescent="0.25">
      <c r="A1929">
        <v>18161</v>
      </c>
      <c r="B1929" t="s">
        <v>109</v>
      </c>
      <c r="C1929">
        <v>7</v>
      </c>
      <c r="D1929" s="3">
        <f>parking_demand_data_2024_ver0!D1929*calibration!$I$31</f>
        <v>0</v>
      </c>
      <c r="E1929" s="3">
        <f>parking_demand_data_2024_ver0!E1929*calibration!$I$31</f>
        <v>0</v>
      </c>
      <c r="F1929" s="3">
        <f t="shared" si="30"/>
        <v>0</v>
      </c>
      <c r="G1929" s="3">
        <f>parking_demand_data_2024_ver0!F1929</f>
        <v>0</v>
      </c>
      <c r="H1929" s="3">
        <f>parking_demand_data_2024_ver0!G1929</f>
        <v>0</v>
      </c>
      <c r="I1929" s="3">
        <f>parking_demand_data_2024_ver0!H1929</f>
        <v>0</v>
      </c>
      <c r="J1929" s="3">
        <f>parking_demand_data_2024_ver0!I1929</f>
        <v>0</v>
      </c>
      <c r="K1929" s="3">
        <f>parking_demand_data_2024_ver0!J1929</f>
        <v>0</v>
      </c>
      <c r="L1929" s="3">
        <f>parking_demand_data_2024_ver0!K1929</f>
        <v>0</v>
      </c>
      <c r="M1929" s="3">
        <f>parking_demand_data_2024_ver0!L1929</f>
        <v>0</v>
      </c>
      <c r="N1929" s="3">
        <f>parking_demand_data_2024_ver0!M1929</f>
        <v>0</v>
      </c>
      <c r="O1929" s="3">
        <f>parking_demand_data_2024_ver0!N1929</f>
        <v>0</v>
      </c>
      <c r="P1929" s="3">
        <f>parking_demand_data_2024_ver0!O1929</f>
        <v>0</v>
      </c>
      <c r="Q1929" s="3">
        <f>parking_demand_data_2024_ver0!P1929</f>
        <v>0</v>
      </c>
      <c r="R1929" s="3">
        <f>parking_demand_data_2024_ver0!Q1929</f>
        <v>0</v>
      </c>
      <c r="S1929" s="3">
        <f>parking_demand_data_2024_ver0!R1929</f>
        <v>0</v>
      </c>
      <c r="T1929" s="3">
        <f>parking_demand_data_2024_ver0!S1929</f>
        <v>0</v>
      </c>
    </row>
    <row r="1930" spans="1:20" x14ac:dyDescent="0.25">
      <c r="A1930">
        <v>18161</v>
      </c>
      <c r="B1930" t="s">
        <v>109</v>
      </c>
      <c r="C1930">
        <v>8</v>
      </c>
      <c r="D1930" s="3">
        <f>parking_demand_data_2024_ver0!D1930*calibration!$I$31</f>
        <v>0</v>
      </c>
      <c r="E1930" s="3">
        <f>parking_demand_data_2024_ver0!E1930*calibration!$I$31</f>
        <v>0.120041333097088</v>
      </c>
      <c r="F1930" s="3">
        <f t="shared" si="30"/>
        <v>0.120041333097088</v>
      </c>
      <c r="G1930" s="3">
        <f>parking_demand_data_2024_ver0!F1930</f>
        <v>0</v>
      </c>
      <c r="H1930" s="3">
        <f>parking_demand_data_2024_ver0!G1930</f>
        <v>0</v>
      </c>
      <c r="I1930" s="3">
        <f>parking_demand_data_2024_ver0!H1930</f>
        <v>0</v>
      </c>
      <c r="J1930" s="3">
        <f>parking_demand_data_2024_ver0!I1930</f>
        <v>0</v>
      </c>
      <c r="K1930" s="3">
        <f>parking_demand_data_2024_ver0!J1930</f>
        <v>0</v>
      </c>
      <c r="L1930" s="3">
        <f>parking_demand_data_2024_ver0!K1930</f>
        <v>0</v>
      </c>
      <c r="M1930" s="3">
        <f>parking_demand_data_2024_ver0!L1930</f>
        <v>0</v>
      </c>
      <c r="N1930" s="3">
        <f>parking_demand_data_2024_ver0!M1930</f>
        <v>0</v>
      </c>
      <c r="O1930" s="3">
        <f>parking_demand_data_2024_ver0!N1930</f>
        <v>0</v>
      </c>
      <c r="P1930" s="3">
        <f>parking_demand_data_2024_ver0!O1930</f>
        <v>0</v>
      </c>
      <c r="Q1930" s="3">
        <f>parking_demand_data_2024_ver0!P1930</f>
        <v>0</v>
      </c>
      <c r="R1930" s="3">
        <f>parking_demand_data_2024_ver0!Q1930</f>
        <v>0</v>
      </c>
      <c r="S1930" s="3">
        <f>parking_demand_data_2024_ver0!R1930</f>
        <v>0</v>
      </c>
      <c r="T1930" s="3">
        <f>parking_demand_data_2024_ver0!S1930</f>
        <v>0</v>
      </c>
    </row>
    <row r="1931" spans="1:20" x14ac:dyDescent="0.25">
      <c r="A1931">
        <v>18161</v>
      </c>
      <c r="B1931" t="s">
        <v>109</v>
      </c>
      <c r="C1931">
        <v>9</v>
      </c>
      <c r="D1931" s="3">
        <f>parking_demand_data_2024_ver0!D1931*calibration!$I$31</f>
        <v>0</v>
      </c>
      <c r="E1931" s="3">
        <f>parking_demand_data_2024_ver0!E1931*calibration!$I$31</f>
        <v>0.24008266619417601</v>
      </c>
      <c r="F1931" s="3">
        <f t="shared" si="30"/>
        <v>0.24008266619417601</v>
      </c>
      <c r="G1931" s="3">
        <f>parking_demand_data_2024_ver0!F1931</f>
        <v>0</v>
      </c>
      <c r="H1931" s="3">
        <f>parking_demand_data_2024_ver0!G1931</f>
        <v>0</v>
      </c>
      <c r="I1931" s="3">
        <f>parking_demand_data_2024_ver0!H1931</f>
        <v>0</v>
      </c>
      <c r="J1931" s="3">
        <f>parking_demand_data_2024_ver0!I1931</f>
        <v>0</v>
      </c>
      <c r="K1931" s="3">
        <f>parking_demand_data_2024_ver0!J1931</f>
        <v>0</v>
      </c>
      <c r="L1931" s="3">
        <f>parking_demand_data_2024_ver0!K1931</f>
        <v>0</v>
      </c>
      <c r="M1931" s="3">
        <f>parking_demand_data_2024_ver0!L1931</f>
        <v>0</v>
      </c>
      <c r="N1931" s="3">
        <f>parking_demand_data_2024_ver0!M1931</f>
        <v>0</v>
      </c>
      <c r="O1931" s="3">
        <f>parking_demand_data_2024_ver0!N1931</f>
        <v>0</v>
      </c>
      <c r="P1931" s="3">
        <f>parking_demand_data_2024_ver0!O1931</f>
        <v>0</v>
      </c>
      <c r="Q1931" s="3">
        <f>parking_demand_data_2024_ver0!P1931</f>
        <v>0</v>
      </c>
      <c r="R1931" s="3">
        <f>parking_demand_data_2024_ver0!Q1931</f>
        <v>0</v>
      </c>
      <c r="S1931" s="3">
        <f>parking_demand_data_2024_ver0!R1931</f>
        <v>0</v>
      </c>
      <c r="T1931" s="3">
        <f>parking_demand_data_2024_ver0!S1931</f>
        <v>0</v>
      </c>
    </row>
    <row r="1932" spans="1:20" x14ac:dyDescent="0.25">
      <c r="A1932">
        <v>18161</v>
      </c>
      <c r="B1932" t="s">
        <v>109</v>
      </c>
      <c r="C1932">
        <v>10</v>
      </c>
      <c r="D1932" s="3">
        <f>parking_demand_data_2024_ver0!D1932*calibration!$I$31</f>
        <v>0</v>
      </c>
      <c r="E1932" s="3">
        <f>parking_demand_data_2024_ver0!E1932*calibration!$I$31</f>
        <v>0.48016533238835202</v>
      </c>
      <c r="F1932" s="3">
        <f t="shared" si="30"/>
        <v>0.48016533238835202</v>
      </c>
      <c r="G1932" s="3">
        <f>parking_demand_data_2024_ver0!F1932</f>
        <v>0</v>
      </c>
      <c r="H1932" s="3">
        <f>parking_demand_data_2024_ver0!G1932</f>
        <v>0</v>
      </c>
      <c r="I1932" s="3">
        <f>parking_demand_data_2024_ver0!H1932</f>
        <v>0</v>
      </c>
      <c r="J1932" s="3">
        <f>parking_demand_data_2024_ver0!I1932</f>
        <v>0</v>
      </c>
      <c r="K1932" s="3">
        <f>parking_demand_data_2024_ver0!J1932</f>
        <v>0</v>
      </c>
      <c r="L1932" s="3">
        <f>parking_demand_data_2024_ver0!K1932</f>
        <v>0</v>
      </c>
      <c r="M1932" s="3">
        <f>parking_demand_data_2024_ver0!L1932</f>
        <v>0</v>
      </c>
      <c r="N1932" s="3">
        <f>parking_demand_data_2024_ver0!M1932</f>
        <v>0</v>
      </c>
      <c r="O1932" s="3">
        <f>parking_demand_data_2024_ver0!N1932</f>
        <v>0</v>
      </c>
      <c r="P1932" s="3">
        <f>parking_demand_data_2024_ver0!O1932</f>
        <v>0</v>
      </c>
      <c r="Q1932" s="3">
        <f>parking_demand_data_2024_ver0!P1932</f>
        <v>0</v>
      </c>
      <c r="R1932" s="3">
        <f>parking_demand_data_2024_ver0!Q1932</f>
        <v>0</v>
      </c>
      <c r="S1932" s="3">
        <f>parking_demand_data_2024_ver0!R1932</f>
        <v>0</v>
      </c>
      <c r="T1932" s="3">
        <f>parking_demand_data_2024_ver0!S1932</f>
        <v>0</v>
      </c>
    </row>
    <row r="1933" spans="1:20" x14ac:dyDescent="0.25">
      <c r="A1933">
        <v>18161</v>
      </c>
      <c r="B1933" t="s">
        <v>109</v>
      </c>
      <c r="C1933">
        <v>11</v>
      </c>
      <c r="D1933" s="3">
        <f>parking_demand_data_2024_ver0!D1933*calibration!$I$31</f>
        <v>0</v>
      </c>
      <c r="E1933" s="3">
        <f>parking_demand_data_2024_ver0!E1933*calibration!$I$31</f>
        <v>0.48016533238835202</v>
      </c>
      <c r="F1933" s="3">
        <f t="shared" si="30"/>
        <v>0.48016533238835202</v>
      </c>
      <c r="G1933" s="3">
        <f>parking_demand_data_2024_ver0!F1933</f>
        <v>0</v>
      </c>
      <c r="H1933" s="3">
        <f>parking_demand_data_2024_ver0!G1933</f>
        <v>0</v>
      </c>
      <c r="I1933" s="3">
        <f>parking_demand_data_2024_ver0!H1933</f>
        <v>0</v>
      </c>
      <c r="J1933" s="3">
        <f>parking_demand_data_2024_ver0!I1933</f>
        <v>0</v>
      </c>
      <c r="K1933" s="3">
        <f>parking_demand_data_2024_ver0!J1933</f>
        <v>0</v>
      </c>
      <c r="L1933" s="3">
        <f>parking_demand_data_2024_ver0!K1933</f>
        <v>0</v>
      </c>
      <c r="M1933" s="3">
        <f>parking_demand_data_2024_ver0!L1933</f>
        <v>0</v>
      </c>
      <c r="N1933" s="3">
        <f>parking_demand_data_2024_ver0!M1933</f>
        <v>0</v>
      </c>
      <c r="O1933" s="3">
        <f>parking_demand_data_2024_ver0!N1933</f>
        <v>0</v>
      </c>
      <c r="P1933" s="3">
        <f>parking_demand_data_2024_ver0!O1933</f>
        <v>0</v>
      </c>
      <c r="Q1933" s="3">
        <f>parking_demand_data_2024_ver0!P1933</f>
        <v>0</v>
      </c>
      <c r="R1933" s="3">
        <f>parking_demand_data_2024_ver0!Q1933</f>
        <v>0</v>
      </c>
      <c r="S1933" s="3">
        <f>parking_demand_data_2024_ver0!R1933</f>
        <v>0</v>
      </c>
      <c r="T1933" s="3">
        <f>parking_demand_data_2024_ver0!S1933</f>
        <v>0</v>
      </c>
    </row>
    <row r="1934" spans="1:20" x14ac:dyDescent="0.25">
      <c r="A1934">
        <v>18161</v>
      </c>
      <c r="B1934" t="s">
        <v>109</v>
      </c>
      <c r="C1934">
        <v>12</v>
      </c>
      <c r="D1934" s="3">
        <f>parking_demand_data_2024_ver0!D1934*calibration!$I$31</f>
        <v>0</v>
      </c>
      <c r="E1934" s="3">
        <f>parking_demand_data_2024_ver0!E1934*calibration!$I$31</f>
        <v>0.36012399929126399</v>
      </c>
      <c r="F1934" s="3">
        <f t="shared" si="30"/>
        <v>0.36012399929126399</v>
      </c>
      <c r="G1934" s="3">
        <f>parking_demand_data_2024_ver0!F1934</f>
        <v>0</v>
      </c>
      <c r="H1934" s="3">
        <f>parking_demand_data_2024_ver0!G1934</f>
        <v>0</v>
      </c>
      <c r="I1934" s="3">
        <f>parking_demand_data_2024_ver0!H1934</f>
        <v>0</v>
      </c>
      <c r="J1934" s="3">
        <f>parking_demand_data_2024_ver0!I1934</f>
        <v>0</v>
      </c>
      <c r="K1934" s="3">
        <f>parking_demand_data_2024_ver0!J1934</f>
        <v>0</v>
      </c>
      <c r="L1934" s="3">
        <f>parking_demand_data_2024_ver0!K1934</f>
        <v>0</v>
      </c>
      <c r="M1934" s="3">
        <f>parking_demand_data_2024_ver0!L1934</f>
        <v>0</v>
      </c>
      <c r="N1934" s="3">
        <f>parking_demand_data_2024_ver0!M1934</f>
        <v>0</v>
      </c>
      <c r="O1934" s="3">
        <f>parking_demand_data_2024_ver0!N1934</f>
        <v>0</v>
      </c>
      <c r="P1934" s="3">
        <f>parking_demand_data_2024_ver0!O1934</f>
        <v>0</v>
      </c>
      <c r="Q1934" s="3">
        <f>parking_demand_data_2024_ver0!P1934</f>
        <v>0</v>
      </c>
      <c r="R1934" s="3">
        <f>parking_demand_data_2024_ver0!Q1934</f>
        <v>0</v>
      </c>
      <c r="S1934" s="3">
        <f>parking_demand_data_2024_ver0!R1934</f>
        <v>0</v>
      </c>
      <c r="T1934" s="3">
        <f>parking_demand_data_2024_ver0!S1934</f>
        <v>0</v>
      </c>
    </row>
    <row r="1935" spans="1:20" x14ac:dyDescent="0.25">
      <c r="A1935">
        <v>18161</v>
      </c>
      <c r="B1935" t="s">
        <v>109</v>
      </c>
      <c r="C1935">
        <v>13</v>
      </c>
      <c r="D1935" s="3">
        <f>parking_demand_data_2024_ver0!D1935*calibration!$I$31</f>
        <v>0</v>
      </c>
      <c r="E1935" s="3">
        <f>parking_demand_data_2024_ver0!E1935*calibration!$I$31</f>
        <v>0</v>
      </c>
      <c r="F1935" s="3">
        <f t="shared" si="30"/>
        <v>0</v>
      </c>
      <c r="G1935" s="3">
        <f>parking_demand_data_2024_ver0!F1935</f>
        <v>0</v>
      </c>
      <c r="H1935" s="3">
        <f>parking_demand_data_2024_ver0!G1935</f>
        <v>0</v>
      </c>
      <c r="I1935" s="3">
        <f>parking_demand_data_2024_ver0!H1935</f>
        <v>0</v>
      </c>
      <c r="J1935" s="3">
        <f>parking_demand_data_2024_ver0!I1935</f>
        <v>0</v>
      </c>
      <c r="K1935" s="3">
        <f>parking_demand_data_2024_ver0!J1935</f>
        <v>0</v>
      </c>
      <c r="L1935" s="3">
        <f>parking_demand_data_2024_ver0!K1935</f>
        <v>0</v>
      </c>
      <c r="M1935" s="3">
        <f>parking_demand_data_2024_ver0!L1935</f>
        <v>0</v>
      </c>
      <c r="N1935" s="3">
        <f>parking_demand_data_2024_ver0!M1935</f>
        <v>0</v>
      </c>
      <c r="O1935" s="3">
        <f>parking_demand_data_2024_ver0!N1935</f>
        <v>0</v>
      </c>
      <c r="P1935" s="3">
        <f>parking_demand_data_2024_ver0!O1935</f>
        <v>0</v>
      </c>
      <c r="Q1935" s="3">
        <f>parking_demand_data_2024_ver0!P1935</f>
        <v>0</v>
      </c>
      <c r="R1935" s="3">
        <f>parking_demand_data_2024_ver0!Q1935</f>
        <v>0</v>
      </c>
      <c r="S1935" s="3">
        <f>parking_demand_data_2024_ver0!R1935</f>
        <v>0</v>
      </c>
      <c r="T1935" s="3">
        <f>parking_demand_data_2024_ver0!S1935</f>
        <v>0</v>
      </c>
    </row>
    <row r="1936" spans="1:20" x14ac:dyDescent="0.25">
      <c r="A1936">
        <v>18161</v>
      </c>
      <c r="B1936" t="s">
        <v>109</v>
      </c>
      <c r="C1936">
        <v>14</v>
      </c>
      <c r="D1936" s="3">
        <f>parking_demand_data_2024_ver0!D1936*calibration!$I$31</f>
        <v>0</v>
      </c>
      <c r="E1936" s="3">
        <f>parking_demand_data_2024_ver0!E1936*calibration!$I$31</f>
        <v>0</v>
      </c>
      <c r="F1936" s="3">
        <f t="shared" si="30"/>
        <v>0</v>
      </c>
      <c r="G1936" s="3">
        <f>parking_demand_data_2024_ver0!F1936</f>
        <v>0</v>
      </c>
      <c r="H1936" s="3">
        <f>parking_demand_data_2024_ver0!G1936</f>
        <v>0</v>
      </c>
      <c r="I1936" s="3">
        <f>parking_demand_data_2024_ver0!H1936</f>
        <v>0</v>
      </c>
      <c r="J1936" s="3">
        <f>parking_demand_data_2024_ver0!I1936</f>
        <v>0</v>
      </c>
      <c r="K1936" s="3">
        <f>parking_demand_data_2024_ver0!J1936</f>
        <v>0</v>
      </c>
      <c r="L1936" s="3">
        <f>parking_demand_data_2024_ver0!K1936</f>
        <v>0</v>
      </c>
      <c r="M1936" s="3">
        <f>parking_demand_data_2024_ver0!L1936</f>
        <v>0</v>
      </c>
      <c r="N1936" s="3">
        <f>parking_demand_data_2024_ver0!M1936</f>
        <v>0</v>
      </c>
      <c r="O1936" s="3">
        <f>parking_demand_data_2024_ver0!N1936</f>
        <v>0</v>
      </c>
      <c r="P1936" s="3">
        <f>parking_demand_data_2024_ver0!O1936</f>
        <v>0</v>
      </c>
      <c r="Q1936" s="3">
        <f>parking_demand_data_2024_ver0!P1936</f>
        <v>0</v>
      </c>
      <c r="R1936" s="3">
        <f>parking_demand_data_2024_ver0!Q1936</f>
        <v>0</v>
      </c>
      <c r="S1936" s="3">
        <f>parking_demand_data_2024_ver0!R1936</f>
        <v>0</v>
      </c>
      <c r="T1936" s="3">
        <f>parking_demand_data_2024_ver0!S1936</f>
        <v>0</v>
      </c>
    </row>
    <row r="1937" spans="1:20" x14ac:dyDescent="0.25">
      <c r="A1937">
        <v>18161</v>
      </c>
      <c r="B1937" t="s">
        <v>109</v>
      </c>
      <c r="C1937">
        <v>15</v>
      </c>
      <c r="D1937" s="3">
        <f>parking_demand_data_2024_ver0!D1937*calibration!$I$31</f>
        <v>0</v>
      </c>
      <c r="E1937" s="3">
        <f>parking_demand_data_2024_ver0!E1937*calibration!$I$31</f>
        <v>0</v>
      </c>
      <c r="F1937" s="3">
        <f t="shared" si="30"/>
        <v>0</v>
      </c>
      <c r="G1937" s="3">
        <f>parking_demand_data_2024_ver0!F1937</f>
        <v>0</v>
      </c>
      <c r="H1937" s="3">
        <f>parking_demand_data_2024_ver0!G1937</f>
        <v>0</v>
      </c>
      <c r="I1937" s="3">
        <f>parking_demand_data_2024_ver0!H1937</f>
        <v>0</v>
      </c>
      <c r="J1937" s="3">
        <f>parking_demand_data_2024_ver0!I1937</f>
        <v>0</v>
      </c>
      <c r="K1937" s="3">
        <f>parking_demand_data_2024_ver0!J1937</f>
        <v>0</v>
      </c>
      <c r="L1937" s="3">
        <f>parking_demand_data_2024_ver0!K1937</f>
        <v>0</v>
      </c>
      <c r="M1937" s="3">
        <f>parking_demand_data_2024_ver0!L1937</f>
        <v>0</v>
      </c>
      <c r="N1937" s="3">
        <f>parking_demand_data_2024_ver0!M1937</f>
        <v>0</v>
      </c>
      <c r="O1937" s="3">
        <f>parking_demand_data_2024_ver0!N1937</f>
        <v>0</v>
      </c>
      <c r="P1937" s="3">
        <f>parking_demand_data_2024_ver0!O1937</f>
        <v>0</v>
      </c>
      <c r="Q1937" s="3">
        <f>parking_demand_data_2024_ver0!P1937</f>
        <v>0</v>
      </c>
      <c r="R1937" s="3">
        <f>parking_demand_data_2024_ver0!Q1937</f>
        <v>0</v>
      </c>
      <c r="S1937" s="3">
        <f>parking_demand_data_2024_ver0!R1937</f>
        <v>0</v>
      </c>
      <c r="T1937" s="3">
        <f>parking_demand_data_2024_ver0!S1937</f>
        <v>0</v>
      </c>
    </row>
    <row r="1938" spans="1:20" x14ac:dyDescent="0.25">
      <c r="A1938">
        <v>18161</v>
      </c>
      <c r="B1938" t="s">
        <v>109</v>
      </c>
      <c r="C1938">
        <v>16</v>
      </c>
      <c r="D1938" s="3">
        <f>parking_demand_data_2024_ver0!D1938*calibration!$I$31</f>
        <v>0</v>
      </c>
      <c r="E1938" s="3">
        <f>parking_demand_data_2024_ver0!E1938*calibration!$I$31</f>
        <v>0</v>
      </c>
      <c r="F1938" s="3">
        <f t="shared" si="30"/>
        <v>0</v>
      </c>
      <c r="G1938" s="3">
        <f>parking_demand_data_2024_ver0!F1938</f>
        <v>0</v>
      </c>
      <c r="H1938" s="3">
        <f>parking_demand_data_2024_ver0!G1938</f>
        <v>0</v>
      </c>
      <c r="I1938" s="3">
        <f>parking_demand_data_2024_ver0!H1938</f>
        <v>0</v>
      </c>
      <c r="J1938" s="3">
        <f>parking_demand_data_2024_ver0!I1938</f>
        <v>0</v>
      </c>
      <c r="K1938" s="3">
        <f>parking_demand_data_2024_ver0!J1938</f>
        <v>0</v>
      </c>
      <c r="L1938" s="3">
        <f>parking_demand_data_2024_ver0!K1938</f>
        <v>0</v>
      </c>
      <c r="M1938" s="3">
        <f>parking_demand_data_2024_ver0!L1938</f>
        <v>0</v>
      </c>
      <c r="N1938" s="3">
        <f>parking_demand_data_2024_ver0!M1938</f>
        <v>0</v>
      </c>
      <c r="O1938" s="3">
        <f>parking_demand_data_2024_ver0!N1938</f>
        <v>0</v>
      </c>
      <c r="P1938" s="3">
        <f>parking_demand_data_2024_ver0!O1938</f>
        <v>0</v>
      </c>
      <c r="Q1938" s="3">
        <f>parking_demand_data_2024_ver0!P1938</f>
        <v>0</v>
      </c>
      <c r="R1938" s="3">
        <f>parking_demand_data_2024_ver0!Q1938</f>
        <v>0</v>
      </c>
      <c r="S1938" s="3">
        <f>parking_demand_data_2024_ver0!R1938</f>
        <v>0</v>
      </c>
      <c r="T1938" s="3">
        <f>parking_demand_data_2024_ver0!S1938</f>
        <v>0</v>
      </c>
    </row>
    <row r="1939" spans="1:20" x14ac:dyDescent="0.25">
      <c r="A1939">
        <v>18161</v>
      </c>
      <c r="B1939" t="s">
        <v>109</v>
      </c>
      <c r="C1939">
        <v>17</v>
      </c>
      <c r="D1939" s="3">
        <f>parking_demand_data_2024_ver0!D1939*calibration!$I$31</f>
        <v>0</v>
      </c>
      <c r="E1939" s="3">
        <f>parking_demand_data_2024_ver0!E1939*calibration!$I$31</f>
        <v>0</v>
      </c>
      <c r="F1939" s="3">
        <f t="shared" si="30"/>
        <v>0</v>
      </c>
      <c r="G1939" s="3">
        <f>parking_demand_data_2024_ver0!F1939</f>
        <v>0</v>
      </c>
      <c r="H1939" s="3">
        <f>parking_demand_data_2024_ver0!G1939</f>
        <v>0</v>
      </c>
      <c r="I1939" s="3">
        <f>parking_demand_data_2024_ver0!H1939</f>
        <v>0</v>
      </c>
      <c r="J1939" s="3">
        <f>parking_demand_data_2024_ver0!I1939</f>
        <v>0</v>
      </c>
      <c r="K1939" s="3">
        <f>parking_demand_data_2024_ver0!J1939</f>
        <v>0</v>
      </c>
      <c r="L1939" s="3">
        <f>parking_demand_data_2024_ver0!K1939</f>
        <v>0</v>
      </c>
      <c r="M1939" s="3">
        <f>parking_demand_data_2024_ver0!L1939</f>
        <v>0</v>
      </c>
      <c r="N1939" s="3">
        <f>parking_demand_data_2024_ver0!M1939</f>
        <v>0</v>
      </c>
      <c r="O1939" s="3">
        <f>parking_demand_data_2024_ver0!N1939</f>
        <v>0</v>
      </c>
      <c r="P1939" s="3">
        <f>parking_demand_data_2024_ver0!O1939</f>
        <v>0</v>
      </c>
      <c r="Q1939" s="3">
        <f>parking_demand_data_2024_ver0!P1939</f>
        <v>0</v>
      </c>
      <c r="R1939" s="3">
        <f>parking_demand_data_2024_ver0!Q1939</f>
        <v>0</v>
      </c>
      <c r="S1939" s="3">
        <f>parking_demand_data_2024_ver0!R1939</f>
        <v>0</v>
      </c>
      <c r="T1939" s="3">
        <f>parking_demand_data_2024_ver0!S1939</f>
        <v>0</v>
      </c>
    </row>
    <row r="1940" spans="1:20" x14ac:dyDescent="0.25">
      <c r="A1940">
        <v>18161</v>
      </c>
      <c r="B1940" t="s">
        <v>109</v>
      </c>
      <c r="C1940">
        <v>18</v>
      </c>
      <c r="D1940" s="3">
        <f>parking_demand_data_2024_ver0!D1940*calibration!$I$31</f>
        <v>0</v>
      </c>
      <c r="E1940" s="3">
        <f>parking_demand_data_2024_ver0!E1940*calibration!$I$31</f>
        <v>0</v>
      </c>
      <c r="F1940" s="3">
        <f t="shared" si="30"/>
        <v>0</v>
      </c>
      <c r="G1940" s="3">
        <f>parking_demand_data_2024_ver0!F1940</f>
        <v>0</v>
      </c>
      <c r="H1940" s="3">
        <f>parking_demand_data_2024_ver0!G1940</f>
        <v>0</v>
      </c>
      <c r="I1940" s="3">
        <f>parking_demand_data_2024_ver0!H1940</f>
        <v>0</v>
      </c>
      <c r="J1940" s="3">
        <f>parking_demand_data_2024_ver0!I1940</f>
        <v>0</v>
      </c>
      <c r="K1940" s="3">
        <f>parking_demand_data_2024_ver0!J1940</f>
        <v>0</v>
      </c>
      <c r="L1940" s="3">
        <f>parking_demand_data_2024_ver0!K1940</f>
        <v>0</v>
      </c>
      <c r="M1940" s="3">
        <f>parking_demand_data_2024_ver0!L1940</f>
        <v>0</v>
      </c>
      <c r="N1940" s="3">
        <f>parking_demand_data_2024_ver0!M1940</f>
        <v>0</v>
      </c>
      <c r="O1940" s="3">
        <f>parking_demand_data_2024_ver0!N1940</f>
        <v>0</v>
      </c>
      <c r="P1940" s="3">
        <f>parking_demand_data_2024_ver0!O1940</f>
        <v>0</v>
      </c>
      <c r="Q1940" s="3">
        <f>parking_demand_data_2024_ver0!P1940</f>
        <v>0</v>
      </c>
      <c r="R1940" s="3">
        <f>parking_demand_data_2024_ver0!Q1940</f>
        <v>0</v>
      </c>
      <c r="S1940" s="3">
        <f>parking_demand_data_2024_ver0!R1940</f>
        <v>0</v>
      </c>
      <c r="T1940" s="3">
        <f>parking_demand_data_2024_ver0!S1940</f>
        <v>0</v>
      </c>
    </row>
    <row r="1941" spans="1:20" x14ac:dyDescent="0.25">
      <c r="A1941">
        <v>18161</v>
      </c>
      <c r="B1941" t="s">
        <v>109</v>
      </c>
      <c r="C1941">
        <v>19</v>
      </c>
      <c r="D1941" s="3">
        <f>parking_demand_data_2024_ver0!D1941*calibration!$I$31</f>
        <v>0</v>
      </c>
      <c r="E1941" s="3">
        <f>parking_demand_data_2024_ver0!E1941*calibration!$I$31</f>
        <v>0</v>
      </c>
      <c r="F1941" s="3">
        <f t="shared" si="30"/>
        <v>0</v>
      </c>
      <c r="G1941" s="3">
        <f>parking_demand_data_2024_ver0!F1941</f>
        <v>0</v>
      </c>
      <c r="H1941" s="3">
        <f>parking_demand_data_2024_ver0!G1941</f>
        <v>0</v>
      </c>
      <c r="I1941" s="3">
        <f>parking_demand_data_2024_ver0!H1941</f>
        <v>0</v>
      </c>
      <c r="J1941" s="3">
        <f>parking_demand_data_2024_ver0!I1941</f>
        <v>0</v>
      </c>
      <c r="K1941" s="3">
        <f>parking_demand_data_2024_ver0!J1941</f>
        <v>0</v>
      </c>
      <c r="L1941" s="3">
        <f>parking_demand_data_2024_ver0!K1941</f>
        <v>0</v>
      </c>
      <c r="M1941" s="3">
        <f>parking_demand_data_2024_ver0!L1941</f>
        <v>0</v>
      </c>
      <c r="N1941" s="3">
        <f>parking_demand_data_2024_ver0!M1941</f>
        <v>0</v>
      </c>
      <c r="O1941" s="3">
        <f>parking_demand_data_2024_ver0!N1941</f>
        <v>0</v>
      </c>
      <c r="P1941" s="3">
        <f>parking_demand_data_2024_ver0!O1941</f>
        <v>0</v>
      </c>
      <c r="Q1941" s="3">
        <f>parking_demand_data_2024_ver0!P1941</f>
        <v>0</v>
      </c>
      <c r="R1941" s="3">
        <f>parking_demand_data_2024_ver0!Q1941</f>
        <v>0</v>
      </c>
      <c r="S1941" s="3">
        <f>parking_demand_data_2024_ver0!R1941</f>
        <v>0</v>
      </c>
      <c r="T1941" s="3">
        <f>parking_demand_data_2024_ver0!S1941</f>
        <v>0</v>
      </c>
    </row>
    <row r="1942" spans="1:20" x14ac:dyDescent="0.25">
      <c r="A1942">
        <v>18161</v>
      </c>
      <c r="B1942" t="s">
        <v>109</v>
      </c>
      <c r="C1942">
        <v>20</v>
      </c>
      <c r="D1942" s="3">
        <f>parking_demand_data_2024_ver0!D1942*calibration!$I$31</f>
        <v>0</v>
      </c>
      <c r="E1942" s="3">
        <f>parking_demand_data_2024_ver0!E1942*calibration!$I$31</f>
        <v>0</v>
      </c>
      <c r="F1942" s="3">
        <f t="shared" si="30"/>
        <v>0</v>
      </c>
      <c r="G1942" s="3">
        <f>parking_demand_data_2024_ver0!F1942</f>
        <v>0</v>
      </c>
      <c r="H1942" s="3">
        <f>parking_demand_data_2024_ver0!G1942</f>
        <v>0</v>
      </c>
      <c r="I1942" s="3">
        <f>parking_demand_data_2024_ver0!H1942</f>
        <v>0</v>
      </c>
      <c r="J1942" s="3">
        <f>parking_demand_data_2024_ver0!I1942</f>
        <v>0</v>
      </c>
      <c r="K1942" s="3">
        <f>parking_demand_data_2024_ver0!J1942</f>
        <v>0</v>
      </c>
      <c r="L1942" s="3">
        <f>parking_demand_data_2024_ver0!K1942</f>
        <v>0</v>
      </c>
      <c r="M1942" s="3">
        <f>parking_demand_data_2024_ver0!L1942</f>
        <v>0</v>
      </c>
      <c r="N1942" s="3">
        <f>parking_demand_data_2024_ver0!M1942</f>
        <v>0</v>
      </c>
      <c r="O1942" s="3">
        <f>parking_demand_data_2024_ver0!N1942</f>
        <v>0</v>
      </c>
      <c r="P1942" s="3">
        <f>parking_demand_data_2024_ver0!O1942</f>
        <v>0</v>
      </c>
      <c r="Q1942" s="3">
        <f>parking_demand_data_2024_ver0!P1942</f>
        <v>0</v>
      </c>
      <c r="R1942" s="3">
        <f>parking_demand_data_2024_ver0!Q1942</f>
        <v>0</v>
      </c>
      <c r="S1942" s="3">
        <f>parking_demand_data_2024_ver0!R1942</f>
        <v>0</v>
      </c>
      <c r="T1942" s="3">
        <f>parking_demand_data_2024_ver0!S1942</f>
        <v>0</v>
      </c>
    </row>
    <row r="1943" spans="1:20" x14ac:dyDescent="0.25">
      <c r="A1943">
        <v>18161</v>
      </c>
      <c r="B1943" t="s">
        <v>109</v>
      </c>
      <c r="C1943">
        <v>21</v>
      </c>
      <c r="D1943" s="3">
        <f>parking_demand_data_2024_ver0!D1943*calibration!$I$31</f>
        <v>0</v>
      </c>
      <c r="E1943" s="3">
        <f>parking_demand_data_2024_ver0!E1943*calibration!$I$31</f>
        <v>0</v>
      </c>
      <c r="F1943" s="3">
        <f t="shared" si="30"/>
        <v>0</v>
      </c>
      <c r="G1943" s="3">
        <f>parking_demand_data_2024_ver0!F1943</f>
        <v>0</v>
      </c>
      <c r="H1943" s="3">
        <f>parking_demand_data_2024_ver0!G1943</f>
        <v>0</v>
      </c>
      <c r="I1943" s="3">
        <f>parking_demand_data_2024_ver0!H1943</f>
        <v>0</v>
      </c>
      <c r="J1943" s="3">
        <f>parking_demand_data_2024_ver0!I1943</f>
        <v>0</v>
      </c>
      <c r="K1943" s="3">
        <f>parking_demand_data_2024_ver0!J1943</f>
        <v>0</v>
      </c>
      <c r="L1943" s="3">
        <f>parking_demand_data_2024_ver0!K1943</f>
        <v>0</v>
      </c>
      <c r="M1943" s="3">
        <f>parking_demand_data_2024_ver0!L1943</f>
        <v>0</v>
      </c>
      <c r="N1943" s="3">
        <f>parking_demand_data_2024_ver0!M1943</f>
        <v>0</v>
      </c>
      <c r="O1943" s="3">
        <f>parking_demand_data_2024_ver0!N1943</f>
        <v>0</v>
      </c>
      <c r="P1943" s="3">
        <f>parking_demand_data_2024_ver0!O1943</f>
        <v>0</v>
      </c>
      <c r="Q1943" s="3">
        <f>parking_demand_data_2024_ver0!P1943</f>
        <v>0</v>
      </c>
      <c r="R1943" s="3">
        <f>parking_demand_data_2024_ver0!Q1943</f>
        <v>0</v>
      </c>
      <c r="S1943" s="3">
        <f>parking_demand_data_2024_ver0!R1943</f>
        <v>0</v>
      </c>
      <c r="T1943" s="3">
        <f>parking_demand_data_2024_ver0!S1943</f>
        <v>0</v>
      </c>
    </row>
    <row r="1944" spans="1:20" x14ac:dyDescent="0.25">
      <c r="A1944">
        <v>18161</v>
      </c>
      <c r="B1944" t="s">
        <v>109</v>
      </c>
      <c r="C1944">
        <v>22</v>
      </c>
      <c r="D1944" s="3">
        <f>parking_demand_data_2024_ver0!D1944*calibration!$I$31</f>
        <v>0</v>
      </c>
      <c r="E1944" s="3">
        <f>parking_demand_data_2024_ver0!E1944*calibration!$I$31</f>
        <v>0</v>
      </c>
      <c r="F1944" s="3">
        <f t="shared" si="30"/>
        <v>0</v>
      </c>
      <c r="G1944" s="3">
        <f>parking_demand_data_2024_ver0!F1944</f>
        <v>0</v>
      </c>
      <c r="H1944" s="3">
        <f>parking_demand_data_2024_ver0!G1944</f>
        <v>0</v>
      </c>
      <c r="I1944" s="3">
        <f>parking_demand_data_2024_ver0!H1944</f>
        <v>0</v>
      </c>
      <c r="J1944" s="3">
        <f>parking_demand_data_2024_ver0!I1944</f>
        <v>0</v>
      </c>
      <c r="K1944" s="3">
        <f>parking_demand_data_2024_ver0!J1944</f>
        <v>0</v>
      </c>
      <c r="L1944" s="3">
        <f>parking_demand_data_2024_ver0!K1944</f>
        <v>0</v>
      </c>
      <c r="M1944" s="3">
        <f>parking_demand_data_2024_ver0!L1944</f>
        <v>0</v>
      </c>
      <c r="N1944" s="3">
        <f>parking_demand_data_2024_ver0!M1944</f>
        <v>0</v>
      </c>
      <c r="O1944" s="3">
        <f>parking_demand_data_2024_ver0!N1944</f>
        <v>0</v>
      </c>
      <c r="P1944" s="3">
        <f>parking_demand_data_2024_ver0!O1944</f>
        <v>0</v>
      </c>
      <c r="Q1944" s="3">
        <f>parking_demand_data_2024_ver0!P1944</f>
        <v>0</v>
      </c>
      <c r="R1944" s="3">
        <f>parking_demand_data_2024_ver0!Q1944</f>
        <v>0</v>
      </c>
      <c r="S1944" s="3">
        <f>parking_demand_data_2024_ver0!R1944</f>
        <v>0</v>
      </c>
      <c r="T1944" s="3">
        <f>parking_demand_data_2024_ver0!S1944</f>
        <v>0</v>
      </c>
    </row>
    <row r="1945" spans="1:20" x14ac:dyDescent="0.25">
      <c r="A1945">
        <v>18161</v>
      </c>
      <c r="B1945" t="s">
        <v>109</v>
      </c>
      <c r="C1945">
        <v>23</v>
      </c>
      <c r="D1945" s="3">
        <f>parking_demand_data_2024_ver0!D1945*calibration!$I$31</f>
        <v>0</v>
      </c>
      <c r="E1945" s="3">
        <f>parking_demand_data_2024_ver0!E1945*calibration!$I$31</f>
        <v>0</v>
      </c>
      <c r="F1945" s="3">
        <f t="shared" si="30"/>
        <v>0</v>
      </c>
      <c r="G1945" s="3">
        <f>parking_demand_data_2024_ver0!F1945</f>
        <v>0</v>
      </c>
      <c r="H1945" s="3">
        <f>parking_demand_data_2024_ver0!G1945</f>
        <v>0</v>
      </c>
      <c r="I1945" s="3">
        <f>parking_demand_data_2024_ver0!H1945</f>
        <v>0</v>
      </c>
      <c r="J1945" s="3">
        <f>parking_demand_data_2024_ver0!I1945</f>
        <v>0</v>
      </c>
      <c r="K1945" s="3">
        <f>parking_demand_data_2024_ver0!J1945</f>
        <v>0</v>
      </c>
      <c r="L1945" s="3">
        <f>parking_demand_data_2024_ver0!K1945</f>
        <v>0</v>
      </c>
      <c r="M1945" s="3">
        <f>parking_demand_data_2024_ver0!L1945</f>
        <v>0</v>
      </c>
      <c r="N1945" s="3">
        <f>parking_demand_data_2024_ver0!M1945</f>
        <v>0</v>
      </c>
      <c r="O1945" s="3">
        <f>parking_demand_data_2024_ver0!N1945</f>
        <v>0</v>
      </c>
      <c r="P1945" s="3">
        <f>parking_demand_data_2024_ver0!O1945</f>
        <v>0</v>
      </c>
      <c r="Q1945" s="3">
        <f>parking_demand_data_2024_ver0!P1945</f>
        <v>0</v>
      </c>
      <c r="R1945" s="3">
        <f>parking_demand_data_2024_ver0!Q1945</f>
        <v>0</v>
      </c>
      <c r="S1945" s="3">
        <f>parking_demand_data_2024_ver0!R1945</f>
        <v>0</v>
      </c>
      <c r="T1945" s="3">
        <f>parking_demand_data_2024_ver0!S1945</f>
        <v>0</v>
      </c>
    </row>
    <row r="1946" spans="1:20" x14ac:dyDescent="0.25">
      <c r="A1946">
        <v>18163</v>
      </c>
      <c r="B1946" t="s">
        <v>110</v>
      </c>
      <c r="C1946">
        <v>0</v>
      </c>
      <c r="D1946" s="3">
        <f>parking_demand_data_2024_ver0!D1946*calibration!$I$31</f>
        <v>13.7167246516004</v>
      </c>
      <c r="E1946" s="3">
        <f>parking_demand_data_2024_ver0!E1946*calibration!$I$31</f>
        <v>28.027246907166202</v>
      </c>
      <c r="F1946" s="3">
        <f t="shared" si="30"/>
        <v>41.743971558766603</v>
      </c>
      <c r="G1946" s="3">
        <f>parking_demand_data_2024_ver0!F1946</f>
        <v>2</v>
      </c>
      <c r="H1946" s="3">
        <f>parking_demand_data_2024_ver0!G1946</f>
        <v>0</v>
      </c>
      <c r="I1946" s="3">
        <f>parking_demand_data_2024_ver0!H1946</f>
        <v>0</v>
      </c>
      <c r="J1946" s="3">
        <f>parking_demand_data_2024_ver0!I1946</f>
        <v>2</v>
      </c>
      <c r="K1946" s="3">
        <f>parking_demand_data_2024_ver0!J1946</f>
        <v>0</v>
      </c>
      <c r="L1946" s="3">
        <f>parking_demand_data_2024_ver0!K1946</f>
        <v>0</v>
      </c>
      <c r="M1946" s="3">
        <f>parking_demand_data_2024_ver0!L1946</f>
        <v>0</v>
      </c>
      <c r="N1946" s="3">
        <f>parking_demand_data_2024_ver0!M1946</f>
        <v>40</v>
      </c>
      <c r="O1946" s="3">
        <f>parking_demand_data_2024_ver0!N1946</f>
        <v>0</v>
      </c>
      <c r="P1946" s="3">
        <f>parking_demand_data_2024_ver0!O1946</f>
        <v>0</v>
      </c>
      <c r="Q1946" s="3">
        <f>parking_demand_data_2024_ver0!P1946</f>
        <v>40</v>
      </c>
      <c r="R1946" s="3">
        <f>parking_demand_data_2024_ver0!Q1946</f>
        <v>0</v>
      </c>
      <c r="S1946" s="3">
        <f>parking_demand_data_2024_ver0!R1946</f>
        <v>0</v>
      </c>
      <c r="T1946" s="3">
        <f>parking_demand_data_2024_ver0!S1946</f>
        <v>0</v>
      </c>
    </row>
    <row r="1947" spans="1:20" x14ac:dyDescent="0.25">
      <c r="A1947">
        <v>18163</v>
      </c>
      <c r="B1947" t="s">
        <v>110</v>
      </c>
      <c r="C1947">
        <v>1</v>
      </c>
      <c r="D1947" s="3">
        <f>parking_demand_data_2024_ver0!D1947*calibration!$I$31</f>
        <v>13.8057942921952</v>
      </c>
      <c r="E1947" s="3">
        <f>parking_demand_data_2024_ver0!E1947*calibration!$I$31</f>
        <v>30.3727474428295</v>
      </c>
      <c r="F1947" s="3">
        <f t="shared" si="30"/>
        <v>44.178541735024702</v>
      </c>
      <c r="G1947" s="3">
        <f>parking_demand_data_2024_ver0!F1947</f>
        <v>2</v>
      </c>
      <c r="H1947" s="3">
        <f>parking_demand_data_2024_ver0!G1947</f>
        <v>0</v>
      </c>
      <c r="I1947" s="3">
        <f>parking_demand_data_2024_ver0!H1947</f>
        <v>0</v>
      </c>
      <c r="J1947" s="3">
        <f>parking_demand_data_2024_ver0!I1947</f>
        <v>2</v>
      </c>
      <c r="K1947" s="3">
        <f>parking_demand_data_2024_ver0!J1947</f>
        <v>0</v>
      </c>
      <c r="L1947" s="3">
        <f>parking_demand_data_2024_ver0!K1947</f>
        <v>0</v>
      </c>
      <c r="M1947" s="3">
        <f>parking_demand_data_2024_ver0!L1947</f>
        <v>0</v>
      </c>
      <c r="N1947" s="3">
        <f>parking_demand_data_2024_ver0!M1947</f>
        <v>40</v>
      </c>
      <c r="O1947" s="3">
        <f>parking_demand_data_2024_ver0!N1947</f>
        <v>0</v>
      </c>
      <c r="P1947" s="3">
        <f>parking_demand_data_2024_ver0!O1947</f>
        <v>0</v>
      </c>
      <c r="Q1947" s="3">
        <f>parking_demand_data_2024_ver0!P1947</f>
        <v>40</v>
      </c>
      <c r="R1947" s="3">
        <f>parking_demand_data_2024_ver0!Q1947</f>
        <v>0</v>
      </c>
      <c r="S1947" s="3">
        <f>parking_demand_data_2024_ver0!R1947</f>
        <v>0</v>
      </c>
      <c r="T1947" s="3">
        <f>parking_demand_data_2024_ver0!S1947</f>
        <v>0</v>
      </c>
    </row>
    <row r="1948" spans="1:20" x14ac:dyDescent="0.25">
      <c r="A1948">
        <v>18163</v>
      </c>
      <c r="B1948" t="s">
        <v>110</v>
      </c>
      <c r="C1948">
        <v>2</v>
      </c>
      <c r="D1948" s="3">
        <f>parking_demand_data_2024_ver0!D1948*calibration!$I$31</f>
        <v>13.6870347714021</v>
      </c>
      <c r="E1948" s="3">
        <f>parking_demand_data_2024_ver0!E1948*calibration!$I$31</f>
        <v>25.058258887339299</v>
      </c>
      <c r="F1948" s="3">
        <f t="shared" si="30"/>
        <v>38.745293658741403</v>
      </c>
      <c r="G1948" s="3">
        <f>parking_demand_data_2024_ver0!F1948</f>
        <v>2</v>
      </c>
      <c r="H1948" s="3">
        <f>parking_demand_data_2024_ver0!G1948</f>
        <v>0</v>
      </c>
      <c r="I1948" s="3">
        <f>parking_demand_data_2024_ver0!H1948</f>
        <v>0</v>
      </c>
      <c r="J1948" s="3">
        <f>parking_demand_data_2024_ver0!I1948</f>
        <v>2</v>
      </c>
      <c r="K1948" s="3">
        <f>parking_demand_data_2024_ver0!J1948</f>
        <v>0</v>
      </c>
      <c r="L1948" s="3">
        <f>parking_demand_data_2024_ver0!K1948</f>
        <v>0</v>
      </c>
      <c r="M1948" s="3">
        <f>parking_demand_data_2024_ver0!L1948</f>
        <v>0</v>
      </c>
      <c r="N1948" s="3">
        <f>parking_demand_data_2024_ver0!M1948</f>
        <v>40</v>
      </c>
      <c r="O1948" s="3">
        <f>parking_demand_data_2024_ver0!N1948</f>
        <v>0</v>
      </c>
      <c r="P1948" s="3">
        <f>parking_demand_data_2024_ver0!O1948</f>
        <v>0</v>
      </c>
      <c r="Q1948" s="3">
        <f>parking_demand_data_2024_ver0!P1948</f>
        <v>40</v>
      </c>
      <c r="R1948" s="3">
        <f>parking_demand_data_2024_ver0!Q1948</f>
        <v>0</v>
      </c>
      <c r="S1948" s="3">
        <f>parking_demand_data_2024_ver0!R1948</f>
        <v>0</v>
      </c>
      <c r="T1948" s="3">
        <f>parking_demand_data_2024_ver0!S1948</f>
        <v>0</v>
      </c>
    </row>
    <row r="1949" spans="1:20" x14ac:dyDescent="0.25">
      <c r="A1949">
        <v>18163</v>
      </c>
      <c r="B1949" t="s">
        <v>110</v>
      </c>
      <c r="C1949">
        <v>3</v>
      </c>
      <c r="D1949" s="3">
        <f>parking_demand_data_2024_ver0!D1949*calibration!$I$31</f>
        <v>13.122927047635001</v>
      </c>
      <c r="E1949" s="3">
        <f>parking_demand_data_2024_ver0!E1949*calibration!$I$31</f>
        <v>21.643922664538302</v>
      </c>
      <c r="F1949" s="3">
        <f t="shared" si="30"/>
        <v>34.766849712173304</v>
      </c>
      <c r="G1949" s="3">
        <f>parking_demand_data_2024_ver0!F1949</f>
        <v>2</v>
      </c>
      <c r="H1949" s="3">
        <f>parking_demand_data_2024_ver0!G1949</f>
        <v>0</v>
      </c>
      <c r="I1949" s="3">
        <f>parking_demand_data_2024_ver0!H1949</f>
        <v>0</v>
      </c>
      <c r="J1949" s="3">
        <f>parking_demand_data_2024_ver0!I1949</f>
        <v>2</v>
      </c>
      <c r="K1949" s="3">
        <f>parking_demand_data_2024_ver0!J1949</f>
        <v>0</v>
      </c>
      <c r="L1949" s="3">
        <f>parking_demand_data_2024_ver0!K1949</f>
        <v>0</v>
      </c>
      <c r="M1949" s="3">
        <f>parking_demand_data_2024_ver0!L1949</f>
        <v>0</v>
      </c>
      <c r="N1949" s="3">
        <f>parking_demand_data_2024_ver0!M1949</f>
        <v>40</v>
      </c>
      <c r="O1949" s="3">
        <f>parking_demand_data_2024_ver0!N1949</f>
        <v>0</v>
      </c>
      <c r="P1949" s="3">
        <f>parking_demand_data_2024_ver0!O1949</f>
        <v>0</v>
      </c>
      <c r="Q1949" s="3">
        <f>parking_demand_data_2024_ver0!P1949</f>
        <v>40</v>
      </c>
      <c r="R1949" s="3">
        <f>parking_demand_data_2024_ver0!Q1949</f>
        <v>0</v>
      </c>
      <c r="S1949" s="3">
        <f>parking_demand_data_2024_ver0!R1949</f>
        <v>0</v>
      </c>
      <c r="T1949" s="3">
        <f>parking_demand_data_2024_ver0!S1949</f>
        <v>0</v>
      </c>
    </row>
    <row r="1950" spans="1:20" x14ac:dyDescent="0.25">
      <c r="A1950">
        <v>18163</v>
      </c>
      <c r="B1950" t="s">
        <v>110</v>
      </c>
      <c r="C1950">
        <v>4</v>
      </c>
      <c r="D1950" s="3">
        <f>parking_demand_data_2024_ver0!D1950*calibration!$I$31</f>
        <v>12.4994395634714</v>
      </c>
      <c r="E1950" s="3">
        <f>parking_demand_data_2024_ver0!E1950*calibration!$I$31</f>
        <v>13.8354841723935</v>
      </c>
      <c r="F1950" s="3">
        <f t="shared" si="30"/>
        <v>26.334923735864898</v>
      </c>
      <c r="G1950" s="3">
        <f>parking_demand_data_2024_ver0!F1950</f>
        <v>2</v>
      </c>
      <c r="H1950" s="3">
        <f>parking_demand_data_2024_ver0!G1950</f>
        <v>0</v>
      </c>
      <c r="I1950" s="3">
        <f>parking_demand_data_2024_ver0!H1950</f>
        <v>0</v>
      </c>
      <c r="J1950" s="3">
        <f>parking_demand_data_2024_ver0!I1950</f>
        <v>2</v>
      </c>
      <c r="K1950" s="3">
        <f>parking_demand_data_2024_ver0!J1950</f>
        <v>0</v>
      </c>
      <c r="L1950" s="3">
        <f>parking_demand_data_2024_ver0!K1950</f>
        <v>0</v>
      </c>
      <c r="M1950" s="3">
        <f>parking_demand_data_2024_ver0!L1950</f>
        <v>0</v>
      </c>
      <c r="N1950" s="3">
        <f>parking_demand_data_2024_ver0!M1950</f>
        <v>40</v>
      </c>
      <c r="O1950" s="3">
        <f>parking_demand_data_2024_ver0!N1950</f>
        <v>0</v>
      </c>
      <c r="P1950" s="3">
        <f>parking_demand_data_2024_ver0!O1950</f>
        <v>0</v>
      </c>
      <c r="Q1950" s="3">
        <f>parking_demand_data_2024_ver0!P1950</f>
        <v>40</v>
      </c>
      <c r="R1950" s="3">
        <f>parking_demand_data_2024_ver0!Q1950</f>
        <v>0</v>
      </c>
      <c r="S1950" s="3">
        <f>parking_demand_data_2024_ver0!R1950</f>
        <v>0</v>
      </c>
      <c r="T1950" s="3">
        <f>parking_demand_data_2024_ver0!S1950</f>
        <v>0</v>
      </c>
    </row>
    <row r="1951" spans="1:20" x14ac:dyDescent="0.25">
      <c r="A1951">
        <v>18163</v>
      </c>
      <c r="B1951" t="s">
        <v>110</v>
      </c>
      <c r="C1951">
        <v>5</v>
      </c>
      <c r="D1951" s="3">
        <f>parking_demand_data_2024_ver0!D1951*calibration!$I$31</f>
        <v>11.7571925585146</v>
      </c>
      <c r="E1951" s="3">
        <f>parking_demand_data_2024_ver0!E1951*calibration!$I$31</f>
        <v>9.4413819030496509</v>
      </c>
      <c r="F1951" s="3">
        <f t="shared" si="30"/>
        <v>21.198574461564249</v>
      </c>
      <c r="G1951" s="3">
        <f>parking_demand_data_2024_ver0!F1951</f>
        <v>2</v>
      </c>
      <c r="H1951" s="3">
        <f>parking_demand_data_2024_ver0!G1951</f>
        <v>0</v>
      </c>
      <c r="I1951" s="3">
        <f>parking_demand_data_2024_ver0!H1951</f>
        <v>0</v>
      </c>
      <c r="J1951" s="3">
        <f>parking_demand_data_2024_ver0!I1951</f>
        <v>2</v>
      </c>
      <c r="K1951" s="3">
        <f>parking_demand_data_2024_ver0!J1951</f>
        <v>0</v>
      </c>
      <c r="L1951" s="3">
        <f>parking_demand_data_2024_ver0!K1951</f>
        <v>0</v>
      </c>
      <c r="M1951" s="3">
        <f>parking_demand_data_2024_ver0!L1951</f>
        <v>0</v>
      </c>
      <c r="N1951" s="3">
        <f>parking_demand_data_2024_ver0!M1951</f>
        <v>40</v>
      </c>
      <c r="O1951" s="3">
        <f>parking_demand_data_2024_ver0!N1951</f>
        <v>0</v>
      </c>
      <c r="P1951" s="3">
        <f>parking_demand_data_2024_ver0!O1951</f>
        <v>0</v>
      </c>
      <c r="Q1951" s="3">
        <f>parking_demand_data_2024_ver0!P1951</f>
        <v>40</v>
      </c>
      <c r="R1951" s="3">
        <f>parking_demand_data_2024_ver0!Q1951</f>
        <v>0</v>
      </c>
      <c r="S1951" s="3">
        <f>parking_demand_data_2024_ver0!R1951</f>
        <v>0</v>
      </c>
      <c r="T1951" s="3">
        <f>parking_demand_data_2024_ver0!S1951</f>
        <v>0</v>
      </c>
    </row>
    <row r="1952" spans="1:20" x14ac:dyDescent="0.25">
      <c r="A1952">
        <v>18163</v>
      </c>
      <c r="B1952" t="s">
        <v>110</v>
      </c>
      <c r="C1952">
        <v>6</v>
      </c>
      <c r="D1952" s="3">
        <f>parking_demand_data_2024_ver0!D1952*calibration!$I$31</f>
        <v>10.8664961525665</v>
      </c>
      <c r="E1952" s="3">
        <f>parking_demand_data_2024_ver0!E1952*calibration!$I$31</f>
        <v>11.014945553557901</v>
      </c>
      <c r="F1952" s="3">
        <f t="shared" si="30"/>
        <v>21.881441706124399</v>
      </c>
      <c r="G1952" s="3">
        <f>parking_demand_data_2024_ver0!F1952</f>
        <v>2</v>
      </c>
      <c r="H1952" s="3">
        <f>parking_demand_data_2024_ver0!G1952</f>
        <v>0</v>
      </c>
      <c r="I1952" s="3">
        <f>parking_demand_data_2024_ver0!H1952</f>
        <v>0</v>
      </c>
      <c r="J1952" s="3">
        <f>parking_demand_data_2024_ver0!I1952</f>
        <v>2</v>
      </c>
      <c r="K1952" s="3">
        <f>parking_demand_data_2024_ver0!J1952</f>
        <v>0</v>
      </c>
      <c r="L1952" s="3">
        <f>parking_demand_data_2024_ver0!K1952</f>
        <v>0</v>
      </c>
      <c r="M1952" s="3">
        <f>parking_demand_data_2024_ver0!L1952</f>
        <v>0</v>
      </c>
      <c r="N1952" s="3">
        <f>parking_demand_data_2024_ver0!M1952</f>
        <v>40</v>
      </c>
      <c r="O1952" s="3">
        <f>parking_demand_data_2024_ver0!N1952</f>
        <v>0</v>
      </c>
      <c r="P1952" s="3">
        <f>parking_demand_data_2024_ver0!O1952</f>
        <v>0</v>
      </c>
      <c r="Q1952" s="3">
        <f>parking_demand_data_2024_ver0!P1952</f>
        <v>40</v>
      </c>
      <c r="R1952" s="3">
        <f>parking_demand_data_2024_ver0!Q1952</f>
        <v>0</v>
      </c>
      <c r="S1952" s="3">
        <f>parking_demand_data_2024_ver0!R1952</f>
        <v>0</v>
      </c>
      <c r="T1952" s="3">
        <f>parking_demand_data_2024_ver0!S1952</f>
        <v>0</v>
      </c>
    </row>
    <row r="1953" spans="1:20" x14ac:dyDescent="0.25">
      <c r="A1953">
        <v>18163</v>
      </c>
      <c r="B1953" t="s">
        <v>110</v>
      </c>
      <c r="C1953">
        <v>7</v>
      </c>
      <c r="D1953" s="3">
        <f>parking_demand_data_2024_ver0!D1953*calibration!$I$31</f>
        <v>8.1944069347223394</v>
      </c>
      <c r="E1953" s="3">
        <f>parking_demand_data_2024_ver0!E1953*calibration!$I$31</f>
        <v>15.290288302108699</v>
      </c>
      <c r="F1953" s="3">
        <f t="shared" si="30"/>
        <v>23.484695236831037</v>
      </c>
      <c r="G1953" s="3">
        <f>parking_demand_data_2024_ver0!F1953</f>
        <v>2</v>
      </c>
      <c r="H1953" s="3">
        <f>parking_demand_data_2024_ver0!G1953</f>
        <v>0</v>
      </c>
      <c r="I1953" s="3">
        <f>parking_demand_data_2024_ver0!H1953</f>
        <v>0</v>
      </c>
      <c r="J1953" s="3">
        <f>parking_demand_data_2024_ver0!I1953</f>
        <v>2</v>
      </c>
      <c r="K1953" s="3">
        <f>parking_demand_data_2024_ver0!J1953</f>
        <v>0</v>
      </c>
      <c r="L1953" s="3">
        <f>parking_demand_data_2024_ver0!K1953</f>
        <v>0</v>
      </c>
      <c r="M1953" s="3">
        <f>parking_demand_data_2024_ver0!L1953</f>
        <v>0</v>
      </c>
      <c r="N1953" s="3">
        <f>parking_demand_data_2024_ver0!M1953</f>
        <v>40</v>
      </c>
      <c r="O1953" s="3">
        <f>parking_demand_data_2024_ver0!N1953</f>
        <v>0</v>
      </c>
      <c r="P1953" s="3">
        <f>parking_demand_data_2024_ver0!O1953</f>
        <v>0</v>
      </c>
      <c r="Q1953" s="3">
        <f>parking_demand_data_2024_ver0!P1953</f>
        <v>40</v>
      </c>
      <c r="R1953" s="3">
        <f>parking_demand_data_2024_ver0!Q1953</f>
        <v>0</v>
      </c>
      <c r="S1953" s="3">
        <f>parking_demand_data_2024_ver0!R1953</f>
        <v>0</v>
      </c>
      <c r="T1953" s="3">
        <f>parking_demand_data_2024_ver0!S1953</f>
        <v>0</v>
      </c>
    </row>
    <row r="1954" spans="1:20" x14ac:dyDescent="0.25">
      <c r="A1954">
        <v>18163</v>
      </c>
      <c r="B1954" t="s">
        <v>110</v>
      </c>
      <c r="C1954">
        <v>8</v>
      </c>
      <c r="D1954" s="3">
        <f>parking_demand_data_2024_ver0!D1954*calibration!$I$31</f>
        <v>10.3023884287994</v>
      </c>
      <c r="E1954" s="3">
        <f>parking_demand_data_2024_ver0!E1954*calibration!$I$31</f>
        <v>21.881441706124502</v>
      </c>
      <c r="F1954" s="3">
        <f t="shared" si="30"/>
        <v>32.183830134923902</v>
      </c>
      <c r="G1954" s="3">
        <f>parking_demand_data_2024_ver0!F1954</f>
        <v>2</v>
      </c>
      <c r="H1954" s="3">
        <f>parking_demand_data_2024_ver0!G1954</f>
        <v>0</v>
      </c>
      <c r="I1954" s="3">
        <f>parking_demand_data_2024_ver0!H1954</f>
        <v>0</v>
      </c>
      <c r="J1954" s="3">
        <f>parking_demand_data_2024_ver0!I1954</f>
        <v>2</v>
      </c>
      <c r="K1954" s="3">
        <f>parking_demand_data_2024_ver0!J1954</f>
        <v>0</v>
      </c>
      <c r="L1954" s="3">
        <f>parking_demand_data_2024_ver0!K1954</f>
        <v>0</v>
      </c>
      <c r="M1954" s="3">
        <f>parking_demand_data_2024_ver0!L1954</f>
        <v>0</v>
      </c>
      <c r="N1954" s="3">
        <f>parking_demand_data_2024_ver0!M1954</f>
        <v>40</v>
      </c>
      <c r="O1954" s="3">
        <f>parking_demand_data_2024_ver0!N1954</f>
        <v>0</v>
      </c>
      <c r="P1954" s="3">
        <f>parking_demand_data_2024_ver0!O1954</f>
        <v>0</v>
      </c>
      <c r="Q1954" s="3">
        <f>parking_demand_data_2024_ver0!P1954</f>
        <v>40</v>
      </c>
      <c r="R1954" s="3">
        <f>parking_demand_data_2024_ver0!Q1954</f>
        <v>0</v>
      </c>
      <c r="S1954" s="3">
        <f>parking_demand_data_2024_ver0!R1954</f>
        <v>0</v>
      </c>
      <c r="T1954" s="3">
        <f>parking_demand_data_2024_ver0!S1954</f>
        <v>0</v>
      </c>
    </row>
    <row r="1955" spans="1:20" x14ac:dyDescent="0.25">
      <c r="A1955">
        <v>18163</v>
      </c>
      <c r="B1955" t="s">
        <v>110</v>
      </c>
      <c r="C1955">
        <v>9</v>
      </c>
      <c r="D1955" s="3">
        <f>parking_demand_data_2024_ver0!D1955*calibration!$I$31</f>
        <v>9.2929325020582993</v>
      </c>
      <c r="E1955" s="3">
        <f>parking_demand_data_2024_ver0!E1955*calibration!$I$31</f>
        <v>23.4550053566327</v>
      </c>
      <c r="F1955" s="3">
        <f t="shared" si="30"/>
        <v>32.747937858691003</v>
      </c>
      <c r="G1955" s="3">
        <f>parking_demand_data_2024_ver0!F1955</f>
        <v>2</v>
      </c>
      <c r="H1955" s="3">
        <f>parking_demand_data_2024_ver0!G1955</f>
        <v>0</v>
      </c>
      <c r="I1955" s="3">
        <f>parking_demand_data_2024_ver0!H1955</f>
        <v>0</v>
      </c>
      <c r="J1955" s="3">
        <f>parking_demand_data_2024_ver0!I1955</f>
        <v>2</v>
      </c>
      <c r="K1955" s="3">
        <f>parking_demand_data_2024_ver0!J1955</f>
        <v>0</v>
      </c>
      <c r="L1955" s="3">
        <f>parking_demand_data_2024_ver0!K1955</f>
        <v>0</v>
      </c>
      <c r="M1955" s="3">
        <f>parking_demand_data_2024_ver0!L1955</f>
        <v>0</v>
      </c>
      <c r="N1955" s="3">
        <f>parking_demand_data_2024_ver0!M1955</f>
        <v>40</v>
      </c>
      <c r="O1955" s="3">
        <f>parking_demand_data_2024_ver0!N1955</f>
        <v>0</v>
      </c>
      <c r="P1955" s="3">
        <f>parking_demand_data_2024_ver0!O1955</f>
        <v>0</v>
      </c>
      <c r="Q1955" s="3">
        <f>parking_demand_data_2024_ver0!P1955</f>
        <v>40</v>
      </c>
      <c r="R1955" s="3">
        <f>parking_demand_data_2024_ver0!Q1955</f>
        <v>0</v>
      </c>
      <c r="S1955" s="3">
        <f>parking_demand_data_2024_ver0!R1955</f>
        <v>0</v>
      </c>
      <c r="T1955" s="3">
        <f>parking_demand_data_2024_ver0!S1955</f>
        <v>0</v>
      </c>
    </row>
    <row r="1956" spans="1:20" x14ac:dyDescent="0.25">
      <c r="A1956">
        <v>18163</v>
      </c>
      <c r="B1956" t="s">
        <v>110</v>
      </c>
      <c r="C1956">
        <v>10</v>
      </c>
      <c r="D1956" s="3">
        <f>parking_demand_data_2024_ver0!D1956*calibration!$I$31</f>
        <v>5.3441784356884803</v>
      </c>
      <c r="E1956" s="3">
        <f>parking_demand_data_2024_ver0!E1956*calibration!$I$31</f>
        <v>25.177018408132401</v>
      </c>
      <c r="F1956" s="3">
        <f t="shared" si="30"/>
        <v>30.521196843820881</v>
      </c>
      <c r="G1956" s="3">
        <f>parking_demand_data_2024_ver0!F1956</f>
        <v>2</v>
      </c>
      <c r="H1956" s="3">
        <f>parking_demand_data_2024_ver0!G1956</f>
        <v>0</v>
      </c>
      <c r="I1956" s="3">
        <f>parking_demand_data_2024_ver0!H1956</f>
        <v>0</v>
      </c>
      <c r="J1956" s="3">
        <f>parking_demand_data_2024_ver0!I1956</f>
        <v>2</v>
      </c>
      <c r="K1956" s="3">
        <f>parking_demand_data_2024_ver0!J1956</f>
        <v>0</v>
      </c>
      <c r="L1956" s="3">
        <f>parking_demand_data_2024_ver0!K1956</f>
        <v>0</v>
      </c>
      <c r="M1956" s="3">
        <f>parking_demand_data_2024_ver0!L1956</f>
        <v>0</v>
      </c>
      <c r="N1956" s="3">
        <f>parking_demand_data_2024_ver0!M1956</f>
        <v>40</v>
      </c>
      <c r="O1956" s="3">
        <f>parking_demand_data_2024_ver0!N1956</f>
        <v>0</v>
      </c>
      <c r="P1956" s="3">
        <f>parking_demand_data_2024_ver0!O1956</f>
        <v>0</v>
      </c>
      <c r="Q1956" s="3">
        <f>parking_demand_data_2024_ver0!P1956</f>
        <v>40</v>
      </c>
      <c r="R1956" s="3">
        <f>parking_demand_data_2024_ver0!Q1956</f>
        <v>0</v>
      </c>
      <c r="S1956" s="3">
        <f>parking_demand_data_2024_ver0!R1956</f>
        <v>0</v>
      </c>
      <c r="T1956" s="3">
        <f>parking_demand_data_2024_ver0!S1956</f>
        <v>0</v>
      </c>
    </row>
    <row r="1957" spans="1:20" x14ac:dyDescent="0.25">
      <c r="A1957">
        <v>18163</v>
      </c>
      <c r="B1957" t="s">
        <v>110</v>
      </c>
      <c r="C1957">
        <v>11</v>
      </c>
      <c r="D1957" s="3">
        <f>parking_demand_data_2024_ver0!D1957*calibration!$I$31</f>
        <v>7.0661914871881004</v>
      </c>
      <c r="E1957" s="3">
        <f>parking_demand_data_2024_ver0!E1957*calibration!$I$31</f>
        <v>24.4644612833739</v>
      </c>
      <c r="F1957" s="3">
        <f t="shared" si="30"/>
        <v>31.530652770562</v>
      </c>
      <c r="G1957" s="3">
        <f>parking_demand_data_2024_ver0!F1957</f>
        <v>2</v>
      </c>
      <c r="H1957" s="3">
        <f>parking_demand_data_2024_ver0!G1957</f>
        <v>0</v>
      </c>
      <c r="I1957" s="3">
        <f>parking_demand_data_2024_ver0!H1957</f>
        <v>0</v>
      </c>
      <c r="J1957" s="3">
        <f>parking_demand_data_2024_ver0!I1957</f>
        <v>2</v>
      </c>
      <c r="K1957" s="3">
        <f>parking_demand_data_2024_ver0!J1957</f>
        <v>0</v>
      </c>
      <c r="L1957" s="3">
        <f>parking_demand_data_2024_ver0!K1957</f>
        <v>0</v>
      </c>
      <c r="M1957" s="3">
        <f>parking_demand_data_2024_ver0!L1957</f>
        <v>0</v>
      </c>
      <c r="N1957" s="3">
        <f>parking_demand_data_2024_ver0!M1957</f>
        <v>40</v>
      </c>
      <c r="O1957" s="3">
        <f>parking_demand_data_2024_ver0!N1957</f>
        <v>0</v>
      </c>
      <c r="P1957" s="3">
        <f>parking_demand_data_2024_ver0!O1957</f>
        <v>0</v>
      </c>
      <c r="Q1957" s="3">
        <f>parking_demand_data_2024_ver0!P1957</f>
        <v>40</v>
      </c>
      <c r="R1957" s="3">
        <f>parking_demand_data_2024_ver0!Q1957</f>
        <v>0</v>
      </c>
      <c r="S1957" s="3">
        <f>parking_demand_data_2024_ver0!R1957</f>
        <v>0</v>
      </c>
      <c r="T1957" s="3">
        <f>parking_demand_data_2024_ver0!S1957</f>
        <v>0</v>
      </c>
    </row>
    <row r="1958" spans="1:20" x14ac:dyDescent="0.25">
      <c r="A1958">
        <v>18163</v>
      </c>
      <c r="B1958" t="s">
        <v>110</v>
      </c>
      <c r="C1958">
        <v>12</v>
      </c>
      <c r="D1958" s="3">
        <f>parking_demand_data_2024_ver0!D1958*calibration!$I$31</f>
        <v>6.6505331644123302</v>
      </c>
      <c r="E1958" s="3">
        <f>parking_demand_data_2024_ver0!E1958*calibration!$I$31</f>
        <v>27.1365505012181</v>
      </c>
      <c r="F1958" s="3">
        <f t="shared" si="30"/>
        <v>33.787083665630433</v>
      </c>
      <c r="G1958" s="3">
        <f>parking_demand_data_2024_ver0!F1958</f>
        <v>2</v>
      </c>
      <c r="H1958" s="3">
        <f>parking_demand_data_2024_ver0!G1958</f>
        <v>0</v>
      </c>
      <c r="I1958" s="3">
        <f>parking_demand_data_2024_ver0!H1958</f>
        <v>0</v>
      </c>
      <c r="J1958" s="3">
        <f>parking_demand_data_2024_ver0!I1958</f>
        <v>2</v>
      </c>
      <c r="K1958" s="3">
        <f>parking_demand_data_2024_ver0!J1958</f>
        <v>0</v>
      </c>
      <c r="L1958" s="3">
        <f>parking_demand_data_2024_ver0!K1958</f>
        <v>0</v>
      </c>
      <c r="M1958" s="3">
        <f>parking_demand_data_2024_ver0!L1958</f>
        <v>0</v>
      </c>
      <c r="N1958" s="3">
        <f>parking_demand_data_2024_ver0!M1958</f>
        <v>40</v>
      </c>
      <c r="O1958" s="3">
        <f>parking_demand_data_2024_ver0!N1958</f>
        <v>0</v>
      </c>
      <c r="P1958" s="3">
        <f>parking_demand_data_2024_ver0!O1958</f>
        <v>0</v>
      </c>
      <c r="Q1958" s="3">
        <f>parking_demand_data_2024_ver0!P1958</f>
        <v>40</v>
      </c>
      <c r="R1958" s="3">
        <f>parking_demand_data_2024_ver0!Q1958</f>
        <v>0</v>
      </c>
      <c r="S1958" s="3">
        <f>parking_demand_data_2024_ver0!R1958</f>
        <v>0</v>
      </c>
      <c r="T1958" s="3">
        <f>parking_demand_data_2024_ver0!S1958</f>
        <v>0</v>
      </c>
    </row>
    <row r="1959" spans="1:20" x14ac:dyDescent="0.25">
      <c r="A1959">
        <v>18163</v>
      </c>
      <c r="B1959" t="s">
        <v>110</v>
      </c>
      <c r="C1959">
        <v>13</v>
      </c>
      <c r="D1959" s="3">
        <f>parking_demand_data_2024_ver0!D1959*calibration!$I$31</f>
        <v>5.84890639905906</v>
      </c>
      <c r="E1959" s="3">
        <f>parking_demand_data_2024_ver0!E1959*calibration!$I$31</f>
        <v>25.2363981685289</v>
      </c>
      <c r="F1959" s="3">
        <f t="shared" si="30"/>
        <v>31.085304567587961</v>
      </c>
      <c r="G1959" s="3">
        <f>parking_demand_data_2024_ver0!F1959</f>
        <v>2</v>
      </c>
      <c r="H1959" s="3">
        <f>parking_demand_data_2024_ver0!G1959</f>
        <v>0</v>
      </c>
      <c r="I1959" s="3">
        <f>parking_demand_data_2024_ver0!H1959</f>
        <v>0</v>
      </c>
      <c r="J1959" s="3">
        <f>parking_demand_data_2024_ver0!I1959</f>
        <v>2</v>
      </c>
      <c r="K1959" s="3">
        <f>parking_demand_data_2024_ver0!J1959</f>
        <v>0</v>
      </c>
      <c r="L1959" s="3">
        <f>parking_demand_data_2024_ver0!K1959</f>
        <v>0</v>
      </c>
      <c r="M1959" s="3">
        <f>parking_demand_data_2024_ver0!L1959</f>
        <v>0</v>
      </c>
      <c r="N1959" s="3">
        <f>parking_demand_data_2024_ver0!M1959</f>
        <v>40</v>
      </c>
      <c r="O1959" s="3">
        <f>parking_demand_data_2024_ver0!N1959</f>
        <v>0</v>
      </c>
      <c r="P1959" s="3">
        <f>parking_demand_data_2024_ver0!O1959</f>
        <v>0</v>
      </c>
      <c r="Q1959" s="3">
        <f>parking_demand_data_2024_ver0!P1959</f>
        <v>40</v>
      </c>
      <c r="R1959" s="3">
        <f>parking_demand_data_2024_ver0!Q1959</f>
        <v>0</v>
      </c>
      <c r="S1959" s="3">
        <f>parking_demand_data_2024_ver0!R1959</f>
        <v>0</v>
      </c>
      <c r="T1959" s="3">
        <f>parking_demand_data_2024_ver0!S1959</f>
        <v>0</v>
      </c>
    </row>
    <row r="1960" spans="1:20" x14ac:dyDescent="0.25">
      <c r="A1960">
        <v>18163</v>
      </c>
      <c r="B1960" t="s">
        <v>110</v>
      </c>
      <c r="C1960">
        <v>14</v>
      </c>
      <c r="D1960" s="3">
        <f>parking_demand_data_2024_ver0!D1960*calibration!$I$31</f>
        <v>4.8691403525161698</v>
      </c>
      <c r="E1960" s="3">
        <f>parking_demand_data_2024_ver0!E1960*calibration!$I$31</f>
        <v>19.090592967487101</v>
      </c>
      <c r="F1960" s="3">
        <f t="shared" si="30"/>
        <v>23.95973332000327</v>
      </c>
      <c r="G1960" s="3">
        <f>parking_demand_data_2024_ver0!F1960</f>
        <v>2</v>
      </c>
      <c r="H1960" s="3">
        <f>parking_demand_data_2024_ver0!G1960</f>
        <v>0</v>
      </c>
      <c r="I1960" s="3">
        <f>parking_demand_data_2024_ver0!H1960</f>
        <v>0</v>
      </c>
      <c r="J1960" s="3">
        <f>parking_demand_data_2024_ver0!I1960</f>
        <v>2</v>
      </c>
      <c r="K1960" s="3">
        <f>parking_demand_data_2024_ver0!J1960</f>
        <v>0</v>
      </c>
      <c r="L1960" s="3">
        <f>parking_demand_data_2024_ver0!K1960</f>
        <v>0</v>
      </c>
      <c r="M1960" s="3">
        <f>parking_demand_data_2024_ver0!L1960</f>
        <v>0</v>
      </c>
      <c r="N1960" s="3">
        <f>parking_demand_data_2024_ver0!M1960</f>
        <v>40</v>
      </c>
      <c r="O1960" s="3">
        <f>parking_demand_data_2024_ver0!N1960</f>
        <v>0</v>
      </c>
      <c r="P1960" s="3">
        <f>parking_demand_data_2024_ver0!O1960</f>
        <v>0</v>
      </c>
      <c r="Q1960" s="3">
        <f>parking_demand_data_2024_ver0!P1960</f>
        <v>40</v>
      </c>
      <c r="R1960" s="3">
        <f>parking_demand_data_2024_ver0!Q1960</f>
        <v>0</v>
      </c>
      <c r="S1960" s="3">
        <f>parking_demand_data_2024_ver0!R1960</f>
        <v>0</v>
      </c>
      <c r="T1960" s="3">
        <f>parking_demand_data_2024_ver0!S1960</f>
        <v>0</v>
      </c>
    </row>
    <row r="1961" spans="1:20" x14ac:dyDescent="0.25">
      <c r="A1961">
        <v>18163</v>
      </c>
      <c r="B1961" t="s">
        <v>110</v>
      </c>
      <c r="C1961">
        <v>15</v>
      </c>
      <c r="D1961" s="3">
        <f>parking_demand_data_2024_ver0!D1961*calibration!$I$31</f>
        <v>5.3738683158867504</v>
      </c>
      <c r="E1961" s="3">
        <f>parking_demand_data_2024_ver0!E1961*calibration!$I$31</f>
        <v>11.786882438712899</v>
      </c>
      <c r="F1961" s="3">
        <f t="shared" si="30"/>
        <v>17.16075075459965</v>
      </c>
      <c r="G1961" s="3">
        <f>parking_demand_data_2024_ver0!F1961</f>
        <v>2</v>
      </c>
      <c r="H1961" s="3">
        <f>parking_demand_data_2024_ver0!G1961</f>
        <v>0</v>
      </c>
      <c r="I1961" s="3">
        <f>parking_demand_data_2024_ver0!H1961</f>
        <v>0</v>
      </c>
      <c r="J1961" s="3">
        <f>parking_demand_data_2024_ver0!I1961</f>
        <v>2</v>
      </c>
      <c r="K1961" s="3">
        <f>parking_demand_data_2024_ver0!J1961</f>
        <v>0</v>
      </c>
      <c r="L1961" s="3">
        <f>parking_demand_data_2024_ver0!K1961</f>
        <v>0</v>
      </c>
      <c r="M1961" s="3">
        <f>parking_demand_data_2024_ver0!L1961</f>
        <v>0</v>
      </c>
      <c r="N1961" s="3">
        <f>parking_demand_data_2024_ver0!M1961</f>
        <v>40</v>
      </c>
      <c r="O1961" s="3">
        <f>parking_demand_data_2024_ver0!N1961</f>
        <v>0</v>
      </c>
      <c r="P1961" s="3">
        <f>parking_demand_data_2024_ver0!O1961</f>
        <v>0</v>
      </c>
      <c r="Q1961" s="3">
        <f>parking_demand_data_2024_ver0!P1961</f>
        <v>40</v>
      </c>
      <c r="R1961" s="3">
        <f>parking_demand_data_2024_ver0!Q1961</f>
        <v>0</v>
      </c>
      <c r="S1961" s="3">
        <f>parking_demand_data_2024_ver0!R1961</f>
        <v>0</v>
      </c>
      <c r="T1961" s="3">
        <f>parking_demand_data_2024_ver0!S1961</f>
        <v>0</v>
      </c>
    </row>
    <row r="1962" spans="1:20" x14ac:dyDescent="0.25">
      <c r="A1962">
        <v>18163</v>
      </c>
      <c r="B1962" t="s">
        <v>110</v>
      </c>
      <c r="C1962">
        <v>16</v>
      </c>
      <c r="D1962" s="3">
        <f>parking_demand_data_2024_ver0!D1962*calibration!$I$31</f>
        <v>6.0567355604469402</v>
      </c>
      <c r="E1962" s="3">
        <f>parking_demand_data_2024_ver0!E1962*calibration!$I$31</f>
        <v>10.005489626816701</v>
      </c>
      <c r="F1962" s="3">
        <f t="shared" si="30"/>
        <v>16.062225187263643</v>
      </c>
      <c r="G1962" s="3">
        <f>parking_demand_data_2024_ver0!F1962</f>
        <v>2</v>
      </c>
      <c r="H1962" s="3">
        <f>parking_demand_data_2024_ver0!G1962</f>
        <v>0</v>
      </c>
      <c r="I1962" s="3">
        <f>parking_demand_data_2024_ver0!H1962</f>
        <v>0</v>
      </c>
      <c r="J1962" s="3">
        <f>parking_demand_data_2024_ver0!I1962</f>
        <v>2</v>
      </c>
      <c r="K1962" s="3">
        <f>parking_demand_data_2024_ver0!J1962</f>
        <v>0</v>
      </c>
      <c r="L1962" s="3">
        <f>parking_demand_data_2024_ver0!K1962</f>
        <v>0</v>
      </c>
      <c r="M1962" s="3">
        <f>parking_demand_data_2024_ver0!L1962</f>
        <v>0</v>
      </c>
      <c r="N1962" s="3">
        <f>parking_demand_data_2024_ver0!M1962</f>
        <v>40</v>
      </c>
      <c r="O1962" s="3">
        <f>parking_demand_data_2024_ver0!N1962</f>
        <v>0</v>
      </c>
      <c r="P1962" s="3">
        <f>parking_demand_data_2024_ver0!O1962</f>
        <v>0</v>
      </c>
      <c r="Q1962" s="3">
        <f>parking_demand_data_2024_ver0!P1962</f>
        <v>40</v>
      </c>
      <c r="R1962" s="3">
        <f>parking_demand_data_2024_ver0!Q1962</f>
        <v>0</v>
      </c>
      <c r="S1962" s="3">
        <f>parking_demand_data_2024_ver0!R1962</f>
        <v>0</v>
      </c>
      <c r="T1962" s="3">
        <f>parking_demand_data_2024_ver0!S1962</f>
        <v>0</v>
      </c>
    </row>
    <row r="1963" spans="1:20" x14ac:dyDescent="0.25">
      <c r="A1963">
        <v>18163</v>
      </c>
      <c r="B1963" t="s">
        <v>110</v>
      </c>
      <c r="C1963">
        <v>17</v>
      </c>
      <c r="D1963" s="3">
        <f>parking_demand_data_2024_ver0!D1963*calibration!$I$31</f>
        <v>7.1255712475846398</v>
      </c>
      <c r="E1963" s="3">
        <f>parking_demand_data_2024_ver0!E1963*calibration!$I$31</f>
        <v>9.0257235802738798</v>
      </c>
      <c r="F1963" s="3">
        <f t="shared" si="30"/>
        <v>16.151294827858521</v>
      </c>
      <c r="G1963" s="3">
        <f>parking_demand_data_2024_ver0!F1963</f>
        <v>2</v>
      </c>
      <c r="H1963" s="3">
        <f>parking_demand_data_2024_ver0!G1963</f>
        <v>0</v>
      </c>
      <c r="I1963" s="3">
        <f>parking_demand_data_2024_ver0!H1963</f>
        <v>0</v>
      </c>
      <c r="J1963" s="3">
        <f>parking_demand_data_2024_ver0!I1963</f>
        <v>2</v>
      </c>
      <c r="K1963" s="3">
        <f>parking_demand_data_2024_ver0!J1963</f>
        <v>0</v>
      </c>
      <c r="L1963" s="3">
        <f>parking_demand_data_2024_ver0!K1963</f>
        <v>0</v>
      </c>
      <c r="M1963" s="3">
        <f>parking_demand_data_2024_ver0!L1963</f>
        <v>0</v>
      </c>
      <c r="N1963" s="3">
        <f>parking_demand_data_2024_ver0!M1963</f>
        <v>40</v>
      </c>
      <c r="O1963" s="3">
        <f>parking_demand_data_2024_ver0!N1963</f>
        <v>0</v>
      </c>
      <c r="P1963" s="3">
        <f>parking_demand_data_2024_ver0!O1963</f>
        <v>0</v>
      </c>
      <c r="Q1963" s="3">
        <f>parking_demand_data_2024_ver0!P1963</f>
        <v>40</v>
      </c>
      <c r="R1963" s="3">
        <f>parking_demand_data_2024_ver0!Q1963</f>
        <v>0</v>
      </c>
      <c r="S1963" s="3">
        <f>parking_demand_data_2024_ver0!R1963</f>
        <v>0</v>
      </c>
      <c r="T1963" s="3">
        <f>parking_demand_data_2024_ver0!S1963</f>
        <v>0</v>
      </c>
    </row>
    <row r="1964" spans="1:20" x14ac:dyDescent="0.25">
      <c r="A1964">
        <v>18163</v>
      </c>
      <c r="B1964" t="s">
        <v>110</v>
      </c>
      <c r="C1964">
        <v>18</v>
      </c>
      <c r="D1964" s="3">
        <f>parking_demand_data_2024_ver0!D1964*calibration!$I$31</f>
        <v>8.7288247782911892</v>
      </c>
      <c r="E1964" s="3">
        <f>parking_demand_data_2024_ver0!E1964*calibration!$I$31</f>
        <v>8.3428563357136891</v>
      </c>
      <c r="F1964" s="3">
        <f t="shared" si="30"/>
        <v>17.071681114004878</v>
      </c>
      <c r="G1964" s="3">
        <f>parking_demand_data_2024_ver0!F1964</f>
        <v>2</v>
      </c>
      <c r="H1964" s="3">
        <f>parking_demand_data_2024_ver0!G1964</f>
        <v>0</v>
      </c>
      <c r="I1964" s="3">
        <f>parking_demand_data_2024_ver0!H1964</f>
        <v>0</v>
      </c>
      <c r="J1964" s="3">
        <f>parking_demand_data_2024_ver0!I1964</f>
        <v>2</v>
      </c>
      <c r="K1964" s="3">
        <f>parking_demand_data_2024_ver0!J1964</f>
        <v>0</v>
      </c>
      <c r="L1964" s="3">
        <f>parking_demand_data_2024_ver0!K1964</f>
        <v>0</v>
      </c>
      <c r="M1964" s="3">
        <f>parking_demand_data_2024_ver0!L1964</f>
        <v>0</v>
      </c>
      <c r="N1964" s="3">
        <f>parking_demand_data_2024_ver0!M1964</f>
        <v>40</v>
      </c>
      <c r="O1964" s="3">
        <f>parking_demand_data_2024_ver0!N1964</f>
        <v>0</v>
      </c>
      <c r="P1964" s="3">
        <f>parking_demand_data_2024_ver0!O1964</f>
        <v>0</v>
      </c>
      <c r="Q1964" s="3">
        <f>parking_demand_data_2024_ver0!P1964</f>
        <v>40</v>
      </c>
      <c r="R1964" s="3">
        <f>parking_demand_data_2024_ver0!Q1964</f>
        <v>0</v>
      </c>
      <c r="S1964" s="3">
        <f>parking_demand_data_2024_ver0!R1964</f>
        <v>0</v>
      </c>
      <c r="T1964" s="3">
        <f>parking_demand_data_2024_ver0!S1964</f>
        <v>0</v>
      </c>
    </row>
    <row r="1965" spans="1:20" x14ac:dyDescent="0.25">
      <c r="A1965">
        <v>18163</v>
      </c>
      <c r="B1965" t="s">
        <v>110</v>
      </c>
      <c r="C1965">
        <v>19</v>
      </c>
      <c r="D1965" s="3">
        <f>parking_demand_data_2024_ver0!D1965*calibration!$I$31</f>
        <v>10.4211479495925</v>
      </c>
      <c r="E1965" s="3">
        <f>parking_demand_data_2024_ver0!E1965*calibration!$I$31</f>
        <v>8.9366539396790703</v>
      </c>
      <c r="F1965" s="3">
        <f t="shared" si="30"/>
        <v>19.35780188927157</v>
      </c>
      <c r="G1965" s="3">
        <f>parking_demand_data_2024_ver0!F1965</f>
        <v>2</v>
      </c>
      <c r="H1965" s="3">
        <f>parking_demand_data_2024_ver0!G1965</f>
        <v>0</v>
      </c>
      <c r="I1965" s="3">
        <f>parking_demand_data_2024_ver0!H1965</f>
        <v>0</v>
      </c>
      <c r="J1965" s="3">
        <f>parking_demand_data_2024_ver0!I1965</f>
        <v>2</v>
      </c>
      <c r="K1965" s="3">
        <f>parking_demand_data_2024_ver0!J1965</f>
        <v>0</v>
      </c>
      <c r="L1965" s="3">
        <f>parking_demand_data_2024_ver0!K1965</f>
        <v>0</v>
      </c>
      <c r="M1965" s="3">
        <f>parking_demand_data_2024_ver0!L1965</f>
        <v>0</v>
      </c>
      <c r="N1965" s="3">
        <f>parking_demand_data_2024_ver0!M1965</f>
        <v>40</v>
      </c>
      <c r="O1965" s="3">
        <f>parking_demand_data_2024_ver0!N1965</f>
        <v>0</v>
      </c>
      <c r="P1965" s="3">
        <f>parking_demand_data_2024_ver0!O1965</f>
        <v>0</v>
      </c>
      <c r="Q1965" s="3">
        <f>parking_demand_data_2024_ver0!P1965</f>
        <v>40</v>
      </c>
      <c r="R1965" s="3">
        <f>parking_demand_data_2024_ver0!Q1965</f>
        <v>0</v>
      </c>
      <c r="S1965" s="3">
        <f>parking_demand_data_2024_ver0!R1965</f>
        <v>0</v>
      </c>
      <c r="T1965" s="3">
        <f>parking_demand_data_2024_ver0!S1965</f>
        <v>0</v>
      </c>
    </row>
    <row r="1966" spans="1:20" x14ac:dyDescent="0.25">
      <c r="A1966">
        <v>18163</v>
      </c>
      <c r="B1966" t="s">
        <v>110</v>
      </c>
      <c r="C1966">
        <v>20</v>
      </c>
      <c r="D1966" s="3">
        <f>parking_demand_data_2024_ver0!D1966*calibration!$I$31</f>
        <v>11.400913996135399</v>
      </c>
      <c r="E1966" s="3">
        <f>parking_demand_data_2024_ver0!E1966*calibration!$I$31</f>
        <v>8.49130573670503</v>
      </c>
      <c r="F1966" s="3">
        <f t="shared" si="30"/>
        <v>19.892219732840431</v>
      </c>
      <c r="G1966" s="3">
        <f>parking_demand_data_2024_ver0!F1966</f>
        <v>2</v>
      </c>
      <c r="H1966" s="3">
        <f>parking_demand_data_2024_ver0!G1966</f>
        <v>0</v>
      </c>
      <c r="I1966" s="3">
        <f>parking_demand_data_2024_ver0!H1966</f>
        <v>0</v>
      </c>
      <c r="J1966" s="3">
        <f>parking_demand_data_2024_ver0!I1966</f>
        <v>2</v>
      </c>
      <c r="K1966" s="3">
        <f>parking_demand_data_2024_ver0!J1966</f>
        <v>0</v>
      </c>
      <c r="L1966" s="3">
        <f>parking_demand_data_2024_ver0!K1966</f>
        <v>0</v>
      </c>
      <c r="M1966" s="3">
        <f>parking_demand_data_2024_ver0!L1966</f>
        <v>0</v>
      </c>
      <c r="N1966" s="3">
        <f>parking_demand_data_2024_ver0!M1966</f>
        <v>40</v>
      </c>
      <c r="O1966" s="3">
        <f>parking_demand_data_2024_ver0!N1966</f>
        <v>0</v>
      </c>
      <c r="P1966" s="3">
        <f>parking_demand_data_2024_ver0!O1966</f>
        <v>0</v>
      </c>
      <c r="Q1966" s="3">
        <f>parking_demand_data_2024_ver0!P1966</f>
        <v>40</v>
      </c>
      <c r="R1966" s="3">
        <f>parking_demand_data_2024_ver0!Q1966</f>
        <v>0</v>
      </c>
      <c r="S1966" s="3">
        <f>parking_demand_data_2024_ver0!R1966</f>
        <v>0</v>
      </c>
      <c r="T1966" s="3">
        <f>parking_demand_data_2024_ver0!S1966</f>
        <v>0</v>
      </c>
    </row>
    <row r="1967" spans="1:20" x14ac:dyDescent="0.25">
      <c r="A1967">
        <v>18163</v>
      </c>
      <c r="B1967" t="s">
        <v>110</v>
      </c>
      <c r="C1967">
        <v>21</v>
      </c>
      <c r="D1967" s="3">
        <f>parking_demand_data_2024_ver0!D1967*calibration!$I$31</f>
        <v>12.796338365454</v>
      </c>
      <c r="E1967" s="3">
        <f>parking_demand_data_2024_ver0!E1967*calibration!$I$31</f>
        <v>11.252464595144</v>
      </c>
      <c r="F1967" s="3">
        <f t="shared" si="30"/>
        <v>24.048802960598</v>
      </c>
      <c r="G1967" s="3">
        <f>parking_demand_data_2024_ver0!F1967</f>
        <v>2</v>
      </c>
      <c r="H1967" s="3">
        <f>parking_demand_data_2024_ver0!G1967</f>
        <v>0</v>
      </c>
      <c r="I1967" s="3">
        <f>parking_demand_data_2024_ver0!H1967</f>
        <v>0</v>
      </c>
      <c r="J1967" s="3">
        <f>parking_demand_data_2024_ver0!I1967</f>
        <v>2</v>
      </c>
      <c r="K1967" s="3">
        <f>parking_demand_data_2024_ver0!J1967</f>
        <v>0</v>
      </c>
      <c r="L1967" s="3">
        <f>parking_demand_data_2024_ver0!K1967</f>
        <v>0</v>
      </c>
      <c r="M1967" s="3">
        <f>parking_demand_data_2024_ver0!L1967</f>
        <v>0</v>
      </c>
      <c r="N1967" s="3">
        <f>parking_demand_data_2024_ver0!M1967</f>
        <v>40</v>
      </c>
      <c r="O1967" s="3">
        <f>parking_demand_data_2024_ver0!N1967</f>
        <v>0</v>
      </c>
      <c r="P1967" s="3">
        <f>parking_demand_data_2024_ver0!O1967</f>
        <v>0</v>
      </c>
      <c r="Q1967" s="3">
        <f>parking_demand_data_2024_ver0!P1967</f>
        <v>40</v>
      </c>
      <c r="R1967" s="3">
        <f>parking_demand_data_2024_ver0!Q1967</f>
        <v>0</v>
      </c>
      <c r="S1967" s="3">
        <f>parking_demand_data_2024_ver0!R1967</f>
        <v>0</v>
      </c>
      <c r="T1967" s="3">
        <f>parking_demand_data_2024_ver0!S1967</f>
        <v>0</v>
      </c>
    </row>
    <row r="1968" spans="1:20" x14ac:dyDescent="0.25">
      <c r="A1968">
        <v>18163</v>
      </c>
      <c r="B1968" t="s">
        <v>110</v>
      </c>
      <c r="C1968">
        <v>22</v>
      </c>
      <c r="D1968" s="3">
        <f>parking_demand_data_2024_ver0!D1968*calibration!$I$31</f>
        <v>13.7167246516004</v>
      </c>
      <c r="E1968" s="3">
        <f>parking_demand_data_2024_ver0!E1968*calibration!$I$31</f>
        <v>16.091915067461901</v>
      </c>
      <c r="F1968" s="3">
        <f t="shared" si="30"/>
        <v>29.808639719062299</v>
      </c>
      <c r="G1968" s="3">
        <f>parking_demand_data_2024_ver0!F1968</f>
        <v>2</v>
      </c>
      <c r="H1968" s="3">
        <f>parking_demand_data_2024_ver0!G1968</f>
        <v>0</v>
      </c>
      <c r="I1968" s="3">
        <f>parking_demand_data_2024_ver0!H1968</f>
        <v>0</v>
      </c>
      <c r="J1968" s="3">
        <f>parking_demand_data_2024_ver0!I1968</f>
        <v>2</v>
      </c>
      <c r="K1968" s="3">
        <f>parking_demand_data_2024_ver0!J1968</f>
        <v>0</v>
      </c>
      <c r="L1968" s="3">
        <f>parking_demand_data_2024_ver0!K1968</f>
        <v>0</v>
      </c>
      <c r="M1968" s="3">
        <f>parking_demand_data_2024_ver0!L1968</f>
        <v>0</v>
      </c>
      <c r="N1968" s="3">
        <f>parking_demand_data_2024_ver0!M1968</f>
        <v>40</v>
      </c>
      <c r="O1968" s="3">
        <f>parking_demand_data_2024_ver0!N1968</f>
        <v>0</v>
      </c>
      <c r="P1968" s="3">
        <f>parking_demand_data_2024_ver0!O1968</f>
        <v>0</v>
      </c>
      <c r="Q1968" s="3">
        <f>parking_demand_data_2024_ver0!P1968</f>
        <v>40</v>
      </c>
      <c r="R1968" s="3">
        <f>parking_demand_data_2024_ver0!Q1968</f>
        <v>0</v>
      </c>
      <c r="S1968" s="3">
        <f>parking_demand_data_2024_ver0!R1968</f>
        <v>0</v>
      </c>
      <c r="T1968" s="3">
        <f>parking_demand_data_2024_ver0!S1968</f>
        <v>0</v>
      </c>
    </row>
    <row r="1969" spans="1:20" x14ac:dyDescent="0.25">
      <c r="A1969">
        <v>18163</v>
      </c>
      <c r="B1969" t="s">
        <v>110</v>
      </c>
      <c r="C1969">
        <v>23</v>
      </c>
      <c r="D1969" s="3">
        <f>parking_demand_data_2024_ver0!D1969*calibration!$I$31</f>
        <v>13.7167246516004</v>
      </c>
      <c r="E1969" s="3">
        <f>parking_demand_data_2024_ver0!E1969*calibration!$I$31</f>
        <v>24.880119606149702</v>
      </c>
      <c r="F1969" s="3">
        <f t="shared" si="30"/>
        <v>38.596844257750099</v>
      </c>
      <c r="G1969" s="3">
        <f>parking_demand_data_2024_ver0!F1969</f>
        <v>2</v>
      </c>
      <c r="H1969" s="3">
        <f>parking_demand_data_2024_ver0!G1969</f>
        <v>0</v>
      </c>
      <c r="I1969" s="3">
        <f>parking_demand_data_2024_ver0!H1969</f>
        <v>0</v>
      </c>
      <c r="J1969" s="3">
        <f>parking_demand_data_2024_ver0!I1969</f>
        <v>2</v>
      </c>
      <c r="K1969" s="3">
        <f>parking_demand_data_2024_ver0!J1969</f>
        <v>0</v>
      </c>
      <c r="L1969" s="3">
        <f>parking_demand_data_2024_ver0!K1969</f>
        <v>0</v>
      </c>
      <c r="M1969" s="3">
        <f>parking_demand_data_2024_ver0!L1969</f>
        <v>0</v>
      </c>
      <c r="N1969" s="3">
        <f>parking_demand_data_2024_ver0!M1969</f>
        <v>40</v>
      </c>
      <c r="O1969" s="3">
        <f>parking_demand_data_2024_ver0!N1969</f>
        <v>0</v>
      </c>
      <c r="P1969" s="3">
        <f>parking_demand_data_2024_ver0!O1969</f>
        <v>0</v>
      </c>
      <c r="Q1969" s="3">
        <f>parking_demand_data_2024_ver0!P1969</f>
        <v>40</v>
      </c>
      <c r="R1969" s="3">
        <f>parking_demand_data_2024_ver0!Q1969</f>
        <v>0</v>
      </c>
      <c r="S1969" s="3">
        <f>parking_demand_data_2024_ver0!R1969</f>
        <v>0</v>
      </c>
      <c r="T1969" s="3">
        <f>parking_demand_data_2024_ver0!S1969</f>
        <v>0</v>
      </c>
    </row>
    <row r="1970" spans="1:20" x14ac:dyDescent="0.25">
      <c r="A1970">
        <v>18165</v>
      </c>
      <c r="B1970" t="s">
        <v>111</v>
      </c>
      <c r="C1970">
        <v>0</v>
      </c>
      <c r="D1970" s="3">
        <f>parking_demand_data_2024_ver0!D1970*calibration!$I$31</f>
        <v>90.579885103792606</v>
      </c>
      <c r="E1970" s="3">
        <f>parking_demand_data_2024_ver0!E1970*calibration!$I$31</f>
        <v>2.34601107160832</v>
      </c>
      <c r="F1970" s="3">
        <f t="shared" si="30"/>
        <v>92.925896175400922</v>
      </c>
      <c r="G1970" s="3">
        <f>parking_demand_data_2024_ver0!F1970</f>
        <v>4</v>
      </c>
      <c r="H1970" s="3">
        <f>parking_demand_data_2024_ver0!G1970</f>
        <v>0</v>
      </c>
      <c r="I1970" s="3">
        <f>parking_demand_data_2024_ver0!H1970</f>
        <v>0</v>
      </c>
      <c r="J1970" s="3">
        <f>parking_demand_data_2024_ver0!I1970</f>
        <v>3</v>
      </c>
      <c r="K1970" s="3">
        <f>parking_demand_data_2024_ver0!J1970</f>
        <v>0</v>
      </c>
      <c r="L1970" s="3">
        <f>parking_demand_data_2024_ver0!K1970</f>
        <v>0</v>
      </c>
      <c r="M1970" s="3">
        <f>parking_demand_data_2024_ver0!L1970</f>
        <v>1</v>
      </c>
      <c r="N1970" s="3">
        <f>parking_demand_data_2024_ver0!M1970</f>
        <v>129</v>
      </c>
      <c r="O1970" s="3">
        <f>parking_demand_data_2024_ver0!N1970</f>
        <v>0</v>
      </c>
      <c r="P1970" s="3">
        <f>parking_demand_data_2024_ver0!O1970</f>
        <v>0</v>
      </c>
      <c r="Q1970" s="3">
        <f>parking_demand_data_2024_ver0!P1970</f>
        <v>85</v>
      </c>
      <c r="R1970" s="3">
        <f>parking_demand_data_2024_ver0!Q1970</f>
        <v>0</v>
      </c>
      <c r="S1970" s="3">
        <f>parking_demand_data_2024_ver0!R1970</f>
        <v>0</v>
      </c>
      <c r="T1970" s="3">
        <f>parking_demand_data_2024_ver0!S1970</f>
        <v>44</v>
      </c>
    </row>
    <row r="1971" spans="1:20" x14ac:dyDescent="0.25">
      <c r="A1971">
        <v>18165</v>
      </c>
      <c r="B1971" t="s">
        <v>111</v>
      </c>
      <c r="C1971">
        <v>1</v>
      </c>
      <c r="D1971" s="3">
        <f>parking_demand_data_2024_ver0!D1971*calibration!$I$31</f>
        <v>92.528267180213106</v>
      </c>
      <c r="E1971" s="3">
        <f>parking_demand_data_2024_ver0!E1971*calibration!$I$31</f>
        <v>2.6641142677585998</v>
      </c>
      <c r="F1971" s="3">
        <f t="shared" si="30"/>
        <v>95.192381447971712</v>
      </c>
      <c r="G1971" s="3">
        <f>parking_demand_data_2024_ver0!F1971</f>
        <v>4</v>
      </c>
      <c r="H1971" s="3">
        <f>parking_demand_data_2024_ver0!G1971</f>
        <v>0</v>
      </c>
      <c r="I1971" s="3">
        <f>parking_demand_data_2024_ver0!H1971</f>
        <v>0</v>
      </c>
      <c r="J1971" s="3">
        <f>parking_demand_data_2024_ver0!I1971</f>
        <v>3</v>
      </c>
      <c r="K1971" s="3">
        <f>parking_demand_data_2024_ver0!J1971</f>
        <v>0</v>
      </c>
      <c r="L1971" s="3">
        <f>parking_demand_data_2024_ver0!K1971</f>
        <v>0</v>
      </c>
      <c r="M1971" s="3">
        <f>parking_demand_data_2024_ver0!L1971</f>
        <v>1</v>
      </c>
      <c r="N1971" s="3">
        <f>parking_demand_data_2024_ver0!M1971</f>
        <v>129</v>
      </c>
      <c r="O1971" s="3">
        <f>parking_demand_data_2024_ver0!N1971</f>
        <v>0</v>
      </c>
      <c r="P1971" s="3">
        <f>parking_demand_data_2024_ver0!O1971</f>
        <v>0</v>
      </c>
      <c r="Q1971" s="3">
        <f>parking_demand_data_2024_ver0!P1971</f>
        <v>85</v>
      </c>
      <c r="R1971" s="3">
        <f>parking_demand_data_2024_ver0!Q1971</f>
        <v>0</v>
      </c>
      <c r="S1971" s="3">
        <f>parking_demand_data_2024_ver0!R1971</f>
        <v>0</v>
      </c>
      <c r="T1971" s="3">
        <f>parking_demand_data_2024_ver0!S1971</f>
        <v>44</v>
      </c>
    </row>
    <row r="1972" spans="1:20" x14ac:dyDescent="0.25">
      <c r="A1972">
        <v>18165</v>
      </c>
      <c r="B1972" t="s">
        <v>111</v>
      </c>
      <c r="C1972">
        <v>2</v>
      </c>
      <c r="D1972" s="3">
        <f>parking_demand_data_2024_ver0!D1972*calibration!$I$31</f>
        <v>92.369215582137997</v>
      </c>
      <c r="E1972" s="3">
        <f>parking_demand_data_2024_ver0!E1972*calibration!$I$31</f>
        <v>2.9424545643901001</v>
      </c>
      <c r="F1972" s="3">
        <f t="shared" si="30"/>
        <v>95.311670146528101</v>
      </c>
      <c r="G1972" s="3">
        <f>parking_demand_data_2024_ver0!F1972</f>
        <v>4</v>
      </c>
      <c r="H1972" s="3">
        <f>parking_demand_data_2024_ver0!G1972</f>
        <v>0</v>
      </c>
      <c r="I1972" s="3">
        <f>parking_demand_data_2024_ver0!H1972</f>
        <v>0</v>
      </c>
      <c r="J1972" s="3">
        <f>parking_demand_data_2024_ver0!I1972</f>
        <v>3</v>
      </c>
      <c r="K1972" s="3">
        <f>parking_demand_data_2024_ver0!J1972</f>
        <v>0</v>
      </c>
      <c r="L1972" s="3">
        <f>parking_demand_data_2024_ver0!K1972</f>
        <v>0</v>
      </c>
      <c r="M1972" s="3">
        <f>parking_demand_data_2024_ver0!L1972</f>
        <v>1</v>
      </c>
      <c r="N1972" s="3">
        <f>parking_demand_data_2024_ver0!M1972</f>
        <v>129</v>
      </c>
      <c r="O1972" s="3">
        <f>parking_demand_data_2024_ver0!N1972</f>
        <v>0</v>
      </c>
      <c r="P1972" s="3">
        <f>parking_demand_data_2024_ver0!O1972</f>
        <v>0</v>
      </c>
      <c r="Q1972" s="3">
        <f>parking_demand_data_2024_ver0!P1972</f>
        <v>85</v>
      </c>
      <c r="R1972" s="3">
        <f>parking_demand_data_2024_ver0!Q1972</f>
        <v>0</v>
      </c>
      <c r="S1972" s="3">
        <f>parking_demand_data_2024_ver0!R1972</f>
        <v>0</v>
      </c>
      <c r="T1972" s="3">
        <f>parking_demand_data_2024_ver0!S1972</f>
        <v>44</v>
      </c>
    </row>
    <row r="1973" spans="1:20" x14ac:dyDescent="0.25">
      <c r="A1973">
        <v>18165</v>
      </c>
      <c r="B1973" t="s">
        <v>111</v>
      </c>
      <c r="C1973">
        <v>3</v>
      </c>
      <c r="D1973" s="3">
        <f>parking_demand_data_2024_ver0!D1973*calibration!$I$31</f>
        <v>91.653483390799806</v>
      </c>
      <c r="E1973" s="3">
        <f>parking_demand_data_2024_ver0!E1973*calibration!$I$31</f>
        <v>3.1412690619840302</v>
      </c>
      <c r="F1973" s="3">
        <f t="shared" si="30"/>
        <v>94.79475245278384</v>
      </c>
      <c r="G1973" s="3">
        <f>parking_demand_data_2024_ver0!F1973</f>
        <v>4</v>
      </c>
      <c r="H1973" s="3">
        <f>parking_demand_data_2024_ver0!G1973</f>
        <v>0</v>
      </c>
      <c r="I1973" s="3">
        <f>parking_demand_data_2024_ver0!H1973</f>
        <v>0</v>
      </c>
      <c r="J1973" s="3">
        <f>parking_demand_data_2024_ver0!I1973</f>
        <v>3</v>
      </c>
      <c r="K1973" s="3">
        <f>parking_demand_data_2024_ver0!J1973</f>
        <v>0</v>
      </c>
      <c r="L1973" s="3">
        <f>parking_demand_data_2024_ver0!K1973</f>
        <v>0</v>
      </c>
      <c r="M1973" s="3">
        <f>parking_demand_data_2024_ver0!L1973</f>
        <v>1</v>
      </c>
      <c r="N1973" s="3">
        <f>parking_demand_data_2024_ver0!M1973</f>
        <v>129</v>
      </c>
      <c r="O1973" s="3">
        <f>parking_demand_data_2024_ver0!N1973</f>
        <v>0</v>
      </c>
      <c r="P1973" s="3">
        <f>parking_demand_data_2024_ver0!O1973</f>
        <v>0</v>
      </c>
      <c r="Q1973" s="3">
        <f>parking_demand_data_2024_ver0!P1973</f>
        <v>85</v>
      </c>
      <c r="R1973" s="3">
        <f>parking_demand_data_2024_ver0!Q1973</f>
        <v>0</v>
      </c>
      <c r="S1973" s="3">
        <f>parking_demand_data_2024_ver0!R1973</f>
        <v>0</v>
      </c>
      <c r="T1973" s="3">
        <f>parking_demand_data_2024_ver0!S1973</f>
        <v>44</v>
      </c>
    </row>
    <row r="1974" spans="1:20" x14ac:dyDescent="0.25">
      <c r="A1974">
        <v>18165</v>
      </c>
      <c r="B1974" t="s">
        <v>111</v>
      </c>
      <c r="C1974">
        <v>4</v>
      </c>
      <c r="D1974" s="3">
        <f>parking_demand_data_2024_ver0!D1974*calibration!$I$31</f>
        <v>90.778699601386606</v>
      </c>
      <c r="E1974" s="3">
        <f>parking_demand_data_2024_ver0!E1974*calibration!$I$31</f>
        <v>3.61842385620945</v>
      </c>
      <c r="F1974" s="3">
        <f t="shared" si="30"/>
        <v>94.397123457596052</v>
      </c>
      <c r="G1974" s="3">
        <f>parking_demand_data_2024_ver0!F1974</f>
        <v>4</v>
      </c>
      <c r="H1974" s="3">
        <f>parking_demand_data_2024_ver0!G1974</f>
        <v>0</v>
      </c>
      <c r="I1974" s="3">
        <f>parking_demand_data_2024_ver0!H1974</f>
        <v>0</v>
      </c>
      <c r="J1974" s="3">
        <f>parking_demand_data_2024_ver0!I1974</f>
        <v>3</v>
      </c>
      <c r="K1974" s="3">
        <f>parking_demand_data_2024_ver0!J1974</f>
        <v>0</v>
      </c>
      <c r="L1974" s="3">
        <f>parking_demand_data_2024_ver0!K1974</f>
        <v>0</v>
      </c>
      <c r="M1974" s="3">
        <f>parking_demand_data_2024_ver0!L1974</f>
        <v>1</v>
      </c>
      <c r="N1974" s="3">
        <f>parking_demand_data_2024_ver0!M1974</f>
        <v>129</v>
      </c>
      <c r="O1974" s="3">
        <f>parking_demand_data_2024_ver0!N1974</f>
        <v>0</v>
      </c>
      <c r="P1974" s="3">
        <f>parking_demand_data_2024_ver0!O1974</f>
        <v>0</v>
      </c>
      <c r="Q1974" s="3">
        <f>parking_demand_data_2024_ver0!P1974</f>
        <v>85</v>
      </c>
      <c r="R1974" s="3">
        <f>parking_demand_data_2024_ver0!Q1974</f>
        <v>0</v>
      </c>
      <c r="S1974" s="3">
        <f>parking_demand_data_2024_ver0!R1974</f>
        <v>0</v>
      </c>
      <c r="T1974" s="3">
        <f>parking_demand_data_2024_ver0!S1974</f>
        <v>44</v>
      </c>
    </row>
    <row r="1975" spans="1:20" x14ac:dyDescent="0.25">
      <c r="A1975">
        <v>18165</v>
      </c>
      <c r="B1975" t="s">
        <v>111</v>
      </c>
      <c r="C1975">
        <v>5</v>
      </c>
      <c r="D1975" s="3">
        <f>parking_demand_data_2024_ver0!D1975*calibration!$I$31</f>
        <v>87.876007936515293</v>
      </c>
      <c r="E1975" s="3">
        <f>parking_demand_data_2024_ver0!E1975*calibration!$I$31</f>
        <v>3.5388980571718802</v>
      </c>
      <c r="F1975" s="3">
        <f t="shared" si="30"/>
        <v>91.414905993687171</v>
      </c>
      <c r="G1975" s="3">
        <f>parking_demand_data_2024_ver0!F1975</f>
        <v>4</v>
      </c>
      <c r="H1975" s="3">
        <f>parking_demand_data_2024_ver0!G1975</f>
        <v>0</v>
      </c>
      <c r="I1975" s="3">
        <f>parking_demand_data_2024_ver0!H1975</f>
        <v>0</v>
      </c>
      <c r="J1975" s="3">
        <f>parking_demand_data_2024_ver0!I1975</f>
        <v>3</v>
      </c>
      <c r="K1975" s="3">
        <f>parking_demand_data_2024_ver0!J1975</f>
        <v>0</v>
      </c>
      <c r="L1975" s="3">
        <f>parking_demand_data_2024_ver0!K1975</f>
        <v>0</v>
      </c>
      <c r="M1975" s="3">
        <f>parking_demand_data_2024_ver0!L1975</f>
        <v>1</v>
      </c>
      <c r="N1975" s="3">
        <f>parking_demand_data_2024_ver0!M1975</f>
        <v>129</v>
      </c>
      <c r="O1975" s="3">
        <f>parking_demand_data_2024_ver0!N1975</f>
        <v>0</v>
      </c>
      <c r="P1975" s="3">
        <f>parking_demand_data_2024_ver0!O1975</f>
        <v>0</v>
      </c>
      <c r="Q1975" s="3">
        <f>parking_demand_data_2024_ver0!P1975</f>
        <v>85</v>
      </c>
      <c r="R1975" s="3">
        <f>parking_demand_data_2024_ver0!Q1975</f>
        <v>0</v>
      </c>
      <c r="S1975" s="3">
        <f>parking_demand_data_2024_ver0!R1975</f>
        <v>0</v>
      </c>
      <c r="T1975" s="3">
        <f>parking_demand_data_2024_ver0!S1975</f>
        <v>44</v>
      </c>
    </row>
    <row r="1976" spans="1:20" x14ac:dyDescent="0.25">
      <c r="A1976">
        <v>18165</v>
      </c>
      <c r="B1976" t="s">
        <v>111</v>
      </c>
      <c r="C1976">
        <v>6</v>
      </c>
      <c r="D1976" s="3">
        <f>parking_demand_data_2024_ver0!D1976*calibration!$I$31</f>
        <v>82.587542300516802</v>
      </c>
      <c r="E1976" s="3">
        <f>parking_demand_data_2024_ver0!E1976*calibration!$I$31</f>
        <v>3.61842385620945</v>
      </c>
      <c r="F1976" s="3">
        <f t="shared" si="30"/>
        <v>86.205966156726248</v>
      </c>
      <c r="G1976" s="3">
        <f>parking_demand_data_2024_ver0!F1976</f>
        <v>4</v>
      </c>
      <c r="H1976" s="3">
        <f>parking_demand_data_2024_ver0!G1976</f>
        <v>0</v>
      </c>
      <c r="I1976" s="3">
        <f>parking_demand_data_2024_ver0!H1976</f>
        <v>0</v>
      </c>
      <c r="J1976" s="3">
        <f>parking_demand_data_2024_ver0!I1976</f>
        <v>3</v>
      </c>
      <c r="K1976" s="3">
        <f>parking_demand_data_2024_ver0!J1976</f>
        <v>0</v>
      </c>
      <c r="L1976" s="3">
        <f>parking_demand_data_2024_ver0!K1976</f>
        <v>0</v>
      </c>
      <c r="M1976" s="3">
        <f>parking_demand_data_2024_ver0!L1976</f>
        <v>1</v>
      </c>
      <c r="N1976" s="3">
        <f>parking_demand_data_2024_ver0!M1976</f>
        <v>129</v>
      </c>
      <c r="O1976" s="3">
        <f>parking_demand_data_2024_ver0!N1976</f>
        <v>0</v>
      </c>
      <c r="P1976" s="3">
        <f>parking_demand_data_2024_ver0!O1976</f>
        <v>0</v>
      </c>
      <c r="Q1976" s="3">
        <f>parking_demand_data_2024_ver0!P1976</f>
        <v>85</v>
      </c>
      <c r="R1976" s="3">
        <f>parking_demand_data_2024_ver0!Q1976</f>
        <v>0</v>
      </c>
      <c r="S1976" s="3">
        <f>parking_demand_data_2024_ver0!R1976</f>
        <v>0</v>
      </c>
      <c r="T1976" s="3">
        <f>parking_demand_data_2024_ver0!S1976</f>
        <v>44</v>
      </c>
    </row>
    <row r="1977" spans="1:20" x14ac:dyDescent="0.25">
      <c r="A1977">
        <v>18165</v>
      </c>
      <c r="B1977" t="s">
        <v>111</v>
      </c>
      <c r="C1977">
        <v>7</v>
      </c>
      <c r="D1977" s="3">
        <f>parking_demand_data_2024_ver0!D1977*calibration!$I$31</f>
        <v>71.096064339587898</v>
      </c>
      <c r="E1977" s="3">
        <f>parking_demand_data_2024_ver0!E1977*calibration!$I$31</f>
        <v>3.2605577605403799</v>
      </c>
      <c r="F1977" s="3">
        <f t="shared" si="30"/>
        <v>74.356622100128277</v>
      </c>
      <c r="G1977" s="3">
        <f>parking_demand_data_2024_ver0!F1977</f>
        <v>4</v>
      </c>
      <c r="H1977" s="3">
        <f>parking_demand_data_2024_ver0!G1977</f>
        <v>0</v>
      </c>
      <c r="I1977" s="3">
        <f>parking_demand_data_2024_ver0!H1977</f>
        <v>0</v>
      </c>
      <c r="J1977" s="3">
        <f>parking_demand_data_2024_ver0!I1977</f>
        <v>3</v>
      </c>
      <c r="K1977" s="3">
        <f>parking_demand_data_2024_ver0!J1977</f>
        <v>0</v>
      </c>
      <c r="L1977" s="3">
        <f>parking_demand_data_2024_ver0!K1977</f>
        <v>0</v>
      </c>
      <c r="M1977" s="3">
        <f>parking_demand_data_2024_ver0!L1977</f>
        <v>1</v>
      </c>
      <c r="N1977" s="3">
        <f>parking_demand_data_2024_ver0!M1977</f>
        <v>129</v>
      </c>
      <c r="O1977" s="3">
        <f>parking_demand_data_2024_ver0!N1977</f>
        <v>0</v>
      </c>
      <c r="P1977" s="3">
        <f>parking_demand_data_2024_ver0!O1977</f>
        <v>0</v>
      </c>
      <c r="Q1977" s="3">
        <f>parking_demand_data_2024_ver0!P1977</f>
        <v>85</v>
      </c>
      <c r="R1977" s="3">
        <f>parking_demand_data_2024_ver0!Q1977</f>
        <v>0</v>
      </c>
      <c r="S1977" s="3">
        <f>parking_demand_data_2024_ver0!R1977</f>
        <v>0</v>
      </c>
      <c r="T1977" s="3">
        <f>parking_demand_data_2024_ver0!S1977</f>
        <v>44</v>
      </c>
    </row>
    <row r="1978" spans="1:20" x14ac:dyDescent="0.25">
      <c r="A1978">
        <v>18165</v>
      </c>
      <c r="B1978" t="s">
        <v>111</v>
      </c>
      <c r="C1978">
        <v>8</v>
      </c>
      <c r="D1978" s="3">
        <f>parking_demand_data_2024_ver0!D1978*calibration!$I$31</f>
        <v>56.423554417156197</v>
      </c>
      <c r="E1978" s="3">
        <f>parking_demand_data_2024_ver0!E1978*calibration!$I$31</f>
        <v>2.34601107160832</v>
      </c>
      <c r="F1978" s="3">
        <f t="shared" si="30"/>
        <v>58.769565488764513</v>
      </c>
      <c r="G1978" s="3">
        <f>parking_demand_data_2024_ver0!F1978</f>
        <v>4</v>
      </c>
      <c r="H1978" s="3">
        <f>parking_demand_data_2024_ver0!G1978</f>
        <v>0</v>
      </c>
      <c r="I1978" s="3">
        <f>parking_demand_data_2024_ver0!H1978</f>
        <v>0</v>
      </c>
      <c r="J1978" s="3">
        <f>parking_demand_data_2024_ver0!I1978</f>
        <v>3</v>
      </c>
      <c r="K1978" s="3">
        <f>parking_demand_data_2024_ver0!J1978</f>
        <v>0</v>
      </c>
      <c r="L1978" s="3">
        <f>parking_demand_data_2024_ver0!K1978</f>
        <v>0</v>
      </c>
      <c r="M1978" s="3">
        <f>parking_demand_data_2024_ver0!L1978</f>
        <v>1</v>
      </c>
      <c r="N1978" s="3">
        <f>parking_demand_data_2024_ver0!M1978</f>
        <v>129</v>
      </c>
      <c r="O1978" s="3">
        <f>parking_demand_data_2024_ver0!N1978</f>
        <v>0</v>
      </c>
      <c r="P1978" s="3">
        <f>parking_demand_data_2024_ver0!O1978</f>
        <v>0</v>
      </c>
      <c r="Q1978" s="3">
        <f>parking_demand_data_2024_ver0!P1978</f>
        <v>85</v>
      </c>
      <c r="R1978" s="3">
        <f>parking_demand_data_2024_ver0!Q1978</f>
        <v>0</v>
      </c>
      <c r="S1978" s="3">
        <f>parking_demand_data_2024_ver0!R1978</f>
        <v>0</v>
      </c>
      <c r="T1978" s="3">
        <f>parking_demand_data_2024_ver0!S1978</f>
        <v>44</v>
      </c>
    </row>
    <row r="1979" spans="1:20" x14ac:dyDescent="0.25">
      <c r="A1979">
        <v>18165</v>
      </c>
      <c r="B1979" t="s">
        <v>111</v>
      </c>
      <c r="C1979">
        <v>9</v>
      </c>
      <c r="D1979" s="3">
        <f>parking_demand_data_2024_ver0!D1979*calibration!$I$31</f>
        <v>43.659663671626099</v>
      </c>
      <c r="E1979" s="3">
        <f>parking_demand_data_2024_ver0!E1979*calibration!$I$31</f>
        <v>1.5905159807514</v>
      </c>
      <c r="F1979" s="3">
        <f t="shared" si="30"/>
        <v>45.250179652377497</v>
      </c>
      <c r="G1979" s="3">
        <f>parking_demand_data_2024_ver0!F1979</f>
        <v>4</v>
      </c>
      <c r="H1979" s="3">
        <f>parking_demand_data_2024_ver0!G1979</f>
        <v>0</v>
      </c>
      <c r="I1979" s="3">
        <f>parking_demand_data_2024_ver0!H1979</f>
        <v>0</v>
      </c>
      <c r="J1979" s="3">
        <f>parking_demand_data_2024_ver0!I1979</f>
        <v>3</v>
      </c>
      <c r="K1979" s="3">
        <f>parking_demand_data_2024_ver0!J1979</f>
        <v>0</v>
      </c>
      <c r="L1979" s="3">
        <f>parking_demand_data_2024_ver0!K1979</f>
        <v>0</v>
      </c>
      <c r="M1979" s="3">
        <f>parking_demand_data_2024_ver0!L1979</f>
        <v>1</v>
      </c>
      <c r="N1979" s="3">
        <f>parking_demand_data_2024_ver0!M1979</f>
        <v>129</v>
      </c>
      <c r="O1979" s="3">
        <f>parking_demand_data_2024_ver0!N1979</f>
        <v>0</v>
      </c>
      <c r="P1979" s="3">
        <f>parking_demand_data_2024_ver0!O1979</f>
        <v>0</v>
      </c>
      <c r="Q1979" s="3">
        <f>parking_demand_data_2024_ver0!P1979</f>
        <v>85</v>
      </c>
      <c r="R1979" s="3">
        <f>parking_demand_data_2024_ver0!Q1979</f>
        <v>0</v>
      </c>
      <c r="S1979" s="3">
        <f>parking_demand_data_2024_ver0!R1979</f>
        <v>0</v>
      </c>
      <c r="T1979" s="3">
        <f>parking_demand_data_2024_ver0!S1979</f>
        <v>44</v>
      </c>
    </row>
    <row r="1980" spans="1:20" x14ac:dyDescent="0.25">
      <c r="A1980">
        <v>18165</v>
      </c>
      <c r="B1980" t="s">
        <v>111</v>
      </c>
      <c r="C1980">
        <v>10</v>
      </c>
      <c r="D1980" s="3">
        <f>parking_demand_data_2024_ver0!D1980*calibration!$I$31</f>
        <v>36.899970753432598</v>
      </c>
      <c r="E1980" s="3">
        <f>parking_demand_data_2024_ver0!E1980*calibration!$I$31</f>
        <v>1.3121756841199099</v>
      </c>
      <c r="F1980" s="3">
        <f t="shared" si="30"/>
        <v>38.212146437552505</v>
      </c>
      <c r="G1980" s="3">
        <f>parking_demand_data_2024_ver0!F1980</f>
        <v>4</v>
      </c>
      <c r="H1980" s="3">
        <f>parking_demand_data_2024_ver0!G1980</f>
        <v>0</v>
      </c>
      <c r="I1980" s="3">
        <f>parking_demand_data_2024_ver0!H1980</f>
        <v>0</v>
      </c>
      <c r="J1980" s="3">
        <f>parking_demand_data_2024_ver0!I1980</f>
        <v>3</v>
      </c>
      <c r="K1980" s="3">
        <f>parking_demand_data_2024_ver0!J1980</f>
        <v>0</v>
      </c>
      <c r="L1980" s="3">
        <f>parking_demand_data_2024_ver0!K1980</f>
        <v>0</v>
      </c>
      <c r="M1980" s="3">
        <f>parking_demand_data_2024_ver0!L1980</f>
        <v>1</v>
      </c>
      <c r="N1980" s="3">
        <f>parking_demand_data_2024_ver0!M1980</f>
        <v>129</v>
      </c>
      <c r="O1980" s="3">
        <f>parking_demand_data_2024_ver0!N1980</f>
        <v>0</v>
      </c>
      <c r="P1980" s="3">
        <f>parking_demand_data_2024_ver0!O1980</f>
        <v>0</v>
      </c>
      <c r="Q1980" s="3">
        <f>parking_demand_data_2024_ver0!P1980</f>
        <v>85</v>
      </c>
      <c r="R1980" s="3">
        <f>parking_demand_data_2024_ver0!Q1980</f>
        <v>0</v>
      </c>
      <c r="S1980" s="3">
        <f>parking_demand_data_2024_ver0!R1980</f>
        <v>0</v>
      </c>
      <c r="T1980" s="3">
        <f>parking_demand_data_2024_ver0!S1980</f>
        <v>44</v>
      </c>
    </row>
    <row r="1981" spans="1:20" x14ac:dyDescent="0.25">
      <c r="A1981">
        <v>18165</v>
      </c>
      <c r="B1981" t="s">
        <v>111</v>
      </c>
      <c r="C1981">
        <v>11</v>
      </c>
      <c r="D1981" s="3">
        <f>parking_demand_data_2024_ver0!D1981*calibration!$I$31</f>
        <v>33.281546897223201</v>
      </c>
      <c r="E1981" s="3">
        <f>parking_demand_data_2024_ver0!E1981*calibration!$I$31</f>
        <v>0.83502088989448897</v>
      </c>
      <c r="F1981" s="3">
        <f t="shared" si="30"/>
        <v>34.116567787117688</v>
      </c>
      <c r="G1981" s="3">
        <f>parking_demand_data_2024_ver0!F1981</f>
        <v>4</v>
      </c>
      <c r="H1981" s="3">
        <f>parking_demand_data_2024_ver0!G1981</f>
        <v>0</v>
      </c>
      <c r="I1981" s="3">
        <f>parking_demand_data_2024_ver0!H1981</f>
        <v>0</v>
      </c>
      <c r="J1981" s="3">
        <f>parking_demand_data_2024_ver0!I1981</f>
        <v>3</v>
      </c>
      <c r="K1981" s="3">
        <f>parking_demand_data_2024_ver0!J1981</f>
        <v>0</v>
      </c>
      <c r="L1981" s="3">
        <f>parking_demand_data_2024_ver0!K1981</f>
        <v>0</v>
      </c>
      <c r="M1981" s="3">
        <f>parking_demand_data_2024_ver0!L1981</f>
        <v>1</v>
      </c>
      <c r="N1981" s="3">
        <f>parking_demand_data_2024_ver0!M1981</f>
        <v>129</v>
      </c>
      <c r="O1981" s="3">
        <f>parking_demand_data_2024_ver0!N1981</f>
        <v>0</v>
      </c>
      <c r="P1981" s="3">
        <f>parking_demand_data_2024_ver0!O1981</f>
        <v>0</v>
      </c>
      <c r="Q1981" s="3">
        <f>parking_demand_data_2024_ver0!P1981</f>
        <v>85</v>
      </c>
      <c r="R1981" s="3">
        <f>parking_demand_data_2024_ver0!Q1981</f>
        <v>0</v>
      </c>
      <c r="S1981" s="3">
        <f>parking_demand_data_2024_ver0!R1981</f>
        <v>0</v>
      </c>
      <c r="T1981" s="3">
        <f>parking_demand_data_2024_ver0!S1981</f>
        <v>44</v>
      </c>
    </row>
    <row r="1982" spans="1:20" x14ac:dyDescent="0.25">
      <c r="A1982">
        <v>18165</v>
      </c>
      <c r="B1982" t="s">
        <v>111</v>
      </c>
      <c r="C1982">
        <v>12</v>
      </c>
      <c r="D1982" s="3">
        <f>parking_demand_data_2024_ver0!D1982*calibration!$I$31</f>
        <v>34.792537078937002</v>
      </c>
      <c r="E1982" s="3">
        <f>parking_demand_data_2024_ver0!E1982*calibration!$I$31</f>
        <v>0.31810319615028099</v>
      </c>
      <c r="F1982" s="3">
        <f t="shared" si="30"/>
        <v>35.110640275087285</v>
      </c>
      <c r="G1982" s="3">
        <f>parking_demand_data_2024_ver0!F1982</f>
        <v>4</v>
      </c>
      <c r="H1982" s="3">
        <f>parking_demand_data_2024_ver0!G1982</f>
        <v>0</v>
      </c>
      <c r="I1982" s="3">
        <f>parking_demand_data_2024_ver0!H1982</f>
        <v>0</v>
      </c>
      <c r="J1982" s="3">
        <f>parking_demand_data_2024_ver0!I1982</f>
        <v>3</v>
      </c>
      <c r="K1982" s="3">
        <f>parking_demand_data_2024_ver0!J1982</f>
        <v>0</v>
      </c>
      <c r="L1982" s="3">
        <f>parking_demand_data_2024_ver0!K1982</f>
        <v>0</v>
      </c>
      <c r="M1982" s="3">
        <f>parking_demand_data_2024_ver0!L1982</f>
        <v>1</v>
      </c>
      <c r="N1982" s="3">
        <f>parking_demand_data_2024_ver0!M1982</f>
        <v>129</v>
      </c>
      <c r="O1982" s="3">
        <f>parking_demand_data_2024_ver0!N1982</f>
        <v>0</v>
      </c>
      <c r="P1982" s="3">
        <f>parking_demand_data_2024_ver0!O1982</f>
        <v>0</v>
      </c>
      <c r="Q1982" s="3">
        <f>parking_demand_data_2024_ver0!P1982</f>
        <v>85</v>
      </c>
      <c r="R1982" s="3">
        <f>parking_demand_data_2024_ver0!Q1982</f>
        <v>0</v>
      </c>
      <c r="S1982" s="3">
        <f>parking_demand_data_2024_ver0!R1982</f>
        <v>0</v>
      </c>
      <c r="T1982" s="3">
        <f>parking_demand_data_2024_ver0!S1982</f>
        <v>44</v>
      </c>
    </row>
    <row r="1983" spans="1:20" x14ac:dyDescent="0.25">
      <c r="A1983">
        <v>18165</v>
      </c>
      <c r="B1983" t="s">
        <v>111</v>
      </c>
      <c r="C1983">
        <v>13</v>
      </c>
      <c r="D1983" s="3">
        <f>parking_demand_data_2024_ver0!D1983*calibration!$I$31</f>
        <v>36.6216304568011</v>
      </c>
      <c r="E1983" s="3">
        <f>parking_demand_data_2024_ver0!E1983*calibration!$I$31</f>
        <v>0.51691769374420704</v>
      </c>
      <c r="F1983" s="3">
        <f t="shared" si="30"/>
        <v>37.138548150545304</v>
      </c>
      <c r="G1983" s="3">
        <f>parking_demand_data_2024_ver0!F1983</f>
        <v>4</v>
      </c>
      <c r="H1983" s="3">
        <f>parking_demand_data_2024_ver0!G1983</f>
        <v>0</v>
      </c>
      <c r="I1983" s="3">
        <f>parking_demand_data_2024_ver0!H1983</f>
        <v>0</v>
      </c>
      <c r="J1983" s="3">
        <f>parking_demand_data_2024_ver0!I1983</f>
        <v>3</v>
      </c>
      <c r="K1983" s="3">
        <f>parking_demand_data_2024_ver0!J1983</f>
        <v>0</v>
      </c>
      <c r="L1983" s="3">
        <f>parking_demand_data_2024_ver0!K1983</f>
        <v>0</v>
      </c>
      <c r="M1983" s="3">
        <f>parking_demand_data_2024_ver0!L1983</f>
        <v>1</v>
      </c>
      <c r="N1983" s="3">
        <f>parking_demand_data_2024_ver0!M1983</f>
        <v>129</v>
      </c>
      <c r="O1983" s="3">
        <f>parking_demand_data_2024_ver0!N1983</f>
        <v>0</v>
      </c>
      <c r="P1983" s="3">
        <f>parking_demand_data_2024_ver0!O1983</f>
        <v>0</v>
      </c>
      <c r="Q1983" s="3">
        <f>parking_demand_data_2024_ver0!P1983</f>
        <v>85</v>
      </c>
      <c r="R1983" s="3">
        <f>parking_demand_data_2024_ver0!Q1983</f>
        <v>0</v>
      </c>
      <c r="S1983" s="3">
        <f>parking_demand_data_2024_ver0!R1983</f>
        <v>0</v>
      </c>
      <c r="T1983" s="3">
        <f>parking_demand_data_2024_ver0!S1983</f>
        <v>44</v>
      </c>
    </row>
    <row r="1984" spans="1:20" x14ac:dyDescent="0.25">
      <c r="A1984">
        <v>18165</v>
      </c>
      <c r="B1984" t="s">
        <v>111</v>
      </c>
      <c r="C1984">
        <v>14</v>
      </c>
      <c r="D1984" s="3">
        <f>parking_demand_data_2024_ver0!D1984*calibration!$I$31</f>
        <v>35.468506370756401</v>
      </c>
      <c r="E1984" s="3">
        <f>parking_demand_data_2024_ver0!E1984*calibration!$I$31</f>
        <v>0.238577397112711</v>
      </c>
      <c r="F1984" s="3">
        <f t="shared" si="30"/>
        <v>35.707083767869115</v>
      </c>
      <c r="G1984" s="3">
        <f>parking_demand_data_2024_ver0!F1984</f>
        <v>4</v>
      </c>
      <c r="H1984" s="3">
        <f>parking_demand_data_2024_ver0!G1984</f>
        <v>0</v>
      </c>
      <c r="I1984" s="3">
        <f>parking_demand_data_2024_ver0!H1984</f>
        <v>0</v>
      </c>
      <c r="J1984" s="3">
        <f>parking_demand_data_2024_ver0!I1984</f>
        <v>3</v>
      </c>
      <c r="K1984" s="3">
        <f>parking_demand_data_2024_ver0!J1984</f>
        <v>0</v>
      </c>
      <c r="L1984" s="3">
        <f>parking_demand_data_2024_ver0!K1984</f>
        <v>0</v>
      </c>
      <c r="M1984" s="3">
        <f>parking_demand_data_2024_ver0!L1984</f>
        <v>1</v>
      </c>
      <c r="N1984" s="3">
        <f>parking_demand_data_2024_ver0!M1984</f>
        <v>129</v>
      </c>
      <c r="O1984" s="3">
        <f>parking_demand_data_2024_ver0!N1984</f>
        <v>0</v>
      </c>
      <c r="P1984" s="3">
        <f>parking_demand_data_2024_ver0!O1984</f>
        <v>0</v>
      </c>
      <c r="Q1984" s="3">
        <f>parking_demand_data_2024_ver0!P1984</f>
        <v>85</v>
      </c>
      <c r="R1984" s="3">
        <f>parking_demand_data_2024_ver0!Q1984</f>
        <v>0</v>
      </c>
      <c r="S1984" s="3">
        <f>parking_demand_data_2024_ver0!R1984</f>
        <v>0</v>
      </c>
      <c r="T1984" s="3">
        <f>parking_demand_data_2024_ver0!S1984</f>
        <v>44</v>
      </c>
    </row>
    <row r="1985" spans="1:20" x14ac:dyDescent="0.25">
      <c r="A1985">
        <v>18165</v>
      </c>
      <c r="B1985" t="s">
        <v>111</v>
      </c>
      <c r="C1985">
        <v>15</v>
      </c>
      <c r="D1985" s="3">
        <f>parking_demand_data_2024_ver0!D1985*calibration!$I$31</f>
        <v>37.059022351507799</v>
      </c>
      <c r="E1985" s="3">
        <f>parking_demand_data_2024_ver0!E1985*calibration!$I$31</f>
        <v>0.198814497593926</v>
      </c>
      <c r="F1985" s="3">
        <f t="shared" si="30"/>
        <v>37.257836849101729</v>
      </c>
      <c r="G1985" s="3">
        <f>parking_demand_data_2024_ver0!F1985</f>
        <v>4</v>
      </c>
      <c r="H1985" s="3">
        <f>parking_demand_data_2024_ver0!G1985</f>
        <v>0</v>
      </c>
      <c r="I1985" s="3">
        <f>parking_demand_data_2024_ver0!H1985</f>
        <v>0</v>
      </c>
      <c r="J1985" s="3">
        <f>parking_demand_data_2024_ver0!I1985</f>
        <v>3</v>
      </c>
      <c r="K1985" s="3">
        <f>parking_demand_data_2024_ver0!J1985</f>
        <v>0</v>
      </c>
      <c r="L1985" s="3">
        <f>parking_demand_data_2024_ver0!K1985</f>
        <v>0</v>
      </c>
      <c r="M1985" s="3">
        <f>parking_demand_data_2024_ver0!L1985</f>
        <v>1</v>
      </c>
      <c r="N1985" s="3">
        <f>parking_demand_data_2024_ver0!M1985</f>
        <v>129</v>
      </c>
      <c r="O1985" s="3">
        <f>parking_demand_data_2024_ver0!N1985</f>
        <v>0</v>
      </c>
      <c r="P1985" s="3">
        <f>parking_demand_data_2024_ver0!O1985</f>
        <v>0</v>
      </c>
      <c r="Q1985" s="3">
        <f>parking_demand_data_2024_ver0!P1985</f>
        <v>85</v>
      </c>
      <c r="R1985" s="3">
        <f>parking_demand_data_2024_ver0!Q1985</f>
        <v>0</v>
      </c>
      <c r="S1985" s="3">
        <f>parking_demand_data_2024_ver0!R1985</f>
        <v>0</v>
      </c>
      <c r="T1985" s="3">
        <f>parking_demand_data_2024_ver0!S1985</f>
        <v>44</v>
      </c>
    </row>
    <row r="1986" spans="1:20" x14ac:dyDescent="0.25">
      <c r="A1986">
        <v>18165</v>
      </c>
      <c r="B1986" t="s">
        <v>111</v>
      </c>
      <c r="C1986">
        <v>16</v>
      </c>
      <c r="D1986" s="3">
        <f>parking_demand_data_2024_ver0!D1986*calibration!$I$31</f>
        <v>41.114838102423803</v>
      </c>
      <c r="E1986" s="3">
        <f>parking_demand_data_2024_ver0!E1986*calibration!$I$31</f>
        <v>0.119288698556355</v>
      </c>
      <c r="F1986" s="3">
        <f t="shared" si="30"/>
        <v>41.234126800980157</v>
      </c>
      <c r="G1986" s="3">
        <f>parking_demand_data_2024_ver0!F1986</f>
        <v>4</v>
      </c>
      <c r="H1986" s="3">
        <f>parking_demand_data_2024_ver0!G1986</f>
        <v>0</v>
      </c>
      <c r="I1986" s="3">
        <f>parking_demand_data_2024_ver0!H1986</f>
        <v>0</v>
      </c>
      <c r="J1986" s="3">
        <f>parking_demand_data_2024_ver0!I1986</f>
        <v>3</v>
      </c>
      <c r="K1986" s="3">
        <f>parking_demand_data_2024_ver0!J1986</f>
        <v>0</v>
      </c>
      <c r="L1986" s="3">
        <f>parking_demand_data_2024_ver0!K1986</f>
        <v>0</v>
      </c>
      <c r="M1986" s="3">
        <f>parking_demand_data_2024_ver0!L1986</f>
        <v>1</v>
      </c>
      <c r="N1986" s="3">
        <f>parking_demand_data_2024_ver0!M1986</f>
        <v>129</v>
      </c>
      <c r="O1986" s="3">
        <f>parking_demand_data_2024_ver0!N1986</f>
        <v>0</v>
      </c>
      <c r="P1986" s="3">
        <f>parking_demand_data_2024_ver0!O1986</f>
        <v>0</v>
      </c>
      <c r="Q1986" s="3">
        <f>parking_demand_data_2024_ver0!P1986</f>
        <v>85</v>
      </c>
      <c r="R1986" s="3">
        <f>parking_demand_data_2024_ver0!Q1986</f>
        <v>0</v>
      </c>
      <c r="S1986" s="3">
        <f>parking_demand_data_2024_ver0!R1986</f>
        <v>0</v>
      </c>
      <c r="T1986" s="3">
        <f>parking_demand_data_2024_ver0!S1986</f>
        <v>44</v>
      </c>
    </row>
    <row r="1987" spans="1:20" x14ac:dyDescent="0.25">
      <c r="A1987">
        <v>18165</v>
      </c>
      <c r="B1987" t="s">
        <v>111</v>
      </c>
      <c r="C1987">
        <v>17</v>
      </c>
      <c r="D1987" s="3">
        <f>parking_demand_data_2024_ver0!D1987*calibration!$I$31</f>
        <v>45.488757049490196</v>
      </c>
      <c r="E1987" s="3">
        <f>parking_demand_data_2024_ver0!E1987*calibration!$I$31</f>
        <v>7.9525799037570399E-2</v>
      </c>
      <c r="F1987" s="3">
        <f t="shared" ref="F1987:F2050" si="31">SUM(D1987:E1987)</f>
        <v>45.568282848527765</v>
      </c>
      <c r="G1987" s="3">
        <f>parking_demand_data_2024_ver0!F1987</f>
        <v>4</v>
      </c>
      <c r="H1987" s="3">
        <f>parking_demand_data_2024_ver0!G1987</f>
        <v>0</v>
      </c>
      <c r="I1987" s="3">
        <f>parking_demand_data_2024_ver0!H1987</f>
        <v>0</v>
      </c>
      <c r="J1987" s="3">
        <f>parking_demand_data_2024_ver0!I1987</f>
        <v>3</v>
      </c>
      <c r="K1987" s="3">
        <f>parking_demand_data_2024_ver0!J1987</f>
        <v>0</v>
      </c>
      <c r="L1987" s="3">
        <f>parking_demand_data_2024_ver0!K1987</f>
        <v>0</v>
      </c>
      <c r="M1987" s="3">
        <f>parking_demand_data_2024_ver0!L1987</f>
        <v>1</v>
      </c>
      <c r="N1987" s="3">
        <f>parking_demand_data_2024_ver0!M1987</f>
        <v>129</v>
      </c>
      <c r="O1987" s="3">
        <f>parking_demand_data_2024_ver0!N1987</f>
        <v>0</v>
      </c>
      <c r="P1987" s="3">
        <f>parking_demand_data_2024_ver0!O1987</f>
        <v>0</v>
      </c>
      <c r="Q1987" s="3">
        <f>parking_demand_data_2024_ver0!P1987</f>
        <v>85</v>
      </c>
      <c r="R1987" s="3">
        <f>parking_demand_data_2024_ver0!Q1987</f>
        <v>0</v>
      </c>
      <c r="S1987" s="3">
        <f>parking_demand_data_2024_ver0!R1987</f>
        <v>0</v>
      </c>
      <c r="T1987" s="3">
        <f>parking_demand_data_2024_ver0!S1987</f>
        <v>44</v>
      </c>
    </row>
    <row r="1988" spans="1:20" x14ac:dyDescent="0.25">
      <c r="A1988">
        <v>18165</v>
      </c>
      <c r="B1988" t="s">
        <v>111</v>
      </c>
      <c r="C1988">
        <v>18</v>
      </c>
      <c r="D1988" s="3">
        <f>parking_demand_data_2024_ver0!D1988*calibration!$I$31</f>
        <v>51.453191977308002</v>
      </c>
      <c r="E1988" s="3">
        <f>parking_demand_data_2024_ver0!E1988*calibration!$I$31</f>
        <v>0</v>
      </c>
      <c r="F1988" s="3">
        <f t="shared" si="31"/>
        <v>51.453191977308002</v>
      </c>
      <c r="G1988" s="3">
        <f>parking_demand_data_2024_ver0!F1988</f>
        <v>4</v>
      </c>
      <c r="H1988" s="3">
        <f>parking_demand_data_2024_ver0!G1988</f>
        <v>0</v>
      </c>
      <c r="I1988" s="3">
        <f>parking_demand_data_2024_ver0!H1988</f>
        <v>0</v>
      </c>
      <c r="J1988" s="3">
        <f>parking_demand_data_2024_ver0!I1988</f>
        <v>3</v>
      </c>
      <c r="K1988" s="3">
        <f>parking_demand_data_2024_ver0!J1988</f>
        <v>0</v>
      </c>
      <c r="L1988" s="3">
        <f>parking_demand_data_2024_ver0!K1988</f>
        <v>0</v>
      </c>
      <c r="M1988" s="3">
        <f>parking_demand_data_2024_ver0!L1988</f>
        <v>1</v>
      </c>
      <c r="N1988" s="3">
        <f>parking_demand_data_2024_ver0!M1988</f>
        <v>129</v>
      </c>
      <c r="O1988" s="3">
        <f>parking_demand_data_2024_ver0!N1988</f>
        <v>0</v>
      </c>
      <c r="P1988" s="3">
        <f>parking_demand_data_2024_ver0!O1988</f>
        <v>0</v>
      </c>
      <c r="Q1988" s="3">
        <f>parking_demand_data_2024_ver0!P1988</f>
        <v>85</v>
      </c>
      <c r="R1988" s="3">
        <f>parking_demand_data_2024_ver0!Q1988</f>
        <v>0</v>
      </c>
      <c r="S1988" s="3">
        <f>parking_demand_data_2024_ver0!R1988</f>
        <v>0</v>
      </c>
      <c r="T1988" s="3">
        <f>parking_demand_data_2024_ver0!S1988</f>
        <v>44</v>
      </c>
    </row>
    <row r="1989" spans="1:20" x14ac:dyDescent="0.25">
      <c r="A1989">
        <v>18165</v>
      </c>
      <c r="B1989" t="s">
        <v>111</v>
      </c>
      <c r="C1989">
        <v>19</v>
      </c>
      <c r="D1989" s="3">
        <f>parking_demand_data_2024_ver0!D1989*calibration!$I$31</f>
        <v>59.326246082027502</v>
      </c>
      <c r="E1989" s="3">
        <f>parking_demand_data_2024_ver0!E1989*calibration!$I$31</f>
        <v>0.198814497593926</v>
      </c>
      <c r="F1989" s="3">
        <f t="shared" si="31"/>
        <v>59.525060579621432</v>
      </c>
      <c r="G1989" s="3">
        <f>parking_demand_data_2024_ver0!F1989</f>
        <v>4</v>
      </c>
      <c r="H1989" s="3">
        <f>parking_demand_data_2024_ver0!G1989</f>
        <v>0</v>
      </c>
      <c r="I1989" s="3">
        <f>parking_demand_data_2024_ver0!H1989</f>
        <v>0</v>
      </c>
      <c r="J1989" s="3">
        <f>parking_demand_data_2024_ver0!I1989</f>
        <v>3</v>
      </c>
      <c r="K1989" s="3">
        <f>parking_demand_data_2024_ver0!J1989</f>
        <v>0</v>
      </c>
      <c r="L1989" s="3">
        <f>parking_demand_data_2024_ver0!K1989</f>
        <v>0</v>
      </c>
      <c r="M1989" s="3">
        <f>parking_demand_data_2024_ver0!L1989</f>
        <v>1</v>
      </c>
      <c r="N1989" s="3">
        <f>parking_demand_data_2024_ver0!M1989</f>
        <v>129</v>
      </c>
      <c r="O1989" s="3">
        <f>parking_demand_data_2024_ver0!N1989</f>
        <v>0</v>
      </c>
      <c r="P1989" s="3">
        <f>parking_demand_data_2024_ver0!O1989</f>
        <v>0</v>
      </c>
      <c r="Q1989" s="3">
        <f>parking_demand_data_2024_ver0!P1989</f>
        <v>85</v>
      </c>
      <c r="R1989" s="3">
        <f>parking_demand_data_2024_ver0!Q1989</f>
        <v>0</v>
      </c>
      <c r="S1989" s="3">
        <f>parking_demand_data_2024_ver0!R1989</f>
        <v>0</v>
      </c>
      <c r="T1989" s="3">
        <f>parking_demand_data_2024_ver0!S1989</f>
        <v>44</v>
      </c>
    </row>
    <row r="1990" spans="1:20" x14ac:dyDescent="0.25">
      <c r="A1990">
        <v>18165</v>
      </c>
      <c r="B1990" t="s">
        <v>111</v>
      </c>
      <c r="C1990">
        <v>20</v>
      </c>
      <c r="D1990" s="3">
        <f>parking_demand_data_2024_ver0!D1990*calibration!$I$31</f>
        <v>69.2669709617238</v>
      </c>
      <c r="E1990" s="3">
        <f>parking_demand_data_2024_ver0!E1990*calibration!$I$31</f>
        <v>0.238577397112711</v>
      </c>
      <c r="F1990" s="3">
        <f t="shared" si="31"/>
        <v>69.505548358836506</v>
      </c>
      <c r="G1990" s="3">
        <f>parking_demand_data_2024_ver0!F1990</f>
        <v>4</v>
      </c>
      <c r="H1990" s="3">
        <f>parking_demand_data_2024_ver0!G1990</f>
        <v>0</v>
      </c>
      <c r="I1990" s="3">
        <f>parking_demand_data_2024_ver0!H1990</f>
        <v>0</v>
      </c>
      <c r="J1990" s="3">
        <f>parking_demand_data_2024_ver0!I1990</f>
        <v>3</v>
      </c>
      <c r="K1990" s="3">
        <f>parking_demand_data_2024_ver0!J1990</f>
        <v>0</v>
      </c>
      <c r="L1990" s="3">
        <f>parking_demand_data_2024_ver0!K1990</f>
        <v>0</v>
      </c>
      <c r="M1990" s="3">
        <f>parking_demand_data_2024_ver0!L1990</f>
        <v>1</v>
      </c>
      <c r="N1990" s="3">
        <f>parking_demand_data_2024_ver0!M1990</f>
        <v>129</v>
      </c>
      <c r="O1990" s="3">
        <f>parking_demand_data_2024_ver0!N1990</f>
        <v>0</v>
      </c>
      <c r="P1990" s="3">
        <f>parking_demand_data_2024_ver0!O1990</f>
        <v>0</v>
      </c>
      <c r="Q1990" s="3">
        <f>parking_demand_data_2024_ver0!P1990</f>
        <v>85</v>
      </c>
      <c r="R1990" s="3">
        <f>parking_demand_data_2024_ver0!Q1990</f>
        <v>0</v>
      </c>
      <c r="S1990" s="3">
        <f>parking_demand_data_2024_ver0!R1990</f>
        <v>0</v>
      </c>
      <c r="T1990" s="3">
        <f>parking_demand_data_2024_ver0!S1990</f>
        <v>44</v>
      </c>
    </row>
    <row r="1991" spans="1:20" x14ac:dyDescent="0.25">
      <c r="A1991">
        <v>18165</v>
      </c>
      <c r="B1991" t="s">
        <v>111</v>
      </c>
      <c r="C1991">
        <v>21</v>
      </c>
      <c r="D1991" s="3">
        <f>parking_demand_data_2024_ver0!D1991*calibration!$I$31</f>
        <v>76.623107372698996</v>
      </c>
      <c r="E1991" s="3">
        <f>parking_demand_data_2024_ver0!E1991*calibration!$I$31</f>
        <v>0.67596929181934795</v>
      </c>
      <c r="F1991" s="3">
        <f t="shared" si="31"/>
        <v>77.299076664518338</v>
      </c>
      <c r="G1991" s="3">
        <f>parking_demand_data_2024_ver0!F1991</f>
        <v>4</v>
      </c>
      <c r="H1991" s="3">
        <f>parking_demand_data_2024_ver0!G1991</f>
        <v>0</v>
      </c>
      <c r="I1991" s="3">
        <f>parking_demand_data_2024_ver0!H1991</f>
        <v>0</v>
      </c>
      <c r="J1991" s="3">
        <f>parking_demand_data_2024_ver0!I1991</f>
        <v>3</v>
      </c>
      <c r="K1991" s="3">
        <f>parking_demand_data_2024_ver0!J1991</f>
        <v>0</v>
      </c>
      <c r="L1991" s="3">
        <f>parking_demand_data_2024_ver0!K1991</f>
        <v>0</v>
      </c>
      <c r="M1991" s="3">
        <f>parking_demand_data_2024_ver0!L1991</f>
        <v>1</v>
      </c>
      <c r="N1991" s="3">
        <f>parking_demand_data_2024_ver0!M1991</f>
        <v>129</v>
      </c>
      <c r="O1991" s="3">
        <f>parking_demand_data_2024_ver0!N1991</f>
        <v>0</v>
      </c>
      <c r="P1991" s="3">
        <f>parking_demand_data_2024_ver0!O1991</f>
        <v>0</v>
      </c>
      <c r="Q1991" s="3">
        <f>parking_demand_data_2024_ver0!P1991</f>
        <v>85</v>
      </c>
      <c r="R1991" s="3">
        <f>parking_demand_data_2024_ver0!Q1991</f>
        <v>0</v>
      </c>
      <c r="S1991" s="3">
        <f>parking_demand_data_2024_ver0!R1991</f>
        <v>0</v>
      </c>
      <c r="T1991" s="3">
        <f>parking_demand_data_2024_ver0!S1991</f>
        <v>44</v>
      </c>
    </row>
    <row r="1992" spans="1:20" x14ac:dyDescent="0.25">
      <c r="A1992">
        <v>18165</v>
      </c>
      <c r="B1992" t="s">
        <v>111</v>
      </c>
      <c r="C1992">
        <v>22</v>
      </c>
      <c r="D1992" s="3">
        <f>parking_demand_data_2024_ver0!D1992*calibration!$I$31</f>
        <v>82.667068099554399</v>
      </c>
      <c r="E1992" s="3">
        <f>parking_demand_data_2024_ver0!E1992*calibration!$I$31</f>
        <v>1.3519385836386899</v>
      </c>
      <c r="F1992" s="3">
        <f t="shared" si="31"/>
        <v>84.019006683193084</v>
      </c>
      <c r="G1992" s="3">
        <f>parking_demand_data_2024_ver0!F1992</f>
        <v>4</v>
      </c>
      <c r="H1992" s="3">
        <f>parking_demand_data_2024_ver0!G1992</f>
        <v>0</v>
      </c>
      <c r="I1992" s="3">
        <f>parking_demand_data_2024_ver0!H1992</f>
        <v>0</v>
      </c>
      <c r="J1992" s="3">
        <f>parking_demand_data_2024_ver0!I1992</f>
        <v>3</v>
      </c>
      <c r="K1992" s="3">
        <f>parking_demand_data_2024_ver0!J1992</f>
        <v>0</v>
      </c>
      <c r="L1992" s="3">
        <f>parking_demand_data_2024_ver0!K1992</f>
        <v>0</v>
      </c>
      <c r="M1992" s="3">
        <f>parking_demand_data_2024_ver0!L1992</f>
        <v>1</v>
      </c>
      <c r="N1992" s="3">
        <f>parking_demand_data_2024_ver0!M1992</f>
        <v>129</v>
      </c>
      <c r="O1992" s="3">
        <f>parking_demand_data_2024_ver0!N1992</f>
        <v>0</v>
      </c>
      <c r="P1992" s="3">
        <f>parking_demand_data_2024_ver0!O1992</f>
        <v>0</v>
      </c>
      <c r="Q1992" s="3">
        <f>parking_demand_data_2024_ver0!P1992</f>
        <v>85</v>
      </c>
      <c r="R1992" s="3">
        <f>parking_demand_data_2024_ver0!Q1992</f>
        <v>0</v>
      </c>
      <c r="S1992" s="3">
        <f>parking_demand_data_2024_ver0!R1992</f>
        <v>0</v>
      </c>
      <c r="T1992" s="3">
        <f>parking_demand_data_2024_ver0!S1992</f>
        <v>44</v>
      </c>
    </row>
    <row r="1993" spans="1:20" x14ac:dyDescent="0.25">
      <c r="A1993">
        <v>18165</v>
      </c>
      <c r="B1993" t="s">
        <v>111</v>
      </c>
      <c r="C1993">
        <v>23</v>
      </c>
      <c r="D1993" s="3">
        <f>parking_demand_data_2024_ver0!D1993*calibration!$I$31</f>
        <v>87.040987046620799</v>
      </c>
      <c r="E1993" s="3">
        <f>parking_demand_data_2024_ver0!E1993*calibration!$I$31</f>
        <v>1.8688562773829001</v>
      </c>
      <c r="F1993" s="3">
        <f t="shared" si="31"/>
        <v>88.909843324003702</v>
      </c>
      <c r="G1993" s="3">
        <f>parking_demand_data_2024_ver0!F1993</f>
        <v>4</v>
      </c>
      <c r="H1993" s="3">
        <f>parking_demand_data_2024_ver0!G1993</f>
        <v>0</v>
      </c>
      <c r="I1993" s="3">
        <f>parking_demand_data_2024_ver0!H1993</f>
        <v>0</v>
      </c>
      <c r="J1993" s="3">
        <f>parking_demand_data_2024_ver0!I1993</f>
        <v>3</v>
      </c>
      <c r="K1993" s="3">
        <f>parking_demand_data_2024_ver0!J1993</f>
        <v>0</v>
      </c>
      <c r="L1993" s="3">
        <f>parking_demand_data_2024_ver0!K1993</f>
        <v>0</v>
      </c>
      <c r="M1993" s="3">
        <f>parking_demand_data_2024_ver0!L1993</f>
        <v>1</v>
      </c>
      <c r="N1993" s="3">
        <f>parking_demand_data_2024_ver0!M1993</f>
        <v>129</v>
      </c>
      <c r="O1993" s="3">
        <f>parking_demand_data_2024_ver0!N1993</f>
        <v>0</v>
      </c>
      <c r="P1993" s="3">
        <f>parking_demand_data_2024_ver0!O1993</f>
        <v>0</v>
      </c>
      <c r="Q1993" s="3">
        <f>parking_demand_data_2024_ver0!P1993</f>
        <v>85</v>
      </c>
      <c r="R1993" s="3">
        <f>parking_demand_data_2024_ver0!Q1993</f>
        <v>0</v>
      </c>
      <c r="S1993" s="3">
        <f>parking_demand_data_2024_ver0!R1993</f>
        <v>0</v>
      </c>
      <c r="T1993" s="3">
        <f>parking_demand_data_2024_ver0!S1993</f>
        <v>44</v>
      </c>
    </row>
    <row r="1994" spans="1:20" x14ac:dyDescent="0.25">
      <c r="A1994">
        <v>18167</v>
      </c>
      <c r="B1994" t="s">
        <v>112</v>
      </c>
      <c r="C1994">
        <v>0</v>
      </c>
      <c r="D1994" s="3">
        <f>parking_demand_data_2024_ver0!D1994*calibration!$I$31</f>
        <v>32.289456850935402</v>
      </c>
      <c r="E1994" s="3">
        <f>parking_demand_data_2024_ver0!E1994*calibration!$I$31</f>
        <v>2.6884783815800302</v>
      </c>
      <c r="F1994" s="3">
        <f t="shared" si="31"/>
        <v>34.977935232515435</v>
      </c>
      <c r="G1994" s="3">
        <f>parking_demand_data_2024_ver0!F1994</f>
        <v>2</v>
      </c>
      <c r="H1994" s="3">
        <f>parking_demand_data_2024_ver0!G1994</f>
        <v>0</v>
      </c>
      <c r="I1994" s="3">
        <f>parking_demand_data_2024_ver0!H1994</f>
        <v>0</v>
      </c>
      <c r="J1994" s="3">
        <f>parking_demand_data_2024_ver0!I1994</f>
        <v>1</v>
      </c>
      <c r="K1994" s="3">
        <f>parking_demand_data_2024_ver0!J1994</f>
        <v>0</v>
      </c>
      <c r="L1994" s="3">
        <f>parking_demand_data_2024_ver0!K1994</f>
        <v>0</v>
      </c>
      <c r="M1994" s="3">
        <f>parking_demand_data_2024_ver0!L1994</f>
        <v>1</v>
      </c>
      <c r="N1994" s="3">
        <f>parking_demand_data_2024_ver0!M1994</f>
        <v>50</v>
      </c>
      <c r="O1994" s="3">
        <f>parking_demand_data_2024_ver0!N1994</f>
        <v>0</v>
      </c>
      <c r="P1994" s="3">
        <f>parking_demand_data_2024_ver0!O1994</f>
        <v>0</v>
      </c>
      <c r="Q1994" s="3">
        <f>parking_demand_data_2024_ver0!P1994</f>
        <v>30</v>
      </c>
      <c r="R1994" s="3">
        <f>parking_demand_data_2024_ver0!Q1994</f>
        <v>0</v>
      </c>
      <c r="S1994" s="3">
        <f>parking_demand_data_2024_ver0!R1994</f>
        <v>0</v>
      </c>
      <c r="T1994" s="3">
        <f>parking_demand_data_2024_ver0!S1994</f>
        <v>20</v>
      </c>
    </row>
    <row r="1995" spans="1:20" x14ac:dyDescent="0.25">
      <c r="A1995">
        <v>18167</v>
      </c>
      <c r="B1995" t="s">
        <v>112</v>
      </c>
      <c r="C1995">
        <v>1</v>
      </c>
      <c r="D1995" s="3">
        <f>parking_demand_data_2024_ver0!D1995*calibration!$I$31</f>
        <v>32.982363650311697</v>
      </c>
      <c r="E1995" s="3">
        <f>parking_demand_data_2024_ver0!E1995*calibration!$I$31</f>
        <v>3.21508754910601</v>
      </c>
      <c r="F1995" s="3">
        <f t="shared" si="31"/>
        <v>36.197451199417706</v>
      </c>
      <c r="G1995" s="3">
        <f>parking_demand_data_2024_ver0!F1995</f>
        <v>2</v>
      </c>
      <c r="H1995" s="3">
        <f>parking_demand_data_2024_ver0!G1995</f>
        <v>0</v>
      </c>
      <c r="I1995" s="3">
        <f>parking_demand_data_2024_ver0!H1995</f>
        <v>0</v>
      </c>
      <c r="J1995" s="3">
        <f>parking_demand_data_2024_ver0!I1995</f>
        <v>1</v>
      </c>
      <c r="K1995" s="3">
        <f>parking_demand_data_2024_ver0!J1995</f>
        <v>0</v>
      </c>
      <c r="L1995" s="3">
        <f>parking_demand_data_2024_ver0!K1995</f>
        <v>0</v>
      </c>
      <c r="M1995" s="3">
        <f>parking_demand_data_2024_ver0!L1995</f>
        <v>1</v>
      </c>
      <c r="N1995" s="3">
        <f>parking_demand_data_2024_ver0!M1995</f>
        <v>50</v>
      </c>
      <c r="O1995" s="3">
        <f>parking_demand_data_2024_ver0!N1995</f>
        <v>0</v>
      </c>
      <c r="P1995" s="3">
        <f>parking_demand_data_2024_ver0!O1995</f>
        <v>0</v>
      </c>
      <c r="Q1995" s="3">
        <f>parking_demand_data_2024_ver0!P1995</f>
        <v>30</v>
      </c>
      <c r="R1995" s="3">
        <f>parking_demand_data_2024_ver0!Q1995</f>
        <v>0</v>
      </c>
      <c r="S1995" s="3">
        <f>parking_demand_data_2024_ver0!R1995</f>
        <v>0</v>
      </c>
      <c r="T1995" s="3">
        <f>parking_demand_data_2024_ver0!S1995</f>
        <v>20</v>
      </c>
    </row>
    <row r="1996" spans="1:20" x14ac:dyDescent="0.25">
      <c r="A1996">
        <v>18167</v>
      </c>
      <c r="B1996" t="s">
        <v>112</v>
      </c>
      <c r="C1996">
        <v>2</v>
      </c>
      <c r="D1996" s="3">
        <f>parking_demand_data_2024_ver0!D1996*calibration!$I$31</f>
        <v>33.619837905737803</v>
      </c>
      <c r="E1996" s="3">
        <f>parking_demand_data_2024_ver0!E1996*calibration!$I$31</f>
        <v>3.2982363650311699</v>
      </c>
      <c r="F1996" s="3">
        <f t="shared" si="31"/>
        <v>36.918074270768976</v>
      </c>
      <c r="G1996" s="3">
        <f>parking_demand_data_2024_ver0!F1996</f>
        <v>2</v>
      </c>
      <c r="H1996" s="3">
        <f>parking_demand_data_2024_ver0!G1996</f>
        <v>0</v>
      </c>
      <c r="I1996" s="3">
        <f>parking_demand_data_2024_ver0!H1996</f>
        <v>0</v>
      </c>
      <c r="J1996" s="3">
        <f>parking_demand_data_2024_ver0!I1996</f>
        <v>1</v>
      </c>
      <c r="K1996" s="3">
        <f>parking_demand_data_2024_ver0!J1996</f>
        <v>0</v>
      </c>
      <c r="L1996" s="3">
        <f>parking_demand_data_2024_ver0!K1996</f>
        <v>0</v>
      </c>
      <c r="M1996" s="3">
        <f>parking_demand_data_2024_ver0!L1996</f>
        <v>1</v>
      </c>
      <c r="N1996" s="3">
        <f>parking_demand_data_2024_ver0!M1996</f>
        <v>50</v>
      </c>
      <c r="O1996" s="3">
        <f>parking_demand_data_2024_ver0!N1996</f>
        <v>0</v>
      </c>
      <c r="P1996" s="3">
        <f>parking_demand_data_2024_ver0!O1996</f>
        <v>0</v>
      </c>
      <c r="Q1996" s="3">
        <f>parking_demand_data_2024_ver0!P1996</f>
        <v>30</v>
      </c>
      <c r="R1996" s="3">
        <f>parking_demand_data_2024_ver0!Q1996</f>
        <v>0</v>
      </c>
      <c r="S1996" s="3">
        <f>parking_demand_data_2024_ver0!R1996</f>
        <v>0</v>
      </c>
      <c r="T1996" s="3">
        <f>parking_demand_data_2024_ver0!S1996</f>
        <v>20</v>
      </c>
    </row>
    <row r="1997" spans="1:20" x14ac:dyDescent="0.25">
      <c r="A1997">
        <v>18167</v>
      </c>
      <c r="B1997" t="s">
        <v>112</v>
      </c>
      <c r="C1997">
        <v>3</v>
      </c>
      <c r="D1997" s="3">
        <f>parking_demand_data_2024_ver0!D1997*calibration!$I$31</f>
        <v>32.899214834386498</v>
      </c>
      <c r="E1997" s="3">
        <f>parking_demand_data_2024_ver0!E1997*calibration!$I$31</f>
        <v>3.1042224612057998</v>
      </c>
      <c r="F1997" s="3">
        <f t="shared" si="31"/>
        <v>36.003437295592299</v>
      </c>
      <c r="G1997" s="3">
        <f>parking_demand_data_2024_ver0!F1997</f>
        <v>2</v>
      </c>
      <c r="H1997" s="3">
        <f>parking_demand_data_2024_ver0!G1997</f>
        <v>0</v>
      </c>
      <c r="I1997" s="3">
        <f>parking_demand_data_2024_ver0!H1997</f>
        <v>0</v>
      </c>
      <c r="J1997" s="3">
        <f>parking_demand_data_2024_ver0!I1997</f>
        <v>1</v>
      </c>
      <c r="K1997" s="3">
        <f>parking_demand_data_2024_ver0!J1997</f>
        <v>0</v>
      </c>
      <c r="L1997" s="3">
        <f>parking_demand_data_2024_ver0!K1997</f>
        <v>0</v>
      </c>
      <c r="M1997" s="3">
        <f>parking_demand_data_2024_ver0!L1997</f>
        <v>1</v>
      </c>
      <c r="N1997" s="3">
        <f>parking_demand_data_2024_ver0!M1997</f>
        <v>50</v>
      </c>
      <c r="O1997" s="3">
        <f>parking_demand_data_2024_ver0!N1997</f>
        <v>0</v>
      </c>
      <c r="P1997" s="3">
        <f>parking_demand_data_2024_ver0!O1997</f>
        <v>0</v>
      </c>
      <c r="Q1997" s="3">
        <f>parking_demand_data_2024_ver0!P1997</f>
        <v>30</v>
      </c>
      <c r="R1997" s="3">
        <f>parking_demand_data_2024_ver0!Q1997</f>
        <v>0</v>
      </c>
      <c r="S1997" s="3">
        <f>parking_demand_data_2024_ver0!R1997</f>
        <v>0</v>
      </c>
      <c r="T1997" s="3">
        <f>parking_demand_data_2024_ver0!S1997</f>
        <v>20</v>
      </c>
    </row>
    <row r="1998" spans="1:20" x14ac:dyDescent="0.25">
      <c r="A1998">
        <v>18167</v>
      </c>
      <c r="B1998" t="s">
        <v>112</v>
      </c>
      <c r="C1998">
        <v>4</v>
      </c>
      <c r="D1998" s="3">
        <f>parking_demand_data_2024_ver0!D1998*calibration!$I$31</f>
        <v>33.370391457962398</v>
      </c>
      <c r="E1998" s="3">
        <f>parking_demand_data_2024_ver0!E1998*calibration!$I$31</f>
        <v>4.8503475956340703</v>
      </c>
      <c r="F1998" s="3">
        <f t="shared" si="31"/>
        <v>38.220739053596468</v>
      </c>
      <c r="G1998" s="3">
        <f>parking_demand_data_2024_ver0!F1998</f>
        <v>2</v>
      </c>
      <c r="H1998" s="3">
        <f>parking_demand_data_2024_ver0!G1998</f>
        <v>0</v>
      </c>
      <c r="I1998" s="3">
        <f>parking_demand_data_2024_ver0!H1998</f>
        <v>0</v>
      </c>
      <c r="J1998" s="3">
        <f>parking_demand_data_2024_ver0!I1998</f>
        <v>1</v>
      </c>
      <c r="K1998" s="3">
        <f>parking_demand_data_2024_ver0!J1998</f>
        <v>0</v>
      </c>
      <c r="L1998" s="3">
        <f>parking_demand_data_2024_ver0!K1998</f>
        <v>0</v>
      </c>
      <c r="M1998" s="3">
        <f>parking_demand_data_2024_ver0!L1998</f>
        <v>1</v>
      </c>
      <c r="N1998" s="3">
        <f>parking_demand_data_2024_ver0!M1998</f>
        <v>50</v>
      </c>
      <c r="O1998" s="3">
        <f>parking_demand_data_2024_ver0!N1998</f>
        <v>0</v>
      </c>
      <c r="P1998" s="3">
        <f>parking_demand_data_2024_ver0!O1998</f>
        <v>0</v>
      </c>
      <c r="Q1998" s="3">
        <f>parking_demand_data_2024_ver0!P1998</f>
        <v>30</v>
      </c>
      <c r="R1998" s="3">
        <f>parking_demand_data_2024_ver0!Q1998</f>
        <v>0</v>
      </c>
      <c r="S1998" s="3">
        <f>parking_demand_data_2024_ver0!R1998</f>
        <v>0</v>
      </c>
      <c r="T1998" s="3">
        <f>parking_demand_data_2024_ver0!S1998</f>
        <v>20</v>
      </c>
    </row>
    <row r="1999" spans="1:20" x14ac:dyDescent="0.25">
      <c r="A1999">
        <v>18167</v>
      </c>
      <c r="B1999" t="s">
        <v>112</v>
      </c>
      <c r="C1999">
        <v>5</v>
      </c>
      <c r="D1999" s="3">
        <f>parking_demand_data_2024_ver0!D1999*calibration!$I$31</f>
        <v>32.788349746486297</v>
      </c>
      <c r="E1999" s="3">
        <f>parking_demand_data_2024_ver0!E1999*calibration!$I$31</f>
        <v>4.9612126835342796</v>
      </c>
      <c r="F1999" s="3">
        <f t="shared" si="31"/>
        <v>37.749562430020575</v>
      </c>
      <c r="G1999" s="3">
        <f>parking_demand_data_2024_ver0!F1999</f>
        <v>2</v>
      </c>
      <c r="H1999" s="3">
        <f>parking_demand_data_2024_ver0!G1999</f>
        <v>0</v>
      </c>
      <c r="I1999" s="3">
        <f>parking_demand_data_2024_ver0!H1999</f>
        <v>0</v>
      </c>
      <c r="J1999" s="3">
        <f>parking_demand_data_2024_ver0!I1999</f>
        <v>1</v>
      </c>
      <c r="K1999" s="3">
        <f>parking_demand_data_2024_ver0!J1999</f>
        <v>0</v>
      </c>
      <c r="L1999" s="3">
        <f>parking_demand_data_2024_ver0!K1999</f>
        <v>0</v>
      </c>
      <c r="M1999" s="3">
        <f>parking_demand_data_2024_ver0!L1999</f>
        <v>1</v>
      </c>
      <c r="N1999" s="3">
        <f>parking_demand_data_2024_ver0!M1999</f>
        <v>50</v>
      </c>
      <c r="O1999" s="3">
        <f>parking_demand_data_2024_ver0!N1999</f>
        <v>0</v>
      </c>
      <c r="P1999" s="3">
        <f>parking_demand_data_2024_ver0!O1999</f>
        <v>0</v>
      </c>
      <c r="Q1999" s="3">
        <f>parking_demand_data_2024_ver0!P1999</f>
        <v>30</v>
      </c>
      <c r="R1999" s="3">
        <f>parking_demand_data_2024_ver0!Q1999</f>
        <v>0</v>
      </c>
      <c r="S1999" s="3">
        <f>parking_demand_data_2024_ver0!R1999</f>
        <v>0</v>
      </c>
      <c r="T1999" s="3">
        <f>parking_demand_data_2024_ver0!S1999</f>
        <v>20</v>
      </c>
    </row>
    <row r="2000" spans="1:20" x14ac:dyDescent="0.25">
      <c r="A2000">
        <v>18167</v>
      </c>
      <c r="B2000" t="s">
        <v>112</v>
      </c>
      <c r="C2000">
        <v>6</v>
      </c>
      <c r="D2000" s="3">
        <f>parking_demand_data_2024_ver0!D2000*calibration!$I$31</f>
        <v>31.3748198757587</v>
      </c>
      <c r="E2000" s="3">
        <f>parking_demand_data_2024_ver0!E2000*calibration!$I$31</f>
        <v>7.7328398810394603</v>
      </c>
      <c r="F2000" s="3">
        <f t="shared" si="31"/>
        <v>39.107659756798157</v>
      </c>
      <c r="G2000" s="3">
        <f>parking_demand_data_2024_ver0!F2000</f>
        <v>2</v>
      </c>
      <c r="H2000" s="3">
        <f>parking_demand_data_2024_ver0!G2000</f>
        <v>0</v>
      </c>
      <c r="I2000" s="3">
        <f>parking_demand_data_2024_ver0!H2000</f>
        <v>0</v>
      </c>
      <c r="J2000" s="3">
        <f>parking_demand_data_2024_ver0!I2000</f>
        <v>1</v>
      </c>
      <c r="K2000" s="3">
        <f>parking_demand_data_2024_ver0!J2000</f>
        <v>0</v>
      </c>
      <c r="L2000" s="3">
        <f>parking_demand_data_2024_ver0!K2000</f>
        <v>0</v>
      </c>
      <c r="M2000" s="3">
        <f>parking_demand_data_2024_ver0!L2000</f>
        <v>1</v>
      </c>
      <c r="N2000" s="3">
        <f>parking_demand_data_2024_ver0!M2000</f>
        <v>50</v>
      </c>
      <c r="O2000" s="3">
        <f>parking_demand_data_2024_ver0!N2000</f>
        <v>0</v>
      </c>
      <c r="P2000" s="3">
        <f>parking_demand_data_2024_ver0!O2000</f>
        <v>0</v>
      </c>
      <c r="Q2000" s="3">
        <f>parking_demand_data_2024_ver0!P2000</f>
        <v>30</v>
      </c>
      <c r="R2000" s="3">
        <f>parking_demand_data_2024_ver0!Q2000</f>
        <v>0</v>
      </c>
      <c r="S2000" s="3">
        <f>parking_demand_data_2024_ver0!R2000</f>
        <v>0</v>
      </c>
      <c r="T2000" s="3">
        <f>parking_demand_data_2024_ver0!S2000</f>
        <v>20</v>
      </c>
    </row>
    <row r="2001" spans="1:20" x14ac:dyDescent="0.25">
      <c r="A2001">
        <v>18167</v>
      </c>
      <c r="B2001" t="s">
        <v>112</v>
      </c>
      <c r="C2001">
        <v>7</v>
      </c>
      <c r="D2001" s="3">
        <f>parking_demand_data_2024_ver0!D2001*calibration!$I$31</f>
        <v>27.605406887151599</v>
      </c>
      <c r="E2001" s="3">
        <f>parking_demand_data_2024_ver0!E2001*calibration!$I$31</f>
        <v>12.583187476673499</v>
      </c>
      <c r="F2001" s="3">
        <f t="shared" si="31"/>
        <v>40.188594363825096</v>
      </c>
      <c r="G2001" s="3">
        <f>parking_demand_data_2024_ver0!F2001</f>
        <v>2</v>
      </c>
      <c r="H2001" s="3">
        <f>parking_demand_data_2024_ver0!G2001</f>
        <v>0</v>
      </c>
      <c r="I2001" s="3">
        <f>parking_demand_data_2024_ver0!H2001</f>
        <v>0</v>
      </c>
      <c r="J2001" s="3">
        <f>parking_demand_data_2024_ver0!I2001</f>
        <v>1</v>
      </c>
      <c r="K2001" s="3">
        <f>parking_demand_data_2024_ver0!J2001</f>
        <v>0</v>
      </c>
      <c r="L2001" s="3">
        <f>parking_demand_data_2024_ver0!K2001</f>
        <v>0</v>
      </c>
      <c r="M2001" s="3">
        <f>parking_demand_data_2024_ver0!L2001</f>
        <v>1</v>
      </c>
      <c r="N2001" s="3">
        <f>parking_demand_data_2024_ver0!M2001</f>
        <v>50</v>
      </c>
      <c r="O2001" s="3">
        <f>parking_demand_data_2024_ver0!N2001</f>
        <v>0</v>
      </c>
      <c r="P2001" s="3">
        <f>parking_demand_data_2024_ver0!O2001</f>
        <v>0</v>
      </c>
      <c r="Q2001" s="3">
        <f>parking_demand_data_2024_ver0!P2001</f>
        <v>30</v>
      </c>
      <c r="R2001" s="3">
        <f>parking_demand_data_2024_ver0!Q2001</f>
        <v>0</v>
      </c>
      <c r="S2001" s="3">
        <f>parking_demand_data_2024_ver0!R2001</f>
        <v>0</v>
      </c>
      <c r="T2001" s="3">
        <f>parking_demand_data_2024_ver0!S2001</f>
        <v>20</v>
      </c>
    </row>
    <row r="2002" spans="1:20" x14ac:dyDescent="0.25">
      <c r="A2002">
        <v>18167</v>
      </c>
      <c r="B2002" t="s">
        <v>112</v>
      </c>
      <c r="C2002">
        <v>8</v>
      </c>
      <c r="D2002" s="3">
        <f>parking_demand_data_2024_ver0!D2002*calibration!$I$31</f>
        <v>24.085440346319999</v>
      </c>
      <c r="E2002" s="3">
        <f>parking_demand_data_2024_ver0!E2002*calibration!$I$31</f>
        <v>13.331526819999899</v>
      </c>
      <c r="F2002" s="3">
        <f t="shared" si="31"/>
        <v>37.4169671663199</v>
      </c>
      <c r="G2002" s="3">
        <f>parking_demand_data_2024_ver0!F2002</f>
        <v>2</v>
      </c>
      <c r="H2002" s="3">
        <f>parking_demand_data_2024_ver0!G2002</f>
        <v>0</v>
      </c>
      <c r="I2002" s="3">
        <f>parking_demand_data_2024_ver0!H2002</f>
        <v>0</v>
      </c>
      <c r="J2002" s="3">
        <f>parking_demand_data_2024_ver0!I2002</f>
        <v>1</v>
      </c>
      <c r="K2002" s="3">
        <f>parking_demand_data_2024_ver0!J2002</f>
        <v>0</v>
      </c>
      <c r="L2002" s="3">
        <f>parking_demand_data_2024_ver0!K2002</f>
        <v>0</v>
      </c>
      <c r="M2002" s="3">
        <f>parking_demand_data_2024_ver0!L2002</f>
        <v>1</v>
      </c>
      <c r="N2002" s="3">
        <f>parking_demand_data_2024_ver0!M2002</f>
        <v>50</v>
      </c>
      <c r="O2002" s="3">
        <f>parking_demand_data_2024_ver0!N2002</f>
        <v>0</v>
      </c>
      <c r="P2002" s="3">
        <f>parking_demand_data_2024_ver0!O2002</f>
        <v>0</v>
      </c>
      <c r="Q2002" s="3">
        <f>parking_demand_data_2024_ver0!P2002</f>
        <v>30</v>
      </c>
      <c r="R2002" s="3">
        <f>parking_demand_data_2024_ver0!Q2002</f>
        <v>0</v>
      </c>
      <c r="S2002" s="3">
        <f>parking_demand_data_2024_ver0!R2002</f>
        <v>0</v>
      </c>
      <c r="T2002" s="3">
        <f>parking_demand_data_2024_ver0!S2002</f>
        <v>20</v>
      </c>
    </row>
    <row r="2003" spans="1:20" x14ac:dyDescent="0.25">
      <c r="A2003">
        <v>18167</v>
      </c>
      <c r="B2003" t="s">
        <v>112</v>
      </c>
      <c r="C2003">
        <v>9</v>
      </c>
      <c r="D2003" s="3">
        <f>parking_demand_data_2024_ver0!D2003*calibration!$I$31</f>
        <v>21.0643667010394</v>
      </c>
      <c r="E2003" s="3">
        <f>parking_demand_data_2024_ver0!E2003*calibration!$I$31</f>
        <v>10.199588086819</v>
      </c>
      <c r="F2003" s="3">
        <f t="shared" si="31"/>
        <v>31.263954787858403</v>
      </c>
      <c r="G2003" s="3">
        <f>parking_demand_data_2024_ver0!F2003</f>
        <v>2</v>
      </c>
      <c r="H2003" s="3">
        <f>parking_demand_data_2024_ver0!G2003</f>
        <v>0</v>
      </c>
      <c r="I2003" s="3">
        <f>parking_demand_data_2024_ver0!H2003</f>
        <v>0</v>
      </c>
      <c r="J2003" s="3">
        <f>parking_demand_data_2024_ver0!I2003</f>
        <v>1</v>
      </c>
      <c r="K2003" s="3">
        <f>parking_demand_data_2024_ver0!J2003</f>
        <v>0</v>
      </c>
      <c r="L2003" s="3">
        <f>parking_demand_data_2024_ver0!K2003</f>
        <v>0</v>
      </c>
      <c r="M2003" s="3">
        <f>parking_demand_data_2024_ver0!L2003</f>
        <v>1</v>
      </c>
      <c r="N2003" s="3">
        <f>parking_demand_data_2024_ver0!M2003</f>
        <v>50</v>
      </c>
      <c r="O2003" s="3">
        <f>parking_demand_data_2024_ver0!N2003</f>
        <v>0</v>
      </c>
      <c r="P2003" s="3">
        <f>parking_demand_data_2024_ver0!O2003</f>
        <v>0</v>
      </c>
      <c r="Q2003" s="3">
        <f>parking_demand_data_2024_ver0!P2003</f>
        <v>30</v>
      </c>
      <c r="R2003" s="3">
        <f>parking_demand_data_2024_ver0!Q2003</f>
        <v>0</v>
      </c>
      <c r="S2003" s="3">
        <f>parking_demand_data_2024_ver0!R2003</f>
        <v>0</v>
      </c>
      <c r="T2003" s="3">
        <f>parking_demand_data_2024_ver0!S2003</f>
        <v>20</v>
      </c>
    </row>
    <row r="2004" spans="1:20" x14ac:dyDescent="0.25">
      <c r="A2004">
        <v>18167</v>
      </c>
      <c r="B2004" t="s">
        <v>112</v>
      </c>
      <c r="C2004">
        <v>10</v>
      </c>
      <c r="D2004" s="3">
        <f>parking_demand_data_2024_ver0!D2004*calibration!$I$31</f>
        <v>17.433535072307599</v>
      </c>
      <c r="E2004" s="3">
        <f>parking_demand_data_2024_ver0!E2004*calibration!$I$31</f>
        <v>10.3381694466943</v>
      </c>
      <c r="F2004" s="3">
        <f t="shared" si="31"/>
        <v>27.771704519001901</v>
      </c>
      <c r="G2004" s="3">
        <f>parking_demand_data_2024_ver0!F2004</f>
        <v>2</v>
      </c>
      <c r="H2004" s="3">
        <f>parking_demand_data_2024_ver0!G2004</f>
        <v>0</v>
      </c>
      <c r="I2004" s="3">
        <f>parking_demand_data_2024_ver0!H2004</f>
        <v>0</v>
      </c>
      <c r="J2004" s="3">
        <f>parking_demand_data_2024_ver0!I2004</f>
        <v>1</v>
      </c>
      <c r="K2004" s="3">
        <f>parking_demand_data_2024_ver0!J2004</f>
        <v>0</v>
      </c>
      <c r="L2004" s="3">
        <f>parking_demand_data_2024_ver0!K2004</f>
        <v>0</v>
      </c>
      <c r="M2004" s="3">
        <f>parking_demand_data_2024_ver0!L2004</f>
        <v>1</v>
      </c>
      <c r="N2004" s="3">
        <f>parking_demand_data_2024_ver0!M2004</f>
        <v>50</v>
      </c>
      <c r="O2004" s="3">
        <f>parking_demand_data_2024_ver0!N2004</f>
        <v>0</v>
      </c>
      <c r="P2004" s="3">
        <f>parking_demand_data_2024_ver0!O2004</f>
        <v>0</v>
      </c>
      <c r="Q2004" s="3">
        <f>parking_demand_data_2024_ver0!P2004</f>
        <v>30</v>
      </c>
      <c r="R2004" s="3">
        <f>parking_demand_data_2024_ver0!Q2004</f>
        <v>0</v>
      </c>
      <c r="S2004" s="3">
        <f>parking_demand_data_2024_ver0!R2004</f>
        <v>0</v>
      </c>
      <c r="T2004" s="3">
        <f>parking_demand_data_2024_ver0!S2004</f>
        <v>20</v>
      </c>
    </row>
    <row r="2005" spans="1:20" x14ac:dyDescent="0.25">
      <c r="A2005">
        <v>18167</v>
      </c>
      <c r="B2005" t="s">
        <v>112</v>
      </c>
      <c r="C2005">
        <v>11</v>
      </c>
      <c r="D2005" s="3">
        <f>parking_demand_data_2024_ver0!D2005*calibration!$I$31</f>
        <v>15.6874099378793</v>
      </c>
      <c r="E2005" s="3">
        <f>parking_demand_data_2024_ver0!E2005*calibration!$I$31</f>
        <v>8.4534629523908098</v>
      </c>
      <c r="F2005" s="3">
        <f t="shared" si="31"/>
        <v>24.14087289027011</v>
      </c>
      <c r="G2005" s="3">
        <f>parking_demand_data_2024_ver0!F2005</f>
        <v>2</v>
      </c>
      <c r="H2005" s="3">
        <f>parking_demand_data_2024_ver0!G2005</f>
        <v>0</v>
      </c>
      <c r="I2005" s="3">
        <f>parking_demand_data_2024_ver0!H2005</f>
        <v>0</v>
      </c>
      <c r="J2005" s="3">
        <f>parking_demand_data_2024_ver0!I2005</f>
        <v>1</v>
      </c>
      <c r="K2005" s="3">
        <f>parking_demand_data_2024_ver0!J2005</f>
        <v>0</v>
      </c>
      <c r="L2005" s="3">
        <f>parking_demand_data_2024_ver0!K2005</f>
        <v>0</v>
      </c>
      <c r="M2005" s="3">
        <f>parking_demand_data_2024_ver0!L2005</f>
        <v>1</v>
      </c>
      <c r="N2005" s="3">
        <f>parking_demand_data_2024_ver0!M2005</f>
        <v>50</v>
      </c>
      <c r="O2005" s="3">
        <f>parking_demand_data_2024_ver0!N2005</f>
        <v>0</v>
      </c>
      <c r="P2005" s="3">
        <f>parking_demand_data_2024_ver0!O2005</f>
        <v>0</v>
      </c>
      <c r="Q2005" s="3">
        <f>parking_demand_data_2024_ver0!P2005</f>
        <v>30</v>
      </c>
      <c r="R2005" s="3">
        <f>parking_demand_data_2024_ver0!Q2005</f>
        <v>0</v>
      </c>
      <c r="S2005" s="3">
        <f>parking_demand_data_2024_ver0!R2005</f>
        <v>0</v>
      </c>
      <c r="T2005" s="3">
        <f>parking_demand_data_2024_ver0!S2005</f>
        <v>20</v>
      </c>
    </row>
    <row r="2006" spans="1:20" x14ac:dyDescent="0.25">
      <c r="A2006">
        <v>18167</v>
      </c>
      <c r="B2006" t="s">
        <v>112</v>
      </c>
      <c r="C2006">
        <v>12</v>
      </c>
      <c r="D2006" s="3">
        <f>parking_demand_data_2024_ver0!D2006*calibration!$I$31</f>
        <v>15.188517042328399</v>
      </c>
      <c r="E2006" s="3">
        <f>parking_demand_data_2024_ver0!E2006*calibration!$I$31</f>
        <v>8.0377188727650299</v>
      </c>
      <c r="F2006" s="3">
        <f t="shared" si="31"/>
        <v>23.226235915093429</v>
      </c>
      <c r="G2006" s="3">
        <f>parking_demand_data_2024_ver0!F2006</f>
        <v>2</v>
      </c>
      <c r="H2006" s="3">
        <f>parking_demand_data_2024_ver0!G2006</f>
        <v>0</v>
      </c>
      <c r="I2006" s="3">
        <f>parking_demand_data_2024_ver0!H2006</f>
        <v>0</v>
      </c>
      <c r="J2006" s="3">
        <f>parking_demand_data_2024_ver0!I2006</f>
        <v>1</v>
      </c>
      <c r="K2006" s="3">
        <f>parking_demand_data_2024_ver0!J2006</f>
        <v>0</v>
      </c>
      <c r="L2006" s="3">
        <f>parking_demand_data_2024_ver0!K2006</f>
        <v>0</v>
      </c>
      <c r="M2006" s="3">
        <f>parking_demand_data_2024_ver0!L2006</f>
        <v>1</v>
      </c>
      <c r="N2006" s="3">
        <f>parking_demand_data_2024_ver0!M2006</f>
        <v>50</v>
      </c>
      <c r="O2006" s="3">
        <f>parking_demand_data_2024_ver0!N2006</f>
        <v>0</v>
      </c>
      <c r="P2006" s="3">
        <f>parking_demand_data_2024_ver0!O2006</f>
        <v>0</v>
      </c>
      <c r="Q2006" s="3">
        <f>parking_demand_data_2024_ver0!P2006</f>
        <v>30</v>
      </c>
      <c r="R2006" s="3">
        <f>parking_demand_data_2024_ver0!Q2006</f>
        <v>0</v>
      </c>
      <c r="S2006" s="3">
        <f>parking_demand_data_2024_ver0!R2006</f>
        <v>0</v>
      </c>
      <c r="T2006" s="3">
        <f>parking_demand_data_2024_ver0!S2006</f>
        <v>20</v>
      </c>
    </row>
    <row r="2007" spans="1:20" x14ac:dyDescent="0.25">
      <c r="A2007">
        <v>18167</v>
      </c>
      <c r="B2007" t="s">
        <v>112</v>
      </c>
      <c r="C2007">
        <v>13</v>
      </c>
      <c r="D2007" s="3">
        <f>parking_demand_data_2024_ver0!D2007*calibration!$I$31</f>
        <v>15.770558753804499</v>
      </c>
      <c r="E2007" s="3">
        <f>parking_demand_data_2024_ver0!E2007*calibration!$I$31</f>
        <v>4.6840499637837603</v>
      </c>
      <c r="F2007" s="3">
        <f t="shared" si="31"/>
        <v>20.454608717588258</v>
      </c>
      <c r="G2007" s="3">
        <f>parking_demand_data_2024_ver0!F2007</f>
        <v>2</v>
      </c>
      <c r="H2007" s="3">
        <f>parking_demand_data_2024_ver0!G2007</f>
        <v>0</v>
      </c>
      <c r="I2007" s="3">
        <f>parking_demand_data_2024_ver0!H2007</f>
        <v>0</v>
      </c>
      <c r="J2007" s="3">
        <f>parking_demand_data_2024_ver0!I2007</f>
        <v>1</v>
      </c>
      <c r="K2007" s="3">
        <f>parking_demand_data_2024_ver0!J2007</f>
        <v>0</v>
      </c>
      <c r="L2007" s="3">
        <f>parking_demand_data_2024_ver0!K2007</f>
        <v>0</v>
      </c>
      <c r="M2007" s="3">
        <f>parking_demand_data_2024_ver0!L2007</f>
        <v>1</v>
      </c>
      <c r="N2007" s="3">
        <f>parking_demand_data_2024_ver0!M2007</f>
        <v>50</v>
      </c>
      <c r="O2007" s="3">
        <f>parking_demand_data_2024_ver0!N2007</f>
        <v>0</v>
      </c>
      <c r="P2007" s="3">
        <f>parking_demand_data_2024_ver0!O2007</f>
        <v>0</v>
      </c>
      <c r="Q2007" s="3">
        <f>parking_demand_data_2024_ver0!P2007</f>
        <v>30</v>
      </c>
      <c r="R2007" s="3">
        <f>parking_demand_data_2024_ver0!Q2007</f>
        <v>0</v>
      </c>
      <c r="S2007" s="3">
        <f>parking_demand_data_2024_ver0!R2007</f>
        <v>0</v>
      </c>
      <c r="T2007" s="3">
        <f>parking_demand_data_2024_ver0!S2007</f>
        <v>20</v>
      </c>
    </row>
    <row r="2008" spans="1:20" x14ac:dyDescent="0.25">
      <c r="A2008">
        <v>18167</v>
      </c>
      <c r="B2008" t="s">
        <v>112</v>
      </c>
      <c r="C2008">
        <v>14</v>
      </c>
      <c r="D2008" s="3">
        <f>parking_demand_data_2024_ver0!D2008*calibration!$I$31</f>
        <v>16.629763185031099</v>
      </c>
      <c r="E2008" s="3">
        <f>parking_demand_data_2024_ver0!E2008*calibration!$I$31</f>
        <v>2.3281668459043501</v>
      </c>
      <c r="F2008" s="3">
        <f t="shared" si="31"/>
        <v>18.957930030935447</v>
      </c>
      <c r="G2008" s="3">
        <f>parking_demand_data_2024_ver0!F2008</f>
        <v>2</v>
      </c>
      <c r="H2008" s="3">
        <f>parking_demand_data_2024_ver0!G2008</f>
        <v>0</v>
      </c>
      <c r="I2008" s="3">
        <f>parking_demand_data_2024_ver0!H2008</f>
        <v>0</v>
      </c>
      <c r="J2008" s="3">
        <f>parking_demand_data_2024_ver0!I2008</f>
        <v>1</v>
      </c>
      <c r="K2008" s="3">
        <f>parking_demand_data_2024_ver0!J2008</f>
        <v>0</v>
      </c>
      <c r="L2008" s="3">
        <f>parking_demand_data_2024_ver0!K2008</f>
        <v>0</v>
      </c>
      <c r="M2008" s="3">
        <f>parking_demand_data_2024_ver0!L2008</f>
        <v>1</v>
      </c>
      <c r="N2008" s="3">
        <f>parking_demand_data_2024_ver0!M2008</f>
        <v>50</v>
      </c>
      <c r="O2008" s="3">
        <f>parking_demand_data_2024_ver0!N2008</f>
        <v>0</v>
      </c>
      <c r="P2008" s="3">
        <f>parking_demand_data_2024_ver0!O2008</f>
        <v>0</v>
      </c>
      <c r="Q2008" s="3">
        <f>parking_demand_data_2024_ver0!P2008</f>
        <v>30</v>
      </c>
      <c r="R2008" s="3">
        <f>parking_demand_data_2024_ver0!Q2008</f>
        <v>0</v>
      </c>
      <c r="S2008" s="3">
        <f>parking_demand_data_2024_ver0!R2008</f>
        <v>0</v>
      </c>
      <c r="T2008" s="3">
        <f>parking_demand_data_2024_ver0!S2008</f>
        <v>20</v>
      </c>
    </row>
    <row r="2009" spans="1:20" x14ac:dyDescent="0.25">
      <c r="A2009">
        <v>18167</v>
      </c>
      <c r="B2009" t="s">
        <v>112</v>
      </c>
      <c r="C2009">
        <v>15</v>
      </c>
      <c r="D2009" s="3">
        <f>parking_demand_data_2024_ver0!D2009*calibration!$I$31</f>
        <v>17.294953712432299</v>
      </c>
      <c r="E2009" s="3">
        <f>parking_demand_data_2024_ver0!E2009*calibration!$I$31</f>
        <v>1.74612513442826</v>
      </c>
      <c r="F2009" s="3">
        <f t="shared" si="31"/>
        <v>19.041078846860561</v>
      </c>
      <c r="G2009" s="3">
        <f>parking_demand_data_2024_ver0!F2009</f>
        <v>2</v>
      </c>
      <c r="H2009" s="3">
        <f>parking_demand_data_2024_ver0!G2009</f>
        <v>0</v>
      </c>
      <c r="I2009" s="3">
        <f>parking_demand_data_2024_ver0!H2009</f>
        <v>0</v>
      </c>
      <c r="J2009" s="3">
        <f>parking_demand_data_2024_ver0!I2009</f>
        <v>1</v>
      </c>
      <c r="K2009" s="3">
        <f>parking_demand_data_2024_ver0!J2009</f>
        <v>0</v>
      </c>
      <c r="L2009" s="3">
        <f>parking_demand_data_2024_ver0!K2009</f>
        <v>0</v>
      </c>
      <c r="M2009" s="3">
        <f>parking_demand_data_2024_ver0!L2009</f>
        <v>1</v>
      </c>
      <c r="N2009" s="3">
        <f>parking_demand_data_2024_ver0!M2009</f>
        <v>50</v>
      </c>
      <c r="O2009" s="3">
        <f>parking_demand_data_2024_ver0!N2009</f>
        <v>0</v>
      </c>
      <c r="P2009" s="3">
        <f>parking_demand_data_2024_ver0!O2009</f>
        <v>0</v>
      </c>
      <c r="Q2009" s="3">
        <f>parking_demand_data_2024_ver0!P2009</f>
        <v>30</v>
      </c>
      <c r="R2009" s="3">
        <f>parking_demand_data_2024_ver0!Q2009</f>
        <v>0</v>
      </c>
      <c r="S2009" s="3">
        <f>parking_demand_data_2024_ver0!R2009</f>
        <v>0</v>
      </c>
      <c r="T2009" s="3">
        <f>parking_demand_data_2024_ver0!S2009</f>
        <v>20</v>
      </c>
    </row>
    <row r="2010" spans="1:20" x14ac:dyDescent="0.25">
      <c r="A2010">
        <v>18167</v>
      </c>
      <c r="B2010" t="s">
        <v>112</v>
      </c>
      <c r="C2010">
        <v>16</v>
      </c>
      <c r="D2010" s="3">
        <f>parking_demand_data_2024_ver0!D2010*calibration!$I$31</f>
        <v>17.128656080582001</v>
      </c>
      <c r="E2010" s="3">
        <f>parking_demand_data_2024_ver0!E2010*calibration!$I$31</f>
        <v>1.80155767837837</v>
      </c>
      <c r="F2010" s="3">
        <f t="shared" si="31"/>
        <v>18.93021375896037</v>
      </c>
      <c r="G2010" s="3">
        <f>parking_demand_data_2024_ver0!F2010</f>
        <v>2</v>
      </c>
      <c r="H2010" s="3">
        <f>parking_demand_data_2024_ver0!G2010</f>
        <v>0</v>
      </c>
      <c r="I2010" s="3">
        <f>parking_demand_data_2024_ver0!H2010</f>
        <v>0</v>
      </c>
      <c r="J2010" s="3">
        <f>parking_demand_data_2024_ver0!I2010</f>
        <v>1</v>
      </c>
      <c r="K2010" s="3">
        <f>parking_demand_data_2024_ver0!J2010</f>
        <v>0</v>
      </c>
      <c r="L2010" s="3">
        <f>parking_demand_data_2024_ver0!K2010</f>
        <v>0</v>
      </c>
      <c r="M2010" s="3">
        <f>parking_demand_data_2024_ver0!L2010</f>
        <v>1</v>
      </c>
      <c r="N2010" s="3">
        <f>parking_demand_data_2024_ver0!M2010</f>
        <v>50</v>
      </c>
      <c r="O2010" s="3">
        <f>parking_demand_data_2024_ver0!N2010</f>
        <v>0</v>
      </c>
      <c r="P2010" s="3">
        <f>parking_demand_data_2024_ver0!O2010</f>
        <v>0</v>
      </c>
      <c r="Q2010" s="3">
        <f>parking_demand_data_2024_ver0!P2010</f>
        <v>30</v>
      </c>
      <c r="R2010" s="3">
        <f>parking_demand_data_2024_ver0!Q2010</f>
        <v>0</v>
      </c>
      <c r="S2010" s="3">
        <f>parking_demand_data_2024_ver0!R2010</f>
        <v>0</v>
      </c>
      <c r="T2010" s="3">
        <f>parking_demand_data_2024_ver0!S2010</f>
        <v>20</v>
      </c>
    </row>
    <row r="2011" spans="1:20" x14ac:dyDescent="0.25">
      <c r="A2011">
        <v>18167</v>
      </c>
      <c r="B2011" t="s">
        <v>112</v>
      </c>
      <c r="C2011">
        <v>17</v>
      </c>
      <c r="D2011" s="3">
        <f>parking_demand_data_2024_ver0!D2011*calibration!$I$31</f>
        <v>19.068795118835599</v>
      </c>
      <c r="E2011" s="3">
        <f>parking_demand_data_2024_ver0!E2011*calibration!$I$31</f>
        <v>2.4667482057796102</v>
      </c>
      <c r="F2011" s="3">
        <f t="shared" si="31"/>
        <v>21.535543324615208</v>
      </c>
      <c r="G2011" s="3">
        <f>parking_demand_data_2024_ver0!F2011</f>
        <v>2</v>
      </c>
      <c r="H2011" s="3">
        <f>parking_demand_data_2024_ver0!G2011</f>
        <v>0</v>
      </c>
      <c r="I2011" s="3">
        <f>parking_demand_data_2024_ver0!H2011</f>
        <v>0</v>
      </c>
      <c r="J2011" s="3">
        <f>parking_demand_data_2024_ver0!I2011</f>
        <v>1</v>
      </c>
      <c r="K2011" s="3">
        <f>parking_demand_data_2024_ver0!J2011</f>
        <v>0</v>
      </c>
      <c r="L2011" s="3">
        <f>parking_demand_data_2024_ver0!K2011</f>
        <v>0</v>
      </c>
      <c r="M2011" s="3">
        <f>parking_demand_data_2024_ver0!L2011</f>
        <v>1</v>
      </c>
      <c r="N2011" s="3">
        <f>parking_demand_data_2024_ver0!M2011</f>
        <v>50</v>
      </c>
      <c r="O2011" s="3">
        <f>parking_demand_data_2024_ver0!N2011</f>
        <v>0</v>
      </c>
      <c r="P2011" s="3">
        <f>parking_demand_data_2024_ver0!O2011</f>
        <v>0</v>
      </c>
      <c r="Q2011" s="3">
        <f>parking_demand_data_2024_ver0!P2011</f>
        <v>30</v>
      </c>
      <c r="R2011" s="3">
        <f>parking_demand_data_2024_ver0!Q2011</f>
        <v>0</v>
      </c>
      <c r="S2011" s="3">
        <f>parking_demand_data_2024_ver0!R2011</f>
        <v>0</v>
      </c>
      <c r="T2011" s="3">
        <f>parking_demand_data_2024_ver0!S2011</f>
        <v>20</v>
      </c>
    </row>
    <row r="2012" spans="1:20" x14ac:dyDescent="0.25">
      <c r="A2012">
        <v>18167</v>
      </c>
      <c r="B2012" t="s">
        <v>112</v>
      </c>
      <c r="C2012">
        <v>18</v>
      </c>
      <c r="D2012" s="3">
        <f>parking_demand_data_2024_ver0!D2012*calibration!$I$31</f>
        <v>20.5931900774635</v>
      </c>
      <c r="E2012" s="3">
        <f>parking_demand_data_2024_ver0!E2012*calibration!$I$31</f>
        <v>1.7738414064033099</v>
      </c>
      <c r="F2012" s="3">
        <f t="shared" si="31"/>
        <v>22.367031483866811</v>
      </c>
      <c r="G2012" s="3">
        <f>parking_demand_data_2024_ver0!F2012</f>
        <v>2</v>
      </c>
      <c r="H2012" s="3">
        <f>parking_demand_data_2024_ver0!G2012</f>
        <v>0</v>
      </c>
      <c r="I2012" s="3">
        <f>parking_demand_data_2024_ver0!H2012</f>
        <v>0</v>
      </c>
      <c r="J2012" s="3">
        <f>parking_demand_data_2024_ver0!I2012</f>
        <v>1</v>
      </c>
      <c r="K2012" s="3">
        <f>parking_demand_data_2024_ver0!J2012</f>
        <v>0</v>
      </c>
      <c r="L2012" s="3">
        <f>parking_demand_data_2024_ver0!K2012</f>
        <v>0</v>
      </c>
      <c r="M2012" s="3">
        <f>parking_demand_data_2024_ver0!L2012</f>
        <v>1</v>
      </c>
      <c r="N2012" s="3">
        <f>parking_demand_data_2024_ver0!M2012</f>
        <v>50</v>
      </c>
      <c r="O2012" s="3">
        <f>parking_demand_data_2024_ver0!N2012</f>
        <v>0</v>
      </c>
      <c r="P2012" s="3">
        <f>parking_demand_data_2024_ver0!O2012</f>
        <v>0</v>
      </c>
      <c r="Q2012" s="3">
        <f>parking_demand_data_2024_ver0!P2012</f>
        <v>30</v>
      </c>
      <c r="R2012" s="3">
        <f>parking_demand_data_2024_ver0!Q2012</f>
        <v>0</v>
      </c>
      <c r="S2012" s="3">
        <f>parking_demand_data_2024_ver0!R2012</f>
        <v>0</v>
      </c>
      <c r="T2012" s="3">
        <f>parking_demand_data_2024_ver0!S2012</f>
        <v>20</v>
      </c>
    </row>
    <row r="2013" spans="1:20" x14ac:dyDescent="0.25">
      <c r="A2013">
        <v>18167</v>
      </c>
      <c r="B2013" t="s">
        <v>112</v>
      </c>
      <c r="C2013">
        <v>19</v>
      </c>
      <c r="D2013" s="3">
        <f>parking_demand_data_2024_ver0!D2013*calibration!$I$31</f>
        <v>22.311598939916699</v>
      </c>
      <c r="E2013" s="3">
        <f>parking_demand_data_2024_ver0!E2013*calibration!$I$31</f>
        <v>1.80155767837837</v>
      </c>
      <c r="F2013" s="3">
        <f t="shared" si="31"/>
        <v>24.113156618295069</v>
      </c>
      <c r="G2013" s="3">
        <f>parking_demand_data_2024_ver0!F2013</f>
        <v>2</v>
      </c>
      <c r="H2013" s="3">
        <f>parking_demand_data_2024_ver0!G2013</f>
        <v>0</v>
      </c>
      <c r="I2013" s="3">
        <f>parking_demand_data_2024_ver0!H2013</f>
        <v>0</v>
      </c>
      <c r="J2013" s="3">
        <f>parking_demand_data_2024_ver0!I2013</f>
        <v>1</v>
      </c>
      <c r="K2013" s="3">
        <f>parking_demand_data_2024_ver0!J2013</f>
        <v>0</v>
      </c>
      <c r="L2013" s="3">
        <f>parking_demand_data_2024_ver0!K2013</f>
        <v>0</v>
      </c>
      <c r="M2013" s="3">
        <f>parking_demand_data_2024_ver0!L2013</f>
        <v>1</v>
      </c>
      <c r="N2013" s="3">
        <f>parking_demand_data_2024_ver0!M2013</f>
        <v>50</v>
      </c>
      <c r="O2013" s="3">
        <f>parking_demand_data_2024_ver0!N2013</f>
        <v>0</v>
      </c>
      <c r="P2013" s="3">
        <f>parking_demand_data_2024_ver0!O2013</f>
        <v>0</v>
      </c>
      <c r="Q2013" s="3">
        <f>parking_demand_data_2024_ver0!P2013</f>
        <v>30</v>
      </c>
      <c r="R2013" s="3">
        <f>parking_demand_data_2024_ver0!Q2013</f>
        <v>0</v>
      </c>
      <c r="S2013" s="3">
        <f>parking_demand_data_2024_ver0!R2013</f>
        <v>0</v>
      </c>
      <c r="T2013" s="3">
        <f>parking_demand_data_2024_ver0!S2013</f>
        <v>20</v>
      </c>
    </row>
    <row r="2014" spans="1:20" x14ac:dyDescent="0.25">
      <c r="A2014">
        <v>18167</v>
      </c>
      <c r="B2014" t="s">
        <v>112</v>
      </c>
      <c r="C2014">
        <v>20</v>
      </c>
      <c r="D2014" s="3">
        <f>parking_demand_data_2024_ver0!D2014*calibration!$I$31</f>
        <v>25.110942409396898</v>
      </c>
      <c r="E2014" s="3">
        <f>parking_demand_data_2024_ver0!E2014*calibration!$I$31</f>
        <v>2.0787203981288802</v>
      </c>
      <c r="F2014" s="3">
        <f t="shared" si="31"/>
        <v>27.189662807525778</v>
      </c>
      <c r="G2014" s="3">
        <f>parking_demand_data_2024_ver0!F2014</f>
        <v>2</v>
      </c>
      <c r="H2014" s="3">
        <f>parking_demand_data_2024_ver0!G2014</f>
        <v>0</v>
      </c>
      <c r="I2014" s="3">
        <f>parking_demand_data_2024_ver0!H2014</f>
        <v>0</v>
      </c>
      <c r="J2014" s="3">
        <f>parking_demand_data_2024_ver0!I2014</f>
        <v>1</v>
      </c>
      <c r="K2014" s="3">
        <f>parking_demand_data_2024_ver0!J2014</f>
        <v>0</v>
      </c>
      <c r="L2014" s="3">
        <f>parking_demand_data_2024_ver0!K2014</f>
        <v>0</v>
      </c>
      <c r="M2014" s="3">
        <f>parking_demand_data_2024_ver0!L2014</f>
        <v>1</v>
      </c>
      <c r="N2014" s="3">
        <f>parking_demand_data_2024_ver0!M2014</f>
        <v>50</v>
      </c>
      <c r="O2014" s="3">
        <f>parking_demand_data_2024_ver0!N2014</f>
        <v>0</v>
      </c>
      <c r="P2014" s="3">
        <f>parking_demand_data_2024_ver0!O2014</f>
        <v>0</v>
      </c>
      <c r="Q2014" s="3">
        <f>parking_demand_data_2024_ver0!P2014</f>
        <v>30</v>
      </c>
      <c r="R2014" s="3">
        <f>parking_demand_data_2024_ver0!Q2014</f>
        <v>0</v>
      </c>
      <c r="S2014" s="3">
        <f>parking_demand_data_2024_ver0!R2014</f>
        <v>0</v>
      </c>
      <c r="T2014" s="3">
        <f>parking_demand_data_2024_ver0!S2014</f>
        <v>20</v>
      </c>
    </row>
    <row r="2015" spans="1:20" x14ac:dyDescent="0.25">
      <c r="A2015">
        <v>18167</v>
      </c>
      <c r="B2015" t="s">
        <v>112</v>
      </c>
      <c r="C2015">
        <v>21</v>
      </c>
      <c r="D2015" s="3">
        <f>parking_demand_data_2024_ver0!D2015*calibration!$I$31</f>
        <v>27.051081447650599</v>
      </c>
      <c r="E2015" s="3">
        <f>parking_demand_data_2024_ver0!E2015*calibration!$I$31</f>
        <v>2.3558831178794</v>
      </c>
      <c r="F2015" s="3">
        <f t="shared" si="31"/>
        <v>29.40696456553</v>
      </c>
      <c r="G2015" s="3">
        <f>parking_demand_data_2024_ver0!F2015</f>
        <v>2</v>
      </c>
      <c r="H2015" s="3">
        <f>parking_demand_data_2024_ver0!G2015</f>
        <v>0</v>
      </c>
      <c r="I2015" s="3">
        <f>parking_demand_data_2024_ver0!H2015</f>
        <v>0</v>
      </c>
      <c r="J2015" s="3">
        <f>parking_demand_data_2024_ver0!I2015</f>
        <v>1</v>
      </c>
      <c r="K2015" s="3">
        <f>parking_demand_data_2024_ver0!J2015</f>
        <v>0</v>
      </c>
      <c r="L2015" s="3">
        <f>parking_demand_data_2024_ver0!K2015</f>
        <v>0</v>
      </c>
      <c r="M2015" s="3">
        <f>parking_demand_data_2024_ver0!L2015</f>
        <v>1</v>
      </c>
      <c r="N2015" s="3">
        <f>parking_demand_data_2024_ver0!M2015</f>
        <v>50</v>
      </c>
      <c r="O2015" s="3">
        <f>parking_demand_data_2024_ver0!N2015</f>
        <v>0</v>
      </c>
      <c r="P2015" s="3">
        <f>parking_demand_data_2024_ver0!O2015</f>
        <v>0</v>
      </c>
      <c r="Q2015" s="3">
        <f>parking_demand_data_2024_ver0!P2015</f>
        <v>30</v>
      </c>
      <c r="R2015" s="3">
        <f>parking_demand_data_2024_ver0!Q2015</f>
        <v>0</v>
      </c>
      <c r="S2015" s="3">
        <f>parking_demand_data_2024_ver0!R2015</f>
        <v>0</v>
      </c>
      <c r="T2015" s="3">
        <f>parking_demand_data_2024_ver0!S2015</f>
        <v>20</v>
      </c>
    </row>
    <row r="2016" spans="1:20" x14ac:dyDescent="0.25">
      <c r="A2016">
        <v>18167</v>
      </c>
      <c r="B2016" t="s">
        <v>112</v>
      </c>
      <c r="C2016">
        <v>22</v>
      </c>
      <c r="D2016" s="3">
        <f>parking_demand_data_2024_ver0!D2016*calibration!$I$31</f>
        <v>29.6841272852805</v>
      </c>
      <c r="E2016" s="3">
        <f>parking_demand_data_2024_ver0!E2016*calibration!$I$31</f>
        <v>2.2173017580041399</v>
      </c>
      <c r="F2016" s="3">
        <f t="shared" si="31"/>
        <v>31.90142904328464</v>
      </c>
      <c r="G2016" s="3">
        <f>parking_demand_data_2024_ver0!F2016</f>
        <v>2</v>
      </c>
      <c r="H2016" s="3">
        <f>parking_demand_data_2024_ver0!G2016</f>
        <v>0</v>
      </c>
      <c r="I2016" s="3">
        <f>parking_demand_data_2024_ver0!H2016</f>
        <v>0</v>
      </c>
      <c r="J2016" s="3">
        <f>parking_demand_data_2024_ver0!I2016</f>
        <v>1</v>
      </c>
      <c r="K2016" s="3">
        <f>parking_demand_data_2024_ver0!J2016</f>
        <v>0</v>
      </c>
      <c r="L2016" s="3">
        <f>parking_demand_data_2024_ver0!K2016</f>
        <v>0</v>
      </c>
      <c r="M2016" s="3">
        <f>parking_demand_data_2024_ver0!L2016</f>
        <v>1</v>
      </c>
      <c r="N2016" s="3">
        <f>parking_demand_data_2024_ver0!M2016</f>
        <v>50</v>
      </c>
      <c r="O2016" s="3">
        <f>parking_demand_data_2024_ver0!N2016</f>
        <v>0</v>
      </c>
      <c r="P2016" s="3">
        <f>parking_demand_data_2024_ver0!O2016</f>
        <v>0</v>
      </c>
      <c r="Q2016" s="3">
        <f>parking_demand_data_2024_ver0!P2016</f>
        <v>30</v>
      </c>
      <c r="R2016" s="3">
        <f>parking_demand_data_2024_ver0!Q2016</f>
        <v>0</v>
      </c>
      <c r="S2016" s="3">
        <f>parking_demand_data_2024_ver0!R2016</f>
        <v>0</v>
      </c>
      <c r="T2016" s="3">
        <f>parking_demand_data_2024_ver0!S2016</f>
        <v>20</v>
      </c>
    </row>
    <row r="2017" spans="1:20" x14ac:dyDescent="0.25">
      <c r="A2017">
        <v>18167</v>
      </c>
      <c r="B2017" t="s">
        <v>112</v>
      </c>
      <c r="C2017">
        <v>23</v>
      </c>
      <c r="D2017" s="3">
        <f>parking_demand_data_2024_ver0!D2017*calibration!$I$31</f>
        <v>31.735131411434299</v>
      </c>
      <c r="E2017" s="3">
        <f>parking_demand_data_2024_ver0!E2017*calibration!$I$31</f>
        <v>2.4390319338045598</v>
      </c>
      <c r="F2017" s="3">
        <f t="shared" si="31"/>
        <v>34.17416334523886</v>
      </c>
      <c r="G2017" s="3">
        <f>parking_demand_data_2024_ver0!F2017</f>
        <v>2</v>
      </c>
      <c r="H2017" s="3">
        <f>parking_demand_data_2024_ver0!G2017</f>
        <v>0</v>
      </c>
      <c r="I2017" s="3">
        <f>parking_demand_data_2024_ver0!H2017</f>
        <v>0</v>
      </c>
      <c r="J2017" s="3">
        <f>parking_demand_data_2024_ver0!I2017</f>
        <v>1</v>
      </c>
      <c r="K2017" s="3">
        <f>parking_demand_data_2024_ver0!J2017</f>
        <v>0</v>
      </c>
      <c r="L2017" s="3">
        <f>parking_demand_data_2024_ver0!K2017</f>
        <v>0</v>
      </c>
      <c r="M2017" s="3">
        <f>parking_demand_data_2024_ver0!L2017</f>
        <v>1</v>
      </c>
      <c r="N2017" s="3">
        <f>parking_demand_data_2024_ver0!M2017</f>
        <v>50</v>
      </c>
      <c r="O2017" s="3">
        <f>parking_demand_data_2024_ver0!N2017</f>
        <v>0</v>
      </c>
      <c r="P2017" s="3">
        <f>parking_demand_data_2024_ver0!O2017</f>
        <v>0</v>
      </c>
      <c r="Q2017" s="3">
        <f>parking_demand_data_2024_ver0!P2017</f>
        <v>30</v>
      </c>
      <c r="R2017" s="3">
        <f>parking_demand_data_2024_ver0!Q2017</f>
        <v>0</v>
      </c>
      <c r="S2017" s="3">
        <f>parking_demand_data_2024_ver0!R2017</f>
        <v>0</v>
      </c>
      <c r="T2017" s="3">
        <f>parking_demand_data_2024_ver0!S2017</f>
        <v>20</v>
      </c>
    </row>
    <row r="2018" spans="1:20" x14ac:dyDescent="0.25">
      <c r="A2018">
        <v>18169</v>
      </c>
      <c r="B2018" t="s">
        <v>113</v>
      </c>
      <c r="C2018">
        <v>0</v>
      </c>
      <c r="D2018" s="3">
        <f>parking_demand_data_2024_ver0!D2018*calibration!$I$31</f>
        <v>1.4875751232535701</v>
      </c>
      <c r="E2018" s="3">
        <f>parking_demand_data_2024_ver0!E2018*calibration!$I$31</f>
        <v>0</v>
      </c>
      <c r="F2018" s="3">
        <f t="shared" si="31"/>
        <v>1.4875751232535701</v>
      </c>
      <c r="G2018" s="3">
        <f>parking_demand_data_2024_ver0!F2018</f>
        <v>1</v>
      </c>
      <c r="H2018" s="3">
        <f>parking_demand_data_2024_ver0!G2018</f>
        <v>0</v>
      </c>
      <c r="I2018" s="3">
        <f>parking_demand_data_2024_ver0!H2018</f>
        <v>0</v>
      </c>
      <c r="J2018" s="3">
        <f>parking_demand_data_2024_ver0!I2018</f>
        <v>1</v>
      </c>
      <c r="K2018" s="3">
        <f>parking_demand_data_2024_ver0!J2018</f>
        <v>0</v>
      </c>
      <c r="L2018" s="3">
        <f>parking_demand_data_2024_ver0!K2018</f>
        <v>0</v>
      </c>
      <c r="M2018" s="3">
        <f>parking_demand_data_2024_ver0!L2018</f>
        <v>0</v>
      </c>
      <c r="N2018" s="3">
        <f>parking_demand_data_2024_ver0!M2018</f>
        <v>15</v>
      </c>
      <c r="O2018" s="3">
        <f>parking_demand_data_2024_ver0!N2018</f>
        <v>0</v>
      </c>
      <c r="P2018" s="3">
        <f>parking_demand_data_2024_ver0!O2018</f>
        <v>0</v>
      </c>
      <c r="Q2018" s="3">
        <f>parking_demand_data_2024_ver0!P2018</f>
        <v>15</v>
      </c>
      <c r="R2018" s="3">
        <f>parking_demand_data_2024_ver0!Q2018</f>
        <v>0</v>
      </c>
      <c r="S2018" s="3">
        <f>parking_demand_data_2024_ver0!R2018</f>
        <v>0</v>
      </c>
      <c r="T2018" s="3">
        <f>parking_demand_data_2024_ver0!S2018</f>
        <v>0</v>
      </c>
    </row>
    <row r="2019" spans="1:20" x14ac:dyDescent="0.25">
      <c r="A2019">
        <v>18169</v>
      </c>
      <c r="B2019" t="s">
        <v>113</v>
      </c>
      <c r="C2019">
        <v>1</v>
      </c>
      <c r="D2019" s="3">
        <f>parking_demand_data_2024_ver0!D2019*calibration!$I$31</f>
        <v>1.4875751232535701</v>
      </c>
      <c r="E2019" s="3">
        <f>parking_demand_data_2024_ver0!E2019*calibration!$I$31</f>
        <v>0</v>
      </c>
      <c r="F2019" s="3">
        <f t="shared" si="31"/>
        <v>1.4875751232535701</v>
      </c>
      <c r="G2019" s="3">
        <f>parking_demand_data_2024_ver0!F2019</f>
        <v>1</v>
      </c>
      <c r="H2019" s="3">
        <f>parking_demand_data_2024_ver0!G2019</f>
        <v>0</v>
      </c>
      <c r="I2019" s="3">
        <f>parking_demand_data_2024_ver0!H2019</f>
        <v>0</v>
      </c>
      <c r="J2019" s="3">
        <f>parking_demand_data_2024_ver0!I2019</f>
        <v>1</v>
      </c>
      <c r="K2019" s="3">
        <f>parking_demand_data_2024_ver0!J2019</f>
        <v>0</v>
      </c>
      <c r="L2019" s="3">
        <f>parking_demand_data_2024_ver0!K2019</f>
        <v>0</v>
      </c>
      <c r="M2019" s="3">
        <f>parking_demand_data_2024_ver0!L2019</f>
        <v>0</v>
      </c>
      <c r="N2019" s="3">
        <f>parking_demand_data_2024_ver0!M2019</f>
        <v>15</v>
      </c>
      <c r="O2019" s="3">
        <f>parking_demand_data_2024_ver0!N2019</f>
        <v>0</v>
      </c>
      <c r="P2019" s="3">
        <f>parking_demand_data_2024_ver0!O2019</f>
        <v>0</v>
      </c>
      <c r="Q2019" s="3">
        <f>parking_demand_data_2024_ver0!P2019</f>
        <v>15</v>
      </c>
      <c r="R2019" s="3">
        <f>parking_demand_data_2024_ver0!Q2019</f>
        <v>0</v>
      </c>
      <c r="S2019" s="3">
        <f>parking_demand_data_2024_ver0!R2019</f>
        <v>0</v>
      </c>
      <c r="T2019" s="3">
        <f>parking_demand_data_2024_ver0!S2019</f>
        <v>0</v>
      </c>
    </row>
    <row r="2020" spans="1:20" x14ac:dyDescent="0.25">
      <c r="A2020">
        <v>18169</v>
      </c>
      <c r="B2020" t="s">
        <v>113</v>
      </c>
      <c r="C2020">
        <v>2</v>
      </c>
      <c r="D2020" s="3">
        <f>parking_demand_data_2024_ver0!D2020*calibration!$I$31</f>
        <v>1.4875751232535701</v>
      </c>
      <c r="E2020" s="3">
        <f>parking_demand_data_2024_ver0!E2020*calibration!$I$31</f>
        <v>0</v>
      </c>
      <c r="F2020" s="3">
        <f t="shared" si="31"/>
        <v>1.4875751232535701</v>
      </c>
      <c r="G2020" s="3">
        <f>parking_demand_data_2024_ver0!F2020</f>
        <v>1</v>
      </c>
      <c r="H2020" s="3">
        <f>parking_demand_data_2024_ver0!G2020</f>
        <v>0</v>
      </c>
      <c r="I2020" s="3">
        <f>parking_demand_data_2024_ver0!H2020</f>
        <v>0</v>
      </c>
      <c r="J2020" s="3">
        <f>parking_demand_data_2024_ver0!I2020</f>
        <v>1</v>
      </c>
      <c r="K2020" s="3">
        <f>parking_demand_data_2024_ver0!J2020</f>
        <v>0</v>
      </c>
      <c r="L2020" s="3">
        <f>parking_demand_data_2024_ver0!K2020</f>
        <v>0</v>
      </c>
      <c r="M2020" s="3">
        <f>parking_demand_data_2024_ver0!L2020</f>
        <v>0</v>
      </c>
      <c r="N2020" s="3">
        <f>parking_demand_data_2024_ver0!M2020</f>
        <v>15</v>
      </c>
      <c r="O2020" s="3">
        <f>parking_demand_data_2024_ver0!N2020</f>
        <v>0</v>
      </c>
      <c r="P2020" s="3">
        <f>parking_demand_data_2024_ver0!O2020</f>
        <v>0</v>
      </c>
      <c r="Q2020" s="3">
        <f>parking_demand_data_2024_ver0!P2020</f>
        <v>15</v>
      </c>
      <c r="R2020" s="3">
        <f>parking_demand_data_2024_ver0!Q2020</f>
        <v>0</v>
      </c>
      <c r="S2020" s="3">
        <f>parking_demand_data_2024_ver0!R2020</f>
        <v>0</v>
      </c>
      <c r="T2020" s="3">
        <f>parking_demand_data_2024_ver0!S2020</f>
        <v>0</v>
      </c>
    </row>
    <row r="2021" spans="1:20" x14ac:dyDescent="0.25">
      <c r="A2021">
        <v>18169</v>
      </c>
      <c r="B2021" t="s">
        <v>113</v>
      </c>
      <c r="C2021">
        <v>3</v>
      </c>
      <c r="D2021" s="3">
        <f>parking_demand_data_2024_ver0!D2021*calibration!$I$31</f>
        <v>1.4199580721965901</v>
      </c>
      <c r="E2021" s="3">
        <f>parking_demand_data_2024_ver0!E2021*calibration!$I$31</f>
        <v>0</v>
      </c>
      <c r="F2021" s="3">
        <f t="shared" si="31"/>
        <v>1.4199580721965901</v>
      </c>
      <c r="G2021" s="3">
        <f>parking_demand_data_2024_ver0!F2021</f>
        <v>1</v>
      </c>
      <c r="H2021" s="3">
        <f>parking_demand_data_2024_ver0!G2021</f>
        <v>0</v>
      </c>
      <c r="I2021" s="3">
        <f>parking_demand_data_2024_ver0!H2021</f>
        <v>0</v>
      </c>
      <c r="J2021" s="3">
        <f>parking_demand_data_2024_ver0!I2021</f>
        <v>1</v>
      </c>
      <c r="K2021" s="3">
        <f>parking_demand_data_2024_ver0!J2021</f>
        <v>0</v>
      </c>
      <c r="L2021" s="3">
        <f>parking_demand_data_2024_ver0!K2021</f>
        <v>0</v>
      </c>
      <c r="M2021" s="3">
        <f>parking_demand_data_2024_ver0!L2021</f>
        <v>0</v>
      </c>
      <c r="N2021" s="3">
        <f>parking_demand_data_2024_ver0!M2021</f>
        <v>15</v>
      </c>
      <c r="O2021" s="3">
        <f>parking_demand_data_2024_ver0!N2021</f>
        <v>0</v>
      </c>
      <c r="P2021" s="3">
        <f>parking_demand_data_2024_ver0!O2021</f>
        <v>0</v>
      </c>
      <c r="Q2021" s="3">
        <f>parking_demand_data_2024_ver0!P2021</f>
        <v>15</v>
      </c>
      <c r="R2021" s="3">
        <f>parking_demand_data_2024_ver0!Q2021</f>
        <v>0</v>
      </c>
      <c r="S2021" s="3">
        <f>parking_demand_data_2024_ver0!R2021</f>
        <v>0</v>
      </c>
      <c r="T2021" s="3">
        <f>parking_demand_data_2024_ver0!S2021</f>
        <v>0</v>
      </c>
    </row>
    <row r="2022" spans="1:20" x14ac:dyDescent="0.25">
      <c r="A2022">
        <v>18169</v>
      </c>
      <c r="B2022" t="s">
        <v>113</v>
      </c>
      <c r="C2022">
        <v>4</v>
      </c>
      <c r="D2022" s="3">
        <f>parking_demand_data_2024_ver0!D2022*calibration!$I$31</f>
        <v>1.4199580721965901</v>
      </c>
      <c r="E2022" s="3">
        <f>parking_demand_data_2024_ver0!E2022*calibration!$I$31</f>
        <v>0</v>
      </c>
      <c r="F2022" s="3">
        <f t="shared" si="31"/>
        <v>1.4199580721965901</v>
      </c>
      <c r="G2022" s="3">
        <f>parking_demand_data_2024_ver0!F2022</f>
        <v>1</v>
      </c>
      <c r="H2022" s="3">
        <f>parking_demand_data_2024_ver0!G2022</f>
        <v>0</v>
      </c>
      <c r="I2022" s="3">
        <f>parking_demand_data_2024_ver0!H2022</f>
        <v>0</v>
      </c>
      <c r="J2022" s="3">
        <f>parking_demand_data_2024_ver0!I2022</f>
        <v>1</v>
      </c>
      <c r="K2022" s="3">
        <f>parking_demand_data_2024_ver0!J2022</f>
        <v>0</v>
      </c>
      <c r="L2022" s="3">
        <f>parking_demand_data_2024_ver0!K2022</f>
        <v>0</v>
      </c>
      <c r="M2022" s="3">
        <f>parking_demand_data_2024_ver0!L2022</f>
        <v>0</v>
      </c>
      <c r="N2022" s="3">
        <f>parking_demand_data_2024_ver0!M2022</f>
        <v>15</v>
      </c>
      <c r="O2022" s="3">
        <f>parking_demand_data_2024_ver0!N2022</f>
        <v>0</v>
      </c>
      <c r="P2022" s="3">
        <f>parking_demand_data_2024_ver0!O2022</f>
        <v>0</v>
      </c>
      <c r="Q2022" s="3">
        <f>parking_demand_data_2024_ver0!P2022</f>
        <v>15</v>
      </c>
      <c r="R2022" s="3">
        <f>parking_demand_data_2024_ver0!Q2022</f>
        <v>0</v>
      </c>
      <c r="S2022" s="3">
        <f>parking_demand_data_2024_ver0!R2022</f>
        <v>0</v>
      </c>
      <c r="T2022" s="3">
        <f>parking_demand_data_2024_ver0!S2022</f>
        <v>0</v>
      </c>
    </row>
    <row r="2023" spans="1:20" x14ac:dyDescent="0.25">
      <c r="A2023">
        <v>18169</v>
      </c>
      <c r="B2023" t="s">
        <v>113</v>
      </c>
      <c r="C2023">
        <v>5</v>
      </c>
      <c r="D2023" s="3">
        <f>parking_demand_data_2024_ver0!D2023*calibration!$I$31</f>
        <v>1.3523410211396101</v>
      </c>
      <c r="E2023" s="3">
        <f>parking_demand_data_2024_ver0!E2023*calibration!$I$31</f>
        <v>0</v>
      </c>
      <c r="F2023" s="3">
        <f t="shared" si="31"/>
        <v>1.3523410211396101</v>
      </c>
      <c r="G2023" s="3">
        <f>parking_demand_data_2024_ver0!F2023</f>
        <v>1</v>
      </c>
      <c r="H2023" s="3">
        <f>parking_demand_data_2024_ver0!G2023</f>
        <v>0</v>
      </c>
      <c r="I2023" s="3">
        <f>parking_demand_data_2024_ver0!H2023</f>
        <v>0</v>
      </c>
      <c r="J2023" s="3">
        <f>parking_demand_data_2024_ver0!I2023</f>
        <v>1</v>
      </c>
      <c r="K2023" s="3">
        <f>parking_demand_data_2024_ver0!J2023</f>
        <v>0</v>
      </c>
      <c r="L2023" s="3">
        <f>parking_demand_data_2024_ver0!K2023</f>
        <v>0</v>
      </c>
      <c r="M2023" s="3">
        <f>parking_demand_data_2024_ver0!L2023</f>
        <v>0</v>
      </c>
      <c r="N2023" s="3">
        <f>parking_demand_data_2024_ver0!M2023</f>
        <v>15</v>
      </c>
      <c r="O2023" s="3">
        <f>parking_demand_data_2024_ver0!N2023</f>
        <v>0</v>
      </c>
      <c r="P2023" s="3">
        <f>parking_demand_data_2024_ver0!O2023</f>
        <v>0</v>
      </c>
      <c r="Q2023" s="3">
        <f>parking_demand_data_2024_ver0!P2023</f>
        <v>15</v>
      </c>
      <c r="R2023" s="3">
        <f>parking_demand_data_2024_ver0!Q2023</f>
        <v>0</v>
      </c>
      <c r="S2023" s="3">
        <f>parking_demand_data_2024_ver0!R2023</f>
        <v>0</v>
      </c>
      <c r="T2023" s="3">
        <f>parking_demand_data_2024_ver0!S2023</f>
        <v>0</v>
      </c>
    </row>
    <row r="2024" spans="1:20" x14ac:dyDescent="0.25">
      <c r="A2024">
        <v>18169</v>
      </c>
      <c r="B2024" t="s">
        <v>113</v>
      </c>
      <c r="C2024">
        <v>6</v>
      </c>
      <c r="D2024" s="3">
        <f>parking_demand_data_2024_ver0!D2024*calibration!$I$31</f>
        <v>1.01425576585471</v>
      </c>
      <c r="E2024" s="3">
        <f>parking_demand_data_2024_ver0!E2024*calibration!$I$31</f>
        <v>0.47331935739886399</v>
      </c>
      <c r="F2024" s="3">
        <f t="shared" si="31"/>
        <v>1.4875751232535741</v>
      </c>
      <c r="G2024" s="3">
        <f>parking_demand_data_2024_ver0!F2024</f>
        <v>1</v>
      </c>
      <c r="H2024" s="3">
        <f>parking_demand_data_2024_ver0!G2024</f>
        <v>0</v>
      </c>
      <c r="I2024" s="3">
        <f>parking_demand_data_2024_ver0!H2024</f>
        <v>0</v>
      </c>
      <c r="J2024" s="3">
        <f>parking_demand_data_2024_ver0!I2024</f>
        <v>1</v>
      </c>
      <c r="K2024" s="3">
        <f>parking_demand_data_2024_ver0!J2024</f>
        <v>0</v>
      </c>
      <c r="L2024" s="3">
        <f>parking_demand_data_2024_ver0!K2024</f>
        <v>0</v>
      </c>
      <c r="M2024" s="3">
        <f>parking_demand_data_2024_ver0!L2024</f>
        <v>0</v>
      </c>
      <c r="N2024" s="3">
        <f>parking_demand_data_2024_ver0!M2024</f>
        <v>15</v>
      </c>
      <c r="O2024" s="3">
        <f>parking_demand_data_2024_ver0!N2024</f>
        <v>0</v>
      </c>
      <c r="P2024" s="3">
        <f>parking_demand_data_2024_ver0!O2024</f>
        <v>0</v>
      </c>
      <c r="Q2024" s="3">
        <f>parking_demand_data_2024_ver0!P2024</f>
        <v>15</v>
      </c>
      <c r="R2024" s="3">
        <f>parking_demand_data_2024_ver0!Q2024</f>
        <v>0</v>
      </c>
      <c r="S2024" s="3">
        <f>parking_demand_data_2024_ver0!R2024</f>
        <v>0</v>
      </c>
      <c r="T2024" s="3">
        <f>parking_demand_data_2024_ver0!S2024</f>
        <v>0</v>
      </c>
    </row>
    <row r="2025" spans="1:20" x14ac:dyDescent="0.25">
      <c r="A2025">
        <v>18169</v>
      </c>
      <c r="B2025" t="s">
        <v>113</v>
      </c>
      <c r="C2025">
        <v>7</v>
      </c>
      <c r="D2025" s="3">
        <f>parking_demand_data_2024_ver0!D2025*calibration!$I$31</f>
        <v>1.2847239700826301</v>
      </c>
      <c r="E2025" s="3">
        <f>parking_demand_data_2024_ver0!E2025*calibration!$I$31</f>
        <v>2.16374563382338</v>
      </c>
      <c r="F2025" s="3">
        <f t="shared" si="31"/>
        <v>3.4484696039060099</v>
      </c>
      <c r="G2025" s="3">
        <f>parking_demand_data_2024_ver0!F2025</f>
        <v>1</v>
      </c>
      <c r="H2025" s="3">
        <f>parking_demand_data_2024_ver0!G2025</f>
        <v>0</v>
      </c>
      <c r="I2025" s="3">
        <f>parking_demand_data_2024_ver0!H2025</f>
        <v>0</v>
      </c>
      <c r="J2025" s="3">
        <f>parking_demand_data_2024_ver0!I2025</f>
        <v>1</v>
      </c>
      <c r="K2025" s="3">
        <f>parking_demand_data_2024_ver0!J2025</f>
        <v>0</v>
      </c>
      <c r="L2025" s="3">
        <f>parking_demand_data_2024_ver0!K2025</f>
        <v>0</v>
      </c>
      <c r="M2025" s="3">
        <f>parking_demand_data_2024_ver0!L2025</f>
        <v>0</v>
      </c>
      <c r="N2025" s="3">
        <f>parking_demand_data_2024_ver0!M2025</f>
        <v>15</v>
      </c>
      <c r="O2025" s="3">
        <f>parking_demand_data_2024_ver0!N2025</f>
        <v>0</v>
      </c>
      <c r="P2025" s="3">
        <f>parking_demand_data_2024_ver0!O2025</f>
        <v>0</v>
      </c>
      <c r="Q2025" s="3">
        <f>parking_demand_data_2024_ver0!P2025</f>
        <v>15</v>
      </c>
      <c r="R2025" s="3">
        <f>parking_demand_data_2024_ver0!Q2025</f>
        <v>0</v>
      </c>
      <c r="S2025" s="3">
        <f>parking_demand_data_2024_ver0!R2025</f>
        <v>0</v>
      </c>
      <c r="T2025" s="3">
        <f>parking_demand_data_2024_ver0!S2025</f>
        <v>0</v>
      </c>
    </row>
    <row r="2026" spans="1:20" x14ac:dyDescent="0.25">
      <c r="A2026">
        <v>18169</v>
      </c>
      <c r="B2026" t="s">
        <v>113</v>
      </c>
      <c r="C2026">
        <v>8</v>
      </c>
      <c r="D2026" s="3">
        <f>parking_demand_data_2024_ver0!D2026*calibration!$I$31</f>
        <v>1.01425576585471</v>
      </c>
      <c r="E2026" s="3">
        <f>parking_demand_data_2024_ver0!E2026*calibration!$I$31</f>
        <v>4.80081062504562</v>
      </c>
      <c r="F2026" s="3">
        <f t="shared" si="31"/>
        <v>5.8150663909003297</v>
      </c>
      <c r="G2026" s="3">
        <f>parking_demand_data_2024_ver0!F2026</f>
        <v>1</v>
      </c>
      <c r="H2026" s="3">
        <f>parking_demand_data_2024_ver0!G2026</f>
        <v>0</v>
      </c>
      <c r="I2026" s="3">
        <f>parking_demand_data_2024_ver0!H2026</f>
        <v>0</v>
      </c>
      <c r="J2026" s="3">
        <f>parking_demand_data_2024_ver0!I2026</f>
        <v>1</v>
      </c>
      <c r="K2026" s="3">
        <f>parking_demand_data_2024_ver0!J2026</f>
        <v>0</v>
      </c>
      <c r="L2026" s="3">
        <f>parking_demand_data_2024_ver0!K2026</f>
        <v>0</v>
      </c>
      <c r="M2026" s="3">
        <f>parking_demand_data_2024_ver0!L2026</f>
        <v>0</v>
      </c>
      <c r="N2026" s="3">
        <f>parking_demand_data_2024_ver0!M2026</f>
        <v>15</v>
      </c>
      <c r="O2026" s="3">
        <f>parking_demand_data_2024_ver0!N2026</f>
        <v>0</v>
      </c>
      <c r="P2026" s="3">
        <f>parking_demand_data_2024_ver0!O2026</f>
        <v>0</v>
      </c>
      <c r="Q2026" s="3">
        <f>parking_demand_data_2024_ver0!P2026</f>
        <v>15</v>
      </c>
      <c r="R2026" s="3">
        <f>parking_demand_data_2024_ver0!Q2026</f>
        <v>0</v>
      </c>
      <c r="S2026" s="3">
        <f>parking_demand_data_2024_ver0!R2026</f>
        <v>0</v>
      </c>
      <c r="T2026" s="3">
        <f>parking_demand_data_2024_ver0!S2026</f>
        <v>0</v>
      </c>
    </row>
    <row r="2027" spans="1:20" x14ac:dyDescent="0.25">
      <c r="A2027">
        <v>18169</v>
      </c>
      <c r="B2027" t="s">
        <v>113</v>
      </c>
      <c r="C2027">
        <v>9</v>
      </c>
      <c r="D2027" s="3">
        <f>parking_demand_data_2024_ver0!D2027*calibration!$I$31</f>
        <v>0.54093640845584501</v>
      </c>
      <c r="E2027" s="3">
        <f>parking_demand_data_2024_ver0!E2027*calibration!$I$31</f>
        <v>4.8684276761026002</v>
      </c>
      <c r="F2027" s="3">
        <f t="shared" si="31"/>
        <v>5.4093640845584456</v>
      </c>
      <c r="G2027" s="3">
        <f>parking_demand_data_2024_ver0!F2027</f>
        <v>1</v>
      </c>
      <c r="H2027" s="3">
        <f>parking_demand_data_2024_ver0!G2027</f>
        <v>0</v>
      </c>
      <c r="I2027" s="3">
        <f>parking_demand_data_2024_ver0!H2027</f>
        <v>0</v>
      </c>
      <c r="J2027" s="3">
        <f>parking_demand_data_2024_ver0!I2027</f>
        <v>1</v>
      </c>
      <c r="K2027" s="3">
        <f>parking_demand_data_2024_ver0!J2027</f>
        <v>0</v>
      </c>
      <c r="L2027" s="3">
        <f>parking_demand_data_2024_ver0!K2027</f>
        <v>0</v>
      </c>
      <c r="M2027" s="3">
        <f>parking_demand_data_2024_ver0!L2027</f>
        <v>0</v>
      </c>
      <c r="N2027" s="3">
        <f>parking_demand_data_2024_ver0!M2027</f>
        <v>15</v>
      </c>
      <c r="O2027" s="3">
        <f>parking_demand_data_2024_ver0!N2027</f>
        <v>0</v>
      </c>
      <c r="P2027" s="3">
        <f>parking_demand_data_2024_ver0!O2027</f>
        <v>0</v>
      </c>
      <c r="Q2027" s="3">
        <f>parking_demand_data_2024_ver0!P2027</f>
        <v>15</v>
      </c>
      <c r="R2027" s="3">
        <f>parking_demand_data_2024_ver0!Q2027</f>
        <v>0</v>
      </c>
      <c r="S2027" s="3">
        <f>parking_demand_data_2024_ver0!R2027</f>
        <v>0</v>
      </c>
      <c r="T2027" s="3">
        <f>parking_demand_data_2024_ver0!S2027</f>
        <v>0</v>
      </c>
    </row>
    <row r="2028" spans="1:20" x14ac:dyDescent="0.25">
      <c r="A2028">
        <v>18169</v>
      </c>
      <c r="B2028" t="s">
        <v>113</v>
      </c>
      <c r="C2028">
        <v>10</v>
      </c>
      <c r="D2028" s="3">
        <f>parking_demand_data_2024_ver0!D2028*calibration!$I$31</f>
        <v>0.33808525528490302</v>
      </c>
      <c r="E2028" s="3">
        <f>parking_demand_data_2024_ver0!E2028*calibration!$I$31</f>
        <v>4.1922571655327996</v>
      </c>
      <c r="F2028" s="3">
        <f t="shared" si="31"/>
        <v>4.5303424208177026</v>
      </c>
      <c r="G2028" s="3">
        <f>parking_demand_data_2024_ver0!F2028</f>
        <v>1</v>
      </c>
      <c r="H2028" s="3">
        <f>parking_demand_data_2024_ver0!G2028</f>
        <v>0</v>
      </c>
      <c r="I2028" s="3">
        <f>parking_demand_data_2024_ver0!H2028</f>
        <v>0</v>
      </c>
      <c r="J2028" s="3">
        <f>parking_demand_data_2024_ver0!I2028</f>
        <v>1</v>
      </c>
      <c r="K2028" s="3">
        <f>parking_demand_data_2024_ver0!J2028</f>
        <v>0</v>
      </c>
      <c r="L2028" s="3">
        <f>parking_demand_data_2024_ver0!K2028</f>
        <v>0</v>
      </c>
      <c r="M2028" s="3">
        <f>parking_demand_data_2024_ver0!L2028</f>
        <v>0</v>
      </c>
      <c r="N2028" s="3">
        <f>parking_demand_data_2024_ver0!M2028</f>
        <v>15</v>
      </c>
      <c r="O2028" s="3">
        <f>parking_demand_data_2024_ver0!N2028</f>
        <v>0</v>
      </c>
      <c r="P2028" s="3">
        <f>parking_demand_data_2024_ver0!O2028</f>
        <v>0</v>
      </c>
      <c r="Q2028" s="3">
        <f>parking_demand_data_2024_ver0!P2028</f>
        <v>15</v>
      </c>
      <c r="R2028" s="3">
        <f>parking_demand_data_2024_ver0!Q2028</f>
        <v>0</v>
      </c>
      <c r="S2028" s="3">
        <f>parking_demand_data_2024_ver0!R2028</f>
        <v>0</v>
      </c>
      <c r="T2028" s="3">
        <f>parking_demand_data_2024_ver0!S2028</f>
        <v>0</v>
      </c>
    </row>
    <row r="2029" spans="1:20" x14ac:dyDescent="0.25">
      <c r="A2029">
        <v>18169</v>
      </c>
      <c r="B2029" t="s">
        <v>113</v>
      </c>
      <c r="C2029">
        <v>11</v>
      </c>
      <c r="D2029" s="3">
        <f>parking_demand_data_2024_ver0!D2029*calibration!$I$31</f>
        <v>0.40570230634188398</v>
      </c>
      <c r="E2029" s="3">
        <f>parking_demand_data_2024_ver0!E2029*calibration!$I$31</f>
        <v>2.02851153170942</v>
      </c>
      <c r="F2029" s="3">
        <f t="shared" si="31"/>
        <v>2.4342138380513041</v>
      </c>
      <c r="G2029" s="3">
        <f>parking_demand_data_2024_ver0!F2029</f>
        <v>1</v>
      </c>
      <c r="H2029" s="3">
        <f>parking_demand_data_2024_ver0!G2029</f>
        <v>0</v>
      </c>
      <c r="I2029" s="3">
        <f>parking_demand_data_2024_ver0!H2029</f>
        <v>0</v>
      </c>
      <c r="J2029" s="3">
        <f>parking_demand_data_2024_ver0!I2029</f>
        <v>1</v>
      </c>
      <c r="K2029" s="3">
        <f>parking_demand_data_2024_ver0!J2029</f>
        <v>0</v>
      </c>
      <c r="L2029" s="3">
        <f>parking_demand_data_2024_ver0!K2029</f>
        <v>0</v>
      </c>
      <c r="M2029" s="3">
        <f>parking_demand_data_2024_ver0!L2029</f>
        <v>0</v>
      </c>
      <c r="N2029" s="3">
        <f>parking_demand_data_2024_ver0!M2029</f>
        <v>15</v>
      </c>
      <c r="O2029" s="3">
        <f>parking_demand_data_2024_ver0!N2029</f>
        <v>0</v>
      </c>
      <c r="P2029" s="3">
        <f>parking_demand_data_2024_ver0!O2029</f>
        <v>0</v>
      </c>
      <c r="Q2029" s="3">
        <f>parking_demand_data_2024_ver0!P2029</f>
        <v>15</v>
      </c>
      <c r="R2029" s="3">
        <f>parking_demand_data_2024_ver0!Q2029</f>
        <v>0</v>
      </c>
      <c r="S2029" s="3">
        <f>parking_demand_data_2024_ver0!R2029</f>
        <v>0</v>
      </c>
      <c r="T2029" s="3">
        <f>parking_demand_data_2024_ver0!S2029</f>
        <v>0</v>
      </c>
    </row>
    <row r="2030" spans="1:20" x14ac:dyDescent="0.25">
      <c r="A2030">
        <v>18169</v>
      </c>
      <c r="B2030" t="s">
        <v>113</v>
      </c>
      <c r="C2030">
        <v>12</v>
      </c>
      <c r="D2030" s="3">
        <f>parking_demand_data_2024_ver0!D2030*calibration!$I$31</f>
        <v>0.87902166374074797</v>
      </c>
      <c r="E2030" s="3">
        <f>parking_demand_data_2024_ver0!E2030*calibration!$I$31</f>
        <v>2.5694479401652601</v>
      </c>
      <c r="F2030" s="3">
        <f t="shared" si="31"/>
        <v>3.4484696039060081</v>
      </c>
      <c r="G2030" s="3">
        <f>parking_demand_data_2024_ver0!F2030</f>
        <v>1</v>
      </c>
      <c r="H2030" s="3">
        <f>parking_demand_data_2024_ver0!G2030</f>
        <v>0</v>
      </c>
      <c r="I2030" s="3">
        <f>parking_demand_data_2024_ver0!H2030</f>
        <v>0</v>
      </c>
      <c r="J2030" s="3">
        <f>parking_demand_data_2024_ver0!I2030</f>
        <v>1</v>
      </c>
      <c r="K2030" s="3">
        <f>parking_demand_data_2024_ver0!J2030</f>
        <v>0</v>
      </c>
      <c r="L2030" s="3">
        <f>parking_demand_data_2024_ver0!K2030</f>
        <v>0</v>
      </c>
      <c r="M2030" s="3">
        <f>parking_demand_data_2024_ver0!L2030</f>
        <v>0</v>
      </c>
      <c r="N2030" s="3">
        <f>parking_demand_data_2024_ver0!M2030</f>
        <v>15</v>
      </c>
      <c r="O2030" s="3">
        <f>parking_demand_data_2024_ver0!N2030</f>
        <v>0</v>
      </c>
      <c r="P2030" s="3">
        <f>parking_demand_data_2024_ver0!O2030</f>
        <v>0</v>
      </c>
      <c r="Q2030" s="3">
        <f>parking_demand_data_2024_ver0!P2030</f>
        <v>15</v>
      </c>
      <c r="R2030" s="3">
        <f>parking_demand_data_2024_ver0!Q2030</f>
        <v>0</v>
      </c>
      <c r="S2030" s="3">
        <f>parking_demand_data_2024_ver0!R2030</f>
        <v>0</v>
      </c>
      <c r="T2030" s="3">
        <f>parking_demand_data_2024_ver0!S2030</f>
        <v>0</v>
      </c>
    </row>
    <row r="2031" spans="1:20" x14ac:dyDescent="0.25">
      <c r="A2031">
        <v>18169</v>
      </c>
      <c r="B2031" t="s">
        <v>113</v>
      </c>
      <c r="C2031">
        <v>13</v>
      </c>
      <c r="D2031" s="3">
        <f>parking_demand_data_2024_ver0!D2031*calibration!$I$31</f>
        <v>0.40570230634188398</v>
      </c>
      <c r="E2031" s="3">
        <f>parking_demand_data_2024_ver0!E2031*calibration!$I$31</f>
        <v>0.81140461268376796</v>
      </c>
      <c r="F2031" s="3">
        <f t="shared" si="31"/>
        <v>1.2171069190256518</v>
      </c>
      <c r="G2031" s="3">
        <f>parking_demand_data_2024_ver0!F2031</f>
        <v>1</v>
      </c>
      <c r="H2031" s="3">
        <f>parking_demand_data_2024_ver0!G2031</f>
        <v>0</v>
      </c>
      <c r="I2031" s="3">
        <f>parking_demand_data_2024_ver0!H2031</f>
        <v>0</v>
      </c>
      <c r="J2031" s="3">
        <f>parking_demand_data_2024_ver0!I2031</f>
        <v>1</v>
      </c>
      <c r="K2031" s="3">
        <f>parking_demand_data_2024_ver0!J2031</f>
        <v>0</v>
      </c>
      <c r="L2031" s="3">
        <f>parking_demand_data_2024_ver0!K2031</f>
        <v>0</v>
      </c>
      <c r="M2031" s="3">
        <f>parking_demand_data_2024_ver0!L2031</f>
        <v>0</v>
      </c>
      <c r="N2031" s="3">
        <f>parking_demand_data_2024_ver0!M2031</f>
        <v>15</v>
      </c>
      <c r="O2031" s="3">
        <f>parking_demand_data_2024_ver0!N2031</f>
        <v>0</v>
      </c>
      <c r="P2031" s="3">
        <f>parking_demand_data_2024_ver0!O2031</f>
        <v>0</v>
      </c>
      <c r="Q2031" s="3">
        <f>parking_demand_data_2024_ver0!P2031</f>
        <v>15</v>
      </c>
      <c r="R2031" s="3">
        <f>parking_demand_data_2024_ver0!Q2031</f>
        <v>0</v>
      </c>
      <c r="S2031" s="3">
        <f>parking_demand_data_2024_ver0!R2031</f>
        <v>0</v>
      </c>
      <c r="T2031" s="3">
        <f>parking_demand_data_2024_ver0!S2031</f>
        <v>0</v>
      </c>
    </row>
    <row r="2032" spans="1:20" x14ac:dyDescent="0.25">
      <c r="A2032">
        <v>18169</v>
      </c>
      <c r="B2032" t="s">
        <v>113</v>
      </c>
      <c r="C2032">
        <v>14</v>
      </c>
      <c r="D2032" s="3">
        <f>parking_demand_data_2024_ver0!D2032*calibration!$I$31</f>
        <v>0.54093640845584501</v>
      </c>
      <c r="E2032" s="3">
        <f>parking_demand_data_2024_ver0!E2032*calibration!$I$31</f>
        <v>0.270468204227922</v>
      </c>
      <c r="F2032" s="3">
        <f t="shared" si="31"/>
        <v>0.81140461268376707</v>
      </c>
      <c r="G2032" s="3">
        <f>parking_demand_data_2024_ver0!F2032</f>
        <v>1</v>
      </c>
      <c r="H2032" s="3">
        <f>parking_demand_data_2024_ver0!G2032</f>
        <v>0</v>
      </c>
      <c r="I2032" s="3">
        <f>parking_demand_data_2024_ver0!H2032</f>
        <v>0</v>
      </c>
      <c r="J2032" s="3">
        <f>parking_demand_data_2024_ver0!I2032</f>
        <v>1</v>
      </c>
      <c r="K2032" s="3">
        <f>parking_demand_data_2024_ver0!J2032</f>
        <v>0</v>
      </c>
      <c r="L2032" s="3">
        <f>parking_demand_data_2024_ver0!K2032</f>
        <v>0</v>
      </c>
      <c r="M2032" s="3">
        <f>parking_demand_data_2024_ver0!L2032</f>
        <v>0</v>
      </c>
      <c r="N2032" s="3">
        <f>parking_demand_data_2024_ver0!M2032</f>
        <v>15</v>
      </c>
      <c r="O2032" s="3">
        <f>parking_demand_data_2024_ver0!N2032</f>
        <v>0</v>
      </c>
      <c r="P2032" s="3">
        <f>parking_demand_data_2024_ver0!O2032</f>
        <v>0</v>
      </c>
      <c r="Q2032" s="3">
        <f>parking_demand_data_2024_ver0!P2032</f>
        <v>15</v>
      </c>
      <c r="R2032" s="3">
        <f>parking_demand_data_2024_ver0!Q2032</f>
        <v>0</v>
      </c>
      <c r="S2032" s="3">
        <f>parking_demand_data_2024_ver0!R2032</f>
        <v>0</v>
      </c>
      <c r="T2032" s="3">
        <f>parking_demand_data_2024_ver0!S2032</f>
        <v>0</v>
      </c>
    </row>
    <row r="2033" spans="1:20" x14ac:dyDescent="0.25">
      <c r="A2033">
        <v>18169</v>
      </c>
      <c r="B2033" t="s">
        <v>113</v>
      </c>
      <c r="C2033">
        <v>15</v>
      </c>
      <c r="D2033" s="3">
        <f>parking_demand_data_2024_ver0!D2033*calibration!$I$31</f>
        <v>0.87902166374074797</v>
      </c>
      <c r="E2033" s="3">
        <f>parking_demand_data_2024_ver0!E2033*calibration!$I$31</f>
        <v>0</v>
      </c>
      <c r="F2033" s="3">
        <f t="shared" si="31"/>
        <v>0.87902166374074797</v>
      </c>
      <c r="G2033" s="3">
        <f>parking_demand_data_2024_ver0!F2033</f>
        <v>1</v>
      </c>
      <c r="H2033" s="3">
        <f>parking_demand_data_2024_ver0!G2033</f>
        <v>0</v>
      </c>
      <c r="I2033" s="3">
        <f>parking_demand_data_2024_ver0!H2033</f>
        <v>0</v>
      </c>
      <c r="J2033" s="3">
        <f>parking_demand_data_2024_ver0!I2033</f>
        <v>1</v>
      </c>
      <c r="K2033" s="3">
        <f>parking_demand_data_2024_ver0!J2033</f>
        <v>0</v>
      </c>
      <c r="L2033" s="3">
        <f>parking_demand_data_2024_ver0!K2033</f>
        <v>0</v>
      </c>
      <c r="M2033" s="3">
        <f>parking_demand_data_2024_ver0!L2033</f>
        <v>0</v>
      </c>
      <c r="N2033" s="3">
        <f>parking_demand_data_2024_ver0!M2033</f>
        <v>15</v>
      </c>
      <c r="O2033" s="3">
        <f>parking_demand_data_2024_ver0!N2033</f>
        <v>0</v>
      </c>
      <c r="P2033" s="3">
        <f>parking_demand_data_2024_ver0!O2033</f>
        <v>0</v>
      </c>
      <c r="Q2033" s="3">
        <f>parking_demand_data_2024_ver0!P2033</f>
        <v>15</v>
      </c>
      <c r="R2033" s="3">
        <f>parking_demand_data_2024_ver0!Q2033</f>
        <v>0</v>
      </c>
      <c r="S2033" s="3">
        <f>parking_demand_data_2024_ver0!R2033</f>
        <v>0</v>
      </c>
      <c r="T2033" s="3">
        <f>parking_demand_data_2024_ver0!S2033</f>
        <v>0</v>
      </c>
    </row>
    <row r="2034" spans="1:20" x14ac:dyDescent="0.25">
      <c r="A2034">
        <v>18169</v>
      </c>
      <c r="B2034" t="s">
        <v>113</v>
      </c>
      <c r="C2034">
        <v>16</v>
      </c>
      <c r="D2034" s="3">
        <f>parking_demand_data_2024_ver0!D2034*calibration!$I$31</f>
        <v>0.74378756162678705</v>
      </c>
      <c r="E2034" s="3">
        <f>parking_demand_data_2024_ver0!E2034*calibration!$I$31</f>
        <v>0.135234102113961</v>
      </c>
      <c r="F2034" s="3">
        <f t="shared" si="31"/>
        <v>0.87902166374074808</v>
      </c>
      <c r="G2034" s="3">
        <f>parking_demand_data_2024_ver0!F2034</f>
        <v>1</v>
      </c>
      <c r="H2034" s="3">
        <f>parking_demand_data_2024_ver0!G2034</f>
        <v>0</v>
      </c>
      <c r="I2034" s="3">
        <f>parking_demand_data_2024_ver0!H2034</f>
        <v>0</v>
      </c>
      <c r="J2034" s="3">
        <f>parking_demand_data_2024_ver0!I2034</f>
        <v>1</v>
      </c>
      <c r="K2034" s="3">
        <f>parking_demand_data_2024_ver0!J2034</f>
        <v>0</v>
      </c>
      <c r="L2034" s="3">
        <f>parking_demand_data_2024_ver0!K2034</f>
        <v>0</v>
      </c>
      <c r="M2034" s="3">
        <f>parking_demand_data_2024_ver0!L2034</f>
        <v>0</v>
      </c>
      <c r="N2034" s="3">
        <f>parking_demand_data_2024_ver0!M2034</f>
        <v>15</v>
      </c>
      <c r="O2034" s="3">
        <f>parking_demand_data_2024_ver0!N2034</f>
        <v>0</v>
      </c>
      <c r="P2034" s="3">
        <f>parking_demand_data_2024_ver0!O2034</f>
        <v>0</v>
      </c>
      <c r="Q2034" s="3">
        <f>parking_demand_data_2024_ver0!P2034</f>
        <v>15</v>
      </c>
      <c r="R2034" s="3">
        <f>parking_demand_data_2024_ver0!Q2034</f>
        <v>0</v>
      </c>
      <c r="S2034" s="3">
        <f>parking_demand_data_2024_ver0!R2034</f>
        <v>0</v>
      </c>
      <c r="T2034" s="3">
        <f>parking_demand_data_2024_ver0!S2034</f>
        <v>0</v>
      </c>
    </row>
    <row r="2035" spans="1:20" x14ac:dyDescent="0.25">
      <c r="A2035">
        <v>18169</v>
      </c>
      <c r="B2035" t="s">
        <v>113</v>
      </c>
      <c r="C2035">
        <v>17</v>
      </c>
      <c r="D2035" s="3">
        <f>parking_demand_data_2024_ver0!D2035*calibration!$I$31</f>
        <v>1.01425576585471</v>
      </c>
      <c r="E2035" s="3">
        <f>parking_demand_data_2024_ver0!E2035*calibration!$I$31</f>
        <v>0.135234102113961</v>
      </c>
      <c r="F2035" s="3">
        <f t="shared" si="31"/>
        <v>1.1494898679686709</v>
      </c>
      <c r="G2035" s="3">
        <f>parking_demand_data_2024_ver0!F2035</f>
        <v>1</v>
      </c>
      <c r="H2035" s="3">
        <f>parking_demand_data_2024_ver0!G2035</f>
        <v>0</v>
      </c>
      <c r="I2035" s="3">
        <f>parking_demand_data_2024_ver0!H2035</f>
        <v>0</v>
      </c>
      <c r="J2035" s="3">
        <f>parking_demand_data_2024_ver0!I2035</f>
        <v>1</v>
      </c>
      <c r="K2035" s="3">
        <f>parking_demand_data_2024_ver0!J2035</f>
        <v>0</v>
      </c>
      <c r="L2035" s="3">
        <f>parking_demand_data_2024_ver0!K2035</f>
        <v>0</v>
      </c>
      <c r="M2035" s="3">
        <f>parking_demand_data_2024_ver0!L2035</f>
        <v>0</v>
      </c>
      <c r="N2035" s="3">
        <f>parking_demand_data_2024_ver0!M2035</f>
        <v>15</v>
      </c>
      <c r="O2035" s="3">
        <f>parking_demand_data_2024_ver0!N2035</f>
        <v>0</v>
      </c>
      <c r="P2035" s="3">
        <f>parking_demand_data_2024_ver0!O2035</f>
        <v>0</v>
      </c>
      <c r="Q2035" s="3">
        <f>parking_demand_data_2024_ver0!P2035</f>
        <v>15</v>
      </c>
      <c r="R2035" s="3">
        <f>parking_demand_data_2024_ver0!Q2035</f>
        <v>0</v>
      </c>
      <c r="S2035" s="3">
        <f>parking_demand_data_2024_ver0!R2035</f>
        <v>0</v>
      </c>
      <c r="T2035" s="3">
        <f>parking_demand_data_2024_ver0!S2035</f>
        <v>0</v>
      </c>
    </row>
    <row r="2036" spans="1:20" x14ac:dyDescent="0.25">
      <c r="A2036">
        <v>18169</v>
      </c>
      <c r="B2036" t="s">
        <v>113</v>
      </c>
      <c r="C2036">
        <v>18</v>
      </c>
      <c r="D2036" s="3">
        <f>parking_demand_data_2024_ver0!D2036*calibration!$I$31</f>
        <v>1.08187281691169</v>
      </c>
      <c r="E2036" s="3">
        <f>parking_demand_data_2024_ver0!E2036*calibration!$I$31</f>
        <v>0</v>
      </c>
      <c r="F2036" s="3">
        <f t="shared" si="31"/>
        <v>1.08187281691169</v>
      </c>
      <c r="G2036" s="3">
        <f>parking_demand_data_2024_ver0!F2036</f>
        <v>1</v>
      </c>
      <c r="H2036" s="3">
        <f>parking_demand_data_2024_ver0!G2036</f>
        <v>0</v>
      </c>
      <c r="I2036" s="3">
        <f>parking_demand_data_2024_ver0!H2036</f>
        <v>0</v>
      </c>
      <c r="J2036" s="3">
        <f>parking_demand_data_2024_ver0!I2036</f>
        <v>1</v>
      </c>
      <c r="K2036" s="3">
        <f>parking_demand_data_2024_ver0!J2036</f>
        <v>0</v>
      </c>
      <c r="L2036" s="3">
        <f>parking_demand_data_2024_ver0!K2036</f>
        <v>0</v>
      </c>
      <c r="M2036" s="3">
        <f>parking_demand_data_2024_ver0!L2036</f>
        <v>0</v>
      </c>
      <c r="N2036" s="3">
        <f>parking_demand_data_2024_ver0!M2036</f>
        <v>15</v>
      </c>
      <c r="O2036" s="3">
        <f>parking_demand_data_2024_ver0!N2036</f>
        <v>0</v>
      </c>
      <c r="P2036" s="3">
        <f>parking_demand_data_2024_ver0!O2036</f>
        <v>0</v>
      </c>
      <c r="Q2036" s="3">
        <f>parking_demand_data_2024_ver0!P2036</f>
        <v>15</v>
      </c>
      <c r="R2036" s="3">
        <f>parking_demand_data_2024_ver0!Q2036</f>
        <v>0</v>
      </c>
      <c r="S2036" s="3">
        <f>parking_demand_data_2024_ver0!R2036</f>
        <v>0</v>
      </c>
      <c r="T2036" s="3">
        <f>parking_demand_data_2024_ver0!S2036</f>
        <v>0</v>
      </c>
    </row>
    <row r="2037" spans="1:20" x14ac:dyDescent="0.25">
      <c r="A2037">
        <v>18169</v>
      </c>
      <c r="B2037" t="s">
        <v>113</v>
      </c>
      <c r="C2037">
        <v>19</v>
      </c>
      <c r="D2037" s="3">
        <f>parking_demand_data_2024_ver0!D2037*calibration!$I$31</f>
        <v>1.2847239700826301</v>
      </c>
      <c r="E2037" s="3">
        <f>parking_demand_data_2024_ver0!E2037*calibration!$I$31</f>
        <v>0</v>
      </c>
      <c r="F2037" s="3">
        <f t="shared" si="31"/>
        <v>1.2847239700826301</v>
      </c>
      <c r="G2037" s="3">
        <f>parking_demand_data_2024_ver0!F2037</f>
        <v>1</v>
      </c>
      <c r="H2037" s="3">
        <f>parking_demand_data_2024_ver0!G2037</f>
        <v>0</v>
      </c>
      <c r="I2037" s="3">
        <f>parking_demand_data_2024_ver0!H2037</f>
        <v>0</v>
      </c>
      <c r="J2037" s="3">
        <f>parking_demand_data_2024_ver0!I2037</f>
        <v>1</v>
      </c>
      <c r="K2037" s="3">
        <f>parking_demand_data_2024_ver0!J2037</f>
        <v>0</v>
      </c>
      <c r="L2037" s="3">
        <f>parking_demand_data_2024_ver0!K2037</f>
        <v>0</v>
      </c>
      <c r="M2037" s="3">
        <f>parking_demand_data_2024_ver0!L2037</f>
        <v>0</v>
      </c>
      <c r="N2037" s="3">
        <f>parking_demand_data_2024_ver0!M2037</f>
        <v>15</v>
      </c>
      <c r="O2037" s="3">
        <f>parking_demand_data_2024_ver0!N2037</f>
        <v>0</v>
      </c>
      <c r="P2037" s="3">
        <f>parking_demand_data_2024_ver0!O2037</f>
        <v>0</v>
      </c>
      <c r="Q2037" s="3">
        <f>parking_demand_data_2024_ver0!P2037</f>
        <v>15</v>
      </c>
      <c r="R2037" s="3">
        <f>parking_demand_data_2024_ver0!Q2037</f>
        <v>0</v>
      </c>
      <c r="S2037" s="3">
        <f>parking_demand_data_2024_ver0!R2037</f>
        <v>0</v>
      </c>
      <c r="T2037" s="3">
        <f>parking_demand_data_2024_ver0!S2037</f>
        <v>0</v>
      </c>
    </row>
    <row r="2038" spans="1:20" x14ac:dyDescent="0.25">
      <c r="A2038">
        <v>18169</v>
      </c>
      <c r="B2038" t="s">
        <v>113</v>
      </c>
      <c r="C2038">
        <v>20</v>
      </c>
      <c r="D2038" s="3">
        <f>parking_demand_data_2024_ver0!D2038*calibration!$I$31</f>
        <v>1.3523410211396101</v>
      </c>
      <c r="E2038" s="3">
        <f>parking_demand_data_2024_ver0!E2038*calibration!$I$31</f>
        <v>0</v>
      </c>
      <c r="F2038" s="3">
        <f t="shared" si="31"/>
        <v>1.3523410211396101</v>
      </c>
      <c r="G2038" s="3">
        <f>parking_demand_data_2024_ver0!F2038</f>
        <v>1</v>
      </c>
      <c r="H2038" s="3">
        <f>parking_demand_data_2024_ver0!G2038</f>
        <v>0</v>
      </c>
      <c r="I2038" s="3">
        <f>parking_demand_data_2024_ver0!H2038</f>
        <v>0</v>
      </c>
      <c r="J2038" s="3">
        <f>parking_demand_data_2024_ver0!I2038</f>
        <v>1</v>
      </c>
      <c r="K2038" s="3">
        <f>parking_demand_data_2024_ver0!J2038</f>
        <v>0</v>
      </c>
      <c r="L2038" s="3">
        <f>parking_demand_data_2024_ver0!K2038</f>
        <v>0</v>
      </c>
      <c r="M2038" s="3">
        <f>parking_demand_data_2024_ver0!L2038</f>
        <v>0</v>
      </c>
      <c r="N2038" s="3">
        <f>parking_demand_data_2024_ver0!M2038</f>
        <v>15</v>
      </c>
      <c r="O2038" s="3">
        <f>parking_demand_data_2024_ver0!N2038</f>
        <v>0</v>
      </c>
      <c r="P2038" s="3">
        <f>parking_demand_data_2024_ver0!O2038</f>
        <v>0</v>
      </c>
      <c r="Q2038" s="3">
        <f>parking_demand_data_2024_ver0!P2038</f>
        <v>15</v>
      </c>
      <c r="R2038" s="3">
        <f>parking_demand_data_2024_ver0!Q2038</f>
        <v>0</v>
      </c>
      <c r="S2038" s="3">
        <f>parking_demand_data_2024_ver0!R2038</f>
        <v>0</v>
      </c>
      <c r="T2038" s="3">
        <f>parking_demand_data_2024_ver0!S2038</f>
        <v>0</v>
      </c>
    </row>
    <row r="2039" spans="1:20" x14ac:dyDescent="0.25">
      <c r="A2039">
        <v>18169</v>
      </c>
      <c r="B2039" t="s">
        <v>113</v>
      </c>
      <c r="C2039">
        <v>21</v>
      </c>
      <c r="D2039" s="3">
        <f>parking_demand_data_2024_ver0!D2039*calibration!$I$31</f>
        <v>1.2847239700826301</v>
      </c>
      <c r="E2039" s="3">
        <f>parking_demand_data_2024_ver0!E2039*calibration!$I$31</f>
        <v>0</v>
      </c>
      <c r="F2039" s="3">
        <f t="shared" si="31"/>
        <v>1.2847239700826301</v>
      </c>
      <c r="G2039" s="3">
        <f>parking_demand_data_2024_ver0!F2039</f>
        <v>1</v>
      </c>
      <c r="H2039" s="3">
        <f>parking_demand_data_2024_ver0!G2039</f>
        <v>0</v>
      </c>
      <c r="I2039" s="3">
        <f>parking_demand_data_2024_ver0!H2039</f>
        <v>0</v>
      </c>
      <c r="J2039" s="3">
        <f>parking_demand_data_2024_ver0!I2039</f>
        <v>1</v>
      </c>
      <c r="K2039" s="3">
        <f>parking_demand_data_2024_ver0!J2039</f>
        <v>0</v>
      </c>
      <c r="L2039" s="3">
        <f>parking_demand_data_2024_ver0!K2039</f>
        <v>0</v>
      </c>
      <c r="M2039" s="3">
        <f>parking_demand_data_2024_ver0!L2039</f>
        <v>0</v>
      </c>
      <c r="N2039" s="3">
        <f>parking_demand_data_2024_ver0!M2039</f>
        <v>15</v>
      </c>
      <c r="O2039" s="3">
        <f>parking_demand_data_2024_ver0!N2039</f>
        <v>0</v>
      </c>
      <c r="P2039" s="3">
        <f>parking_demand_data_2024_ver0!O2039</f>
        <v>0</v>
      </c>
      <c r="Q2039" s="3">
        <f>parking_demand_data_2024_ver0!P2039</f>
        <v>15</v>
      </c>
      <c r="R2039" s="3">
        <f>parking_demand_data_2024_ver0!Q2039</f>
        <v>0</v>
      </c>
      <c r="S2039" s="3">
        <f>parking_demand_data_2024_ver0!R2039</f>
        <v>0</v>
      </c>
      <c r="T2039" s="3">
        <f>parking_demand_data_2024_ver0!S2039</f>
        <v>0</v>
      </c>
    </row>
    <row r="2040" spans="1:20" x14ac:dyDescent="0.25">
      <c r="A2040">
        <v>18169</v>
      </c>
      <c r="B2040" t="s">
        <v>113</v>
      </c>
      <c r="C2040">
        <v>22</v>
      </c>
      <c r="D2040" s="3">
        <f>parking_demand_data_2024_ver0!D2040*calibration!$I$31</f>
        <v>1.4199580721965901</v>
      </c>
      <c r="E2040" s="3">
        <f>parking_demand_data_2024_ver0!E2040*calibration!$I$31</f>
        <v>0</v>
      </c>
      <c r="F2040" s="3">
        <f t="shared" si="31"/>
        <v>1.4199580721965901</v>
      </c>
      <c r="G2040" s="3">
        <f>parking_demand_data_2024_ver0!F2040</f>
        <v>1</v>
      </c>
      <c r="H2040" s="3">
        <f>parking_demand_data_2024_ver0!G2040</f>
        <v>0</v>
      </c>
      <c r="I2040" s="3">
        <f>parking_demand_data_2024_ver0!H2040</f>
        <v>0</v>
      </c>
      <c r="J2040" s="3">
        <f>parking_demand_data_2024_ver0!I2040</f>
        <v>1</v>
      </c>
      <c r="K2040" s="3">
        <f>parking_demand_data_2024_ver0!J2040</f>
        <v>0</v>
      </c>
      <c r="L2040" s="3">
        <f>parking_demand_data_2024_ver0!K2040</f>
        <v>0</v>
      </c>
      <c r="M2040" s="3">
        <f>parking_demand_data_2024_ver0!L2040</f>
        <v>0</v>
      </c>
      <c r="N2040" s="3">
        <f>parking_demand_data_2024_ver0!M2040</f>
        <v>15</v>
      </c>
      <c r="O2040" s="3">
        <f>parking_demand_data_2024_ver0!N2040</f>
        <v>0</v>
      </c>
      <c r="P2040" s="3">
        <f>parking_demand_data_2024_ver0!O2040</f>
        <v>0</v>
      </c>
      <c r="Q2040" s="3">
        <f>parking_demand_data_2024_ver0!P2040</f>
        <v>15</v>
      </c>
      <c r="R2040" s="3">
        <f>parking_demand_data_2024_ver0!Q2040</f>
        <v>0</v>
      </c>
      <c r="S2040" s="3">
        <f>parking_demand_data_2024_ver0!R2040</f>
        <v>0</v>
      </c>
      <c r="T2040" s="3">
        <f>parking_demand_data_2024_ver0!S2040</f>
        <v>0</v>
      </c>
    </row>
    <row r="2041" spans="1:20" x14ac:dyDescent="0.25">
      <c r="A2041">
        <v>18169</v>
      </c>
      <c r="B2041" t="s">
        <v>113</v>
      </c>
      <c r="C2041">
        <v>23</v>
      </c>
      <c r="D2041" s="3">
        <f>parking_demand_data_2024_ver0!D2041*calibration!$I$31</f>
        <v>1.4875751232535701</v>
      </c>
      <c r="E2041" s="3">
        <f>parking_demand_data_2024_ver0!E2041*calibration!$I$31</f>
        <v>0</v>
      </c>
      <c r="F2041" s="3">
        <f t="shared" si="31"/>
        <v>1.4875751232535701</v>
      </c>
      <c r="G2041" s="3">
        <f>parking_demand_data_2024_ver0!F2041</f>
        <v>1</v>
      </c>
      <c r="H2041" s="3">
        <f>parking_demand_data_2024_ver0!G2041</f>
        <v>0</v>
      </c>
      <c r="I2041" s="3">
        <f>parking_demand_data_2024_ver0!H2041</f>
        <v>0</v>
      </c>
      <c r="J2041" s="3">
        <f>parking_demand_data_2024_ver0!I2041</f>
        <v>1</v>
      </c>
      <c r="K2041" s="3">
        <f>parking_demand_data_2024_ver0!J2041</f>
        <v>0</v>
      </c>
      <c r="L2041" s="3">
        <f>parking_demand_data_2024_ver0!K2041</f>
        <v>0</v>
      </c>
      <c r="M2041" s="3">
        <f>parking_demand_data_2024_ver0!L2041</f>
        <v>0</v>
      </c>
      <c r="N2041" s="3">
        <f>parking_demand_data_2024_ver0!M2041</f>
        <v>15</v>
      </c>
      <c r="O2041" s="3">
        <f>parking_demand_data_2024_ver0!N2041</f>
        <v>0</v>
      </c>
      <c r="P2041" s="3">
        <f>parking_demand_data_2024_ver0!O2041</f>
        <v>0</v>
      </c>
      <c r="Q2041" s="3">
        <f>parking_demand_data_2024_ver0!P2041</f>
        <v>15</v>
      </c>
      <c r="R2041" s="3">
        <f>parking_demand_data_2024_ver0!Q2041</f>
        <v>0</v>
      </c>
      <c r="S2041" s="3">
        <f>parking_demand_data_2024_ver0!R2041</f>
        <v>0</v>
      </c>
      <c r="T2041" s="3">
        <f>parking_demand_data_2024_ver0!S2041</f>
        <v>0</v>
      </c>
    </row>
    <row r="2042" spans="1:20" x14ac:dyDescent="0.25">
      <c r="A2042">
        <v>18171</v>
      </c>
      <c r="B2042" t="s">
        <v>114</v>
      </c>
      <c r="C2042">
        <v>0</v>
      </c>
      <c r="D2042" s="3">
        <f>parking_demand_data_2024_ver0!D2042*calibration!$I$31</f>
        <v>0</v>
      </c>
      <c r="E2042" s="3">
        <f>parking_demand_data_2024_ver0!E2042*calibration!$I$31</f>
        <v>1.57413944874192</v>
      </c>
      <c r="F2042" s="3">
        <f t="shared" si="31"/>
        <v>1.57413944874192</v>
      </c>
      <c r="G2042" s="3">
        <f>parking_demand_data_2024_ver0!F2042</f>
        <v>0</v>
      </c>
      <c r="H2042" s="3">
        <f>parking_demand_data_2024_ver0!G2042</f>
        <v>0</v>
      </c>
      <c r="I2042" s="3">
        <f>parking_demand_data_2024_ver0!H2042</f>
        <v>0</v>
      </c>
      <c r="J2042" s="3">
        <f>parking_demand_data_2024_ver0!I2042</f>
        <v>0</v>
      </c>
      <c r="K2042" s="3">
        <f>parking_demand_data_2024_ver0!J2042</f>
        <v>0</v>
      </c>
      <c r="L2042" s="3">
        <f>parking_demand_data_2024_ver0!K2042</f>
        <v>0</v>
      </c>
      <c r="M2042" s="3">
        <f>parking_demand_data_2024_ver0!L2042</f>
        <v>0</v>
      </c>
      <c r="N2042" s="3">
        <f>parking_demand_data_2024_ver0!M2042</f>
        <v>0</v>
      </c>
      <c r="O2042" s="3">
        <f>parking_demand_data_2024_ver0!N2042</f>
        <v>0</v>
      </c>
      <c r="P2042" s="3">
        <f>parking_demand_data_2024_ver0!O2042</f>
        <v>0</v>
      </c>
      <c r="Q2042" s="3">
        <f>parking_demand_data_2024_ver0!P2042</f>
        <v>0</v>
      </c>
      <c r="R2042" s="3">
        <f>parking_demand_data_2024_ver0!Q2042</f>
        <v>0</v>
      </c>
      <c r="S2042" s="3">
        <f>parking_demand_data_2024_ver0!R2042</f>
        <v>0</v>
      </c>
      <c r="T2042" s="3">
        <f>parking_demand_data_2024_ver0!S2042</f>
        <v>0</v>
      </c>
    </row>
    <row r="2043" spans="1:20" x14ac:dyDescent="0.25">
      <c r="A2043">
        <v>18171</v>
      </c>
      <c r="B2043" t="s">
        <v>114</v>
      </c>
      <c r="C2043">
        <v>1</v>
      </c>
      <c r="D2043" s="3">
        <f>parking_demand_data_2024_ver0!D2043*calibration!$I$31</f>
        <v>0</v>
      </c>
      <c r="E2043" s="3">
        <f>parking_demand_data_2024_ver0!E2043*calibration!$I$31</f>
        <v>1.57413944874192</v>
      </c>
      <c r="F2043" s="3">
        <f t="shared" si="31"/>
        <v>1.57413944874192</v>
      </c>
      <c r="G2043" s="3">
        <f>parking_demand_data_2024_ver0!F2043</f>
        <v>0</v>
      </c>
      <c r="H2043" s="3">
        <f>parking_demand_data_2024_ver0!G2043</f>
        <v>0</v>
      </c>
      <c r="I2043" s="3">
        <f>parking_demand_data_2024_ver0!H2043</f>
        <v>0</v>
      </c>
      <c r="J2043" s="3">
        <f>parking_demand_data_2024_ver0!I2043</f>
        <v>0</v>
      </c>
      <c r="K2043" s="3">
        <f>parking_demand_data_2024_ver0!J2043</f>
        <v>0</v>
      </c>
      <c r="L2043" s="3">
        <f>parking_demand_data_2024_ver0!K2043</f>
        <v>0</v>
      </c>
      <c r="M2043" s="3">
        <f>parking_demand_data_2024_ver0!L2043</f>
        <v>0</v>
      </c>
      <c r="N2043" s="3">
        <f>parking_demand_data_2024_ver0!M2043</f>
        <v>0</v>
      </c>
      <c r="O2043" s="3">
        <f>parking_demand_data_2024_ver0!N2043</f>
        <v>0</v>
      </c>
      <c r="P2043" s="3">
        <f>parking_demand_data_2024_ver0!O2043</f>
        <v>0</v>
      </c>
      <c r="Q2043" s="3">
        <f>parking_demand_data_2024_ver0!P2043</f>
        <v>0</v>
      </c>
      <c r="R2043" s="3">
        <f>parking_demand_data_2024_ver0!Q2043</f>
        <v>0</v>
      </c>
      <c r="S2043" s="3">
        <f>parking_demand_data_2024_ver0!R2043</f>
        <v>0</v>
      </c>
      <c r="T2043" s="3">
        <f>parking_demand_data_2024_ver0!S2043</f>
        <v>0</v>
      </c>
    </row>
    <row r="2044" spans="1:20" x14ac:dyDescent="0.25">
      <c r="A2044">
        <v>18171</v>
      </c>
      <c r="B2044" t="s">
        <v>114</v>
      </c>
      <c r="C2044">
        <v>2</v>
      </c>
      <c r="D2044" s="3">
        <f>parking_demand_data_2024_ver0!D2044*calibration!$I$31</f>
        <v>0</v>
      </c>
      <c r="E2044" s="3">
        <f>parking_demand_data_2024_ver0!E2044*calibration!$I$31</f>
        <v>1.57413944874192</v>
      </c>
      <c r="F2044" s="3">
        <f t="shared" si="31"/>
        <v>1.57413944874192</v>
      </c>
      <c r="G2044" s="3">
        <f>parking_demand_data_2024_ver0!F2044</f>
        <v>0</v>
      </c>
      <c r="H2044" s="3">
        <f>parking_demand_data_2024_ver0!G2044</f>
        <v>0</v>
      </c>
      <c r="I2044" s="3">
        <f>parking_demand_data_2024_ver0!H2044</f>
        <v>0</v>
      </c>
      <c r="J2044" s="3">
        <f>parking_demand_data_2024_ver0!I2044</f>
        <v>0</v>
      </c>
      <c r="K2044" s="3">
        <f>parking_demand_data_2024_ver0!J2044</f>
        <v>0</v>
      </c>
      <c r="L2044" s="3">
        <f>parking_demand_data_2024_ver0!K2044</f>
        <v>0</v>
      </c>
      <c r="M2044" s="3">
        <f>parking_demand_data_2024_ver0!L2044</f>
        <v>0</v>
      </c>
      <c r="N2044" s="3">
        <f>parking_demand_data_2024_ver0!M2044</f>
        <v>0</v>
      </c>
      <c r="O2044" s="3">
        <f>parking_demand_data_2024_ver0!N2044</f>
        <v>0</v>
      </c>
      <c r="P2044" s="3">
        <f>parking_demand_data_2024_ver0!O2044</f>
        <v>0</v>
      </c>
      <c r="Q2044" s="3">
        <f>parking_demand_data_2024_ver0!P2044</f>
        <v>0</v>
      </c>
      <c r="R2044" s="3">
        <f>parking_demand_data_2024_ver0!Q2044</f>
        <v>0</v>
      </c>
      <c r="S2044" s="3">
        <f>parking_demand_data_2024_ver0!R2044</f>
        <v>0</v>
      </c>
      <c r="T2044" s="3">
        <f>parking_demand_data_2024_ver0!S2044</f>
        <v>0</v>
      </c>
    </row>
    <row r="2045" spans="1:20" x14ac:dyDescent="0.25">
      <c r="A2045">
        <v>18171</v>
      </c>
      <c r="B2045" t="s">
        <v>114</v>
      </c>
      <c r="C2045">
        <v>3</v>
      </c>
      <c r="D2045" s="3">
        <f>parking_demand_data_2024_ver0!D2045*calibration!$I$31</f>
        <v>0</v>
      </c>
      <c r="E2045" s="3">
        <f>parking_demand_data_2024_ver0!E2045*calibration!$I$31</f>
        <v>1.57413944874192</v>
      </c>
      <c r="F2045" s="3">
        <f t="shared" si="31"/>
        <v>1.57413944874192</v>
      </c>
      <c r="G2045" s="3">
        <f>parking_demand_data_2024_ver0!F2045</f>
        <v>0</v>
      </c>
      <c r="H2045" s="3">
        <f>parking_demand_data_2024_ver0!G2045</f>
        <v>0</v>
      </c>
      <c r="I2045" s="3">
        <f>parking_demand_data_2024_ver0!H2045</f>
        <v>0</v>
      </c>
      <c r="J2045" s="3">
        <f>parking_demand_data_2024_ver0!I2045</f>
        <v>0</v>
      </c>
      <c r="K2045" s="3">
        <f>parking_demand_data_2024_ver0!J2045</f>
        <v>0</v>
      </c>
      <c r="L2045" s="3">
        <f>parking_demand_data_2024_ver0!K2045</f>
        <v>0</v>
      </c>
      <c r="M2045" s="3">
        <f>parking_demand_data_2024_ver0!L2045</f>
        <v>0</v>
      </c>
      <c r="N2045" s="3">
        <f>parking_demand_data_2024_ver0!M2045</f>
        <v>0</v>
      </c>
      <c r="O2045" s="3">
        <f>parking_demand_data_2024_ver0!N2045</f>
        <v>0</v>
      </c>
      <c r="P2045" s="3">
        <f>parking_demand_data_2024_ver0!O2045</f>
        <v>0</v>
      </c>
      <c r="Q2045" s="3">
        <f>parking_demand_data_2024_ver0!P2045</f>
        <v>0</v>
      </c>
      <c r="R2045" s="3">
        <f>parking_demand_data_2024_ver0!Q2045</f>
        <v>0</v>
      </c>
      <c r="S2045" s="3">
        <f>parking_demand_data_2024_ver0!R2045</f>
        <v>0</v>
      </c>
      <c r="T2045" s="3">
        <f>parking_demand_data_2024_ver0!S2045</f>
        <v>0</v>
      </c>
    </row>
    <row r="2046" spans="1:20" x14ac:dyDescent="0.25">
      <c r="A2046">
        <v>18171</v>
      </c>
      <c r="B2046" t="s">
        <v>114</v>
      </c>
      <c r="C2046">
        <v>4</v>
      </c>
      <c r="D2046" s="3">
        <f>parking_demand_data_2024_ver0!D2046*calibration!$I$31</f>
        <v>0</v>
      </c>
      <c r="E2046" s="3">
        <f>parking_demand_data_2024_ver0!E2046*calibration!$I$31</f>
        <v>1.2680567781532099</v>
      </c>
      <c r="F2046" s="3">
        <f t="shared" si="31"/>
        <v>1.2680567781532099</v>
      </c>
      <c r="G2046" s="3">
        <f>parking_demand_data_2024_ver0!F2046</f>
        <v>0</v>
      </c>
      <c r="H2046" s="3">
        <f>parking_demand_data_2024_ver0!G2046</f>
        <v>0</v>
      </c>
      <c r="I2046" s="3">
        <f>parking_demand_data_2024_ver0!H2046</f>
        <v>0</v>
      </c>
      <c r="J2046" s="3">
        <f>parking_demand_data_2024_ver0!I2046</f>
        <v>0</v>
      </c>
      <c r="K2046" s="3">
        <f>parking_demand_data_2024_ver0!J2046</f>
        <v>0</v>
      </c>
      <c r="L2046" s="3">
        <f>parking_demand_data_2024_ver0!K2046</f>
        <v>0</v>
      </c>
      <c r="M2046" s="3">
        <f>parking_demand_data_2024_ver0!L2046</f>
        <v>0</v>
      </c>
      <c r="N2046" s="3">
        <f>parking_demand_data_2024_ver0!M2046</f>
        <v>0</v>
      </c>
      <c r="O2046" s="3">
        <f>parking_demand_data_2024_ver0!N2046</f>
        <v>0</v>
      </c>
      <c r="P2046" s="3">
        <f>parking_demand_data_2024_ver0!O2046</f>
        <v>0</v>
      </c>
      <c r="Q2046" s="3">
        <f>parking_demand_data_2024_ver0!P2046</f>
        <v>0</v>
      </c>
      <c r="R2046" s="3">
        <f>parking_demand_data_2024_ver0!Q2046</f>
        <v>0</v>
      </c>
      <c r="S2046" s="3">
        <f>parking_demand_data_2024_ver0!R2046</f>
        <v>0</v>
      </c>
      <c r="T2046" s="3">
        <f>parking_demand_data_2024_ver0!S2046</f>
        <v>0</v>
      </c>
    </row>
    <row r="2047" spans="1:20" x14ac:dyDescent="0.25">
      <c r="A2047">
        <v>18171</v>
      </c>
      <c r="B2047" t="s">
        <v>114</v>
      </c>
      <c r="C2047">
        <v>5</v>
      </c>
      <c r="D2047" s="3">
        <f>parking_demand_data_2024_ver0!D2047*calibration!$I$31</f>
        <v>0</v>
      </c>
      <c r="E2047" s="3">
        <f>parking_demand_data_2024_ver0!E2047*calibration!$I$31</f>
        <v>1.13687849075805</v>
      </c>
      <c r="F2047" s="3">
        <f t="shared" si="31"/>
        <v>1.13687849075805</v>
      </c>
      <c r="G2047" s="3">
        <f>parking_demand_data_2024_ver0!F2047</f>
        <v>0</v>
      </c>
      <c r="H2047" s="3">
        <f>parking_demand_data_2024_ver0!G2047</f>
        <v>0</v>
      </c>
      <c r="I2047" s="3">
        <f>parking_demand_data_2024_ver0!H2047</f>
        <v>0</v>
      </c>
      <c r="J2047" s="3">
        <f>parking_demand_data_2024_ver0!I2047</f>
        <v>0</v>
      </c>
      <c r="K2047" s="3">
        <f>parking_demand_data_2024_ver0!J2047</f>
        <v>0</v>
      </c>
      <c r="L2047" s="3">
        <f>parking_demand_data_2024_ver0!K2047</f>
        <v>0</v>
      </c>
      <c r="M2047" s="3">
        <f>parking_demand_data_2024_ver0!L2047</f>
        <v>0</v>
      </c>
      <c r="N2047" s="3">
        <f>parking_demand_data_2024_ver0!M2047</f>
        <v>0</v>
      </c>
      <c r="O2047" s="3">
        <f>parking_demand_data_2024_ver0!N2047</f>
        <v>0</v>
      </c>
      <c r="P2047" s="3">
        <f>parking_demand_data_2024_ver0!O2047</f>
        <v>0</v>
      </c>
      <c r="Q2047" s="3">
        <f>parking_demand_data_2024_ver0!P2047</f>
        <v>0</v>
      </c>
      <c r="R2047" s="3">
        <f>parking_demand_data_2024_ver0!Q2047</f>
        <v>0</v>
      </c>
      <c r="S2047" s="3">
        <f>parking_demand_data_2024_ver0!R2047</f>
        <v>0</v>
      </c>
      <c r="T2047" s="3">
        <f>parking_demand_data_2024_ver0!S2047</f>
        <v>0</v>
      </c>
    </row>
    <row r="2048" spans="1:20" x14ac:dyDescent="0.25">
      <c r="A2048">
        <v>18171</v>
      </c>
      <c r="B2048" t="s">
        <v>114</v>
      </c>
      <c r="C2048">
        <v>6</v>
      </c>
      <c r="D2048" s="3">
        <f>parking_demand_data_2024_ver0!D2048*calibration!$I$31</f>
        <v>0</v>
      </c>
      <c r="E2048" s="3">
        <f>parking_demand_data_2024_ver0!E2048*calibration!$I$31</f>
        <v>1.09315239495966</v>
      </c>
      <c r="F2048" s="3">
        <f t="shared" si="31"/>
        <v>1.09315239495966</v>
      </c>
      <c r="G2048" s="3">
        <f>parking_demand_data_2024_ver0!F2048</f>
        <v>0</v>
      </c>
      <c r="H2048" s="3">
        <f>parking_demand_data_2024_ver0!G2048</f>
        <v>0</v>
      </c>
      <c r="I2048" s="3">
        <f>parking_demand_data_2024_ver0!H2048</f>
        <v>0</v>
      </c>
      <c r="J2048" s="3">
        <f>parking_demand_data_2024_ver0!I2048</f>
        <v>0</v>
      </c>
      <c r="K2048" s="3">
        <f>parking_demand_data_2024_ver0!J2048</f>
        <v>0</v>
      </c>
      <c r="L2048" s="3">
        <f>parking_demand_data_2024_ver0!K2048</f>
        <v>0</v>
      </c>
      <c r="M2048" s="3">
        <f>parking_demand_data_2024_ver0!L2048</f>
        <v>0</v>
      </c>
      <c r="N2048" s="3">
        <f>parking_demand_data_2024_ver0!M2048</f>
        <v>0</v>
      </c>
      <c r="O2048" s="3">
        <f>parking_demand_data_2024_ver0!N2048</f>
        <v>0</v>
      </c>
      <c r="P2048" s="3">
        <f>parking_demand_data_2024_ver0!O2048</f>
        <v>0</v>
      </c>
      <c r="Q2048" s="3">
        <f>parking_demand_data_2024_ver0!P2048</f>
        <v>0</v>
      </c>
      <c r="R2048" s="3">
        <f>parking_demand_data_2024_ver0!Q2048</f>
        <v>0</v>
      </c>
      <c r="S2048" s="3">
        <f>parking_demand_data_2024_ver0!R2048</f>
        <v>0</v>
      </c>
      <c r="T2048" s="3">
        <f>parking_demand_data_2024_ver0!S2048</f>
        <v>0</v>
      </c>
    </row>
    <row r="2049" spans="1:20" x14ac:dyDescent="0.25">
      <c r="A2049">
        <v>18171</v>
      </c>
      <c r="B2049" t="s">
        <v>114</v>
      </c>
      <c r="C2049">
        <v>7</v>
      </c>
      <c r="D2049" s="3">
        <f>parking_demand_data_2024_ver0!D2049*calibration!$I$31</f>
        <v>0</v>
      </c>
      <c r="E2049" s="3">
        <f>parking_demand_data_2024_ver0!E2049*calibration!$I$31</f>
        <v>1.13687849075805</v>
      </c>
      <c r="F2049" s="3">
        <f t="shared" si="31"/>
        <v>1.13687849075805</v>
      </c>
      <c r="G2049" s="3">
        <f>parking_demand_data_2024_ver0!F2049</f>
        <v>0</v>
      </c>
      <c r="H2049" s="3">
        <f>parking_demand_data_2024_ver0!G2049</f>
        <v>0</v>
      </c>
      <c r="I2049" s="3">
        <f>parking_demand_data_2024_ver0!H2049</f>
        <v>0</v>
      </c>
      <c r="J2049" s="3">
        <f>parking_demand_data_2024_ver0!I2049</f>
        <v>0</v>
      </c>
      <c r="K2049" s="3">
        <f>parking_demand_data_2024_ver0!J2049</f>
        <v>0</v>
      </c>
      <c r="L2049" s="3">
        <f>parking_demand_data_2024_ver0!K2049</f>
        <v>0</v>
      </c>
      <c r="M2049" s="3">
        <f>parking_demand_data_2024_ver0!L2049</f>
        <v>0</v>
      </c>
      <c r="N2049" s="3">
        <f>parking_demand_data_2024_ver0!M2049</f>
        <v>0</v>
      </c>
      <c r="O2049" s="3">
        <f>parking_demand_data_2024_ver0!N2049</f>
        <v>0</v>
      </c>
      <c r="P2049" s="3">
        <f>parking_demand_data_2024_ver0!O2049</f>
        <v>0</v>
      </c>
      <c r="Q2049" s="3">
        <f>parking_demand_data_2024_ver0!P2049</f>
        <v>0</v>
      </c>
      <c r="R2049" s="3">
        <f>parking_demand_data_2024_ver0!Q2049</f>
        <v>0</v>
      </c>
      <c r="S2049" s="3">
        <f>parking_demand_data_2024_ver0!R2049</f>
        <v>0</v>
      </c>
      <c r="T2049" s="3">
        <f>parking_demand_data_2024_ver0!S2049</f>
        <v>0</v>
      </c>
    </row>
    <row r="2050" spans="1:20" x14ac:dyDescent="0.25">
      <c r="A2050">
        <v>18171</v>
      </c>
      <c r="B2050" t="s">
        <v>114</v>
      </c>
      <c r="C2050">
        <v>8</v>
      </c>
      <c r="D2050" s="3">
        <f>parking_demand_data_2024_ver0!D2050*calibration!$I$31</f>
        <v>0</v>
      </c>
      <c r="E2050" s="3">
        <f>parking_demand_data_2024_ver0!E2050*calibration!$I$31</f>
        <v>1.4429611613467599</v>
      </c>
      <c r="F2050" s="3">
        <f t="shared" si="31"/>
        <v>1.4429611613467599</v>
      </c>
      <c r="G2050" s="3">
        <f>parking_demand_data_2024_ver0!F2050</f>
        <v>0</v>
      </c>
      <c r="H2050" s="3">
        <f>parking_demand_data_2024_ver0!G2050</f>
        <v>0</v>
      </c>
      <c r="I2050" s="3">
        <f>parking_demand_data_2024_ver0!H2050</f>
        <v>0</v>
      </c>
      <c r="J2050" s="3">
        <f>parking_demand_data_2024_ver0!I2050</f>
        <v>0</v>
      </c>
      <c r="K2050" s="3">
        <f>parking_demand_data_2024_ver0!J2050</f>
        <v>0</v>
      </c>
      <c r="L2050" s="3">
        <f>parking_demand_data_2024_ver0!K2050</f>
        <v>0</v>
      </c>
      <c r="M2050" s="3">
        <f>parking_demand_data_2024_ver0!L2050</f>
        <v>0</v>
      </c>
      <c r="N2050" s="3">
        <f>parking_demand_data_2024_ver0!M2050</f>
        <v>0</v>
      </c>
      <c r="O2050" s="3">
        <f>parking_demand_data_2024_ver0!N2050</f>
        <v>0</v>
      </c>
      <c r="P2050" s="3">
        <f>parking_demand_data_2024_ver0!O2050</f>
        <v>0</v>
      </c>
      <c r="Q2050" s="3">
        <f>parking_demand_data_2024_ver0!P2050</f>
        <v>0</v>
      </c>
      <c r="R2050" s="3">
        <f>parking_demand_data_2024_ver0!Q2050</f>
        <v>0</v>
      </c>
      <c r="S2050" s="3">
        <f>parking_demand_data_2024_ver0!R2050</f>
        <v>0</v>
      </c>
      <c r="T2050" s="3">
        <f>parking_demand_data_2024_ver0!S2050</f>
        <v>0</v>
      </c>
    </row>
    <row r="2051" spans="1:20" x14ac:dyDescent="0.25">
      <c r="A2051">
        <v>18171</v>
      </c>
      <c r="B2051" t="s">
        <v>114</v>
      </c>
      <c r="C2051">
        <v>9</v>
      </c>
      <c r="D2051" s="3">
        <f>parking_demand_data_2024_ver0!D2051*calibration!$I$31</f>
        <v>0</v>
      </c>
      <c r="E2051" s="3">
        <f>parking_demand_data_2024_ver0!E2051*calibration!$I$31</f>
        <v>2.0988525983225599</v>
      </c>
      <c r="F2051" s="3">
        <f t="shared" ref="F2051:F2114" si="32">SUM(D2051:E2051)</f>
        <v>2.0988525983225599</v>
      </c>
      <c r="G2051" s="3">
        <f>parking_demand_data_2024_ver0!F2051</f>
        <v>0</v>
      </c>
      <c r="H2051" s="3">
        <f>parking_demand_data_2024_ver0!G2051</f>
        <v>0</v>
      </c>
      <c r="I2051" s="3">
        <f>parking_demand_data_2024_ver0!H2051</f>
        <v>0</v>
      </c>
      <c r="J2051" s="3">
        <f>parking_demand_data_2024_ver0!I2051</f>
        <v>0</v>
      </c>
      <c r="K2051" s="3">
        <f>parking_demand_data_2024_ver0!J2051</f>
        <v>0</v>
      </c>
      <c r="L2051" s="3">
        <f>parking_demand_data_2024_ver0!K2051</f>
        <v>0</v>
      </c>
      <c r="M2051" s="3">
        <f>parking_demand_data_2024_ver0!L2051</f>
        <v>0</v>
      </c>
      <c r="N2051" s="3">
        <f>parking_demand_data_2024_ver0!M2051</f>
        <v>0</v>
      </c>
      <c r="O2051" s="3">
        <f>parking_demand_data_2024_ver0!N2051</f>
        <v>0</v>
      </c>
      <c r="P2051" s="3">
        <f>parking_demand_data_2024_ver0!O2051</f>
        <v>0</v>
      </c>
      <c r="Q2051" s="3">
        <f>parking_demand_data_2024_ver0!P2051</f>
        <v>0</v>
      </c>
      <c r="R2051" s="3">
        <f>parking_demand_data_2024_ver0!Q2051</f>
        <v>0</v>
      </c>
      <c r="S2051" s="3">
        <f>parking_demand_data_2024_ver0!R2051</f>
        <v>0</v>
      </c>
      <c r="T2051" s="3">
        <f>parking_demand_data_2024_ver0!S2051</f>
        <v>0</v>
      </c>
    </row>
    <row r="2052" spans="1:20" x14ac:dyDescent="0.25">
      <c r="A2052">
        <v>18171</v>
      </c>
      <c r="B2052" t="s">
        <v>114</v>
      </c>
      <c r="C2052">
        <v>10</v>
      </c>
      <c r="D2052" s="3">
        <f>parking_demand_data_2024_ver0!D2052*calibration!$I$31</f>
        <v>0</v>
      </c>
      <c r="E2052" s="3">
        <f>parking_demand_data_2024_ver0!E2052*calibration!$I$31</f>
        <v>2.7984701310967401</v>
      </c>
      <c r="F2052" s="3">
        <f t="shared" si="32"/>
        <v>2.7984701310967401</v>
      </c>
      <c r="G2052" s="3">
        <f>parking_demand_data_2024_ver0!F2052</f>
        <v>0</v>
      </c>
      <c r="H2052" s="3">
        <f>parking_demand_data_2024_ver0!G2052</f>
        <v>0</v>
      </c>
      <c r="I2052" s="3">
        <f>parking_demand_data_2024_ver0!H2052</f>
        <v>0</v>
      </c>
      <c r="J2052" s="3">
        <f>parking_demand_data_2024_ver0!I2052</f>
        <v>0</v>
      </c>
      <c r="K2052" s="3">
        <f>parking_demand_data_2024_ver0!J2052</f>
        <v>0</v>
      </c>
      <c r="L2052" s="3">
        <f>parking_demand_data_2024_ver0!K2052</f>
        <v>0</v>
      </c>
      <c r="M2052" s="3">
        <f>parking_demand_data_2024_ver0!L2052</f>
        <v>0</v>
      </c>
      <c r="N2052" s="3">
        <f>parking_demand_data_2024_ver0!M2052</f>
        <v>0</v>
      </c>
      <c r="O2052" s="3">
        <f>parking_demand_data_2024_ver0!N2052</f>
        <v>0</v>
      </c>
      <c r="P2052" s="3">
        <f>parking_demand_data_2024_ver0!O2052</f>
        <v>0</v>
      </c>
      <c r="Q2052" s="3">
        <f>parking_demand_data_2024_ver0!P2052</f>
        <v>0</v>
      </c>
      <c r="R2052" s="3">
        <f>parking_demand_data_2024_ver0!Q2052</f>
        <v>0</v>
      </c>
      <c r="S2052" s="3">
        <f>parking_demand_data_2024_ver0!R2052</f>
        <v>0</v>
      </c>
      <c r="T2052" s="3">
        <f>parking_demand_data_2024_ver0!S2052</f>
        <v>0</v>
      </c>
    </row>
    <row r="2053" spans="1:20" x14ac:dyDescent="0.25">
      <c r="A2053">
        <v>18171</v>
      </c>
      <c r="B2053" t="s">
        <v>114</v>
      </c>
      <c r="C2053">
        <v>11</v>
      </c>
      <c r="D2053" s="3">
        <f>parking_demand_data_2024_ver0!D2053*calibration!$I$31</f>
        <v>0</v>
      </c>
      <c r="E2053" s="3">
        <f>parking_demand_data_2024_ver0!E2053*calibration!$I$31</f>
        <v>3.279457184879</v>
      </c>
      <c r="F2053" s="3">
        <f t="shared" si="32"/>
        <v>3.279457184879</v>
      </c>
      <c r="G2053" s="3">
        <f>parking_demand_data_2024_ver0!F2053</f>
        <v>0</v>
      </c>
      <c r="H2053" s="3">
        <f>parking_demand_data_2024_ver0!G2053</f>
        <v>0</v>
      </c>
      <c r="I2053" s="3">
        <f>parking_demand_data_2024_ver0!H2053</f>
        <v>0</v>
      </c>
      <c r="J2053" s="3">
        <f>parking_demand_data_2024_ver0!I2053</f>
        <v>0</v>
      </c>
      <c r="K2053" s="3">
        <f>parking_demand_data_2024_ver0!J2053</f>
        <v>0</v>
      </c>
      <c r="L2053" s="3">
        <f>parking_demand_data_2024_ver0!K2053</f>
        <v>0</v>
      </c>
      <c r="M2053" s="3">
        <f>parking_demand_data_2024_ver0!L2053</f>
        <v>0</v>
      </c>
      <c r="N2053" s="3">
        <f>parking_demand_data_2024_ver0!M2053</f>
        <v>0</v>
      </c>
      <c r="O2053" s="3">
        <f>parking_demand_data_2024_ver0!N2053</f>
        <v>0</v>
      </c>
      <c r="P2053" s="3">
        <f>parking_demand_data_2024_ver0!O2053</f>
        <v>0</v>
      </c>
      <c r="Q2053" s="3">
        <f>parking_demand_data_2024_ver0!P2053</f>
        <v>0</v>
      </c>
      <c r="R2053" s="3">
        <f>parking_demand_data_2024_ver0!Q2053</f>
        <v>0</v>
      </c>
      <c r="S2053" s="3">
        <f>parking_demand_data_2024_ver0!R2053</f>
        <v>0</v>
      </c>
      <c r="T2053" s="3">
        <f>parking_demand_data_2024_ver0!S2053</f>
        <v>0</v>
      </c>
    </row>
    <row r="2054" spans="1:20" x14ac:dyDescent="0.25">
      <c r="A2054">
        <v>18171</v>
      </c>
      <c r="B2054" t="s">
        <v>114</v>
      </c>
      <c r="C2054">
        <v>12</v>
      </c>
      <c r="D2054" s="3">
        <f>parking_demand_data_2024_ver0!D2054*calibration!$I$31</f>
        <v>0</v>
      </c>
      <c r="E2054" s="3">
        <f>parking_demand_data_2024_ver0!E2054*calibration!$I$31</f>
        <v>2.66729184370159</v>
      </c>
      <c r="F2054" s="3">
        <f t="shared" si="32"/>
        <v>2.66729184370159</v>
      </c>
      <c r="G2054" s="3">
        <f>parking_demand_data_2024_ver0!F2054</f>
        <v>0</v>
      </c>
      <c r="H2054" s="3">
        <f>parking_demand_data_2024_ver0!G2054</f>
        <v>0</v>
      </c>
      <c r="I2054" s="3">
        <f>parking_demand_data_2024_ver0!H2054</f>
        <v>0</v>
      </c>
      <c r="J2054" s="3">
        <f>parking_demand_data_2024_ver0!I2054</f>
        <v>0</v>
      </c>
      <c r="K2054" s="3">
        <f>parking_demand_data_2024_ver0!J2054</f>
        <v>0</v>
      </c>
      <c r="L2054" s="3">
        <f>parking_demand_data_2024_ver0!K2054</f>
        <v>0</v>
      </c>
      <c r="M2054" s="3">
        <f>parking_demand_data_2024_ver0!L2054</f>
        <v>0</v>
      </c>
      <c r="N2054" s="3">
        <f>parking_demand_data_2024_ver0!M2054</f>
        <v>0</v>
      </c>
      <c r="O2054" s="3">
        <f>parking_demand_data_2024_ver0!N2054</f>
        <v>0</v>
      </c>
      <c r="P2054" s="3">
        <f>parking_demand_data_2024_ver0!O2054</f>
        <v>0</v>
      </c>
      <c r="Q2054" s="3">
        <f>parking_demand_data_2024_ver0!P2054</f>
        <v>0</v>
      </c>
      <c r="R2054" s="3">
        <f>parking_demand_data_2024_ver0!Q2054</f>
        <v>0</v>
      </c>
      <c r="S2054" s="3">
        <f>parking_demand_data_2024_ver0!R2054</f>
        <v>0</v>
      </c>
      <c r="T2054" s="3">
        <f>parking_demand_data_2024_ver0!S2054</f>
        <v>0</v>
      </c>
    </row>
    <row r="2055" spans="1:20" x14ac:dyDescent="0.25">
      <c r="A2055">
        <v>18171</v>
      </c>
      <c r="B2055" t="s">
        <v>114</v>
      </c>
      <c r="C2055">
        <v>13</v>
      </c>
      <c r="D2055" s="3">
        <f>parking_demand_data_2024_ver0!D2055*calibration!$I$31</f>
        <v>0</v>
      </c>
      <c r="E2055" s="3">
        <f>parking_demand_data_2024_ver0!E2055*calibration!$I$31</f>
        <v>2.9733745142902901</v>
      </c>
      <c r="F2055" s="3">
        <f t="shared" si="32"/>
        <v>2.9733745142902901</v>
      </c>
      <c r="G2055" s="3">
        <f>parking_demand_data_2024_ver0!F2055</f>
        <v>0</v>
      </c>
      <c r="H2055" s="3">
        <f>parking_demand_data_2024_ver0!G2055</f>
        <v>0</v>
      </c>
      <c r="I2055" s="3">
        <f>parking_demand_data_2024_ver0!H2055</f>
        <v>0</v>
      </c>
      <c r="J2055" s="3">
        <f>parking_demand_data_2024_ver0!I2055</f>
        <v>0</v>
      </c>
      <c r="K2055" s="3">
        <f>parking_demand_data_2024_ver0!J2055</f>
        <v>0</v>
      </c>
      <c r="L2055" s="3">
        <f>parking_demand_data_2024_ver0!K2055</f>
        <v>0</v>
      </c>
      <c r="M2055" s="3">
        <f>parking_demand_data_2024_ver0!L2055</f>
        <v>0</v>
      </c>
      <c r="N2055" s="3">
        <f>parking_demand_data_2024_ver0!M2055</f>
        <v>0</v>
      </c>
      <c r="O2055" s="3">
        <f>parking_demand_data_2024_ver0!N2055</f>
        <v>0</v>
      </c>
      <c r="P2055" s="3">
        <f>parking_demand_data_2024_ver0!O2055</f>
        <v>0</v>
      </c>
      <c r="Q2055" s="3">
        <f>parking_demand_data_2024_ver0!P2055</f>
        <v>0</v>
      </c>
      <c r="R2055" s="3">
        <f>parking_demand_data_2024_ver0!Q2055</f>
        <v>0</v>
      </c>
      <c r="S2055" s="3">
        <f>parking_demand_data_2024_ver0!R2055</f>
        <v>0</v>
      </c>
      <c r="T2055" s="3">
        <f>parking_demand_data_2024_ver0!S2055</f>
        <v>0</v>
      </c>
    </row>
    <row r="2056" spans="1:20" x14ac:dyDescent="0.25">
      <c r="A2056">
        <v>18171</v>
      </c>
      <c r="B2056" t="s">
        <v>114</v>
      </c>
      <c r="C2056">
        <v>14</v>
      </c>
      <c r="D2056" s="3">
        <f>parking_demand_data_2024_ver0!D2056*calibration!$I$31</f>
        <v>0</v>
      </c>
      <c r="E2056" s="3">
        <f>parking_demand_data_2024_ver0!E2056*calibration!$I$31</f>
        <v>2.8421962268951302</v>
      </c>
      <c r="F2056" s="3">
        <f t="shared" si="32"/>
        <v>2.8421962268951302</v>
      </c>
      <c r="G2056" s="3">
        <f>parking_demand_data_2024_ver0!F2056</f>
        <v>0</v>
      </c>
      <c r="H2056" s="3">
        <f>parking_demand_data_2024_ver0!G2056</f>
        <v>0</v>
      </c>
      <c r="I2056" s="3">
        <f>parking_demand_data_2024_ver0!H2056</f>
        <v>0</v>
      </c>
      <c r="J2056" s="3">
        <f>parking_demand_data_2024_ver0!I2056</f>
        <v>0</v>
      </c>
      <c r="K2056" s="3">
        <f>parking_demand_data_2024_ver0!J2056</f>
        <v>0</v>
      </c>
      <c r="L2056" s="3">
        <f>parking_demand_data_2024_ver0!K2056</f>
        <v>0</v>
      </c>
      <c r="M2056" s="3">
        <f>parking_demand_data_2024_ver0!L2056</f>
        <v>0</v>
      </c>
      <c r="N2056" s="3">
        <f>parking_demand_data_2024_ver0!M2056</f>
        <v>0</v>
      </c>
      <c r="O2056" s="3">
        <f>parking_demand_data_2024_ver0!N2056</f>
        <v>0</v>
      </c>
      <c r="P2056" s="3">
        <f>parking_demand_data_2024_ver0!O2056</f>
        <v>0</v>
      </c>
      <c r="Q2056" s="3">
        <f>parking_demand_data_2024_ver0!P2056</f>
        <v>0</v>
      </c>
      <c r="R2056" s="3">
        <f>parking_demand_data_2024_ver0!Q2056</f>
        <v>0</v>
      </c>
      <c r="S2056" s="3">
        <f>parking_demand_data_2024_ver0!R2056</f>
        <v>0</v>
      </c>
      <c r="T2056" s="3">
        <f>parking_demand_data_2024_ver0!S2056</f>
        <v>0</v>
      </c>
    </row>
    <row r="2057" spans="1:20" x14ac:dyDescent="0.25">
      <c r="A2057">
        <v>18171</v>
      </c>
      <c r="B2057" t="s">
        <v>114</v>
      </c>
      <c r="C2057">
        <v>15</v>
      </c>
      <c r="D2057" s="3">
        <f>parking_demand_data_2024_ver0!D2057*calibration!$I$31</f>
        <v>0</v>
      </c>
      <c r="E2057" s="3">
        <f>parking_demand_data_2024_ver0!E2057*calibration!$I$31</f>
        <v>2.8421962268951302</v>
      </c>
      <c r="F2057" s="3">
        <f t="shared" si="32"/>
        <v>2.8421962268951302</v>
      </c>
      <c r="G2057" s="3">
        <f>parking_demand_data_2024_ver0!F2057</f>
        <v>0</v>
      </c>
      <c r="H2057" s="3">
        <f>parking_demand_data_2024_ver0!G2057</f>
        <v>0</v>
      </c>
      <c r="I2057" s="3">
        <f>parking_demand_data_2024_ver0!H2057</f>
        <v>0</v>
      </c>
      <c r="J2057" s="3">
        <f>parking_demand_data_2024_ver0!I2057</f>
        <v>0</v>
      </c>
      <c r="K2057" s="3">
        <f>parking_demand_data_2024_ver0!J2057</f>
        <v>0</v>
      </c>
      <c r="L2057" s="3">
        <f>parking_demand_data_2024_ver0!K2057</f>
        <v>0</v>
      </c>
      <c r="M2057" s="3">
        <f>parking_demand_data_2024_ver0!L2057</f>
        <v>0</v>
      </c>
      <c r="N2057" s="3">
        <f>parking_demand_data_2024_ver0!M2057</f>
        <v>0</v>
      </c>
      <c r="O2057" s="3">
        <f>parking_demand_data_2024_ver0!N2057</f>
        <v>0</v>
      </c>
      <c r="P2057" s="3">
        <f>parking_demand_data_2024_ver0!O2057</f>
        <v>0</v>
      </c>
      <c r="Q2057" s="3">
        <f>parking_demand_data_2024_ver0!P2057</f>
        <v>0</v>
      </c>
      <c r="R2057" s="3">
        <f>parking_demand_data_2024_ver0!Q2057</f>
        <v>0</v>
      </c>
      <c r="S2057" s="3">
        <f>parking_demand_data_2024_ver0!R2057</f>
        <v>0</v>
      </c>
      <c r="T2057" s="3">
        <f>parking_demand_data_2024_ver0!S2057</f>
        <v>0</v>
      </c>
    </row>
    <row r="2058" spans="1:20" x14ac:dyDescent="0.25">
      <c r="A2058">
        <v>18171</v>
      </c>
      <c r="B2058" t="s">
        <v>114</v>
      </c>
      <c r="C2058">
        <v>16</v>
      </c>
      <c r="D2058" s="3">
        <f>parking_demand_data_2024_ver0!D2058*calibration!$I$31</f>
        <v>0</v>
      </c>
      <c r="E2058" s="3">
        <f>parking_demand_data_2024_ver0!E2058*calibration!$I$31</f>
        <v>2.44866136470965</v>
      </c>
      <c r="F2058" s="3">
        <f t="shared" si="32"/>
        <v>2.44866136470965</v>
      </c>
      <c r="G2058" s="3">
        <f>parking_demand_data_2024_ver0!F2058</f>
        <v>0</v>
      </c>
      <c r="H2058" s="3">
        <f>parking_demand_data_2024_ver0!G2058</f>
        <v>0</v>
      </c>
      <c r="I2058" s="3">
        <f>parking_demand_data_2024_ver0!H2058</f>
        <v>0</v>
      </c>
      <c r="J2058" s="3">
        <f>parking_demand_data_2024_ver0!I2058</f>
        <v>0</v>
      </c>
      <c r="K2058" s="3">
        <f>parking_demand_data_2024_ver0!J2058</f>
        <v>0</v>
      </c>
      <c r="L2058" s="3">
        <f>parking_demand_data_2024_ver0!K2058</f>
        <v>0</v>
      </c>
      <c r="M2058" s="3">
        <f>parking_demand_data_2024_ver0!L2058</f>
        <v>0</v>
      </c>
      <c r="N2058" s="3">
        <f>parking_demand_data_2024_ver0!M2058</f>
        <v>0</v>
      </c>
      <c r="O2058" s="3">
        <f>parking_demand_data_2024_ver0!N2058</f>
        <v>0</v>
      </c>
      <c r="P2058" s="3">
        <f>parking_demand_data_2024_ver0!O2058</f>
        <v>0</v>
      </c>
      <c r="Q2058" s="3">
        <f>parking_demand_data_2024_ver0!P2058</f>
        <v>0</v>
      </c>
      <c r="R2058" s="3">
        <f>parking_demand_data_2024_ver0!Q2058</f>
        <v>0</v>
      </c>
      <c r="S2058" s="3">
        <f>parking_demand_data_2024_ver0!R2058</f>
        <v>0</v>
      </c>
      <c r="T2058" s="3">
        <f>parking_demand_data_2024_ver0!S2058</f>
        <v>0</v>
      </c>
    </row>
    <row r="2059" spans="1:20" x14ac:dyDescent="0.25">
      <c r="A2059">
        <v>18171</v>
      </c>
      <c r="B2059" t="s">
        <v>114</v>
      </c>
      <c r="C2059">
        <v>17</v>
      </c>
      <c r="D2059" s="3">
        <f>parking_demand_data_2024_ver0!D2059*calibration!$I$31</f>
        <v>0</v>
      </c>
      <c r="E2059" s="3">
        <f>parking_demand_data_2024_ver0!E2059*calibration!$I$31</f>
        <v>1.6178655445403001</v>
      </c>
      <c r="F2059" s="3">
        <f t="shared" si="32"/>
        <v>1.6178655445403001</v>
      </c>
      <c r="G2059" s="3">
        <f>parking_demand_data_2024_ver0!F2059</f>
        <v>0</v>
      </c>
      <c r="H2059" s="3">
        <f>parking_demand_data_2024_ver0!G2059</f>
        <v>0</v>
      </c>
      <c r="I2059" s="3">
        <f>parking_demand_data_2024_ver0!H2059</f>
        <v>0</v>
      </c>
      <c r="J2059" s="3">
        <f>parking_demand_data_2024_ver0!I2059</f>
        <v>0</v>
      </c>
      <c r="K2059" s="3">
        <f>parking_demand_data_2024_ver0!J2059</f>
        <v>0</v>
      </c>
      <c r="L2059" s="3">
        <f>parking_demand_data_2024_ver0!K2059</f>
        <v>0</v>
      </c>
      <c r="M2059" s="3">
        <f>parking_demand_data_2024_ver0!L2059</f>
        <v>0</v>
      </c>
      <c r="N2059" s="3">
        <f>parking_demand_data_2024_ver0!M2059</f>
        <v>0</v>
      </c>
      <c r="O2059" s="3">
        <f>parking_demand_data_2024_ver0!N2059</f>
        <v>0</v>
      </c>
      <c r="P2059" s="3">
        <f>parking_demand_data_2024_ver0!O2059</f>
        <v>0</v>
      </c>
      <c r="Q2059" s="3">
        <f>parking_demand_data_2024_ver0!P2059</f>
        <v>0</v>
      </c>
      <c r="R2059" s="3">
        <f>parking_demand_data_2024_ver0!Q2059</f>
        <v>0</v>
      </c>
      <c r="S2059" s="3">
        <f>parking_demand_data_2024_ver0!R2059</f>
        <v>0</v>
      </c>
      <c r="T2059" s="3">
        <f>parking_demand_data_2024_ver0!S2059</f>
        <v>0</v>
      </c>
    </row>
    <row r="2060" spans="1:20" x14ac:dyDescent="0.25">
      <c r="A2060">
        <v>18171</v>
      </c>
      <c r="B2060" t="s">
        <v>114</v>
      </c>
      <c r="C2060">
        <v>18</v>
      </c>
      <c r="D2060" s="3">
        <f>parking_demand_data_2024_ver0!D2060*calibration!$I$31</f>
        <v>0</v>
      </c>
      <c r="E2060" s="3">
        <f>parking_demand_data_2024_ver0!E2060*calibration!$I$31</f>
        <v>1.53041335294353</v>
      </c>
      <c r="F2060" s="3">
        <f t="shared" si="32"/>
        <v>1.53041335294353</v>
      </c>
      <c r="G2060" s="3">
        <f>parking_demand_data_2024_ver0!F2060</f>
        <v>0</v>
      </c>
      <c r="H2060" s="3">
        <f>parking_demand_data_2024_ver0!G2060</f>
        <v>0</v>
      </c>
      <c r="I2060" s="3">
        <f>parking_demand_data_2024_ver0!H2060</f>
        <v>0</v>
      </c>
      <c r="J2060" s="3">
        <f>parking_demand_data_2024_ver0!I2060</f>
        <v>0</v>
      </c>
      <c r="K2060" s="3">
        <f>parking_demand_data_2024_ver0!J2060</f>
        <v>0</v>
      </c>
      <c r="L2060" s="3">
        <f>parking_demand_data_2024_ver0!K2060</f>
        <v>0</v>
      </c>
      <c r="M2060" s="3">
        <f>parking_demand_data_2024_ver0!L2060</f>
        <v>0</v>
      </c>
      <c r="N2060" s="3">
        <f>parking_demand_data_2024_ver0!M2060</f>
        <v>0</v>
      </c>
      <c r="O2060" s="3">
        <f>parking_demand_data_2024_ver0!N2060</f>
        <v>0</v>
      </c>
      <c r="P2060" s="3">
        <f>parking_demand_data_2024_ver0!O2060</f>
        <v>0</v>
      </c>
      <c r="Q2060" s="3">
        <f>parking_demand_data_2024_ver0!P2060</f>
        <v>0</v>
      </c>
      <c r="R2060" s="3">
        <f>parking_demand_data_2024_ver0!Q2060</f>
        <v>0</v>
      </c>
      <c r="S2060" s="3">
        <f>parking_demand_data_2024_ver0!R2060</f>
        <v>0</v>
      </c>
      <c r="T2060" s="3">
        <f>parking_demand_data_2024_ver0!S2060</f>
        <v>0</v>
      </c>
    </row>
    <row r="2061" spans="1:20" x14ac:dyDescent="0.25">
      <c r="A2061">
        <v>18171</v>
      </c>
      <c r="B2061" t="s">
        <v>114</v>
      </c>
      <c r="C2061">
        <v>19</v>
      </c>
      <c r="D2061" s="3">
        <f>parking_demand_data_2024_ver0!D2061*calibration!$I$31</f>
        <v>0</v>
      </c>
      <c r="E2061" s="3">
        <f>parking_demand_data_2024_ver0!E2061*calibration!$I$31</f>
        <v>1.4866872571451399</v>
      </c>
      <c r="F2061" s="3">
        <f t="shared" si="32"/>
        <v>1.4866872571451399</v>
      </c>
      <c r="G2061" s="3">
        <f>parking_demand_data_2024_ver0!F2061</f>
        <v>0</v>
      </c>
      <c r="H2061" s="3">
        <f>parking_demand_data_2024_ver0!G2061</f>
        <v>0</v>
      </c>
      <c r="I2061" s="3">
        <f>parking_demand_data_2024_ver0!H2061</f>
        <v>0</v>
      </c>
      <c r="J2061" s="3">
        <f>parking_demand_data_2024_ver0!I2061</f>
        <v>0</v>
      </c>
      <c r="K2061" s="3">
        <f>parking_demand_data_2024_ver0!J2061</f>
        <v>0</v>
      </c>
      <c r="L2061" s="3">
        <f>parking_demand_data_2024_ver0!K2061</f>
        <v>0</v>
      </c>
      <c r="M2061" s="3">
        <f>parking_demand_data_2024_ver0!L2061</f>
        <v>0</v>
      </c>
      <c r="N2061" s="3">
        <f>parking_demand_data_2024_ver0!M2061</f>
        <v>0</v>
      </c>
      <c r="O2061" s="3">
        <f>parking_demand_data_2024_ver0!N2061</f>
        <v>0</v>
      </c>
      <c r="P2061" s="3">
        <f>parking_demand_data_2024_ver0!O2061</f>
        <v>0</v>
      </c>
      <c r="Q2061" s="3">
        <f>parking_demand_data_2024_ver0!P2061</f>
        <v>0</v>
      </c>
      <c r="R2061" s="3">
        <f>parking_demand_data_2024_ver0!Q2061</f>
        <v>0</v>
      </c>
      <c r="S2061" s="3">
        <f>parking_demand_data_2024_ver0!R2061</f>
        <v>0</v>
      </c>
      <c r="T2061" s="3">
        <f>parking_demand_data_2024_ver0!S2061</f>
        <v>0</v>
      </c>
    </row>
    <row r="2062" spans="1:20" x14ac:dyDescent="0.25">
      <c r="A2062">
        <v>18171</v>
      </c>
      <c r="B2062" t="s">
        <v>114</v>
      </c>
      <c r="C2062">
        <v>20</v>
      </c>
      <c r="D2062" s="3">
        <f>parking_demand_data_2024_ver0!D2062*calibration!$I$31</f>
        <v>0</v>
      </c>
      <c r="E2062" s="3">
        <f>parking_demand_data_2024_ver0!E2062*calibration!$I$31</f>
        <v>1.57413944874192</v>
      </c>
      <c r="F2062" s="3">
        <f t="shared" si="32"/>
        <v>1.57413944874192</v>
      </c>
      <c r="G2062" s="3">
        <f>parking_demand_data_2024_ver0!F2062</f>
        <v>0</v>
      </c>
      <c r="H2062" s="3">
        <f>parking_demand_data_2024_ver0!G2062</f>
        <v>0</v>
      </c>
      <c r="I2062" s="3">
        <f>parking_demand_data_2024_ver0!H2062</f>
        <v>0</v>
      </c>
      <c r="J2062" s="3">
        <f>parking_demand_data_2024_ver0!I2062</f>
        <v>0</v>
      </c>
      <c r="K2062" s="3">
        <f>parking_demand_data_2024_ver0!J2062</f>
        <v>0</v>
      </c>
      <c r="L2062" s="3">
        <f>parking_demand_data_2024_ver0!K2062</f>
        <v>0</v>
      </c>
      <c r="M2062" s="3">
        <f>parking_demand_data_2024_ver0!L2062</f>
        <v>0</v>
      </c>
      <c r="N2062" s="3">
        <f>parking_demand_data_2024_ver0!M2062</f>
        <v>0</v>
      </c>
      <c r="O2062" s="3">
        <f>parking_demand_data_2024_ver0!N2062</f>
        <v>0</v>
      </c>
      <c r="P2062" s="3">
        <f>parking_demand_data_2024_ver0!O2062</f>
        <v>0</v>
      </c>
      <c r="Q2062" s="3">
        <f>parking_demand_data_2024_ver0!P2062</f>
        <v>0</v>
      </c>
      <c r="R2062" s="3">
        <f>parking_demand_data_2024_ver0!Q2062</f>
        <v>0</v>
      </c>
      <c r="S2062" s="3">
        <f>parking_demand_data_2024_ver0!R2062</f>
        <v>0</v>
      </c>
      <c r="T2062" s="3">
        <f>parking_demand_data_2024_ver0!S2062</f>
        <v>0</v>
      </c>
    </row>
    <row r="2063" spans="1:20" x14ac:dyDescent="0.25">
      <c r="A2063">
        <v>18171</v>
      </c>
      <c r="B2063" t="s">
        <v>114</v>
      </c>
      <c r="C2063">
        <v>21</v>
      </c>
      <c r="D2063" s="3">
        <f>parking_demand_data_2024_ver0!D2063*calibration!$I$31</f>
        <v>0</v>
      </c>
      <c r="E2063" s="3">
        <f>parking_demand_data_2024_ver0!E2063*calibration!$I$31</f>
        <v>1.57413944874192</v>
      </c>
      <c r="F2063" s="3">
        <f t="shared" si="32"/>
        <v>1.57413944874192</v>
      </c>
      <c r="G2063" s="3">
        <f>parking_demand_data_2024_ver0!F2063</f>
        <v>0</v>
      </c>
      <c r="H2063" s="3">
        <f>parking_demand_data_2024_ver0!G2063</f>
        <v>0</v>
      </c>
      <c r="I2063" s="3">
        <f>parking_demand_data_2024_ver0!H2063</f>
        <v>0</v>
      </c>
      <c r="J2063" s="3">
        <f>parking_demand_data_2024_ver0!I2063</f>
        <v>0</v>
      </c>
      <c r="K2063" s="3">
        <f>parking_demand_data_2024_ver0!J2063</f>
        <v>0</v>
      </c>
      <c r="L2063" s="3">
        <f>parking_demand_data_2024_ver0!K2063</f>
        <v>0</v>
      </c>
      <c r="M2063" s="3">
        <f>parking_demand_data_2024_ver0!L2063</f>
        <v>0</v>
      </c>
      <c r="N2063" s="3">
        <f>parking_demand_data_2024_ver0!M2063</f>
        <v>0</v>
      </c>
      <c r="O2063" s="3">
        <f>parking_demand_data_2024_ver0!N2063</f>
        <v>0</v>
      </c>
      <c r="P2063" s="3">
        <f>parking_demand_data_2024_ver0!O2063</f>
        <v>0</v>
      </c>
      <c r="Q2063" s="3">
        <f>parking_demand_data_2024_ver0!P2063</f>
        <v>0</v>
      </c>
      <c r="R2063" s="3">
        <f>parking_demand_data_2024_ver0!Q2063</f>
        <v>0</v>
      </c>
      <c r="S2063" s="3">
        <f>parking_demand_data_2024_ver0!R2063</f>
        <v>0</v>
      </c>
      <c r="T2063" s="3">
        <f>parking_demand_data_2024_ver0!S2063</f>
        <v>0</v>
      </c>
    </row>
    <row r="2064" spans="1:20" x14ac:dyDescent="0.25">
      <c r="A2064">
        <v>18171</v>
      </c>
      <c r="B2064" t="s">
        <v>114</v>
      </c>
      <c r="C2064">
        <v>22</v>
      </c>
      <c r="D2064" s="3">
        <f>parking_demand_data_2024_ver0!D2064*calibration!$I$31</f>
        <v>0</v>
      </c>
      <c r="E2064" s="3">
        <f>parking_demand_data_2024_ver0!E2064*calibration!$I$31</f>
        <v>1.53041335294353</v>
      </c>
      <c r="F2064" s="3">
        <f t="shared" si="32"/>
        <v>1.53041335294353</v>
      </c>
      <c r="G2064" s="3">
        <f>parking_demand_data_2024_ver0!F2064</f>
        <v>0</v>
      </c>
      <c r="H2064" s="3">
        <f>parking_demand_data_2024_ver0!G2064</f>
        <v>0</v>
      </c>
      <c r="I2064" s="3">
        <f>parking_demand_data_2024_ver0!H2064</f>
        <v>0</v>
      </c>
      <c r="J2064" s="3">
        <f>parking_demand_data_2024_ver0!I2064</f>
        <v>0</v>
      </c>
      <c r="K2064" s="3">
        <f>parking_demand_data_2024_ver0!J2064</f>
        <v>0</v>
      </c>
      <c r="L2064" s="3">
        <f>parking_demand_data_2024_ver0!K2064</f>
        <v>0</v>
      </c>
      <c r="M2064" s="3">
        <f>parking_demand_data_2024_ver0!L2064</f>
        <v>0</v>
      </c>
      <c r="N2064" s="3">
        <f>parking_demand_data_2024_ver0!M2064</f>
        <v>0</v>
      </c>
      <c r="O2064" s="3">
        <f>parking_demand_data_2024_ver0!N2064</f>
        <v>0</v>
      </c>
      <c r="P2064" s="3">
        <f>parking_demand_data_2024_ver0!O2064</f>
        <v>0</v>
      </c>
      <c r="Q2064" s="3">
        <f>parking_demand_data_2024_ver0!P2064</f>
        <v>0</v>
      </c>
      <c r="R2064" s="3">
        <f>parking_demand_data_2024_ver0!Q2064</f>
        <v>0</v>
      </c>
      <c r="S2064" s="3">
        <f>parking_demand_data_2024_ver0!R2064</f>
        <v>0</v>
      </c>
      <c r="T2064" s="3">
        <f>parking_demand_data_2024_ver0!S2064</f>
        <v>0</v>
      </c>
    </row>
    <row r="2065" spans="1:20" x14ac:dyDescent="0.25">
      <c r="A2065">
        <v>18171</v>
      </c>
      <c r="B2065" t="s">
        <v>114</v>
      </c>
      <c r="C2065">
        <v>23</v>
      </c>
      <c r="D2065" s="3">
        <f>parking_demand_data_2024_ver0!D2065*calibration!$I$31</f>
        <v>0</v>
      </c>
      <c r="E2065" s="3">
        <f>parking_demand_data_2024_ver0!E2065*calibration!$I$31</f>
        <v>1.53041335294353</v>
      </c>
      <c r="F2065" s="3">
        <f t="shared" si="32"/>
        <v>1.53041335294353</v>
      </c>
      <c r="G2065" s="3">
        <f>parking_demand_data_2024_ver0!F2065</f>
        <v>0</v>
      </c>
      <c r="H2065" s="3">
        <f>parking_demand_data_2024_ver0!G2065</f>
        <v>0</v>
      </c>
      <c r="I2065" s="3">
        <f>parking_demand_data_2024_ver0!H2065</f>
        <v>0</v>
      </c>
      <c r="J2065" s="3">
        <f>parking_demand_data_2024_ver0!I2065</f>
        <v>0</v>
      </c>
      <c r="K2065" s="3">
        <f>parking_demand_data_2024_ver0!J2065</f>
        <v>0</v>
      </c>
      <c r="L2065" s="3">
        <f>parking_demand_data_2024_ver0!K2065</f>
        <v>0</v>
      </c>
      <c r="M2065" s="3">
        <f>parking_demand_data_2024_ver0!L2065</f>
        <v>0</v>
      </c>
      <c r="N2065" s="3">
        <f>parking_demand_data_2024_ver0!M2065</f>
        <v>0</v>
      </c>
      <c r="O2065" s="3">
        <f>parking_demand_data_2024_ver0!N2065</f>
        <v>0</v>
      </c>
      <c r="P2065" s="3">
        <f>parking_demand_data_2024_ver0!O2065</f>
        <v>0</v>
      </c>
      <c r="Q2065" s="3">
        <f>parking_demand_data_2024_ver0!P2065</f>
        <v>0</v>
      </c>
      <c r="R2065" s="3">
        <f>parking_demand_data_2024_ver0!Q2065</f>
        <v>0</v>
      </c>
      <c r="S2065" s="3">
        <f>parking_demand_data_2024_ver0!R2065</f>
        <v>0</v>
      </c>
      <c r="T2065" s="3">
        <f>parking_demand_data_2024_ver0!S2065</f>
        <v>0</v>
      </c>
    </row>
    <row r="2066" spans="1:20" x14ac:dyDescent="0.25">
      <c r="A2066">
        <v>18173</v>
      </c>
      <c r="B2066" t="s">
        <v>115</v>
      </c>
      <c r="C2066">
        <v>0</v>
      </c>
      <c r="D2066" s="3">
        <f>parking_demand_data_2024_ver0!D2066*calibration!$I$31</f>
        <v>0</v>
      </c>
      <c r="E2066" s="3">
        <f>parking_demand_data_2024_ver0!E2066*calibration!$I$31</f>
        <v>6.7910673081777198</v>
      </c>
      <c r="F2066" s="3">
        <f t="shared" si="32"/>
        <v>6.7910673081777198</v>
      </c>
      <c r="G2066" s="3">
        <f>parking_demand_data_2024_ver0!F2066</f>
        <v>0</v>
      </c>
      <c r="H2066" s="3">
        <f>parking_demand_data_2024_ver0!G2066</f>
        <v>0</v>
      </c>
      <c r="I2066" s="3">
        <f>parking_demand_data_2024_ver0!H2066</f>
        <v>0</v>
      </c>
      <c r="J2066" s="3">
        <f>parking_demand_data_2024_ver0!I2066</f>
        <v>0</v>
      </c>
      <c r="K2066" s="3">
        <f>parking_demand_data_2024_ver0!J2066</f>
        <v>0</v>
      </c>
      <c r="L2066" s="3">
        <f>parking_demand_data_2024_ver0!K2066</f>
        <v>0</v>
      </c>
      <c r="M2066" s="3">
        <f>parking_demand_data_2024_ver0!L2066</f>
        <v>0</v>
      </c>
      <c r="N2066" s="3">
        <f>parking_demand_data_2024_ver0!M2066</f>
        <v>0</v>
      </c>
      <c r="O2066" s="3">
        <f>parking_demand_data_2024_ver0!N2066</f>
        <v>0</v>
      </c>
      <c r="P2066" s="3">
        <f>parking_demand_data_2024_ver0!O2066</f>
        <v>0</v>
      </c>
      <c r="Q2066" s="3">
        <f>parking_demand_data_2024_ver0!P2066</f>
        <v>0</v>
      </c>
      <c r="R2066" s="3">
        <f>parking_demand_data_2024_ver0!Q2066</f>
        <v>0</v>
      </c>
      <c r="S2066" s="3">
        <f>parking_demand_data_2024_ver0!R2066</f>
        <v>0</v>
      </c>
      <c r="T2066" s="3">
        <f>parking_demand_data_2024_ver0!S2066</f>
        <v>0</v>
      </c>
    </row>
    <row r="2067" spans="1:20" x14ac:dyDescent="0.25">
      <c r="A2067">
        <v>18173</v>
      </c>
      <c r="B2067" t="s">
        <v>115</v>
      </c>
      <c r="C2067">
        <v>1</v>
      </c>
      <c r="D2067" s="3">
        <f>parking_demand_data_2024_ver0!D2067*calibration!$I$31</f>
        <v>0</v>
      </c>
      <c r="E2067" s="3">
        <f>parking_demand_data_2024_ver0!E2067*calibration!$I$31</f>
        <v>7.3261210960947603</v>
      </c>
      <c r="F2067" s="3">
        <f t="shared" si="32"/>
        <v>7.3261210960947603</v>
      </c>
      <c r="G2067" s="3">
        <f>parking_demand_data_2024_ver0!F2067</f>
        <v>0</v>
      </c>
      <c r="H2067" s="3">
        <f>parking_demand_data_2024_ver0!G2067</f>
        <v>0</v>
      </c>
      <c r="I2067" s="3">
        <f>parking_demand_data_2024_ver0!H2067</f>
        <v>0</v>
      </c>
      <c r="J2067" s="3">
        <f>parking_demand_data_2024_ver0!I2067</f>
        <v>0</v>
      </c>
      <c r="K2067" s="3">
        <f>parking_demand_data_2024_ver0!J2067</f>
        <v>0</v>
      </c>
      <c r="L2067" s="3">
        <f>parking_demand_data_2024_ver0!K2067</f>
        <v>0</v>
      </c>
      <c r="M2067" s="3">
        <f>parking_demand_data_2024_ver0!L2067</f>
        <v>0</v>
      </c>
      <c r="N2067" s="3">
        <f>parking_demand_data_2024_ver0!M2067</f>
        <v>0</v>
      </c>
      <c r="O2067" s="3">
        <f>parking_demand_data_2024_ver0!N2067</f>
        <v>0</v>
      </c>
      <c r="P2067" s="3">
        <f>parking_demand_data_2024_ver0!O2067</f>
        <v>0</v>
      </c>
      <c r="Q2067" s="3">
        <f>parking_demand_data_2024_ver0!P2067</f>
        <v>0</v>
      </c>
      <c r="R2067" s="3">
        <f>parking_demand_data_2024_ver0!Q2067</f>
        <v>0</v>
      </c>
      <c r="S2067" s="3">
        <f>parking_demand_data_2024_ver0!R2067</f>
        <v>0</v>
      </c>
      <c r="T2067" s="3">
        <f>parking_demand_data_2024_ver0!S2067</f>
        <v>0</v>
      </c>
    </row>
    <row r="2068" spans="1:20" x14ac:dyDescent="0.25">
      <c r="A2068">
        <v>18173</v>
      </c>
      <c r="B2068" t="s">
        <v>115</v>
      </c>
      <c r="C2068">
        <v>2</v>
      </c>
      <c r="D2068" s="3">
        <f>parking_demand_data_2024_ver0!D2068*calibration!$I$31</f>
        <v>0</v>
      </c>
      <c r="E2068" s="3">
        <f>parking_demand_data_2024_ver0!E2068*calibration!$I$31</f>
        <v>7.0791731939791998</v>
      </c>
      <c r="F2068" s="3">
        <f t="shared" si="32"/>
        <v>7.0791731939791998</v>
      </c>
      <c r="G2068" s="3">
        <f>parking_demand_data_2024_ver0!F2068</f>
        <v>0</v>
      </c>
      <c r="H2068" s="3">
        <f>parking_demand_data_2024_ver0!G2068</f>
        <v>0</v>
      </c>
      <c r="I2068" s="3">
        <f>parking_demand_data_2024_ver0!H2068</f>
        <v>0</v>
      </c>
      <c r="J2068" s="3">
        <f>parking_demand_data_2024_ver0!I2068</f>
        <v>0</v>
      </c>
      <c r="K2068" s="3">
        <f>parking_demand_data_2024_ver0!J2068</f>
        <v>0</v>
      </c>
      <c r="L2068" s="3">
        <f>parking_demand_data_2024_ver0!K2068</f>
        <v>0</v>
      </c>
      <c r="M2068" s="3">
        <f>parking_demand_data_2024_ver0!L2068</f>
        <v>0</v>
      </c>
      <c r="N2068" s="3">
        <f>parking_demand_data_2024_ver0!M2068</f>
        <v>0</v>
      </c>
      <c r="O2068" s="3">
        <f>parking_demand_data_2024_ver0!N2068</f>
        <v>0</v>
      </c>
      <c r="P2068" s="3">
        <f>parking_demand_data_2024_ver0!O2068</f>
        <v>0</v>
      </c>
      <c r="Q2068" s="3">
        <f>parking_demand_data_2024_ver0!P2068</f>
        <v>0</v>
      </c>
      <c r="R2068" s="3">
        <f>parking_demand_data_2024_ver0!Q2068</f>
        <v>0</v>
      </c>
      <c r="S2068" s="3">
        <f>parking_demand_data_2024_ver0!R2068</f>
        <v>0</v>
      </c>
      <c r="T2068" s="3">
        <f>parking_demand_data_2024_ver0!S2068</f>
        <v>0</v>
      </c>
    </row>
    <row r="2069" spans="1:20" x14ac:dyDescent="0.25">
      <c r="A2069">
        <v>18173</v>
      </c>
      <c r="B2069" t="s">
        <v>115</v>
      </c>
      <c r="C2069">
        <v>3</v>
      </c>
      <c r="D2069" s="3">
        <f>parking_demand_data_2024_ver0!D2069*calibration!$I$31</f>
        <v>0</v>
      </c>
      <c r="E2069" s="3">
        <f>parking_demand_data_2024_ver0!E2069*calibration!$I$31</f>
        <v>7.6965429492680899</v>
      </c>
      <c r="F2069" s="3">
        <f t="shared" si="32"/>
        <v>7.6965429492680899</v>
      </c>
      <c r="G2069" s="3">
        <f>parking_demand_data_2024_ver0!F2069</f>
        <v>0</v>
      </c>
      <c r="H2069" s="3">
        <f>parking_demand_data_2024_ver0!G2069</f>
        <v>0</v>
      </c>
      <c r="I2069" s="3">
        <f>parking_demand_data_2024_ver0!H2069</f>
        <v>0</v>
      </c>
      <c r="J2069" s="3">
        <f>parking_demand_data_2024_ver0!I2069</f>
        <v>0</v>
      </c>
      <c r="K2069" s="3">
        <f>parking_demand_data_2024_ver0!J2069</f>
        <v>0</v>
      </c>
      <c r="L2069" s="3">
        <f>parking_demand_data_2024_ver0!K2069</f>
        <v>0</v>
      </c>
      <c r="M2069" s="3">
        <f>parking_demand_data_2024_ver0!L2069</f>
        <v>0</v>
      </c>
      <c r="N2069" s="3">
        <f>parking_demand_data_2024_ver0!M2069</f>
        <v>0</v>
      </c>
      <c r="O2069" s="3">
        <f>parking_demand_data_2024_ver0!N2069</f>
        <v>0</v>
      </c>
      <c r="P2069" s="3">
        <f>parking_demand_data_2024_ver0!O2069</f>
        <v>0</v>
      </c>
      <c r="Q2069" s="3">
        <f>parking_demand_data_2024_ver0!P2069</f>
        <v>0</v>
      </c>
      <c r="R2069" s="3">
        <f>parking_demand_data_2024_ver0!Q2069</f>
        <v>0</v>
      </c>
      <c r="S2069" s="3">
        <f>parking_demand_data_2024_ver0!R2069</f>
        <v>0</v>
      </c>
      <c r="T2069" s="3">
        <f>parking_demand_data_2024_ver0!S2069</f>
        <v>0</v>
      </c>
    </row>
    <row r="2070" spans="1:20" x14ac:dyDescent="0.25">
      <c r="A2070">
        <v>18173</v>
      </c>
      <c r="B2070" t="s">
        <v>115</v>
      </c>
      <c r="C2070">
        <v>4</v>
      </c>
      <c r="D2070" s="3">
        <f>parking_demand_data_2024_ver0!D2070*calibration!$I$31</f>
        <v>0</v>
      </c>
      <c r="E2070" s="3">
        <f>parking_demand_data_2024_ver0!E2070*calibration!$I$31</f>
        <v>8.4785446393006794</v>
      </c>
      <c r="F2070" s="3">
        <f t="shared" si="32"/>
        <v>8.4785446393006794</v>
      </c>
      <c r="G2070" s="3">
        <f>parking_demand_data_2024_ver0!F2070</f>
        <v>0</v>
      </c>
      <c r="H2070" s="3">
        <f>parking_demand_data_2024_ver0!G2070</f>
        <v>0</v>
      </c>
      <c r="I2070" s="3">
        <f>parking_demand_data_2024_ver0!H2070</f>
        <v>0</v>
      </c>
      <c r="J2070" s="3">
        <f>parking_demand_data_2024_ver0!I2070</f>
        <v>0</v>
      </c>
      <c r="K2070" s="3">
        <f>parking_demand_data_2024_ver0!J2070</f>
        <v>0</v>
      </c>
      <c r="L2070" s="3">
        <f>parking_demand_data_2024_ver0!K2070</f>
        <v>0</v>
      </c>
      <c r="M2070" s="3">
        <f>parking_demand_data_2024_ver0!L2070</f>
        <v>0</v>
      </c>
      <c r="N2070" s="3">
        <f>parking_demand_data_2024_ver0!M2070</f>
        <v>0</v>
      </c>
      <c r="O2070" s="3">
        <f>parking_demand_data_2024_ver0!N2070</f>
        <v>0</v>
      </c>
      <c r="P2070" s="3">
        <f>parking_demand_data_2024_ver0!O2070</f>
        <v>0</v>
      </c>
      <c r="Q2070" s="3">
        <f>parking_demand_data_2024_ver0!P2070</f>
        <v>0</v>
      </c>
      <c r="R2070" s="3">
        <f>parking_demand_data_2024_ver0!Q2070</f>
        <v>0</v>
      </c>
      <c r="S2070" s="3">
        <f>parking_demand_data_2024_ver0!R2070</f>
        <v>0</v>
      </c>
      <c r="T2070" s="3">
        <f>parking_demand_data_2024_ver0!S2070</f>
        <v>0</v>
      </c>
    </row>
    <row r="2071" spans="1:20" x14ac:dyDescent="0.25">
      <c r="A2071">
        <v>18173</v>
      </c>
      <c r="B2071" t="s">
        <v>115</v>
      </c>
      <c r="C2071">
        <v>5</v>
      </c>
      <c r="D2071" s="3">
        <f>parking_demand_data_2024_ver0!D2071*calibration!$I$31</f>
        <v>0</v>
      </c>
      <c r="E2071" s="3">
        <f>parking_demand_data_2024_ver0!E2071*calibration!$I$31</f>
        <v>9.8779160846221501</v>
      </c>
      <c r="F2071" s="3">
        <f t="shared" si="32"/>
        <v>9.8779160846221501</v>
      </c>
      <c r="G2071" s="3">
        <f>parking_demand_data_2024_ver0!F2071</f>
        <v>0</v>
      </c>
      <c r="H2071" s="3">
        <f>parking_demand_data_2024_ver0!G2071</f>
        <v>0</v>
      </c>
      <c r="I2071" s="3">
        <f>parking_demand_data_2024_ver0!H2071</f>
        <v>0</v>
      </c>
      <c r="J2071" s="3">
        <f>parking_demand_data_2024_ver0!I2071</f>
        <v>0</v>
      </c>
      <c r="K2071" s="3">
        <f>parking_demand_data_2024_ver0!J2071</f>
        <v>0</v>
      </c>
      <c r="L2071" s="3">
        <f>parking_demand_data_2024_ver0!K2071</f>
        <v>0</v>
      </c>
      <c r="M2071" s="3">
        <f>parking_demand_data_2024_ver0!L2071</f>
        <v>0</v>
      </c>
      <c r="N2071" s="3">
        <f>parking_demand_data_2024_ver0!M2071</f>
        <v>0</v>
      </c>
      <c r="O2071" s="3">
        <f>parking_demand_data_2024_ver0!N2071</f>
        <v>0</v>
      </c>
      <c r="P2071" s="3">
        <f>parking_demand_data_2024_ver0!O2071</f>
        <v>0</v>
      </c>
      <c r="Q2071" s="3">
        <f>parking_demand_data_2024_ver0!P2071</f>
        <v>0</v>
      </c>
      <c r="R2071" s="3">
        <f>parking_demand_data_2024_ver0!Q2071</f>
        <v>0</v>
      </c>
      <c r="S2071" s="3">
        <f>parking_demand_data_2024_ver0!R2071</f>
        <v>0</v>
      </c>
      <c r="T2071" s="3">
        <f>parking_demand_data_2024_ver0!S2071</f>
        <v>0</v>
      </c>
    </row>
    <row r="2072" spans="1:20" x14ac:dyDescent="0.25">
      <c r="A2072">
        <v>18173</v>
      </c>
      <c r="B2072" t="s">
        <v>115</v>
      </c>
      <c r="C2072">
        <v>6</v>
      </c>
      <c r="D2072" s="3">
        <f>parking_demand_data_2024_ver0!D2072*calibration!$I$31</f>
        <v>0</v>
      </c>
      <c r="E2072" s="3">
        <f>parking_demand_data_2024_ver0!E2072*calibration!$I$31</f>
        <v>11.030339627828001</v>
      </c>
      <c r="F2072" s="3">
        <f t="shared" si="32"/>
        <v>11.030339627828001</v>
      </c>
      <c r="G2072" s="3">
        <f>parking_demand_data_2024_ver0!F2072</f>
        <v>0</v>
      </c>
      <c r="H2072" s="3">
        <f>parking_demand_data_2024_ver0!G2072</f>
        <v>0</v>
      </c>
      <c r="I2072" s="3">
        <f>parking_demand_data_2024_ver0!H2072</f>
        <v>0</v>
      </c>
      <c r="J2072" s="3">
        <f>parking_demand_data_2024_ver0!I2072</f>
        <v>0</v>
      </c>
      <c r="K2072" s="3">
        <f>parking_demand_data_2024_ver0!J2072</f>
        <v>0</v>
      </c>
      <c r="L2072" s="3">
        <f>parking_demand_data_2024_ver0!K2072</f>
        <v>0</v>
      </c>
      <c r="M2072" s="3">
        <f>parking_demand_data_2024_ver0!L2072</f>
        <v>0</v>
      </c>
      <c r="N2072" s="3">
        <f>parking_demand_data_2024_ver0!M2072</f>
        <v>0</v>
      </c>
      <c r="O2072" s="3">
        <f>parking_demand_data_2024_ver0!N2072</f>
        <v>0</v>
      </c>
      <c r="P2072" s="3">
        <f>parking_demand_data_2024_ver0!O2072</f>
        <v>0</v>
      </c>
      <c r="Q2072" s="3">
        <f>parking_demand_data_2024_ver0!P2072</f>
        <v>0</v>
      </c>
      <c r="R2072" s="3">
        <f>parking_demand_data_2024_ver0!Q2072</f>
        <v>0</v>
      </c>
      <c r="S2072" s="3">
        <f>parking_demand_data_2024_ver0!R2072</f>
        <v>0</v>
      </c>
      <c r="T2072" s="3">
        <f>parking_demand_data_2024_ver0!S2072</f>
        <v>0</v>
      </c>
    </row>
    <row r="2073" spans="1:20" x14ac:dyDescent="0.25">
      <c r="A2073">
        <v>18173</v>
      </c>
      <c r="B2073" t="s">
        <v>115</v>
      </c>
      <c r="C2073">
        <v>7</v>
      </c>
      <c r="D2073" s="3">
        <f>parking_demand_data_2024_ver0!D2073*calibration!$I$31</f>
        <v>0</v>
      </c>
      <c r="E2073" s="3">
        <f>parking_demand_data_2024_ver0!E2073*calibration!$I$31</f>
        <v>12.141605187348</v>
      </c>
      <c r="F2073" s="3">
        <f t="shared" si="32"/>
        <v>12.141605187348</v>
      </c>
      <c r="G2073" s="3">
        <f>parking_demand_data_2024_ver0!F2073</f>
        <v>0</v>
      </c>
      <c r="H2073" s="3">
        <f>parking_demand_data_2024_ver0!G2073</f>
        <v>0</v>
      </c>
      <c r="I2073" s="3">
        <f>parking_demand_data_2024_ver0!H2073</f>
        <v>0</v>
      </c>
      <c r="J2073" s="3">
        <f>parking_demand_data_2024_ver0!I2073</f>
        <v>0</v>
      </c>
      <c r="K2073" s="3">
        <f>parking_demand_data_2024_ver0!J2073</f>
        <v>0</v>
      </c>
      <c r="L2073" s="3">
        <f>parking_demand_data_2024_ver0!K2073</f>
        <v>0</v>
      </c>
      <c r="M2073" s="3">
        <f>parking_demand_data_2024_ver0!L2073</f>
        <v>0</v>
      </c>
      <c r="N2073" s="3">
        <f>parking_demand_data_2024_ver0!M2073</f>
        <v>0</v>
      </c>
      <c r="O2073" s="3">
        <f>parking_demand_data_2024_ver0!N2073</f>
        <v>0</v>
      </c>
      <c r="P2073" s="3">
        <f>parking_demand_data_2024_ver0!O2073</f>
        <v>0</v>
      </c>
      <c r="Q2073" s="3">
        <f>parking_demand_data_2024_ver0!P2073</f>
        <v>0</v>
      </c>
      <c r="R2073" s="3">
        <f>parking_demand_data_2024_ver0!Q2073</f>
        <v>0</v>
      </c>
      <c r="S2073" s="3">
        <f>parking_demand_data_2024_ver0!R2073</f>
        <v>0</v>
      </c>
      <c r="T2073" s="3">
        <f>parking_demand_data_2024_ver0!S2073</f>
        <v>0</v>
      </c>
    </row>
    <row r="2074" spans="1:20" x14ac:dyDescent="0.25">
      <c r="A2074">
        <v>18173</v>
      </c>
      <c r="B2074" t="s">
        <v>115</v>
      </c>
      <c r="C2074">
        <v>8</v>
      </c>
      <c r="D2074" s="3">
        <f>parking_demand_data_2024_ver0!D2074*calibration!$I$31</f>
        <v>0</v>
      </c>
      <c r="E2074" s="3">
        <f>parking_demand_data_2024_ver0!E2074*calibration!$I$31</f>
        <v>12.182763171033899</v>
      </c>
      <c r="F2074" s="3">
        <f t="shared" si="32"/>
        <v>12.182763171033899</v>
      </c>
      <c r="G2074" s="3">
        <f>parking_demand_data_2024_ver0!F2074</f>
        <v>0</v>
      </c>
      <c r="H2074" s="3">
        <f>parking_demand_data_2024_ver0!G2074</f>
        <v>0</v>
      </c>
      <c r="I2074" s="3">
        <f>parking_demand_data_2024_ver0!H2074</f>
        <v>0</v>
      </c>
      <c r="J2074" s="3">
        <f>parking_demand_data_2024_ver0!I2074</f>
        <v>0</v>
      </c>
      <c r="K2074" s="3">
        <f>parking_demand_data_2024_ver0!J2074</f>
        <v>0</v>
      </c>
      <c r="L2074" s="3">
        <f>parking_demand_data_2024_ver0!K2074</f>
        <v>0</v>
      </c>
      <c r="M2074" s="3">
        <f>parking_demand_data_2024_ver0!L2074</f>
        <v>0</v>
      </c>
      <c r="N2074" s="3">
        <f>parking_demand_data_2024_ver0!M2074</f>
        <v>0</v>
      </c>
      <c r="O2074" s="3">
        <f>parking_demand_data_2024_ver0!N2074</f>
        <v>0</v>
      </c>
      <c r="P2074" s="3">
        <f>parking_demand_data_2024_ver0!O2074</f>
        <v>0</v>
      </c>
      <c r="Q2074" s="3">
        <f>parking_demand_data_2024_ver0!P2074</f>
        <v>0</v>
      </c>
      <c r="R2074" s="3">
        <f>parking_demand_data_2024_ver0!Q2074</f>
        <v>0</v>
      </c>
      <c r="S2074" s="3">
        <f>parking_demand_data_2024_ver0!R2074</f>
        <v>0</v>
      </c>
      <c r="T2074" s="3">
        <f>parking_demand_data_2024_ver0!S2074</f>
        <v>0</v>
      </c>
    </row>
    <row r="2075" spans="1:20" x14ac:dyDescent="0.25">
      <c r="A2075">
        <v>18173</v>
      </c>
      <c r="B2075" t="s">
        <v>115</v>
      </c>
      <c r="C2075">
        <v>9</v>
      </c>
      <c r="D2075" s="3">
        <f>parking_demand_data_2024_ver0!D2075*calibration!$I$31</f>
        <v>0</v>
      </c>
      <c r="E2075" s="3">
        <f>parking_demand_data_2024_ver0!E2075*calibration!$I$31</f>
        <v>11.1949715625717</v>
      </c>
      <c r="F2075" s="3">
        <f t="shared" si="32"/>
        <v>11.1949715625717</v>
      </c>
      <c r="G2075" s="3">
        <f>parking_demand_data_2024_ver0!F2075</f>
        <v>0</v>
      </c>
      <c r="H2075" s="3">
        <f>parking_demand_data_2024_ver0!G2075</f>
        <v>0</v>
      </c>
      <c r="I2075" s="3">
        <f>parking_demand_data_2024_ver0!H2075</f>
        <v>0</v>
      </c>
      <c r="J2075" s="3">
        <f>parking_demand_data_2024_ver0!I2075</f>
        <v>0</v>
      </c>
      <c r="K2075" s="3">
        <f>parking_demand_data_2024_ver0!J2075</f>
        <v>0</v>
      </c>
      <c r="L2075" s="3">
        <f>parking_demand_data_2024_ver0!K2075</f>
        <v>0</v>
      </c>
      <c r="M2075" s="3">
        <f>parking_demand_data_2024_ver0!L2075</f>
        <v>0</v>
      </c>
      <c r="N2075" s="3">
        <f>parking_demand_data_2024_ver0!M2075</f>
        <v>0</v>
      </c>
      <c r="O2075" s="3">
        <f>parking_demand_data_2024_ver0!N2075</f>
        <v>0</v>
      </c>
      <c r="P2075" s="3">
        <f>parking_demand_data_2024_ver0!O2075</f>
        <v>0</v>
      </c>
      <c r="Q2075" s="3">
        <f>parking_demand_data_2024_ver0!P2075</f>
        <v>0</v>
      </c>
      <c r="R2075" s="3">
        <f>parking_demand_data_2024_ver0!Q2075</f>
        <v>0</v>
      </c>
      <c r="S2075" s="3">
        <f>parking_demand_data_2024_ver0!R2075</f>
        <v>0</v>
      </c>
      <c r="T2075" s="3">
        <f>parking_demand_data_2024_ver0!S2075</f>
        <v>0</v>
      </c>
    </row>
    <row r="2076" spans="1:20" x14ac:dyDescent="0.25">
      <c r="A2076">
        <v>18173</v>
      </c>
      <c r="B2076" t="s">
        <v>115</v>
      </c>
      <c r="C2076">
        <v>10</v>
      </c>
      <c r="D2076" s="3">
        <f>parking_demand_data_2024_ver0!D2076*calibration!$I$31</f>
        <v>0</v>
      </c>
      <c r="E2076" s="3">
        <f>parking_demand_data_2024_ver0!E2076*calibration!$I$31</f>
        <v>9.0547564109036305</v>
      </c>
      <c r="F2076" s="3">
        <f t="shared" si="32"/>
        <v>9.0547564109036305</v>
      </c>
      <c r="G2076" s="3">
        <f>parking_demand_data_2024_ver0!F2076</f>
        <v>0</v>
      </c>
      <c r="H2076" s="3">
        <f>parking_demand_data_2024_ver0!G2076</f>
        <v>0</v>
      </c>
      <c r="I2076" s="3">
        <f>parking_demand_data_2024_ver0!H2076</f>
        <v>0</v>
      </c>
      <c r="J2076" s="3">
        <f>parking_demand_data_2024_ver0!I2076</f>
        <v>0</v>
      </c>
      <c r="K2076" s="3">
        <f>parking_demand_data_2024_ver0!J2076</f>
        <v>0</v>
      </c>
      <c r="L2076" s="3">
        <f>parking_demand_data_2024_ver0!K2076</f>
        <v>0</v>
      </c>
      <c r="M2076" s="3">
        <f>parking_demand_data_2024_ver0!L2076</f>
        <v>0</v>
      </c>
      <c r="N2076" s="3">
        <f>parking_demand_data_2024_ver0!M2076</f>
        <v>0</v>
      </c>
      <c r="O2076" s="3">
        <f>parking_demand_data_2024_ver0!N2076</f>
        <v>0</v>
      </c>
      <c r="P2076" s="3">
        <f>parking_demand_data_2024_ver0!O2076</f>
        <v>0</v>
      </c>
      <c r="Q2076" s="3">
        <f>parking_demand_data_2024_ver0!P2076</f>
        <v>0</v>
      </c>
      <c r="R2076" s="3">
        <f>parking_demand_data_2024_ver0!Q2076</f>
        <v>0</v>
      </c>
      <c r="S2076" s="3">
        <f>parking_demand_data_2024_ver0!R2076</f>
        <v>0</v>
      </c>
      <c r="T2076" s="3">
        <f>parking_demand_data_2024_ver0!S2076</f>
        <v>0</v>
      </c>
    </row>
    <row r="2077" spans="1:20" x14ac:dyDescent="0.25">
      <c r="A2077">
        <v>18173</v>
      </c>
      <c r="B2077" t="s">
        <v>115</v>
      </c>
      <c r="C2077">
        <v>11</v>
      </c>
      <c r="D2077" s="3">
        <f>parking_demand_data_2024_ver0!D2077*calibration!$I$31</f>
        <v>0</v>
      </c>
      <c r="E2077" s="3">
        <f>parking_demand_data_2024_ver0!E2077*calibration!$I$31</f>
        <v>7.4907530308384596</v>
      </c>
      <c r="F2077" s="3">
        <f t="shared" si="32"/>
        <v>7.4907530308384596</v>
      </c>
      <c r="G2077" s="3">
        <f>parking_demand_data_2024_ver0!F2077</f>
        <v>0</v>
      </c>
      <c r="H2077" s="3">
        <f>parking_demand_data_2024_ver0!G2077</f>
        <v>0</v>
      </c>
      <c r="I2077" s="3">
        <f>parking_demand_data_2024_ver0!H2077</f>
        <v>0</v>
      </c>
      <c r="J2077" s="3">
        <f>parking_demand_data_2024_ver0!I2077</f>
        <v>0</v>
      </c>
      <c r="K2077" s="3">
        <f>parking_demand_data_2024_ver0!J2077</f>
        <v>0</v>
      </c>
      <c r="L2077" s="3">
        <f>parking_demand_data_2024_ver0!K2077</f>
        <v>0</v>
      </c>
      <c r="M2077" s="3">
        <f>parking_demand_data_2024_ver0!L2077</f>
        <v>0</v>
      </c>
      <c r="N2077" s="3">
        <f>parking_demand_data_2024_ver0!M2077</f>
        <v>0</v>
      </c>
      <c r="O2077" s="3">
        <f>parking_demand_data_2024_ver0!N2077</f>
        <v>0</v>
      </c>
      <c r="P2077" s="3">
        <f>parking_demand_data_2024_ver0!O2077</f>
        <v>0</v>
      </c>
      <c r="Q2077" s="3">
        <f>parking_demand_data_2024_ver0!P2077</f>
        <v>0</v>
      </c>
      <c r="R2077" s="3">
        <f>parking_demand_data_2024_ver0!Q2077</f>
        <v>0</v>
      </c>
      <c r="S2077" s="3">
        <f>parking_demand_data_2024_ver0!R2077</f>
        <v>0</v>
      </c>
      <c r="T2077" s="3">
        <f>parking_demand_data_2024_ver0!S2077</f>
        <v>0</v>
      </c>
    </row>
    <row r="2078" spans="1:20" x14ac:dyDescent="0.25">
      <c r="A2078">
        <v>18173</v>
      </c>
      <c r="B2078" t="s">
        <v>115</v>
      </c>
      <c r="C2078">
        <v>12</v>
      </c>
      <c r="D2078" s="3">
        <f>parking_demand_data_2024_ver0!D2078*calibration!$I$31</f>
        <v>0</v>
      </c>
      <c r="E2078" s="3">
        <f>parking_demand_data_2024_ver0!E2078*calibration!$I$31</f>
        <v>4.8566420749392201</v>
      </c>
      <c r="F2078" s="3">
        <f t="shared" si="32"/>
        <v>4.8566420749392201</v>
      </c>
      <c r="G2078" s="3">
        <f>parking_demand_data_2024_ver0!F2078</f>
        <v>0</v>
      </c>
      <c r="H2078" s="3">
        <f>parking_demand_data_2024_ver0!G2078</f>
        <v>0</v>
      </c>
      <c r="I2078" s="3">
        <f>parking_demand_data_2024_ver0!H2078</f>
        <v>0</v>
      </c>
      <c r="J2078" s="3">
        <f>parking_demand_data_2024_ver0!I2078</f>
        <v>0</v>
      </c>
      <c r="K2078" s="3">
        <f>parking_demand_data_2024_ver0!J2078</f>
        <v>0</v>
      </c>
      <c r="L2078" s="3">
        <f>parking_demand_data_2024_ver0!K2078</f>
        <v>0</v>
      </c>
      <c r="M2078" s="3">
        <f>parking_demand_data_2024_ver0!L2078</f>
        <v>0</v>
      </c>
      <c r="N2078" s="3">
        <f>parking_demand_data_2024_ver0!M2078</f>
        <v>0</v>
      </c>
      <c r="O2078" s="3">
        <f>parking_demand_data_2024_ver0!N2078</f>
        <v>0</v>
      </c>
      <c r="P2078" s="3">
        <f>parking_demand_data_2024_ver0!O2078</f>
        <v>0</v>
      </c>
      <c r="Q2078" s="3">
        <f>parking_demand_data_2024_ver0!P2078</f>
        <v>0</v>
      </c>
      <c r="R2078" s="3">
        <f>parking_demand_data_2024_ver0!Q2078</f>
        <v>0</v>
      </c>
      <c r="S2078" s="3">
        <f>parking_demand_data_2024_ver0!R2078</f>
        <v>0</v>
      </c>
      <c r="T2078" s="3">
        <f>parking_demand_data_2024_ver0!S2078</f>
        <v>0</v>
      </c>
    </row>
    <row r="2079" spans="1:20" x14ac:dyDescent="0.25">
      <c r="A2079">
        <v>18173</v>
      </c>
      <c r="B2079" t="s">
        <v>115</v>
      </c>
      <c r="C2079">
        <v>13</v>
      </c>
      <c r="D2079" s="3">
        <f>parking_demand_data_2024_ver0!D2079*calibration!$I$31</f>
        <v>0</v>
      </c>
      <c r="E2079" s="3">
        <f>parking_demand_data_2024_ver0!E2079*calibration!$I$31</f>
        <v>4.8566420749392201</v>
      </c>
      <c r="F2079" s="3">
        <f t="shared" si="32"/>
        <v>4.8566420749392201</v>
      </c>
      <c r="G2079" s="3">
        <f>parking_demand_data_2024_ver0!F2079</f>
        <v>0</v>
      </c>
      <c r="H2079" s="3">
        <f>parking_demand_data_2024_ver0!G2079</f>
        <v>0</v>
      </c>
      <c r="I2079" s="3">
        <f>parking_demand_data_2024_ver0!H2079</f>
        <v>0</v>
      </c>
      <c r="J2079" s="3">
        <f>parking_demand_data_2024_ver0!I2079</f>
        <v>0</v>
      </c>
      <c r="K2079" s="3">
        <f>parking_demand_data_2024_ver0!J2079</f>
        <v>0</v>
      </c>
      <c r="L2079" s="3">
        <f>parking_demand_data_2024_ver0!K2079</f>
        <v>0</v>
      </c>
      <c r="M2079" s="3">
        <f>parking_demand_data_2024_ver0!L2079</f>
        <v>0</v>
      </c>
      <c r="N2079" s="3">
        <f>parking_demand_data_2024_ver0!M2079</f>
        <v>0</v>
      </c>
      <c r="O2079" s="3">
        <f>parking_demand_data_2024_ver0!N2079</f>
        <v>0</v>
      </c>
      <c r="P2079" s="3">
        <f>parking_demand_data_2024_ver0!O2079</f>
        <v>0</v>
      </c>
      <c r="Q2079" s="3">
        <f>parking_demand_data_2024_ver0!P2079</f>
        <v>0</v>
      </c>
      <c r="R2079" s="3">
        <f>parking_demand_data_2024_ver0!Q2079</f>
        <v>0</v>
      </c>
      <c r="S2079" s="3">
        <f>parking_demand_data_2024_ver0!R2079</f>
        <v>0</v>
      </c>
      <c r="T2079" s="3">
        <f>parking_demand_data_2024_ver0!S2079</f>
        <v>0</v>
      </c>
    </row>
    <row r="2080" spans="1:20" x14ac:dyDescent="0.25">
      <c r="A2080">
        <v>18173</v>
      </c>
      <c r="B2080" t="s">
        <v>115</v>
      </c>
      <c r="C2080">
        <v>14</v>
      </c>
      <c r="D2080" s="3">
        <f>parking_demand_data_2024_ver0!D2080*calibration!$I$31</f>
        <v>0</v>
      </c>
      <c r="E2080" s="3">
        <f>parking_demand_data_2024_ver0!E2080*calibration!$I$31</f>
        <v>4.8154840912532997</v>
      </c>
      <c r="F2080" s="3">
        <f t="shared" si="32"/>
        <v>4.8154840912532997</v>
      </c>
      <c r="G2080" s="3">
        <f>parking_demand_data_2024_ver0!F2080</f>
        <v>0</v>
      </c>
      <c r="H2080" s="3">
        <f>parking_demand_data_2024_ver0!G2080</f>
        <v>0</v>
      </c>
      <c r="I2080" s="3">
        <f>parking_demand_data_2024_ver0!H2080</f>
        <v>0</v>
      </c>
      <c r="J2080" s="3">
        <f>parking_demand_data_2024_ver0!I2080</f>
        <v>0</v>
      </c>
      <c r="K2080" s="3">
        <f>parking_demand_data_2024_ver0!J2080</f>
        <v>0</v>
      </c>
      <c r="L2080" s="3">
        <f>parking_demand_data_2024_ver0!K2080</f>
        <v>0</v>
      </c>
      <c r="M2080" s="3">
        <f>parking_demand_data_2024_ver0!L2080</f>
        <v>0</v>
      </c>
      <c r="N2080" s="3">
        <f>parking_demand_data_2024_ver0!M2080</f>
        <v>0</v>
      </c>
      <c r="O2080" s="3">
        <f>parking_demand_data_2024_ver0!N2080</f>
        <v>0</v>
      </c>
      <c r="P2080" s="3">
        <f>parking_demand_data_2024_ver0!O2080</f>
        <v>0</v>
      </c>
      <c r="Q2080" s="3">
        <f>parking_demand_data_2024_ver0!P2080</f>
        <v>0</v>
      </c>
      <c r="R2080" s="3">
        <f>parking_demand_data_2024_ver0!Q2080</f>
        <v>0</v>
      </c>
      <c r="S2080" s="3">
        <f>parking_demand_data_2024_ver0!R2080</f>
        <v>0</v>
      </c>
      <c r="T2080" s="3">
        <f>parking_demand_data_2024_ver0!S2080</f>
        <v>0</v>
      </c>
    </row>
    <row r="2081" spans="1:20" x14ac:dyDescent="0.25">
      <c r="A2081">
        <v>18173</v>
      </c>
      <c r="B2081" t="s">
        <v>115</v>
      </c>
      <c r="C2081">
        <v>15</v>
      </c>
      <c r="D2081" s="3">
        <f>parking_demand_data_2024_ver0!D2081*calibration!$I$31</f>
        <v>0</v>
      </c>
      <c r="E2081" s="3">
        <f>parking_demand_data_2024_ver0!E2081*calibration!$I$31</f>
        <v>3.4572706296177498</v>
      </c>
      <c r="F2081" s="3">
        <f t="shared" si="32"/>
        <v>3.4572706296177498</v>
      </c>
      <c r="G2081" s="3">
        <f>parking_demand_data_2024_ver0!F2081</f>
        <v>0</v>
      </c>
      <c r="H2081" s="3">
        <f>parking_demand_data_2024_ver0!G2081</f>
        <v>0</v>
      </c>
      <c r="I2081" s="3">
        <f>parking_demand_data_2024_ver0!H2081</f>
        <v>0</v>
      </c>
      <c r="J2081" s="3">
        <f>parking_demand_data_2024_ver0!I2081</f>
        <v>0</v>
      </c>
      <c r="K2081" s="3">
        <f>parking_demand_data_2024_ver0!J2081</f>
        <v>0</v>
      </c>
      <c r="L2081" s="3">
        <f>parking_demand_data_2024_ver0!K2081</f>
        <v>0</v>
      </c>
      <c r="M2081" s="3">
        <f>parking_demand_data_2024_ver0!L2081</f>
        <v>0</v>
      </c>
      <c r="N2081" s="3">
        <f>parking_demand_data_2024_ver0!M2081</f>
        <v>0</v>
      </c>
      <c r="O2081" s="3">
        <f>parking_demand_data_2024_ver0!N2081</f>
        <v>0</v>
      </c>
      <c r="P2081" s="3">
        <f>parking_demand_data_2024_ver0!O2081</f>
        <v>0</v>
      </c>
      <c r="Q2081" s="3">
        <f>parking_demand_data_2024_ver0!P2081</f>
        <v>0</v>
      </c>
      <c r="R2081" s="3">
        <f>parking_demand_data_2024_ver0!Q2081</f>
        <v>0</v>
      </c>
      <c r="S2081" s="3">
        <f>parking_demand_data_2024_ver0!R2081</f>
        <v>0</v>
      </c>
      <c r="T2081" s="3">
        <f>parking_demand_data_2024_ver0!S2081</f>
        <v>0</v>
      </c>
    </row>
    <row r="2082" spans="1:20" x14ac:dyDescent="0.25">
      <c r="A2082">
        <v>18173</v>
      </c>
      <c r="B2082" t="s">
        <v>115</v>
      </c>
      <c r="C2082">
        <v>16</v>
      </c>
      <c r="D2082" s="3">
        <f>parking_demand_data_2024_ver0!D2082*calibration!$I$31</f>
        <v>0</v>
      </c>
      <c r="E2082" s="3">
        <f>parking_demand_data_2024_ver0!E2082*calibration!$I$31</f>
        <v>3.7453765154192298</v>
      </c>
      <c r="F2082" s="3">
        <f t="shared" si="32"/>
        <v>3.7453765154192298</v>
      </c>
      <c r="G2082" s="3">
        <f>parking_demand_data_2024_ver0!F2082</f>
        <v>0</v>
      </c>
      <c r="H2082" s="3">
        <f>parking_demand_data_2024_ver0!G2082</f>
        <v>0</v>
      </c>
      <c r="I2082" s="3">
        <f>parking_demand_data_2024_ver0!H2082</f>
        <v>0</v>
      </c>
      <c r="J2082" s="3">
        <f>parking_demand_data_2024_ver0!I2082</f>
        <v>0</v>
      </c>
      <c r="K2082" s="3">
        <f>parking_demand_data_2024_ver0!J2082</f>
        <v>0</v>
      </c>
      <c r="L2082" s="3">
        <f>parking_demand_data_2024_ver0!K2082</f>
        <v>0</v>
      </c>
      <c r="M2082" s="3">
        <f>parking_demand_data_2024_ver0!L2082</f>
        <v>0</v>
      </c>
      <c r="N2082" s="3">
        <f>parking_demand_data_2024_ver0!M2082</f>
        <v>0</v>
      </c>
      <c r="O2082" s="3">
        <f>parking_demand_data_2024_ver0!N2082</f>
        <v>0</v>
      </c>
      <c r="P2082" s="3">
        <f>parking_demand_data_2024_ver0!O2082</f>
        <v>0</v>
      </c>
      <c r="Q2082" s="3">
        <f>parking_demand_data_2024_ver0!P2082</f>
        <v>0</v>
      </c>
      <c r="R2082" s="3">
        <f>parking_demand_data_2024_ver0!Q2082</f>
        <v>0</v>
      </c>
      <c r="S2082" s="3">
        <f>parking_demand_data_2024_ver0!R2082</f>
        <v>0</v>
      </c>
      <c r="T2082" s="3">
        <f>parking_demand_data_2024_ver0!S2082</f>
        <v>0</v>
      </c>
    </row>
    <row r="2083" spans="1:20" x14ac:dyDescent="0.25">
      <c r="A2083">
        <v>18173</v>
      </c>
      <c r="B2083" t="s">
        <v>115</v>
      </c>
      <c r="C2083">
        <v>17</v>
      </c>
      <c r="D2083" s="3">
        <f>parking_demand_data_2024_ver0!D2083*calibration!$I$31</f>
        <v>0</v>
      </c>
      <c r="E2083" s="3">
        <f>parking_demand_data_2024_ver0!E2083*calibration!$I$31</f>
        <v>4.0334824012207102</v>
      </c>
      <c r="F2083" s="3">
        <f t="shared" si="32"/>
        <v>4.0334824012207102</v>
      </c>
      <c r="G2083" s="3">
        <f>parking_demand_data_2024_ver0!F2083</f>
        <v>0</v>
      </c>
      <c r="H2083" s="3">
        <f>parking_demand_data_2024_ver0!G2083</f>
        <v>0</v>
      </c>
      <c r="I2083" s="3">
        <f>parking_demand_data_2024_ver0!H2083</f>
        <v>0</v>
      </c>
      <c r="J2083" s="3">
        <f>parking_demand_data_2024_ver0!I2083</f>
        <v>0</v>
      </c>
      <c r="K2083" s="3">
        <f>parking_demand_data_2024_ver0!J2083</f>
        <v>0</v>
      </c>
      <c r="L2083" s="3">
        <f>parking_demand_data_2024_ver0!K2083</f>
        <v>0</v>
      </c>
      <c r="M2083" s="3">
        <f>parking_demand_data_2024_ver0!L2083</f>
        <v>0</v>
      </c>
      <c r="N2083" s="3">
        <f>parking_demand_data_2024_ver0!M2083</f>
        <v>0</v>
      </c>
      <c r="O2083" s="3">
        <f>parking_demand_data_2024_ver0!N2083</f>
        <v>0</v>
      </c>
      <c r="P2083" s="3">
        <f>parking_demand_data_2024_ver0!O2083</f>
        <v>0</v>
      </c>
      <c r="Q2083" s="3">
        <f>parking_demand_data_2024_ver0!P2083</f>
        <v>0</v>
      </c>
      <c r="R2083" s="3">
        <f>parking_demand_data_2024_ver0!Q2083</f>
        <v>0</v>
      </c>
      <c r="S2083" s="3">
        <f>parking_demand_data_2024_ver0!R2083</f>
        <v>0</v>
      </c>
      <c r="T2083" s="3">
        <f>parking_demand_data_2024_ver0!S2083</f>
        <v>0</v>
      </c>
    </row>
    <row r="2084" spans="1:20" x14ac:dyDescent="0.25">
      <c r="A2084">
        <v>18173</v>
      </c>
      <c r="B2084" t="s">
        <v>115</v>
      </c>
      <c r="C2084">
        <v>18</v>
      </c>
      <c r="D2084" s="3">
        <f>parking_demand_data_2024_ver0!D2084*calibration!$I$31</f>
        <v>0</v>
      </c>
      <c r="E2084" s="3">
        <f>parking_demand_data_2024_ver0!E2084*calibration!$I$31</f>
        <v>3.8688504664769998</v>
      </c>
      <c r="F2084" s="3">
        <f t="shared" si="32"/>
        <v>3.8688504664769998</v>
      </c>
      <c r="G2084" s="3">
        <f>parking_demand_data_2024_ver0!F2084</f>
        <v>0</v>
      </c>
      <c r="H2084" s="3">
        <f>parking_demand_data_2024_ver0!G2084</f>
        <v>0</v>
      </c>
      <c r="I2084" s="3">
        <f>parking_demand_data_2024_ver0!H2084</f>
        <v>0</v>
      </c>
      <c r="J2084" s="3">
        <f>parking_demand_data_2024_ver0!I2084</f>
        <v>0</v>
      </c>
      <c r="K2084" s="3">
        <f>parking_demand_data_2024_ver0!J2084</f>
        <v>0</v>
      </c>
      <c r="L2084" s="3">
        <f>parking_demand_data_2024_ver0!K2084</f>
        <v>0</v>
      </c>
      <c r="M2084" s="3">
        <f>parking_demand_data_2024_ver0!L2084</f>
        <v>0</v>
      </c>
      <c r="N2084" s="3">
        <f>parking_demand_data_2024_ver0!M2084</f>
        <v>0</v>
      </c>
      <c r="O2084" s="3">
        <f>parking_demand_data_2024_ver0!N2084</f>
        <v>0</v>
      </c>
      <c r="P2084" s="3">
        <f>parking_demand_data_2024_ver0!O2084</f>
        <v>0</v>
      </c>
      <c r="Q2084" s="3">
        <f>parking_demand_data_2024_ver0!P2084</f>
        <v>0</v>
      </c>
      <c r="R2084" s="3">
        <f>parking_demand_data_2024_ver0!Q2084</f>
        <v>0</v>
      </c>
      <c r="S2084" s="3">
        <f>parking_demand_data_2024_ver0!R2084</f>
        <v>0</v>
      </c>
      <c r="T2084" s="3">
        <f>parking_demand_data_2024_ver0!S2084</f>
        <v>0</v>
      </c>
    </row>
    <row r="2085" spans="1:20" x14ac:dyDescent="0.25">
      <c r="A2085">
        <v>18173</v>
      </c>
      <c r="B2085" t="s">
        <v>115</v>
      </c>
      <c r="C2085">
        <v>19</v>
      </c>
      <c r="D2085" s="3">
        <f>parking_demand_data_2024_ver0!D2085*calibration!$I$31</f>
        <v>0</v>
      </c>
      <c r="E2085" s="3">
        <f>parking_demand_data_2024_ver0!E2085*calibration!$I$31</f>
        <v>4.3627462707081097</v>
      </c>
      <c r="F2085" s="3">
        <f t="shared" si="32"/>
        <v>4.3627462707081097</v>
      </c>
      <c r="G2085" s="3">
        <f>parking_demand_data_2024_ver0!F2085</f>
        <v>0</v>
      </c>
      <c r="H2085" s="3">
        <f>parking_demand_data_2024_ver0!G2085</f>
        <v>0</v>
      </c>
      <c r="I2085" s="3">
        <f>parking_demand_data_2024_ver0!H2085</f>
        <v>0</v>
      </c>
      <c r="J2085" s="3">
        <f>parking_demand_data_2024_ver0!I2085</f>
        <v>0</v>
      </c>
      <c r="K2085" s="3">
        <f>parking_demand_data_2024_ver0!J2085</f>
        <v>0</v>
      </c>
      <c r="L2085" s="3">
        <f>parking_demand_data_2024_ver0!K2085</f>
        <v>0</v>
      </c>
      <c r="M2085" s="3">
        <f>parking_demand_data_2024_ver0!L2085</f>
        <v>0</v>
      </c>
      <c r="N2085" s="3">
        <f>parking_demand_data_2024_ver0!M2085</f>
        <v>0</v>
      </c>
      <c r="O2085" s="3">
        <f>parking_demand_data_2024_ver0!N2085</f>
        <v>0</v>
      </c>
      <c r="P2085" s="3">
        <f>parking_demand_data_2024_ver0!O2085</f>
        <v>0</v>
      </c>
      <c r="Q2085" s="3">
        <f>parking_demand_data_2024_ver0!P2085</f>
        <v>0</v>
      </c>
      <c r="R2085" s="3">
        <f>parking_demand_data_2024_ver0!Q2085</f>
        <v>0</v>
      </c>
      <c r="S2085" s="3">
        <f>parking_demand_data_2024_ver0!R2085</f>
        <v>0</v>
      </c>
      <c r="T2085" s="3">
        <f>parking_demand_data_2024_ver0!S2085</f>
        <v>0</v>
      </c>
    </row>
    <row r="2086" spans="1:20" x14ac:dyDescent="0.25">
      <c r="A2086">
        <v>18173</v>
      </c>
      <c r="B2086" t="s">
        <v>115</v>
      </c>
      <c r="C2086">
        <v>20</v>
      </c>
      <c r="D2086" s="3">
        <f>parking_demand_data_2024_ver0!D2086*calibration!$I$31</f>
        <v>0</v>
      </c>
      <c r="E2086" s="3">
        <f>parking_demand_data_2024_ver0!E2086*calibration!$I$31</f>
        <v>4.7743261075673704</v>
      </c>
      <c r="F2086" s="3">
        <f t="shared" si="32"/>
        <v>4.7743261075673704</v>
      </c>
      <c r="G2086" s="3">
        <f>parking_demand_data_2024_ver0!F2086</f>
        <v>0</v>
      </c>
      <c r="H2086" s="3">
        <f>parking_demand_data_2024_ver0!G2086</f>
        <v>0</v>
      </c>
      <c r="I2086" s="3">
        <f>parking_demand_data_2024_ver0!H2086</f>
        <v>0</v>
      </c>
      <c r="J2086" s="3">
        <f>parking_demand_data_2024_ver0!I2086</f>
        <v>0</v>
      </c>
      <c r="K2086" s="3">
        <f>parking_demand_data_2024_ver0!J2086</f>
        <v>0</v>
      </c>
      <c r="L2086" s="3">
        <f>parking_demand_data_2024_ver0!K2086</f>
        <v>0</v>
      </c>
      <c r="M2086" s="3">
        <f>parking_demand_data_2024_ver0!L2086</f>
        <v>0</v>
      </c>
      <c r="N2086" s="3">
        <f>parking_demand_data_2024_ver0!M2086</f>
        <v>0</v>
      </c>
      <c r="O2086" s="3">
        <f>parking_demand_data_2024_ver0!N2086</f>
        <v>0</v>
      </c>
      <c r="P2086" s="3">
        <f>parking_demand_data_2024_ver0!O2086</f>
        <v>0</v>
      </c>
      <c r="Q2086" s="3">
        <f>parking_demand_data_2024_ver0!P2086</f>
        <v>0</v>
      </c>
      <c r="R2086" s="3">
        <f>parking_demand_data_2024_ver0!Q2086</f>
        <v>0</v>
      </c>
      <c r="S2086" s="3">
        <f>parking_demand_data_2024_ver0!R2086</f>
        <v>0</v>
      </c>
      <c r="T2086" s="3">
        <f>parking_demand_data_2024_ver0!S2086</f>
        <v>0</v>
      </c>
    </row>
    <row r="2087" spans="1:20" x14ac:dyDescent="0.25">
      <c r="A2087">
        <v>18173</v>
      </c>
      <c r="B2087" t="s">
        <v>115</v>
      </c>
      <c r="C2087">
        <v>21</v>
      </c>
      <c r="D2087" s="3">
        <f>parking_demand_data_2024_ver0!D2087*calibration!$I$31</f>
        <v>0</v>
      </c>
      <c r="E2087" s="3">
        <f>parking_demand_data_2024_ver0!E2087*calibration!$I$31</f>
        <v>5.2682219117984799</v>
      </c>
      <c r="F2087" s="3">
        <f t="shared" si="32"/>
        <v>5.2682219117984799</v>
      </c>
      <c r="G2087" s="3">
        <f>parking_demand_data_2024_ver0!F2087</f>
        <v>0</v>
      </c>
      <c r="H2087" s="3">
        <f>parking_demand_data_2024_ver0!G2087</f>
        <v>0</v>
      </c>
      <c r="I2087" s="3">
        <f>parking_demand_data_2024_ver0!H2087</f>
        <v>0</v>
      </c>
      <c r="J2087" s="3">
        <f>parking_demand_data_2024_ver0!I2087</f>
        <v>0</v>
      </c>
      <c r="K2087" s="3">
        <f>parking_demand_data_2024_ver0!J2087</f>
        <v>0</v>
      </c>
      <c r="L2087" s="3">
        <f>parking_demand_data_2024_ver0!K2087</f>
        <v>0</v>
      </c>
      <c r="M2087" s="3">
        <f>parking_demand_data_2024_ver0!L2087</f>
        <v>0</v>
      </c>
      <c r="N2087" s="3">
        <f>parking_demand_data_2024_ver0!M2087</f>
        <v>0</v>
      </c>
      <c r="O2087" s="3">
        <f>parking_demand_data_2024_ver0!N2087</f>
        <v>0</v>
      </c>
      <c r="P2087" s="3">
        <f>parking_demand_data_2024_ver0!O2087</f>
        <v>0</v>
      </c>
      <c r="Q2087" s="3">
        <f>parking_demand_data_2024_ver0!P2087</f>
        <v>0</v>
      </c>
      <c r="R2087" s="3">
        <f>parking_demand_data_2024_ver0!Q2087</f>
        <v>0</v>
      </c>
      <c r="S2087" s="3">
        <f>parking_demand_data_2024_ver0!R2087</f>
        <v>0</v>
      </c>
      <c r="T2087" s="3">
        <f>parking_demand_data_2024_ver0!S2087</f>
        <v>0</v>
      </c>
    </row>
    <row r="2088" spans="1:20" x14ac:dyDescent="0.25">
      <c r="A2088">
        <v>18173</v>
      </c>
      <c r="B2088" t="s">
        <v>115</v>
      </c>
      <c r="C2088">
        <v>22</v>
      </c>
      <c r="D2088" s="3">
        <f>parking_demand_data_2024_ver0!D2088*calibration!$I$31</f>
        <v>0</v>
      </c>
      <c r="E2088" s="3">
        <f>parking_demand_data_2024_ver0!E2088*calibration!$I$31</f>
        <v>5.5151698139140297</v>
      </c>
      <c r="F2088" s="3">
        <f t="shared" si="32"/>
        <v>5.5151698139140297</v>
      </c>
      <c r="G2088" s="3">
        <f>parking_demand_data_2024_ver0!F2088</f>
        <v>0</v>
      </c>
      <c r="H2088" s="3">
        <f>parking_demand_data_2024_ver0!G2088</f>
        <v>0</v>
      </c>
      <c r="I2088" s="3">
        <f>parking_demand_data_2024_ver0!H2088</f>
        <v>0</v>
      </c>
      <c r="J2088" s="3">
        <f>parking_demand_data_2024_ver0!I2088</f>
        <v>0</v>
      </c>
      <c r="K2088" s="3">
        <f>parking_demand_data_2024_ver0!J2088</f>
        <v>0</v>
      </c>
      <c r="L2088" s="3">
        <f>parking_demand_data_2024_ver0!K2088</f>
        <v>0</v>
      </c>
      <c r="M2088" s="3">
        <f>parking_demand_data_2024_ver0!L2088</f>
        <v>0</v>
      </c>
      <c r="N2088" s="3">
        <f>parking_demand_data_2024_ver0!M2088</f>
        <v>0</v>
      </c>
      <c r="O2088" s="3">
        <f>parking_demand_data_2024_ver0!N2088</f>
        <v>0</v>
      </c>
      <c r="P2088" s="3">
        <f>parking_demand_data_2024_ver0!O2088</f>
        <v>0</v>
      </c>
      <c r="Q2088" s="3">
        <f>parking_demand_data_2024_ver0!P2088</f>
        <v>0</v>
      </c>
      <c r="R2088" s="3">
        <f>parking_demand_data_2024_ver0!Q2088</f>
        <v>0</v>
      </c>
      <c r="S2088" s="3">
        <f>parking_demand_data_2024_ver0!R2088</f>
        <v>0</v>
      </c>
      <c r="T2088" s="3">
        <f>parking_demand_data_2024_ver0!S2088</f>
        <v>0</v>
      </c>
    </row>
    <row r="2089" spans="1:20" x14ac:dyDescent="0.25">
      <c r="A2089">
        <v>18173</v>
      </c>
      <c r="B2089" t="s">
        <v>115</v>
      </c>
      <c r="C2089">
        <v>23</v>
      </c>
      <c r="D2089" s="3">
        <f>parking_demand_data_2024_ver0!D2089*calibration!$I$31</f>
        <v>0</v>
      </c>
      <c r="E2089" s="3">
        <f>parking_demand_data_2024_ver0!E2089*calibration!$I$31</f>
        <v>6.4206454550043901</v>
      </c>
      <c r="F2089" s="3">
        <f t="shared" si="32"/>
        <v>6.4206454550043901</v>
      </c>
      <c r="G2089" s="3">
        <f>parking_demand_data_2024_ver0!F2089</f>
        <v>0</v>
      </c>
      <c r="H2089" s="3">
        <f>parking_demand_data_2024_ver0!G2089</f>
        <v>0</v>
      </c>
      <c r="I2089" s="3">
        <f>parking_demand_data_2024_ver0!H2089</f>
        <v>0</v>
      </c>
      <c r="J2089" s="3">
        <f>parking_demand_data_2024_ver0!I2089</f>
        <v>0</v>
      </c>
      <c r="K2089" s="3">
        <f>parking_demand_data_2024_ver0!J2089</f>
        <v>0</v>
      </c>
      <c r="L2089" s="3">
        <f>parking_demand_data_2024_ver0!K2089</f>
        <v>0</v>
      </c>
      <c r="M2089" s="3">
        <f>parking_demand_data_2024_ver0!L2089</f>
        <v>0</v>
      </c>
      <c r="N2089" s="3">
        <f>parking_demand_data_2024_ver0!M2089</f>
        <v>0</v>
      </c>
      <c r="O2089" s="3">
        <f>parking_demand_data_2024_ver0!N2089</f>
        <v>0</v>
      </c>
      <c r="P2089" s="3">
        <f>parking_demand_data_2024_ver0!O2089</f>
        <v>0</v>
      </c>
      <c r="Q2089" s="3">
        <f>parking_demand_data_2024_ver0!P2089</f>
        <v>0</v>
      </c>
      <c r="R2089" s="3">
        <f>parking_demand_data_2024_ver0!Q2089</f>
        <v>0</v>
      </c>
      <c r="S2089" s="3">
        <f>parking_demand_data_2024_ver0!R2089</f>
        <v>0</v>
      </c>
      <c r="T2089" s="3">
        <f>parking_demand_data_2024_ver0!S2089</f>
        <v>0</v>
      </c>
    </row>
    <row r="2090" spans="1:20" x14ac:dyDescent="0.25">
      <c r="A2090">
        <v>18175</v>
      </c>
      <c r="B2090" t="s">
        <v>116</v>
      </c>
      <c r="C2090">
        <v>0</v>
      </c>
      <c r="D2090" s="3">
        <f>parking_demand_data_2024_ver0!D2090*calibration!$I$31</f>
        <v>0</v>
      </c>
      <c r="E2090" s="3">
        <f>parking_demand_data_2024_ver0!E2090*calibration!$I$31</f>
        <v>0</v>
      </c>
      <c r="F2090" s="3">
        <f t="shared" si="32"/>
        <v>0</v>
      </c>
      <c r="G2090" s="3">
        <f>parking_demand_data_2024_ver0!F2090</f>
        <v>0</v>
      </c>
      <c r="H2090" s="3">
        <f>parking_demand_data_2024_ver0!G2090</f>
        <v>0</v>
      </c>
      <c r="I2090" s="3">
        <f>parking_demand_data_2024_ver0!H2090</f>
        <v>0</v>
      </c>
      <c r="J2090" s="3">
        <f>parking_demand_data_2024_ver0!I2090</f>
        <v>0</v>
      </c>
      <c r="K2090" s="3">
        <f>parking_demand_data_2024_ver0!J2090</f>
        <v>0</v>
      </c>
      <c r="L2090" s="3">
        <f>parking_demand_data_2024_ver0!K2090</f>
        <v>0</v>
      </c>
      <c r="M2090" s="3">
        <f>parking_demand_data_2024_ver0!L2090</f>
        <v>0</v>
      </c>
      <c r="N2090" s="3">
        <f>parking_demand_data_2024_ver0!M2090</f>
        <v>0</v>
      </c>
      <c r="O2090" s="3">
        <f>parking_demand_data_2024_ver0!N2090</f>
        <v>0</v>
      </c>
      <c r="P2090" s="3">
        <f>parking_demand_data_2024_ver0!O2090</f>
        <v>0</v>
      </c>
      <c r="Q2090" s="3">
        <f>parking_demand_data_2024_ver0!P2090</f>
        <v>0</v>
      </c>
      <c r="R2090" s="3">
        <f>parking_demand_data_2024_ver0!Q2090</f>
        <v>0</v>
      </c>
      <c r="S2090" s="3">
        <f>parking_demand_data_2024_ver0!R2090</f>
        <v>0</v>
      </c>
      <c r="T2090" s="3">
        <f>parking_demand_data_2024_ver0!S2090</f>
        <v>0</v>
      </c>
    </row>
    <row r="2091" spans="1:20" x14ac:dyDescent="0.25">
      <c r="A2091">
        <v>18175</v>
      </c>
      <c r="B2091" t="s">
        <v>116</v>
      </c>
      <c r="C2091">
        <v>1</v>
      </c>
      <c r="D2091" s="3">
        <f>parking_demand_data_2024_ver0!D2091*calibration!$I$31</f>
        <v>0</v>
      </c>
      <c r="E2091" s="3">
        <f>parking_demand_data_2024_ver0!E2091*calibration!$I$31</f>
        <v>0</v>
      </c>
      <c r="F2091" s="3">
        <f t="shared" si="32"/>
        <v>0</v>
      </c>
      <c r="G2091" s="3">
        <f>parking_demand_data_2024_ver0!F2091</f>
        <v>0</v>
      </c>
      <c r="H2091" s="3">
        <f>parking_demand_data_2024_ver0!G2091</f>
        <v>0</v>
      </c>
      <c r="I2091" s="3">
        <f>parking_demand_data_2024_ver0!H2091</f>
        <v>0</v>
      </c>
      <c r="J2091" s="3">
        <f>parking_demand_data_2024_ver0!I2091</f>
        <v>0</v>
      </c>
      <c r="K2091" s="3">
        <f>parking_demand_data_2024_ver0!J2091</f>
        <v>0</v>
      </c>
      <c r="L2091" s="3">
        <f>parking_demand_data_2024_ver0!K2091</f>
        <v>0</v>
      </c>
      <c r="M2091" s="3">
        <f>parking_demand_data_2024_ver0!L2091</f>
        <v>0</v>
      </c>
      <c r="N2091" s="3">
        <f>parking_demand_data_2024_ver0!M2091</f>
        <v>0</v>
      </c>
      <c r="O2091" s="3">
        <f>parking_demand_data_2024_ver0!N2091</f>
        <v>0</v>
      </c>
      <c r="P2091" s="3">
        <f>parking_demand_data_2024_ver0!O2091</f>
        <v>0</v>
      </c>
      <c r="Q2091" s="3">
        <f>parking_demand_data_2024_ver0!P2091</f>
        <v>0</v>
      </c>
      <c r="R2091" s="3">
        <f>parking_demand_data_2024_ver0!Q2091</f>
        <v>0</v>
      </c>
      <c r="S2091" s="3">
        <f>parking_demand_data_2024_ver0!R2091</f>
        <v>0</v>
      </c>
      <c r="T2091" s="3">
        <f>parking_demand_data_2024_ver0!S2091</f>
        <v>0</v>
      </c>
    </row>
    <row r="2092" spans="1:20" x14ac:dyDescent="0.25">
      <c r="A2092">
        <v>18175</v>
      </c>
      <c r="B2092" t="s">
        <v>116</v>
      </c>
      <c r="C2092">
        <v>2</v>
      </c>
      <c r="D2092" s="3">
        <f>parking_demand_data_2024_ver0!D2092*calibration!$I$31</f>
        <v>0</v>
      </c>
      <c r="E2092" s="3">
        <f>parking_demand_data_2024_ver0!E2092*calibration!$I$31</f>
        <v>0</v>
      </c>
      <c r="F2092" s="3">
        <f t="shared" si="32"/>
        <v>0</v>
      </c>
      <c r="G2092" s="3">
        <f>parking_demand_data_2024_ver0!F2092</f>
        <v>0</v>
      </c>
      <c r="H2092" s="3">
        <f>parking_demand_data_2024_ver0!G2092</f>
        <v>0</v>
      </c>
      <c r="I2092" s="3">
        <f>parking_demand_data_2024_ver0!H2092</f>
        <v>0</v>
      </c>
      <c r="J2092" s="3">
        <f>parking_demand_data_2024_ver0!I2092</f>
        <v>0</v>
      </c>
      <c r="K2092" s="3">
        <f>parking_demand_data_2024_ver0!J2092</f>
        <v>0</v>
      </c>
      <c r="L2092" s="3">
        <f>parking_demand_data_2024_ver0!K2092</f>
        <v>0</v>
      </c>
      <c r="M2092" s="3">
        <f>parking_demand_data_2024_ver0!L2092</f>
        <v>0</v>
      </c>
      <c r="N2092" s="3">
        <f>parking_demand_data_2024_ver0!M2092</f>
        <v>0</v>
      </c>
      <c r="O2092" s="3">
        <f>parking_demand_data_2024_ver0!N2092</f>
        <v>0</v>
      </c>
      <c r="P2092" s="3">
        <f>parking_demand_data_2024_ver0!O2092</f>
        <v>0</v>
      </c>
      <c r="Q2092" s="3">
        <f>parking_demand_data_2024_ver0!P2092</f>
        <v>0</v>
      </c>
      <c r="R2092" s="3">
        <f>parking_demand_data_2024_ver0!Q2092</f>
        <v>0</v>
      </c>
      <c r="S2092" s="3">
        <f>parking_demand_data_2024_ver0!R2092</f>
        <v>0</v>
      </c>
      <c r="T2092" s="3">
        <f>parking_demand_data_2024_ver0!S2092</f>
        <v>0</v>
      </c>
    </row>
    <row r="2093" spans="1:20" x14ac:dyDescent="0.25">
      <c r="A2093">
        <v>18175</v>
      </c>
      <c r="B2093" t="s">
        <v>116</v>
      </c>
      <c r="C2093">
        <v>3</v>
      </c>
      <c r="D2093" s="3">
        <f>parking_demand_data_2024_ver0!D2093*calibration!$I$31</f>
        <v>0</v>
      </c>
      <c r="E2093" s="3">
        <f>parking_demand_data_2024_ver0!E2093*calibration!$I$31</f>
        <v>0</v>
      </c>
      <c r="F2093" s="3">
        <f t="shared" si="32"/>
        <v>0</v>
      </c>
      <c r="G2093" s="3">
        <f>parking_demand_data_2024_ver0!F2093</f>
        <v>0</v>
      </c>
      <c r="H2093" s="3">
        <f>parking_demand_data_2024_ver0!G2093</f>
        <v>0</v>
      </c>
      <c r="I2093" s="3">
        <f>parking_demand_data_2024_ver0!H2093</f>
        <v>0</v>
      </c>
      <c r="J2093" s="3">
        <f>parking_demand_data_2024_ver0!I2093</f>
        <v>0</v>
      </c>
      <c r="K2093" s="3">
        <f>parking_demand_data_2024_ver0!J2093</f>
        <v>0</v>
      </c>
      <c r="L2093" s="3">
        <f>parking_demand_data_2024_ver0!K2093</f>
        <v>0</v>
      </c>
      <c r="M2093" s="3">
        <f>parking_demand_data_2024_ver0!L2093</f>
        <v>0</v>
      </c>
      <c r="N2093" s="3">
        <f>parking_demand_data_2024_ver0!M2093</f>
        <v>0</v>
      </c>
      <c r="O2093" s="3">
        <f>parking_demand_data_2024_ver0!N2093</f>
        <v>0</v>
      </c>
      <c r="P2093" s="3">
        <f>parking_demand_data_2024_ver0!O2093</f>
        <v>0</v>
      </c>
      <c r="Q2093" s="3">
        <f>parking_demand_data_2024_ver0!P2093</f>
        <v>0</v>
      </c>
      <c r="R2093" s="3">
        <f>parking_demand_data_2024_ver0!Q2093</f>
        <v>0</v>
      </c>
      <c r="S2093" s="3">
        <f>parking_demand_data_2024_ver0!R2093</f>
        <v>0</v>
      </c>
      <c r="T2093" s="3">
        <f>parking_demand_data_2024_ver0!S2093</f>
        <v>0</v>
      </c>
    </row>
    <row r="2094" spans="1:20" x14ac:dyDescent="0.25">
      <c r="A2094">
        <v>18175</v>
      </c>
      <c r="B2094" t="s">
        <v>116</v>
      </c>
      <c r="C2094">
        <v>4</v>
      </c>
      <c r="D2094" s="3">
        <f>parking_demand_data_2024_ver0!D2094*calibration!$I$31</f>
        <v>0</v>
      </c>
      <c r="E2094" s="3">
        <f>parking_demand_data_2024_ver0!E2094*calibration!$I$31</f>
        <v>0</v>
      </c>
      <c r="F2094" s="3">
        <f t="shared" si="32"/>
        <v>0</v>
      </c>
      <c r="G2094" s="3">
        <f>parking_demand_data_2024_ver0!F2094</f>
        <v>0</v>
      </c>
      <c r="H2094" s="3">
        <f>parking_demand_data_2024_ver0!G2094</f>
        <v>0</v>
      </c>
      <c r="I2094" s="3">
        <f>parking_demand_data_2024_ver0!H2094</f>
        <v>0</v>
      </c>
      <c r="J2094" s="3">
        <f>parking_demand_data_2024_ver0!I2094</f>
        <v>0</v>
      </c>
      <c r="K2094" s="3">
        <f>parking_demand_data_2024_ver0!J2094</f>
        <v>0</v>
      </c>
      <c r="L2094" s="3">
        <f>parking_demand_data_2024_ver0!K2094</f>
        <v>0</v>
      </c>
      <c r="M2094" s="3">
        <f>parking_demand_data_2024_ver0!L2094</f>
        <v>0</v>
      </c>
      <c r="N2094" s="3">
        <f>parking_demand_data_2024_ver0!M2094</f>
        <v>0</v>
      </c>
      <c r="O2094" s="3">
        <f>parking_demand_data_2024_ver0!N2094</f>
        <v>0</v>
      </c>
      <c r="P2094" s="3">
        <f>parking_demand_data_2024_ver0!O2094</f>
        <v>0</v>
      </c>
      <c r="Q2094" s="3">
        <f>parking_demand_data_2024_ver0!P2094</f>
        <v>0</v>
      </c>
      <c r="R2094" s="3">
        <f>parking_demand_data_2024_ver0!Q2094</f>
        <v>0</v>
      </c>
      <c r="S2094" s="3">
        <f>parking_demand_data_2024_ver0!R2094</f>
        <v>0</v>
      </c>
      <c r="T2094" s="3">
        <f>parking_demand_data_2024_ver0!S2094</f>
        <v>0</v>
      </c>
    </row>
    <row r="2095" spans="1:20" x14ac:dyDescent="0.25">
      <c r="A2095">
        <v>18175</v>
      </c>
      <c r="B2095" t="s">
        <v>116</v>
      </c>
      <c r="C2095">
        <v>5</v>
      </c>
      <c r="D2095" s="3">
        <f>parking_demand_data_2024_ver0!D2095*calibration!$I$31</f>
        <v>0</v>
      </c>
      <c r="E2095" s="3">
        <f>parking_demand_data_2024_ver0!E2095*calibration!$I$31</f>
        <v>0</v>
      </c>
      <c r="F2095" s="3">
        <f t="shared" si="32"/>
        <v>0</v>
      </c>
      <c r="G2095" s="3">
        <f>parking_demand_data_2024_ver0!F2095</f>
        <v>0</v>
      </c>
      <c r="H2095" s="3">
        <f>parking_demand_data_2024_ver0!G2095</f>
        <v>0</v>
      </c>
      <c r="I2095" s="3">
        <f>parking_demand_data_2024_ver0!H2095</f>
        <v>0</v>
      </c>
      <c r="J2095" s="3">
        <f>parking_demand_data_2024_ver0!I2095</f>
        <v>0</v>
      </c>
      <c r="K2095" s="3">
        <f>parking_demand_data_2024_ver0!J2095</f>
        <v>0</v>
      </c>
      <c r="L2095" s="3">
        <f>parking_demand_data_2024_ver0!K2095</f>
        <v>0</v>
      </c>
      <c r="M2095" s="3">
        <f>parking_demand_data_2024_ver0!L2095</f>
        <v>0</v>
      </c>
      <c r="N2095" s="3">
        <f>parking_demand_data_2024_ver0!M2095</f>
        <v>0</v>
      </c>
      <c r="O2095" s="3">
        <f>parking_demand_data_2024_ver0!N2095</f>
        <v>0</v>
      </c>
      <c r="P2095" s="3">
        <f>parking_demand_data_2024_ver0!O2095</f>
        <v>0</v>
      </c>
      <c r="Q2095" s="3">
        <f>parking_demand_data_2024_ver0!P2095</f>
        <v>0</v>
      </c>
      <c r="R2095" s="3">
        <f>parking_demand_data_2024_ver0!Q2095</f>
        <v>0</v>
      </c>
      <c r="S2095" s="3">
        <f>parking_demand_data_2024_ver0!R2095</f>
        <v>0</v>
      </c>
      <c r="T2095" s="3">
        <f>parking_demand_data_2024_ver0!S2095</f>
        <v>0</v>
      </c>
    </row>
    <row r="2096" spans="1:20" x14ac:dyDescent="0.25">
      <c r="A2096">
        <v>18175</v>
      </c>
      <c r="B2096" t="s">
        <v>116</v>
      </c>
      <c r="C2096">
        <v>6</v>
      </c>
      <c r="D2096" s="3">
        <f>parking_demand_data_2024_ver0!D2096*calibration!$I$31</f>
        <v>0</v>
      </c>
      <c r="E2096" s="3">
        <f>parking_demand_data_2024_ver0!E2096*calibration!$I$31</f>
        <v>0</v>
      </c>
      <c r="F2096" s="3">
        <f t="shared" si="32"/>
        <v>0</v>
      </c>
      <c r="G2096" s="3">
        <f>parking_demand_data_2024_ver0!F2096</f>
        <v>0</v>
      </c>
      <c r="H2096" s="3">
        <f>parking_demand_data_2024_ver0!G2096</f>
        <v>0</v>
      </c>
      <c r="I2096" s="3">
        <f>parking_demand_data_2024_ver0!H2096</f>
        <v>0</v>
      </c>
      <c r="J2096" s="3">
        <f>parking_demand_data_2024_ver0!I2096</f>
        <v>0</v>
      </c>
      <c r="K2096" s="3">
        <f>parking_demand_data_2024_ver0!J2096</f>
        <v>0</v>
      </c>
      <c r="L2096" s="3">
        <f>parking_demand_data_2024_ver0!K2096</f>
        <v>0</v>
      </c>
      <c r="M2096" s="3">
        <f>parking_demand_data_2024_ver0!L2096</f>
        <v>0</v>
      </c>
      <c r="N2096" s="3">
        <f>parking_demand_data_2024_ver0!M2096</f>
        <v>0</v>
      </c>
      <c r="O2096" s="3">
        <f>parking_demand_data_2024_ver0!N2096</f>
        <v>0</v>
      </c>
      <c r="P2096" s="3">
        <f>parking_demand_data_2024_ver0!O2096</f>
        <v>0</v>
      </c>
      <c r="Q2096" s="3">
        <f>parking_demand_data_2024_ver0!P2096</f>
        <v>0</v>
      </c>
      <c r="R2096" s="3">
        <f>parking_demand_data_2024_ver0!Q2096</f>
        <v>0</v>
      </c>
      <c r="S2096" s="3">
        <f>parking_demand_data_2024_ver0!R2096</f>
        <v>0</v>
      </c>
      <c r="T2096" s="3">
        <f>parking_demand_data_2024_ver0!S2096</f>
        <v>0</v>
      </c>
    </row>
    <row r="2097" spans="1:20" x14ac:dyDescent="0.25">
      <c r="A2097">
        <v>18175</v>
      </c>
      <c r="B2097" t="s">
        <v>116</v>
      </c>
      <c r="C2097">
        <v>7</v>
      </c>
      <c r="D2097" s="3">
        <f>parking_demand_data_2024_ver0!D2097*calibration!$I$31</f>
        <v>0</v>
      </c>
      <c r="E2097" s="3">
        <f>parking_demand_data_2024_ver0!E2097*calibration!$I$31</f>
        <v>0.78410309827248403</v>
      </c>
      <c r="F2097" s="3">
        <f t="shared" si="32"/>
        <v>0.78410309827248403</v>
      </c>
      <c r="G2097" s="3">
        <f>parking_demand_data_2024_ver0!F2097</f>
        <v>0</v>
      </c>
      <c r="H2097" s="3">
        <f>parking_demand_data_2024_ver0!G2097</f>
        <v>0</v>
      </c>
      <c r="I2097" s="3">
        <f>parking_demand_data_2024_ver0!H2097</f>
        <v>0</v>
      </c>
      <c r="J2097" s="3">
        <f>parking_demand_data_2024_ver0!I2097</f>
        <v>0</v>
      </c>
      <c r="K2097" s="3">
        <f>parking_demand_data_2024_ver0!J2097</f>
        <v>0</v>
      </c>
      <c r="L2097" s="3">
        <f>parking_demand_data_2024_ver0!K2097</f>
        <v>0</v>
      </c>
      <c r="M2097" s="3">
        <f>parking_demand_data_2024_ver0!L2097</f>
        <v>0</v>
      </c>
      <c r="N2097" s="3">
        <f>parking_demand_data_2024_ver0!M2097</f>
        <v>0</v>
      </c>
      <c r="O2097" s="3">
        <f>parking_demand_data_2024_ver0!N2097</f>
        <v>0</v>
      </c>
      <c r="P2097" s="3">
        <f>parking_demand_data_2024_ver0!O2097</f>
        <v>0</v>
      </c>
      <c r="Q2097" s="3">
        <f>parking_demand_data_2024_ver0!P2097</f>
        <v>0</v>
      </c>
      <c r="R2097" s="3">
        <f>parking_demand_data_2024_ver0!Q2097</f>
        <v>0</v>
      </c>
      <c r="S2097" s="3">
        <f>parking_demand_data_2024_ver0!R2097</f>
        <v>0</v>
      </c>
      <c r="T2097" s="3">
        <f>parking_demand_data_2024_ver0!S2097</f>
        <v>0</v>
      </c>
    </row>
    <row r="2098" spans="1:20" x14ac:dyDescent="0.25">
      <c r="A2098">
        <v>18175</v>
      </c>
      <c r="B2098" t="s">
        <v>116</v>
      </c>
      <c r="C2098">
        <v>8</v>
      </c>
      <c r="D2098" s="3">
        <f>parking_demand_data_2024_ver0!D2098*calibration!$I$31</f>
        <v>0</v>
      </c>
      <c r="E2098" s="3">
        <f>parking_demand_data_2024_ver0!E2098*calibration!$I$31</f>
        <v>2.5305145444248298</v>
      </c>
      <c r="F2098" s="3">
        <f t="shared" si="32"/>
        <v>2.5305145444248298</v>
      </c>
      <c r="G2098" s="3">
        <f>parking_demand_data_2024_ver0!F2098</f>
        <v>0</v>
      </c>
      <c r="H2098" s="3">
        <f>parking_demand_data_2024_ver0!G2098</f>
        <v>0</v>
      </c>
      <c r="I2098" s="3">
        <f>parking_demand_data_2024_ver0!H2098</f>
        <v>0</v>
      </c>
      <c r="J2098" s="3">
        <f>parking_demand_data_2024_ver0!I2098</f>
        <v>0</v>
      </c>
      <c r="K2098" s="3">
        <f>parking_demand_data_2024_ver0!J2098</f>
        <v>0</v>
      </c>
      <c r="L2098" s="3">
        <f>parking_demand_data_2024_ver0!K2098</f>
        <v>0</v>
      </c>
      <c r="M2098" s="3">
        <f>parking_demand_data_2024_ver0!L2098</f>
        <v>0</v>
      </c>
      <c r="N2098" s="3">
        <f>parking_demand_data_2024_ver0!M2098</f>
        <v>0</v>
      </c>
      <c r="O2098" s="3">
        <f>parking_demand_data_2024_ver0!N2098</f>
        <v>0</v>
      </c>
      <c r="P2098" s="3">
        <f>parking_demand_data_2024_ver0!O2098</f>
        <v>0</v>
      </c>
      <c r="Q2098" s="3">
        <f>parking_demand_data_2024_ver0!P2098</f>
        <v>0</v>
      </c>
      <c r="R2098" s="3">
        <f>parking_demand_data_2024_ver0!Q2098</f>
        <v>0</v>
      </c>
      <c r="S2098" s="3">
        <f>parking_demand_data_2024_ver0!R2098</f>
        <v>0</v>
      </c>
      <c r="T2098" s="3">
        <f>parking_demand_data_2024_ver0!S2098</f>
        <v>0</v>
      </c>
    </row>
    <row r="2099" spans="1:20" x14ac:dyDescent="0.25">
      <c r="A2099">
        <v>18175</v>
      </c>
      <c r="B2099" t="s">
        <v>116</v>
      </c>
      <c r="C2099">
        <v>9</v>
      </c>
      <c r="D2099" s="3">
        <f>parking_demand_data_2024_ver0!D2099*calibration!$I$31</f>
        <v>0</v>
      </c>
      <c r="E2099" s="3">
        <f>parking_demand_data_2024_ver0!E2099*calibration!$I$31</f>
        <v>2.35230929481745</v>
      </c>
      <c r="F2099" s="3">
        <f t="shared" si="32"/>
        <v>2.35230929481745</v>
      </c>
      <c r="G2099" s="3">
        <f>parking_demand_data_2024_ver0!F2099</f>
        <v>0</v>
      </c>
      <c r="H2099" s="3">
        <f>parking_demand_data_2024_ver0!G2099</f>
        <v>0</v>
      </c>
      <c r="I2099" s="3">
        <f>parking_demand_data_2024_ver0!H2099</f>
        <v>0</v>
      </c>
      <c r="J2099" s="3">
        <f>parking_demand_data_2024_ver0!I2099</f>
        <v>0</v>
      </c>
      <c r="K2099" s="3">
        <f>parking_demand_data_2024_ver0!J2099</f>
        <v>0</v>
      </c>
      <c r="L2099" s="3">
        <f>parking_demand_data_2024_ver0!K2099</f>
        <v>0</v>
      </c>
      <c r="M2099" s="3">
        <f>parking_demand_data_2024_ver0!L2099</f>
        <v>0</v>
      </c>
      <c r="N2099" s="3">
        <f>parking_demand_data_2024_ver0!M2099</f>
        <v>0</v>
      </c>
      <c r="O2099" s="3">
        <f>parking_demand_data_2024_ver0!N2099</f>
        <v>0</v>
      </c>
      <c r="P2099" s="3">
        <f>parking_demand_data_2024_ver0!O2099</f>
        <v>0</v>
      </c>
      <c r="Q2099" s="3">
        <f>parking_demand_data_2024_ver0!P2099</f>
        <v>0</v>
      </c>
      <c r="R2099" s="3">
        <f>parking_demand_data_2024_ver0!Q2099</f>
        <v>0</v>
      </c>
      <c r="S2099" s="3">
        <f>parking_demand_data_2024_ver0!R2099</f>
        <v>0</v>
      </c>
      <c r="T2099" s="3">
        <f>parking_demand_data_2024_ver0!S2099</f>
        <v>0</v>
      </c>
    </row>
    <row r="2100" spans="1:20" x14ac:dyDescent="0.25">
      <c r="A2100">
        <v>18175</v>
      </c>
      <c r="B2100" t="s">
        <v>116</v>
      </c>
      <c r="C2100">
        <v>10</v>
      </c>
      <c r="D2100" s="3">
        <f>parking_demand_data_2024_ver0!D2100*calibration!$I$31</f>
        <v>0</v>
      </c>
      <c r="E2100" s="3">
        <f>parking_demand_data_2024_ver0!E2100*calibration!$I$31</f>
        <v>1.6751293463093899</v>
      </c>
      <c r="F2100" s="3">
        <f t="shared" si="32"/>
        <v>1.6751293463093899</v>
      </c>
      <c r="G2100" s="3">
        <f>parking_demand_data_2024_ver0!F2100</f>
        <v>0</v>
      </c>
      <c r="H2100" s="3">
        <f>parking_demand_data_2024_ver0!G2100</f>
        <v>0</v>
      </c>
      <c r="I2100" s="3">
        <f>parking_demand_data_2024_ver0!H2100</f>
        <v>0</v>
      </c>
      <c r="J2100" s="3">
        <f>parking_demand_data_2024_ver0!I2100</f>
        <v>0</v>
      </c>
      <c r="K2100" s="3">
        <f>parking_demand_data_2024_ver0!J2100</f>
        <v>0</v>
      </c>
      <c r="L2100" s="3">
        <f>parking_demand_data_2024_ver0!K2100</f>
        <v>0</v>
      </c>
      <c r="M2100" s="3">
        <f>parking_demand_data_2024_ver0!L2100</f>
        <v>0</v>
      </c>
      <c r="N2100" s="3">
        <f>parking_demand_data_2024_ver0!M2100</f>
        <v>0</v>
      </c>
      <c r="O2100" s="3">
        <f>parking_demand_data_2024_ver0!N2100</f>
        <v>0</v>
      </c>
      <c r="P2100" s="3">
        <f>parking_demand_data_2024_ver0!O2100</f>
        <v>0</v>
      </c>
      <c r="Q2100" s="3">
        <f>parking_demand_data_2024_ver0!P2100</f>
        <v>0</v>
      </c>
      <c r="R2100" s="3">
        <f>parking_demand_data_2024_ver0!Q2100</f>
        <v>0</v>
      </c>
      <c r="S2100" s="3">
        <f>parking_demand_data_2024_ver0!R2100</f>
        <v>0</v>
      </c>
      <c r="T2100" s="3">
        <f>parking_demand_data_2024_ver0!S2100</f>
        <v>0</v>
      </c>
    </row>
    <row r="2101" spans="1:20" x14ac:dyDescent="0.25">
      <c r="A2101">
        <v>18175</v>
      </c>
      <c r="B2101" t="s">
        <v>116</v>
      </c>
      <c r="C2101">
        <v>11</v>
      </c>
      <c r="D2101" s="3">
        <f>parking_demand_data_2024_ver0!D2101*calibration!$I$31</f>
        <v>0</v>
      </c>
      <c r="E2101" s="3">
        <f>parking_demand_data_2024_ver0!E2101*calibration!$I$31</f>
        <v>1.39000094693758</v>
      </c>
      <c r="F2101" s="3">
        <f t="shared" si="32"/>
        <v>1.39000094693758</v>
      </c>
      <c r="G2101" s="3">
        <f>parking_demand_data_2024_ver0!F2101</f>
        <v>0</v>
      </c>
      <c r="H2101" s="3">
        <f>parking_demand_data_2024_ver0!G2101</f>
        <v>0</v>
      </c>
      <c r="I2101" s="3">
        <f>parking_demand_data_2024_ver0!H2101</f>
        <v>0</v>
      </c>
      <c r="J2101" s="3">
        <f>parking_demand_data_2024_ver0!I2101</f>
        <v>0</v>
      </c>
      <c r="K2101" s="3">
        <f>parking_demand_data_2024_ver0!J2101</f>
        <v>0</v>
      </c>
      <c r="L2101" s="3">
        <f>parking_demand_data_2024_ver0!K2101</f>
        <v>0</v>
      </c>
      <c r="M2101" s="3">
        <f>parking_demand_data_2024_ver0!L2101</f>
        <v>0</v>
      </c>
      <c r="N2101" s="3">
        <f>parking_demand_data_2024_ver0!M2101</f>
        <v>0</v>
      </c>
      <c r="O2101" s="3">
        <f>parking_demand_data_2024_ver0!N2101</f>
        <v>0</v>
      </c>
      <c r="P2101" s="3">
        <f>parking_demand_data_2024_ver0!O2101</f>
        <v>0</v>
      </c>
      <c r="Q2101" s="3">
        <f>parking_demand_data_2024_ver0!P2101</f>
        <v>0</v>
      </c>
      <c r="R2101" s="3">
        <f>parking_demand_data_2024_ver0!Q2101</f>
        <v>0</v>
      </c>
      <c r="S2101" s="3">
        <f>parking_demand_data_2024_ver0!R2101</f>
        <v>0</v>
      </c>
      <c r="T2101" s="3">
        <f>parking_demand_data_2024_ver0!S2101</f>
        <v>0</v>
      </c>
    </row>
    <row r="2102" spans="1:20" x14ac:dyDescent="0.25">
      <c r="A2102">
        <v>18175</v>
      </c>
      <c r="B2102" t="s">
        <v>116</v>
      </c>
      <c r="C2102">
        <v>12</v>
      </c>
      <c r="D2102" s="3">
        <f>parking_demand_data_2024_ver0!D2102*calibration!$I$31</f>
        <v>0</v>
      </c>
      <c r="E2102" s="3">
        <f>parking_demand_data_2024_ver0!E2102*calibration!$I$31</f>
        <v>1.71077039623087</v>
      </c>
      <c r="F2102" s="3">
        <f t="shared" si="32"/>
        <v>1.71077039623087</v>
      </c>
      <c r="G2102" s="3">
        <f>parking_demand_data_2024_ver0!F2102</f>
        <v>0</v>
      </c>
      <c r="H2102" s="3">
        <f>parking_demand_data_2024_ver0!G2102</f>
        <v>0</v>
      </c>
      <c r="I2102" s="3">
        <f>parking_demand_data_2024_ver0!H2102</f>
        <v>0</v>
      </c>
      <c r="J2102" s="3">
        <f>parking_demand_data_2024_ver0!I2102</f>
        <v>0</v>
      </c>
      <c r="K2102" s="3">
        <f>parking_demand_data_2024_ver0!J2102</f>
        <v>0</v>
      </c>
      <c r="L2102" s="3">
        <f>parking_demand_data_2024_ver0!K2102</f>
        <v>0</v>
      </c>
      <c r="M2102" s="3">
        <f>parking_demand_data_2024_ver0!L2102</f>
        <v>0</v>
      </c>
      <c r="N2102" s="3">
        <f>parking_demand_data_2024_ver0!M2102</f>
        <v>0</v>
      </c>
      <c r="O2102" s="3">
        <f>parking_demand_data_2024_ver0!N2102</f>
        <v>0</v>
      </c>
      <c r="P2102" s="3">
        <f>parking_demand_data_2024_ver0!O2102</f>
        <v>0</v>
      </c>
      <c r="Q2102" s="3">
        <f>parking_demand_data_2024_ver0!P2102</f>
        <v>0</v>
      </c>
      <c r="R2102" s="3">
        <f>parking_demand_data_2024_ver0!Q2102</f>
        <v>0</v>
      </c>
      <c r="S2102" s="3">
        <f>parking_demand_data_2024_ver0!R2102</f>
        <v>0</v>
      </c>
      <c r="T2102" s="3">
        <f>parking_demand_data_2024_ver0!S2102</f>
        <v>0</v>
      </c>
    </row>
    <row r="2103" spans="1:20" x14ac:dyDescent="0.25">
      <c r="A2103">
        <v>18175</v>
      </c>
      <c r="B2103" t="s">
        <v>116</v>
      </c>
      <c r="C2103">
        <v>13</v>
      </c>
      <c r="D2103" s="3">
        <f>parking_demand_data_2024_ver0!D2103*calibration!$I$31</f>
        <v>0</v>
      </c>
      <c r="E2103" s="3">
        <f>parking_demand_data_2024_ver0!E2103*calibration!$I$31</f>
        <v>2.2453861450530201</v>
      </c>
      <c r="F2103" s="3">
        <f t="shared" si="32"/>
        <v>2.2453861450530201</v>
      </c>
      <c r="G2103" s="3">
        <f>parking_demand_data_2024_ver0!F2103</f>
        <v>0</v>
      </c>
      <c r="H2103" s="3">
        <f>parking_demand_data_2024_ver0!G2103</f>
        <v>0</v>
      </c>
      <c r="I2103" s="3">
        <f>parking_demand_data_2024_ver0!H2103</f>
        <v>0</v>
      </c>
      <c r="J2103" s="3">
        <f>parking_demand_data_2024_ver0!I2103</f>
        <v>0</v>
      </c>
      <c r="K2103" s="3">
        <f>parking_demand_data_2024_ver0!J2103</f>
        <v>0</v>
      </c>
      <c r="L2103" s="3">
        <f>parking_demand_data_2024_ver0!K2103</f>
        <v>0</v>
      </c>
      <c r="M2103" s="3">
        <f>parking_demand_data_2024_ver0!L2103</f>
        <v>0</v>
      </c>
      <c r="N2103" s="3">
        <f>parking_demand_data_2024_ver0!M2103</f>
        <v>0</v>
      </c>
      <c r="O2103" s="3">
        <f>parking_demand_data_2024_ver0!N2103</f>
        <v>0</v>
      </c>
      <c r="P2103" s="3">
        <f>parking_demand_data_2024_ver0!O2103</f>
        <v>0</v>
      </c>
      <c r="Q2103" s="3">
        <f>parking_demand_data_2024_ver0!P2103</f>
        <v>0</v>
      </c>
      <c r="R2103" s="3">
        <f>parking_demand_data_2024_ver0!Q2103</f>
        <v>0</v>
      </c>
      <c r="S2103" s="3">
        <f>parking_demand_data_2024_ver0!R2103</f>
        <v>0</v>
      </c>
      <c r="T2103" s="3">
        <f>parking_demand_data_2024_ver0!S2103</f>
        <v>0</v>
      </c>
    </row>
    <row r="2104" spans="1:20" x14ac:dyDescent="0.25">
      <c r="A2104">
        <v>18175</v>
      </c>
      <c r="B2104" t="s">
        <v>116</v>
      </c>
      <c r="C2104">
        <v>14</v>
      </c>
      <c r="D2104" s="3">
        <f>parking_demand_data_2024_ver0!D2104*calibration!$I$31</f>
        <v>0</v>
      </c>
      <c r="E2104" s="3">
        <f>parking_demand_data_2024_ver0!E2104*calibration!$I$31</f>
        <v>2.4235913946604</v>
      </c>
      <c r="F2104" s="3">
        <f t="shared" si="32"/>
        <v>2.4235913946604</v>
      </c>
      <c r="G2104" s="3">
        <f>parking_demand_data_2024_ver0!F2104</f>
        <v>0</v>
      </c>
      <c r="H2104" s="3">
        <f>parking_demand_data_2024_ver0!G2104</f>
        <v>0</v>
      </c>
      <c r="I2104" s="3">
        <f>parking_demand_data_2024_ver0!H2104</f>
        <v>0</v>
      </c>
      <c r="J2104" s="3">
        <f>parking_demand_data_2024_ver0!I2104</f>
        <v>0</v>
      </c>
      <c r="K2104" s="3">
        <f>parking_demand_data_2024_ver0!J2104</f>
        <v>0</v>
      </c>
      <c r="L2104" s="3">
        <f>parking_demand_data_2024_ver0!K2104</f>
        <v>0</v>
      </c>
      <c r="M2104" s="3">
        <f>parking_demand_data_2024_ver0!L2104</f>
        <v>0</v>
      </c>
      <c r="N2104" s="3">
        <f>parking_demand_data_2024_ver0!M2104</f>
        <v>0</v>
      </c>
      <c r="O2104" s="3">
        <f>parking_demand_data_2024_ver0!N2104</f>
        <v>0</v>
      </c>
      <c r="P2104" s="3">
        <f>parking_demand_data_2024_ver0!O2104</f>
        <v>0</v>
      </c>
      <c r="Q2104" s="3">
        <f>parking_demand_data_2024_ver0!P2104</f>
        <v>0</v>
      </c>
      <c r="R2104" s="3">
        <f>parking_demand_data_2024_ver0!Q2104</f>
        <v>0</v>
      </c>
      <c r="S2104" s="3">
        <f>parking_demand_data_2024_ver0!R2104</f>
        <v>0</v>
      </c>
      <c r="T2104" s="3">
        <f>parking_demand_data_2024_ver0!S2104</f>
        <v>0</v>
      </c>
    </row>
    <row r="2105" spans="1:20" x14ac:dyDescent="0.25">
      <c r="A2105">
        <v>18175</v>
      </c>
      <c r="B2105" t="s">
        <v>116</v>
      </c>
      <c r="C2105">
        <v>15</v>
      </c>
      <c r="D2105" s="3">
        <f>parking_demand_data_2024_ver0!D2105*calibration!$I$31</f>
        <v>0</v>
      </c>
      <c r="E2105" s="3">
        <f>parking_demand_data_2024_ver0!E2105*calibration!$I$31</f>
        <v>1.06923149764429</v>
      </c>
      <c r="F2105" s="3">
        <f t="shared" si="32"/>
        <v>1.06923149764429</v>
      </c>
      <c r="G2105" s="3">
        <f>parking_demand_data_2024_ver0!F2105</f>
        <v>0</v>
      </c>
      <c r="H2105" s="3">
        <f>parking_demand_data_2024_ver0!G2105</f>
        <v>0</v>
      </c>
      <c r="I2105" s="3">
        <f>parking_demand_data_2024_ver0!H2105</f>
        <v>0</v>
      </c>
      <c r="J2105" s="3">
        <f>parking_demand_data_2024_ver0!I2105</f>
        <v>0</v>
      </c>
      <c r="K2105" s="3">
        <f>parking_demand_data_2024_ver0!J2105</f>
        <v>0</v>
      </c>
      <c r="L2105" s="3">
        <f>parking_demand_data_2024_ver0!K2105</f>
        <v>0</v>
      </c>
      <c r="M2105" s="3">
        <f>parking_demand_data_2024_ver0!L2105</f>
        <v>0</v>
      </c>
      <c r="N2105" s="3">
        <f>parking_demand_data_2024_ver0!M2105</f>
        <v>0</v>
      </c>
      <c r="O2105" s="3">
        <f>parking_demand_data_2024_ver0!N2105</f>
        <v>0</v>
      </c>
      <c r="P2105" s="3">
        <f>parking_demand_data_2024_ver0!O2105</f>
        <v>0</v>
      </c>
      <c r="Q2105" s="3">
        <f>parking_demand_data_2024_ver0!P2105</f>
        <v>0</v>
      </c>
      <c r="R2105" s="3">
        <f>parking_demand_data_2024_ver0!Q2105</f>
        <v>0</v>
      </c>
      <c r="S2105" s="3">
        <f>parking_demand_data_2024_ver0!R2105</f>
        <v>0</v>
      </c>
      <c r="T2105" s="3">
        <f>parking_demand_data_2024_ver0!S2105</f>
        <v>0</v>
      </c>
    </row>
    <row r="2106" spans="1:20" x14ac:dyDescent="0.25">
      <c r="A2106">
        <v>18175</v>
      </c>
      <c r="B2106" t="s">
        <v>116</v>
      </c>
      <c r="C2106">
        <v>16</v>
      </c>
      <c r="D2106" s="3">
        <f>parking_demand_data_2024_ver0!D2106*calibration!$I$31</f>
        <v>0</v>
      </c>
      <c r="E2106" s="3">
        <f>parking_demand_data_2024_ver0!E2106*calibration!$I$31</f>
        <v>0.106923149764429</v>
      </c>
      <c r="F2106" s="3">
        <f t="shared" si="32"/>
        <v>0.106923149764429</v>
      </c>
      <c r="G2106" s="3">
        <f>parking_demand_data_2024_ver0!F2106</f>
        <v>0</v>
      </c>
      <c r="H2106" s="3">
        <f>parking_demand_data_2024_ver0!G2106</f>
        <v>0</v>
      </c>
      <c r="I2106" s="3">
        <f>parking_demand_data_2024_ver0!H2106</f>
        <v>0</v>
      </c>
      <c r="J2106" s="3">
        <f>parking_demand_data_2024_ver0!I2106</f>
        <v>0</v>
      </c>
      <c r="K2106" s="3">
        <f>parking_demand_data_2024_ver0!J2106</f>
        <v>0</v>
      </c>
      <c r="L2106" s="3">
        <f>parking_demand_data_2024_ver0!K2106</f>
        <v>0</v>
      </c>
      <c r="M2106" s="3">
        <f>parking_demand_data_2024_ver0!L2106</f>
        <v>0</v>
      </c>
      <c r="N2106" s="3">
        <f>parking_demand_data_2024_ver0!M2106</f>
        <v>0</v>
      </c>
      <c r="O2106" s="3">
        <f>parking_demand_data_2024_ver0!N2106</f>
        <v>0</v>
      </c>
      <c r="P2106" s="3">
        <f>parking_demand_data_2024_ver0!O2106</f>
        <v>0</v>
      </c>
      <c r="Q2106" s="3">
        <f>parking_demand_data_2024_ver0!P2106</f>
        <v>0</v>
      </c>
      <c r="R2106" s="3">
        <f>parking_demand_data_2024_ver0!Q2106</f>
        <v>0</v>
      </c>
      <c r="S2106" s="3">
        <f>parking_demand_data_2024_ver0!R2106</f>
        <v>0</v>
      </c>
      <c r="T2106" s="3">
        <f>parking_demand_data_2024_ver0!S2106</f>
        <v>0</v>
      </c>
    </row>
    <row r="2107" spans="1:20" x14ac:dyDescent="0.25">
      <c r="A2107">
        <v>18175</v>
      </c>
      <c r="B2107" t="s">
        <v>116</v>
      </c>
      <c r="C2107">
        <v>17</v>
      </c>
      <c r="D2107" s="3">
        <f>parking_demand_data_2024_ver0!D2107*calibration!$I$31</f>
        <v>0</v>
      </c>
      <c r="E2107" s="3">
        <f>parking_demand_data_2024_ver0!E2107*calibration!$I$31</f>
        <v>0.142564199685906</v>
      </c>
      <c r="F2107" s="3">
        <f t="shared" si="32"/>
        <v>0.142564199685906</v>
      </c>
      <c r="G2107" s="3">
        <f>parking_demand_data_2024_ver0!F2107</f>
        <v>0</v>
      </c>
      <c r="H2107" s="3">
        <f>parking_demand_data_2024_ver0!G2107</f>
        <v>0</v>
      </c>
      <c r="I2107" s="3">
        <f>parking_demand_data_2024_ver0!H2107</f>
        <v>0</v>
      </c>
      <c r="J2107" s="3">
        <f>parking_demand_data_2024_ver0!I2107</f>
        <v>0</v>
      </c>
      <c r="K2107" s="3">
        <f>parking_demand_data_2024_ver0!J2107</f>
        <v>0</v>
      </c>
      <c r="L2107" s="3">
        <f>parking_demand_data_2024_ver0!K2107</f>
        <v>0</v>
      </c>
      <c r="M2107" s="3">
        <f>parking_demand_data_2024_ver0!L2107</f>
        <v>0</v>
      </c>
      <c r="N2107" s="3">
        <f>parking_demand_data_2024_ver0!M2107</f>
        <v>0</v>
      </c>
      <c r="O2107" s="3">
        <f>parking_demand_data_2024_ver0!N2107</f>
        <v>0</v>
      </c>
      <c r="P2107" s="3">
        <f>parking_demand_data_2024_ver0!O2107</f>
        <v>0</v>
      </c>
      <c r="Q2107" s="3">
        <f>parking_demand_data_2024_ver0!P2107</f>
        <v>0</v>
      </c>
      <c r="R2107" s="3">
        <f>parking_demand_data_2024_ver0!Q2107</f>
        <v>0</v>
      </c>
      <c r="S2107" s="3">
        <f>parking_demand_data_2024_ver0!R2107</f>
        <v>0</v>
      </c>
      <c r="T2107" s="3">
        <f>parking_demand_data_2024_ver0!S2107</f>
        <v>0</v>
      </c>
    </row>
    <row r="2108" spans="1:20" x14ac:dyDescent="0.25">
      <c r="A2108">
        <v>18175</v>
      </c>
      <c r="B2108" t="s">
        <v>116</v>
      </c>
      <c r="C2108">
        <v>18</v>
      </c>
      <c r="D2108" s="3">
        <f>parking_demand_data_2024_ver0!D2108*calibration!$I$31</f>
        <v>0</v>
      </c>
      <c r="E2108" s="3">
        <f>parking_demand_data_2024_ver0!E2108*calibration!$I$31</f>
        <v>0</v>
      </c>
      <c r="F2108" s="3">
        <f t="shared" si="32"/>
        <v>0</v>
      </c>
      <c r="G2108" s="3">
        <f>parking_demand_data_2024_ver0!F2108</f>
        <v>0</v>
      </c>
      <c r="H2108" s="3">
        <f>parking_demand_data_2024_ver0!G2108</f>
        <v>0</v>
      </c>
      <c r="I2108" s="3">
        <f>parking_demand_data_2024_ver0!H2108</f>
        <v>0</v>
      </c>
      <c r="J2108" s="3">
        <f>parking_demand_data_2024_ver0!I2108</f>
        <v>0</v>
      </c>
      <c r="K2108" s="3">
        <f>parking_demand_data_2024_ver0!J2108</f>
        <v>0</v>
      </c>
      <c r="L2108" s="3">
        <f>parking_demand_data_2024_ver0!K2108</f>
        <v>0</v>
      </c>
      <c r="M2108" s="3">
        <f>parking_demand_data_2024_ver0!L2108</f>
        <v>0</v>
      </c>
      <c r="N2108" s="3">
        <f>parking_demand_data_2024_ver0!M2108</f>
        <v>0</v>
      </c>
      <c r="O2108" s="3">
        <f>parking_demand_data_2024_ver0!N2108</f>
        <v>0</v>
      </c>
      <c r="P2108" s="3">
        <f>parking_demand_data_2024_ver0!O2108</f>
        <v>0</v>
      </c>
      <c r="Q2108" s="3">
        <f>parking_demand_data_2024_ver0!P2108</f>
        <v>0</v>
      </c>
      <c r="R2108" s="3">
        <f>parking_demand_data_2024_ver0!Q2108</f>
        <v>0</v>
      </c>
      <c r="S2108" s="3">
        <f>parking_demand_data_2024_ver0!R2108</f>
        <v>0</v>
      </c>
      <c r="T2108" s="3">
        <f>parking_demand_data_2024_ver0!S2108</f>
        <v>0</v>
      </c>
    </row>
    <row r="2109" spans="1:20" x14ac:dyDescent="0.25">
      <c r="A2109">
        <v>18175</v>
      </c>
      <c r="B2109" t="s">
        <v>116</v>
      </c>
      <c r="C2109">
        <v>19</v>
      </c>
      <c r="D2109" s="3">
        <f>parking_demand_data_2024_ver0!D2109*calibration!$I$31</f>
        <v>0</v>
      </c>
      <c r="E2109" s="3">
        <f>parking_demand_data_2024_ver0!E2109*calibration!$I$31</f>
        <v>0</v>
      </c>
      <c r="F2109" s="3">
        <f t="shared" si="32"/>
        <v>0</v>
      </c>
      <c r="G2109" s="3">
        <f>parking_demand_data_2024_ver0!F2109</f>
        <v>0</v>
      </c>
      <c r="H2109" s="3">
        <f>parking_demand_data_2024_ver0!G2109</f>
        <v>0</v>
      </c>
      <c r="I2109" s="3">
        <f>parking_demand_data_2024_ver0!H2109</f>
        <v>0</v>
      </c>
      <c r="J2109" s="3">
        <f>parking_demand_data_2024_ver0!I2109</f>
        <v>0</v>
      </c>
      <c r="K2109" s="3">
        <f>parking_demand_data_2024_ver0!J2109</f>
        <v>0</v>
      </c>
      <c r="L2109" s="3">
        <f>parking_demand_data_2024_ver0!K2109</f>
        <v>0</v>
      </c>
      <c r="M2109" s="3">
        <f>parking_demand_data_2024_ver0!L2109</f>
        <v>0</v>
      </c>
      <c r="N2109" s="3">
        <f>parking_demand_data_2024_ver0!M2109</f>
        <v>0</v>
      </c>
      <c r="O2109" s="3">
        <f>parking_demand_data_2024_ver0!N2109</f>
        <v>0</v>
      </c>
      <c r="P2109" s="3">
        <f>parking_demand_data_2024_ver0!O2109</f>
        <v>0</v>
      </c>
      <c r="Q2109" s="3">
        <f>parking_demand_data_2024_ver0!P2109</f>
        <v>0</v>
      </c>
      <c r="R2109" s="3">
        <f>parking_demand_data_2024_ver0!Q2109</f>
        <v>0</v>
      </c>
      <c r="S2109" s="3">
        <f>parking_demand_data_2024_ver0!R2109</f>
        <v>0</v>
      </c>
      <c r="T2109" s="3">
        <f>parking_demand_data_2024_ver0!S2109</f>
        <v>0</v>
      </c>
    </row>
    <row r="2110" spans="1:20" x14ac:dyDescent="0.25">
      <c r="A2110">
        <v>18175</v>
      </c>
      <c r="B2110" t="s">
        <v>116</v>
      </c>
      <c r="C2110">
        <v>20</v>
      </c>
      <c r="D2110" s="3">
        <f>parking_demand_data_2024_ver0!D2110*calibration!$I$31</f>
        <v>0</v>
      </c>
      <c r="E2110" s="3">
        <f>parking_demand_data_2024_ver0!E2110*calibration!$I$31</f>
        <v>0</v>
      </c>
      <c r="F2110" s="3">
        <f t="shared" si="32"/>
        <v>0</v>
      </c>
      <c r="G2110" s="3">
        <f>parking_demand_data_2024_ver0!F2110</f>
        <v>0</v>
      </c>
      <c r="H2110" s="3">
        <f>parking_demand_data_2024_ver0!G2110</f>
        <v>0</v>
      </c>
      <c r="I2110" s="3">
        <f>parking_demand_data_2024_ver0!H2110</f>
        <v>0</v>
      </c>
      <c r="J2110" s="3">
        <f>parking_demand_data_2024_ver0!I2110</f>
        <v>0</v>
      </c>
      <c r="K2110" s="3">
        <f>parking_demand_data_2024_ver0!J2110</f>
        <v>0</v>
      </c>
      <c r="L2110" s="3">
        <f>parking_demand_data_2024_ver0!K2110</f>
        <v>0</v>
      </c>
      <c r="M2110" s="3">
        <f>parking_demand_data_2024_ver0!L2110</f>
        <v>0</v>
      </c>
      <c r="N2110" s="3">
        <f>parking_demand_data_2024_ver0!M2110</f>
        <v>0</v>
      </c>
      <c r="O2110" s="3">
        <f>parking_demand_data_2024_ver0!N2110</f>
        <v>0</v>
      </c>
      <c r="P2110" s="3">
        <f>parking_demand_data_2024_ver0!O2110</f>
        <v>0</v>
      </c>
      <c r="Q2110" s="3">
        <f>parking_demand_data_2024_ver0!P2110</f>
        <v>0</v>
      </c>
      <c r="R2110" s="3">
        <f>parking_demand_data_2024_ver0!Q2110</f>
        <v>0</v>
      </c>
      <c r="S2110" s="3">
        <f>parking_demand_data_2024_ver0!R2110</f>
        <v>0</v>
      </c>
      <c r="T2110" s="3">
        <f>parking_demand_data_2024_ver0!S2110</f>
        <v>0</v>
      </c>
    </row>
    <row r="2111" spans="1:20" x14ac:dyDescent="0.25">
      <c r="A2111">
        <v>18175</v>
      </c>
      <c r="B2111" t="s">
        <v>116</v>
      </c>
      <c r="C2111">
        <v>21</v>
      </c>
      <c r="D2111" s="3">
        <f>parking_demand_data_2024_ver0!D2111*calibration!$I$31</f>
        <v>0</v>
      </c>
      <c r="E2111" s="3">
        <f>parking_demand_data_2024_ver0!E2111*calibration!$I$31</f>
        <v>0</v>
      </c>
      <c r="F2111" s="3">
        <f t="shared" si="32"/>
        <v>0</v>
      </c>
      <c r="G2111" s="3">
        <f>parking_demand_data_2024_ver0!F2111</f>
        <v>0</v>
      </c>
      <c r="H2111" s="3">
        <f>parking_demand_data_2024_ver0!G2111</f>
        <v>0</v>
      </c>
      <c r="I2111" s="3">
        <f>parking_demand_data_2024_ver0!H2111</f>
        <v>0</v>
      </c>
      <c r="J2111" s="3">
        <f>parking_demand_data_2024_ver0!I2111</f>
        <v>0</v>
      </c>
      <c r="K2111" s="3">
        <f>parking_demand_data_2024_ver0!J2111</f>
        <v>0</v>
      </c>
      <c r="L2111" s="3">
        <f>parking_demand_data_2024_ver0!K2111</f>
        <v>0</v>
      </c>
      <c r="M2111" s="3">
        <f>parking_demand_data_2024_ver0!L2111</f>
        <v>0</v>
      </c>
      <c r="N2111" s="3">
        <f>parking_demand_data_2024_ver0!M2111</f>
        <v>0</v>
      </c>
      <c r="O2111" s="3">
        <f>parking_demand_data_2024_ver0!N2111</f>
        <v>0</v>
      </c>
      <c r="P2111" s="3">
        <f>parking_demand_data_2024_ver0!O2111</f>
        <v>0</v>
      </c>
      <c r="Q2111" s="3">
        <f>parking_demand_data_2024_ver0!P2111</f>
        <v>0</v>
      </c>
      <c r="R2111" s="3">
        <f>parking_demand_data_2024_ver0!Q2111</f>
        <v>0</v>
      </c>
      <c r="S2111" s="3">
        <f>parking_demand_data_2024_ver0!R2111</f>
        <v>0</v>
      </c>
      <c r="T2111" s="3">
        <f>parking_demand_data_2024_ver0!S2111</f>
        <v>0</v>
      </c>
    </row>
    <row r="2112" spans="1:20" x14ac:dyDescent="0.25">
      <c r="A2112">
        <v>18175</v>
      </c>
      <c r="B2112" t="s">
        <v>116</v>
      </c>
      <c r="C2112">
        <v>22</v>
      </c>
      <c r="D2112" s="3">
        <f>parking_demand_data_2024_ver0!D2112*calibration!$I$31</f>
        <v>0</v>
      </c>
      <c r="E2112" s="3">
        <f>parking_demand_data_2024_ver0!E2112*calibration!$I$31</f>
        <v>0</v>
      </c>
      <c r="F2112" s="3">
        <f t="shared" si="32"/>
        <v>0</v>
      </c>
      <c r="G2112" s="3">
        <f>parking_demand_data_2024_ver0!F2112</f>
        <v>0</v>
      </c>
      <c r="H2112" s="3">
        <f>parking_demand_data_2024_ver0!G2112</f>
        <v>0</v>
      </c>
      <c r="I2112" s="3">
        <f>parking_demand_data_2024_ver0!H2112</f>
        <v>0</v>
      </c>
      <c r="J2112" s="3">
        <f>parking_demand_data_2024_ver0!I2112</f>
        <v>0</v>
      </c>
      <c r="K2112" s="3">
        <f>parking_demand_data_2024_ver0!J2112</f>
        <v>0</v>
      </c>
      <c r="L2112" s="3">
        <f>parking_demand_data_2024_ver0!K2112</f>
        <v>0</v>
      </c>
      <c r="M2112" s="3">
        <f>parking_demand_data_2024_ver0!L2112</f>
        <v>0</v>
      </c>
      <c r="N2112" s="3">
        <f>parking_demand_data_2024_ver0!M2112</f>
        <v>0</v>
      </c>
      <c r="O2112" s="3">
        <f>parking_demand_data_2024_ver0!N2112</f>
        <v>0</v>
      </c>
      <c r="P2112" s="3">
        <f>parking_demand_data_2024_ver0!O2112</f>
        <v>0</v>
      </c>
      <c r="Q2112" s="3">
        <f>parking_demand_data_2024_ver0!P2112</f>
        <v>0</v>
      </c>
      <c r="R2112" s="3">
        <f>parking_demand_data_2024_ver0!Q2112</f>
        <v>0</v>
      </c>
      <c r="S2112" s="3">
        <f>parking_demand_data_2024_ver0!R2112</f>
        <v>0</v>
      </c>
      <c r="T2112" s="3">
        <f>parking_demand_data_2024_ver0!S2112</f>
        <v>0</v>
      </c>
    </row>
    <row r="2113" spans="1:20" x14ac:dyDescent="0.25">
      <c r="A2113">
        <v>18175</v>
      </c>
      <c r="B2113" t="s">
        <v>116</v>
      </c>
      <c r="C2113">
        <v>23</v>
      </c>
      <c r="D2113" s="3">
        <f>parking_demand_data_2024_ver0!D2113*calibration!$I$31</f>
        <v>0</v>
      </c>
      <c r="E2113" s="3">
        <f>parking_demand_data_2024_ver0!E2113*calibration!$I$31</f>
        <v>0</v>
      </c>
      <c r="F2113" s="3">
        <f t="shared" si="32"/>
        <v>0</v>
      </c>
      <c r="G2113" s="3">
        <f>parking_demand_data_2024_ver0!F2113</f>
        <v>0</v>
      </c>
      <c r="H2113" s="3">
        <f>parking_demand_data_2024_ver0!G2113</f>
        <v>0</v>
      </c>
      <c r="I2113" s="3">
        <f>parking_demand_data_2024_ver0!H2113</f>
        <v>0</v>
      </c>
      <c r="J2113" s="3">
        <f>parking_demand_data_2024_ver0!I2113</f>
        <v>0</v>
      </c>
      <c r="K2113" s="3">
        <f>parking_demand_data_2024_ver0!J2113</f>
        <v>0</v>
      </c>
      <c r="L2113" s="3">
        <f>parking_demand_data_2024_ver0!K2113</f>
        <v>0</v>
      </c>
      <c r="M2113" s="3">
        <f>parking_demand_data_2024_ver0!L2113</f>
        <v>0</v>
      </c>
      <c r="N2113" s="3">
        <f>parking_demand_data_2024_ver0!M2113</f>
        <v>0</v>
      </c>
      <c r="O2113" s="3">
        <f>parking_demand_data_2024_ver0!N2113</f>
        <v>0</v>
      </c>
      <c r="P2113" s="3">
        <f>parking_demand_data_2024_ver0!O2113</f>
        <v>0</v>
      </c>
      <c r="Q2113" s="3">
        <f>parking_demand_data_2024_ver0!P2113</f>
        <v>0</v>
      </c>
      <c r="R2113" s="3">
        <f>parking_demand_data_2024_ver0!Q2113</f>
        <v>0</v>
      </c>
      <c r="S2113" s="3">
        <f>parking_demand_data_2024_ver0!R2113</f>
        <v>0</v>
      </c>
      <c r="T2113" s="3">
        <f>parking_demand_data_2024_ver0!S2113</f>
        <v>0</v>
      </c>
    </row>
    <row r="2114" spans="1:20" x14ac:dyDescent="0.25">
      <c r="A2114">
        <v>18177</v>
      </c>
      <c r="B2114" t="s">
        <v>117</v>
      </c>
      <c r="C2114">
        <v>0</v>
      </c>
      <c r="D2114" s="3">
        <f>parking_demand_data_2024_ver0!D2114*calibration!$I$31</f>
        <v>408.09418910831801</v>
      </c>
      <c r="E2114" s="3">
        <f>parking_demand_data_2024_ver0!E2114*calibration!$I$31</f>
        <v>7.7514542190305198</v>
      </c>
      <c r="F2114" s="3">
        <f t="shared" si="32"/>
        <v>415.84564332734851</v>
      </c>
      <c r="G2114" s="3">
        <f>parking_demand_data_2024_ver0!F2114</f>
        <v>3</v>
      </c>
      <c r="H2114" s="3">
        <f>parking_demand_data_2024_ver0!G2114</f>
        <v>1</v>
      </c>
      <c r="I2114" s="3">
        <f>parking_demand_data_2024_ver0!H2114</f>
        <v>1</v>
      </c>
      <c r="J2114" s="3">
        <f>parking_demand_data_2024_ver0!I2114</f>
        <v>0</v>
      </c>
      <c r="K2114" s="3">
        <f>parking_demand_data_2024_ver0!J2114</f>
        <v>1</v>
      </c>
      <c r="L2114" s="3">
        <f>parking_demand_data_2024_ver0!K2114</f>
        <v>0</v>
      </c>
      <c r="M2114" s="3">
        <f>parking_demand_data_2024_ver0!L2114</f>
        <v>0</v>
      </c>
      <c r="N2114" s="3">
        <f>parking_demand_data_2024_ver0!M2114</f>
        <v>361</v>
      </c>
      <c r="O2114" s="3">
        <f>parking_demand_data_2024_ver0!N2114</f>
        <v>130</v>
      </c>
      <c r="P2114" s="3">
        <f>parking_demand_data_2024_ver0!O2114</f>
        <v>75</v>
      </c>
      <c r="Q2114" s="3">
        <f>parking_demand_data_2024_ver0!P2114</f>
        <v>0</v>
      </c>
      <c r="R2114" s="3">
        <f>parking_demand_data_2024_ver0!Q2114</f>
        <v>156</v>
      </c>
      <c r="S2114" s="3">
        <f>parking_demand_data_2024_ver0!R2114</f>
        <v>0</v>
      </c>
      <c r="T2114" s="3">
        <f>parking_demand_data_2024_ver0!S2114</f>
        <v>0</v>
      </c>
    </row>
    <row r="2115" spans="1:20" x14ac:dyDescent="0.25">
      <c r="A2115">
        <v>18177</v>
      </c>
      <c r="B2115" t="s">
        <v>117</v>
      </c>
      <c r="C2115">
        <v>1</v>
      </c>
      <c r="D2115" s="3">
        <f>parking_demand_data_2024_ver0!D2115*calibration!$I$31</f>
        <v>414.50404548174703</v>
      </c>
      <c r="E2115" s="3">
        <f>parking_demand_data_2024_ver0!E2115*calibration!$I$31</f>
        <v>8.9936744464392504</v>
      </c>
      <c r="F2115" s="3">
        <f t="shared" ref="F2115:F2178" si="33">SUM(D2115:E2115)</f>
        <v>423.49771992818626</v>
      </c>
      <c r="G2115" s="3">
        <f>parking_demand_data_2024_ver0!F2115</f>
        <v>3</v>
      </c>
      <c r="H2115" s="3">
        <f>parking_demand_data_2024_ver0!G2115</f>
        <v>1</v>
      </c>
      <c r="I2115" s="3">
        <f>parking_demand_data_2024_ver0!H2115</f>
        <v>1</v>
      </c>
      <c r="J2115" s="3">
        <f>parking_demand_data_2024_ver0!I2115</f>
        <v>0</v>
      </c>
      <c r="K2115" s="3">
        <f>parking_demand_data_2024_ver0!J2115</f>
        <v>1</v>
      </c>
      <c r="L2115" s="3">
        <f>parking_demand_data_2024_ver0!K2115</f>
        <v>0</v>
      </c>
      <c r="M2115" s="3">
        <f>parking_demand_data_2024_ver0!L2115</f>
        <v>0</v>
      </c>
      <c r="N2115" s="3">
        <f>parking_demand_data_2024_ver0!M2115</f>
        <v>361</v>
      </c>
      <c r="O2115" s="3">
        <f>parking_demand_data_2024_ver0!N2115</f>
        <v>130</v>
      </c>
      <c r="P2115" s="3">
        <f>parking_demand_data_2024_ver0!O2115</f>
        <v>75</v>
      </c>
      <c r="Q2115" s="3">
        <f>parking_demand_data_2024_ver0!P2115</f>
        <v>0</v>
      </c>
      <c r="R2115" s="3">
        <f>parking_demand_data_2024_ver0!Q2115</f>
        <v>156</v>
      </c>
      <c r="S2115" s="3">
        <f>parking_demand_data_2024_ver0!R2115</f>
        <v>0</v>
      </c>
      <c r="T2115" s="3">
        <f>parking_demand_data_2024_ver0!S2115</f>
        <v>0</v>
      </c>
    </row>
    <row r="2116" spans="1:20" x14ac:dyDescent="0.25">
      <c r="A2116">
        <v>18177</v>
      </c>
      <c r="B2116" t="s">
        <v>117</v>
      </c>
      <c r="C2116">
        <v>2</v>
      </c>
      <c r="D2116" s="3">
        <f>parking_demand_data_2024_ver0!D2116*calibration!$I$31</f>
        <v>415.15</v>
      </c>
      <c r="E2116" s="3">
        <f>parking_demand_data_2024_ver0!E2116*calibration!$I$31</f>
        <v>9.4905625374027505</v>
      </c>
      <c r="F2116" s="3">
        <f t="shared" si="33"/>
        <v>424.64056253740273</v>
      </c>
      <c r="G2116" s="3">
        <f>parking_demand_data_2024_ver0!F2116</f>
        <v>3</v>
      </c>
      <c r="H2116" s="3">
        <f>parking_demand_data_2024_ver0!G2116</f>
        <v>1</v>
      </c>
      <c r="I2116" s="3">
        <f>parking_demand_data_2024_ver0!H2116</f>
        <v>1</v>
      </c>
      <c r="J2116" s="3">
        <f>parking_demand_data_2024_ver0!I2116</f>
        <v>0</v>
      </c>
      <c r="K2116" s="3">
        <f>parking_demand_data_2024_ver0!J2116</f>
        <v>1</v>
      </c>
      <c r="L2116" s="3">
        <f>parking_demand_data_2024_ver0!K2116</f>
        <v>0</v>
      </c>
      <c r="M2116" s="3">
        <f>parking_demand_data_2024_ver0!L2116</f>
        <v>0</v>
      </c>
      <c r="N2116" s="3">
        <f>parking_demand_data_2024_ver0!M2116</f>
        <v>361</v>
      </c>
      <c r="O2116" s="3">
        <f>parking_demand_data_2024_ver0!N2116</f>
        <v>130</v>
      </c>
      <c r="P2116" s="3">
        <f>parking_demand_data_2024_ver0!O2116</f>
        <v>75</v>
      </c>
      <c r="Q2116" s="3">
        <f>parking_demand_data_2024_ver0!P2116</f>
        <v>0</v>
      </c>
      <c r="R2116" s="3">
        <f>parking_demand_data_2024_ver0!Q2116</f>
        <v>156</v>
      </c>
      <c r="S2116" s="3">
        <f>parking_demand_data_2024_ver0!R2116</f>
        <v>0</v>
      </c>
      <c r="T2116" s="3">
        <f>parking_demand_data_2024_ver0!S2116</f>
        <v>0</v>
      </c>
    </row>
    <row r="2117" spans="1:20" x14ac:dyDescent="0.25">
      <c r="A2117">
        <v>18177</v>
      </c>
      <c r="B2117" t="s">
        <v>117</v>
      </c>
      <c r="C2117">
        <v>3</v>
      </c>
      <c r="D2117" s="3">
        <f>parking_demand_data_2024_ver0!D2117*calibration!$I$31</f>
        <v>412.61587073608598</v>
      </c>
      <c r="E2117" s="3">
        <f>parking_demand_data_2024_ver0!E2117*calibration!$I$31</f>
        <v>9.9874506283662399</v>
      </c>
      <c r="F2117" s="3">
        <f t="shared" si="33"/>
        <v>422.6033213644522</v>
      </c>
      <c r="G2117" s="3">
        <f>parking_demand_data_2024_ver0!F2117</f>
        <v>3</v>
      </c>
      <c r="H2117" s="3">
        <f>parking_demand_data_2024_ver0!G2117</f>
        <v>1</v>
      </c>
      <c r="I2117" s="3">
        <f>parking_demand_data_2024_ver0!H2117</f>
        <v>1</v>
      </c>
      <c r="J2117" s="3">
        <f>parking_demand_data_2024_ver0!I2117</f>
        <v>0</v>
      </c>
      <c r="K2117" s="3">
        <f>parking_demand_data_2024_ver0!J2117</f>
        <v>1</v>
      </c>
      <c r="L2117" s="3">
        <f>parking_demand_data_2024_ver0!K2117</f>
        <v>0</v>
      </c>
      <c r="M2117" s="3">
        <f>parking_demand_data_2024_ver0!L2117</f>
        <v>0</v>
      </c>
      <c r="N2117" s="3">
        <f>parking_demand_data_2024_ver0!M2117</f>
        <v>361</v>
      </c>
      <c r="O2117" s="3">
        <f>parking_demand_data_2024_ver0!N2117</f>
        <v>130</v>
      </c>
      <c r="P2117" s="3">
        <f>parking_demand_data_2024_ver0!O2117</f>
        <v>75</v>
      </c>
      <c r="Q2117" s="3">
        <f>parking_demand_data_2024_ver0!P2117</f>
        <v>0</v>
      </c>
      <c r="R2117" s="3">
        <f>parking_demand_data_2024_ver0!Q2117</f>
        <v>156</v>
      </c>
      <c r="S2117" s="3">
        <f>parking_demand_data_2024_ver0!R2117</f>
        <v>0</v>
      </c>
      <c r="T2117" s="3">
        <f>parking_demand_data_2024_ver0!S2117</f>
        <v>0</v>
      </c>
    </row>
    <row r="2118" spans="1:20" x14ac:dyDescent="0.25">
      <c r="A2118">
        <v>18177</v>
      </c>
      <c r="B2118" t="s">
        <v>117</v>
      </c>
      <c r="C2118">
        <v>4</v>
      </c>
      <c r="D2118" s="3">
        <f>parking_demand_data_2024_ver0!D2118*calibration!$I$31</f>
        <v>399.34895870736</v>
      </c>
      <c r="E2118" s="3">
        <f>parking_demand_data_2024_ver0!E2118*calibration!$I$31</f>
        <v>10.2855834829443</v>
      </c>
      <c r="F2118" s="3">
        <f t="shared" si="33"/>
        <v>409.63454219030427</v>
      </c>
      <c r="G2118" s="3">
        <f>parking_demand_data_2024_ver0!F2118</f>
        <v>3</v>
      </c>
      <c r="H2118" s="3">
        <f>parking_demand_data_2024_ver0!G2118</f>
        <v>1</v>
      </c>
      <c r="I2118" s="3">
        <f>parking_demand_data_2024_ver0!H2118</f>
        <v>1</v>
      </c>
      <c r="J2118" s="3">
        <f>parking_demand_data_2024_ver0!I2118</f>
        <v>0</v>
      </c>
      <c r="K2118" s="3">
        <f>parking_demand_data_2024_ver0!J2118</f>
        <v>1</v>
      </c>
      <c r="L2118" s="3">
        <f>parking_demand_data_2024_ver0!K2118</f>
        <v>0</v>
      </c>
      <c r="M2118" s="3">
        <f>parking_demand_data_2024_ver0!L2118</f>
        <v>0</v>
      </c>
      <c r="N2118" s="3">
        <f>parking_demand_data_2024_ver0!M2118</f>
        <v>361</v>
      </c>
      <c r="O2118" s="3">
        <f>parking_demand_data_2024_ver0!N2118</f>
        <v>130</v>
      </c>
      <c r="P2118" s="3">
        <f>parking_demand_data_2024_ver0!O2118</f>
        <v>75</v>
      </c>
      <c r="Q2118" s="3">
        <f>parking_demand_data_2024_ver0!P2118</f>
        <v>0</v>
      </c>
      <c r="R2118" s="3">
        <f>parking_demand_data_2024_ver0!Q2118</f>
        <v>156</v>
      </c>
      <c r="S2118" s="3">
        <f>parking_demand_data_2024_ver0!R2118</f>
        <v>0</v>
      </c>
      <c r="T2118" s="3">
        <f>parking_demand_data_2024_ver0!S2118</f>
        <v>0</v>
      </c>
    </row>
    <row r="2119" spans="1:20" x14ac:dyDescent="0.25">
      <c r="A2119">
        <v>18177</v>
      </c>
      <c r="B2119" t="s">
        <v>117</v>
      </c>
      <c r="C2119">
        <v>5</v>
      </c>
      <c r="D2119" s="3">
        <f>parking_demand_data_2024_ver0!D2119*calibration!$I$31</f>
        <v>379.57281268701303</v>
      </c>
      <c r="E2119" s="3">
        <f>parking_demand_data_2024_ver0!E2119*calibration!$I$31</f>
        <v>11.478114901256699</v>
      </c>
      <c r="F2119" s="3">
        <f t="shared" si="33"/>
        <v>391.0509275882697</v>
      </c>
      <c r="G2119" s="3">
        <f>parking_demand_data_2024_ver0!F2119</f>
        <v>3</v>
      </c>
      <c r="H2119" s="3">
        <f>parking_demand_data_2024_ver0!G2119</f>
        <v>1</v>
      </c>
      <c r="I2119" s="3">
        <f>parking_demand_data_2024_ver0!H2119</f>
        <v>1</v>
      </c>
      <c r="J2119" s="3">
        <f>parking_demand_data_2024_ver0!I2119</f>
        <v>0</v>
      </c>
      <c r="K2119" s="3">
        <f>parking_demand_data_2024_ver0!J2119</f>
        <v>1</v>
      </c>
      <c r="L2119" s="3">
        <f>parking_demand_data_2024_ver0!K2119</f>
        <v>0</v>
      </c>
      <c r="M2119" s="3">
        <f>parking_demand_data_2024_ver0!L2119</f>
        <v>0</v>
      </c>
      <c r="N2119" s="3">
        <f>parking_demand_data_2024_ver0!M2119</f>
        <v>361</v>
      </c>
      <c r="O2119" s="3">
        <f>parking_demand_data_2024_ver0!N2119</f>
        <v>130</v>
      </c>
      <c r="P2119" s="3">
        <f>parking_demand_data_2024_ver0!O2119</f>
        <v>75</v>
      </c>
      <c r="Q2119" s="3">
        <f>parking_demand_data_2024_ver0!P2119</f>
        <v>0</v>
      </c>
      <c r="R2119" s="3">
        <f>parking_demand_data_2024_ver0!Q2119</f>
        <v>156</v>
      </c>
      <c r="S2119" s="3">
        <f>parking_demand_data_2024_ver0!R2119</f>
        <v>0</v>
      </c>
      <c r="T2119" s="3">
        <f>parking_demand_data_2024_ver0!S2119</f>
        <v>0</v>
      </c>
    </row>
    <row r="2120" spans="1:20" x14ac:dyDescent="0.25">
      <c r="A2120">
        <v>18177</v>
      </c>
      <c r="B2120" t="s">
        <v>117</v>
      </c>
      <c r="C2120">
        <v>6</v>
      </c>
      <c r="D2120" s="3">
        <f>parking_demand_data_2024_ver0!D2120*calibration!$I$31</f>
        <v>342.15713943746198</v>
      </c>
      <c r="E2120" s="3">
        <f>parking_demand_data_2024_ver0!E2120*calibration!$I$31</f>
        <v>13.8134889287851</v>
      </c>
      <c r="F2120" s="3">
        <f t="shared" si="33"/>
        <v>355.97062836624707</v>
      </c>
      <c r="G2120" s="3">
        <f>parking_demand_data_2024_ver0!F2120</f>
        <v>3</v>
      </c>
      <c r="H2120" s="3">
        <f>parking_demand_data_2024_ver0!G2120</f>
        <v>1</v>
      </c>
      <c r="I2120" s="3">
        <f>parking_demand_data_2024_ver0!H2120</f>
        <v>1</v>
      </c>
      <c r="J2120" s="3">
        <f>parking_demand_data_2024_ver0!I2120</f>
        <v>0</v>
      </c>
      <c r="K2120" s="3">
        <f>parking_demand_data_2024_ver0!J2120</f>
        <v>1</v>
      </c>
      <c r="L2120" s="3">
        <f>parking_demand_data_2024_ver0!K2120</f>
        <v>0</v>
      </c>
      <c r="M2120" s="3">
        <f>parking_demand_data_2024_ver0!L2120</f>
        <v>0</v>
      </c>
      <c r="N2120" s="3">
        <f>parking_demand_data_2024_ver0!M2120</f>
        <v>361</v>
      </c>
      <c r="O2120" s="3">
        <f>parking_demand_data_2024_ver0!N2120</f>
        <v>130</v>
      </c>
      <c r="P2120" s="3">
        <f>parking_demand_data_2024_ver0!O2120</f>
        <v>75</v>
      </c>
      <c r="Q2120" s="3">
        <f>parking_demand_data_2024_ver0!P2120</f>
        <v>0</v>
      </c>
      <c r="R2120" s="3">
        <f>parking_demand_data_2024_ver0!Q2120</f>
        <v>156</v>
      </c>
      <c r="S2120" s="3">
        <f>parking_demand_data_2024_ver0!R2120</f>
        <v>0</v>
      </c>
      <c r="T2120" s="3">
        <f>parking_demand_data_2024_ver0!S2120</f>
        <v>0</v>
      </c>
    </row>
    <row r="2121" spans="1:20" x14ac:dyDescent="0.25">
      <c r="A2121">
        <v>18177</v>
      </c>
      <c r="B2121" t="s">
        <v>117</v>
      </c>
      <c r="C2121">
        <v>7</v>
      </c>
      <c r="D2121" s="3">
        <f>parking_demand_data_2024_ver0!D2121*calibration!$I$31</f>
        <v>294.70432675044799</v>
      </c>
      <c r="E2121" s="3">
        <f>parking_demand_data_2024_ver0!E2121*calibration!$I$31</f>
        <v>16.0494853381208</v>
      </c>
      <c r="F2121" s="3">
        <f t="shared" si="33"/>
        <v>310.75381208856879</v>
      </c>
      <c r="G2121" s="3">
        <f>parking_demand_data_2024_ver0!F2121</f>
        <v>3</v>
      </c>
      <c r="H2121" s="3">
        <f>parking_demand_data_2024_ver0!G2121</f>
        <v>1</v>
      </c>
      <c r="I2121" s="3">
        <f>parking_demand_data_2024_ver0!H2121</f>
        <v>1</v>
      </c>
      <c r="J2121" s="3">
        <f>parking_demand_data_2024_ver0!I2121</f>
        <v>0</v>
      </c>
      <c r="K2121" s="3">
        <f>parking_demand_data_2024_ver0!J2121</f>
        <v>1</v>
      </c>
      <c r="L2121" s="3">
        <f>parking_demand_data_2024_ver0!K2121</f>
        <v>0</v>
      </c>
      <c r="M2121" s="3">
        <f>parking_demand_data_2024_ver0!L2121</f>
        <v>0</v>
      </c>
      <c r="N2121" s="3">
        <f>parking_demand_data_2024_ver0!M2121</f>
        <v>361</v>
      </c>
      <c r="O2121" s="3">
        <f>parking_demand_data_2024_ver0!N2121</f>
        <v>130</v>
      </c>
      <c r="P2121" s="3">
        <f>parking_demand_data_2024_ver0!O2121</f>
        <v>75</v>
      </c>
      <c r="Q2121" s="3">
        <f>parking_demand_data_2024_ver0!P2121</f>
        <v>0</v>
      </c>
      <c r="R2121" s="3">
        <f>parking_demand_data_2024_ver0!Q2121</f>
        <v>156</v>
      </c>
      <c r="S2121" s="3">
        <f>parking_demand_data_2024_ver0!R2121</f>
        <v>0</v>
      </c>
      <c r="T2121" s="3">
        <f>parking_demand_data_2024_ver0!S2121</f>
        <v>0</v>
      </c>
    </row>
    <row r="2122" spans="1:20" x14ac:dyDescent="0.25">
      <c r="A2122">
        <v>18177</v>
      </c>
      <c r="B2122" t="s">
        <v>117</v>
      </c>
      <c r="C2122">
        <v>8</v>
      </c>
      <c r="D2122" s="3">
        <f>parking_demand_data_2024_ver0!D2122*calibration!$I$31</f>
        <v>248.09622381807199</v>
      </c>
      <c r="E2122" s="3">
        <f>parking_demand_data_2024_ver0!E2122*calibration!$I$31</f>
        <v>20.869299820466701</v>
      </c>
      <c r="F2122" s="3">
        <f t="shared" si="33"/>
        <v>268.96552363853868</v>
      </c>
      <c r="G2122" s="3">
        <f>parking_demand_data_2024_ver0!F2122</f>
        <v>3</v>
      </c>
      <c r="H2122" s="3">
        <f>parking_demand_data_2024_ver0!G2122</f>
        <v>1</v>
      </c>
      <c r="I2122" s="3">
        <f>parking_demand_data_2024_ver0!H2122</f>
        <v>1</v>
      </c>
      <c r="J2122" s="3">
        <f>parking_demand_data_2024_ver0!I2122</f>
        <v>0</v>
      </c>
      <c r="K2122" s="3">
        <f>parking_demand_data_2024_ver0!J2122</f>
        <v>1</v>
      </c>
      <c r="L2122" s="3">
        <f>parking_demand_data_2024_ver0!K2122</f>
        <v>0</v>
      </c>
      <c r="M2122" s="3">
        <f>parking_demand_data_2024_ver0!L2122</f>
        <v>0</v>
      </c>
      <c r="N2122" s="3">
        <f>parking_demand_data_2024_ver0!M2122</f>
        <v>361</v>
      </c>
      <c r="O2122" s="3">
        <f>parking_demand_data_2024_ver0!N2122</f>
        <v>130</v>
      </c>
      <c r="P2122" s="3">
        <f>parking_demand_data_2024_ver0!O2122</f>
        <v>75</v>
      </c>
      <c r="Q2122" s="3">
        <f>parking_demand_data_2024_ver0!P2122</f>
        <v>0</v>
      </c>
      <c r="R2122" s="3">
        <f>parking_demand_data_2024_ver0!Q2122</f>
        <v>156</v>
      </c>
      <c r="S2122" s="3">
        <f>parking_demand_data_2024_ver0!R2122</f>
        <v>0</v>
      </c>
      <c r="T2122" s="3">
        <f>parking_demand_data_2024_ver0!S2122</f>
        <v>0</v>
      </c>
    </row>
    <row r="2123" spans="1:20" x14ac:dyDescent="0.25">
      <c r="A2123">
        <v>18177</v>
      </c>
      <c r="B2123" t="s">
        <v>117</v>
      </c>
      <c r="C2123">
        <v>9</v>
      </c>
      <c r="D2123" s="3">
        <f>parking_demand_data_2024_ver0!D2123*calibration!$I$31</f>
        <v>197.11550568521801</v>
      </c>
      <c r="E2123" s="3">
        <f>parking_demand_data_2024_ver0!E2123*calibration!$I$31</f>
        <v>23.502806702573299</v>
      </c>
      <c r="F2123" s="3">
        <f t="shared" si="33"/>
        <v>220.61831238779132</v>
      </c>
      <c r="G2123" s="3">
        <f>parking_demand_data_2024_ver0!F2123</f>
        <v>3</v>
      </c>
      <c r="H2123" s="3">
        <f>parking_demand_data_2024_ver0!G2123</f>
        <v>1</v>
      </c>
      <c r="I2123" s="3">
        <f>parking_demand_data_2024_ver0!H2123</f>
        <v>1</v>
      </c>
      <c r="J2123" s="3">
        <f>parking_demand_data_2024_ver0!I2123</f>
        <v>0</v>
      </c>
      <c r="K2123" s="3">
        <f>parking_demand_data_2024_ver0!J2123</f>
        <v>1</v>
      </c>
      <c r="L2123" s="3">
        <f>parking_demand_data_2024_ver0!K2123</f>
        <v>0</v>
      </c>
      <c r="M2123" s="3">
        <f>parking_demand_data_2024_ver0!L2123</f>
        <v>0</v>
      </c>
      <c r="N2123" s="3">
        <f>parking_demand_data_2024_ver0!M2123</f>
        <v>361</v>
      </c>
      <c r="O2123" s="3">
        <f>parking_demand_data_2024_ver0!N2123</f>
        <v>130</v>
      </c>
      <c r="P2123" s="3">
        <f>parking_demand_data_2024_ver0!O2123</f>
        <v>75</v>
      </c>
      <c r="Q2123" s="3">
        <f>parking_demand_data_2024_ver0!P2123</f>
        <v>0</v>
      </c>
      <c r="R2123" s="3">
        <f>parking_demand_data_2024_ver0!Q2123</f>
        <v>156</v>
      </c>
      <c r="S2123" s="3">
        <f>parking_demand_data_2024_ver0!R2123</f>
        <v>0</v>
      </c>
      <c r="T2123" s="3">
        <f>parking_demand_data_2024_ver0!S2123</f>
        <v>0</v>
      </c>
    </row>
    <row r="2124" spans="1:20" x14ac:dyDescent="0.25">
      <c r="A2124">
        <v>18177</v>
      </c>
      <c r="B2124" t="s">
        <v>117</v>
      </c>
      <c r="C2124">
        <v>10</v>
      </c>
      <c r="D2124" s="3">
        <f>parking_demand_data_2024_ver0!D2124*calibration!$I$31</f>
        <v>172.37047875523601</v>
      </c>
      <c r="E2124" s="3">
        <f>parking_demand_data_2024_ver0!E2124*calibration!$I$31</f>
        <v>22.359964093357199</v>
      </c>
      <c r="F2124" s="3">
        <f t="shared" si="33"/>
        <v>194.73044284859321</v>
      </c>
      <c r="G2124" s="3">
        <f>parking_demand_data_2024_ver0!F2124</f>
        <v>3</v>
      </c>
      <c r="H2124" s="3">
        <f>parking_demand_data_2024_ver0!G2124</f>
        <v>1</v>
      </c>
      <c r="I2124" s="3">
        <f>parking_demand_data_2024_ver0!H2124</f>
        <v>1</v>
      </c>
      <c r="J2124" s="3">
        <f>parking_demand_data_2024_ver0!I2124</f>
        <v>0</v>
      </c>
      <c r="K2124" s="3">
        <f>parking_demand_data_2024_ver0!J2124</f>
        <v>1</v>
      </c>
      <c r="L2124" s="3">
        <f>parking_demand_data_2024_ver0!K2124</f>
        <v>0</v>
      </c>
      <c r="M2124" s="3">
        <f>parking_demand_data_2024_ver0!L2124</f>
        <v>0</v>
      </c>
      <c r="N2124" s="3">
        <f>parking_demand_data_2024_ver0!M2124</f>
        <v>361</v>
      </c>
      <c r="O2124" s="3">
        <f>parking_demand_data_2024_ver0!N2124</f>
        <v>130</v>
      </c>
      <c r="P2124" s="3">
        <f>parking_demand_data_2024_ver0!O2124</f>
        <v>75</v>
      </c>
      <c r="Q2124" s="3">
        <f>parking_demand_data_2024_ver0!P2124</f>
        <v>0</v>
      </c>
      <c r="R2124" s="3">
        <f>parking_demand_data_2024_ver0!Q2124</f>
        <v>156</v>
      </c>
      <c r="S2124" s="3">
        <f>parking_demand_data_2024_ver0!R2124</f>
        <v>0</v>
      </c>
      <c r="T2124" s="3">
        <f>parking_demand_data_2024_ver0!S2124</f>
        <v>0</v>
      </c>
    </row>
    <row r="2125" spans="1:20" x14ac:dyDescent="0.25">
      <c r="A2125">
        <v>18177</v>
      </c>
      <c r="B2125" t="s">
        <v>117</v>
      </c>
      <c r="C2125">
        <v>11</v>
      </c>
      <c r="D2125" s="3">
        <f>parking_demand_data_2024_ver0!D2125*calibration!$I$31</f>
        <v>166.656265709156</v>
      </c>
      <c r="E2125" s="3">
        <f>parking_demand_data_2024_ver0!E2125*calibration!$I$31</f>
        <v>18.931436265709099</v>
      </c>
      <c r="F2125" s="3">
        <f t="shared" si="33"/>
        <v>185.5877019748651</v>
      </c>
      <c r="G2125" s="3">
        <f>parking_demand_data_2024_ver0!F2125</f>
        <v>3</v>
      </c>
      <c r="H2125" s="3">
        <f>parking_demand_data_2024_ver0!G2125</f>
        <v>1</v>
      </c>
      <c r="I2125" s="3">
        <f>parking_demand_data_2024_ver0!H2125</f>
        <v>1</v>
      </c>
      <c r="J2125" s="3">
        <f>parking_demand_data_2024_ver0!I2125</f>
        <v>0</v>
      </c>
      <c r="K2125" s="3">
        <f>parking_demand_data_2024_ver0!J2125</f>
        <v>1</v>
      </c>
      <c r="L2125" s="3">
        <f>parking_demand_data_2024_ver0!K2125</f>
        <v>0</v>
      </c>
      <c r="M2125" s="3">
        <f>parking_demand_data_2024_ver0!L2125</f>
        <v>0</v>
      </c>
      <c r="N2125" s="3">
        <f>parking_demand_data_2024_ver0!M2125</f>
        <v>361</v>
      </c>
      <c r="O2125" s="3">
        <f>parking_demand_data_2024_ver0!N2125</f>
        <v>130</v>
      </c>
      <c r="P2125" s="3">
        <f>parking_demand_data_2024_ver0!O2125</f>
        <v>75</v>
      </c>
      <c r="Q2125" s="3">
        <f>parking_demand_data_2024_ver0!P2125</f>
        <v>0</v>
      </c>
      <c r="R2125" s="3">
        <f>parking_demand_data_2024_ver0!Q2125</f>
        <v>156</v>
      </c>
      <c r="S2125" s="3">
        <f>parking_demand_data_2024_ver0!R2125</f>
        <v>0</v>
      </c>
      <c r="T2125" s="3">
        <f>parking_demand_data_2024_ver0!S2125</f>
        <v>0</v>
      </c>
    </row>
    <row r="2126" spans="1:20" x14ac:dyDescent="0.25">
      <c r="A2126">
        <v>18177</v>
      </c>
      <c r="B2126" t="s">
        <v>117</v>
      </c>
      <c r="C2126">
        <v>12</v>
      </c>
      <c r="D2126" s="3">
        <f>parking_demand_data_2024_ver0!D2126*calibration!$I$31</f>
        <v>163.82400359066401</v>
      </c>
      <c r="E2126" s="3">
        <f>parking_demand_data_2024_ver0!E2126*calibration!$I$31</f>
        <v>15.055709156193799</v>
      </c>
      <c r="F2126" s="3">
        <f t="shared" si="33"/>
        <v>178.87971274685782</v>
      </c>
      <c r="G2126" s="3">
        <f>parking_demand_data_2024_ver0!F2126</f>
        <v>3</v>
      </c>
      <c r="H2126" s="3">
        <f>parking_demand_data_2024_ver0!G2126</f>
        <v>1</v>
      </c>
      <c r="I2126" s="3">
        <f>parking_demand_data_2024_ver0!H2126</f>
        <v>1</v>
      </c>
      <c r="J2126" s="3">
        <f>parking_demand_data_2024_ver0!I2126</f>
        <v>0</v>
      </c>
      <c r="K2126" s="3">
        <f>parking_demand_data_2024_ver0!J2126</f>
        <v>1</v>
      </c>
      <c r="L2126" s="3">
        <f>parking_demand_data_2024_ver0!K2126</f>
        <v>0</v>
      </c>
      <c r="M2126" s="3">
        <f>parking_demand_data_2024_ver0!L2126</f>
        <v>0</v>
      </c>
      <c r="N2126" s="3">
        <f>parking_demand_data_2024_ver0!M2126</f>
        <v>361</v>
      </c>
      <c r="O2126" s="3">
        <f>parking_demand_data_2024_ver0!N2126</f>
        <v>130</v>
      </c>
      <c r="P2126" s="3">
        <f>parking_demand_data_2024_ver0!O2126</f>
        <v>75</v>
      </c>
      <c r="Q2126" s="3">
        <f>parking_demand_data_2024_ver0!P2126</f>
        <v>0</v>
      </c>
      <c r="R2126" s="3">
        <f>parking_demand_data_2024_ver0!Q2126</f>
        <v>156</v>
      </c>
      <c r="S2126" s="3">
        <f>parking_demand_data_2024_ver0!R2126</f>
        <v>0</v>
      </c>
      <c r="T2126" s="3">
        <f>parking_demand_data_2024_ver0!S2126</f>
        <v>0</v>
      </c>
    </row>
    <row r="2127" spans="1:20" x14ac:dyDescent="0.25">
      <c r="A2127">
        <v>18177</v>
      </c>
      <c r="B2127" t="s">
        <v>117</v>
      </c>
      <c r="C2127">
        <v>13</v>
      </c>
      <c r="D2127" s="3">
        <f>parking_demand_data_2024_ver0!D2127*calibration!$I$31</f>
        <v>165.76186714542101</v>
      </c>
      <c r="E2127" s="3">
        <f>parking_demand_data_2024_ver0!E2127*calibration!$I$31</f>
        <v>7.6023877917414699</v>
      </c>
      <c r="F2127" s="3">
        <f t="shared" si="33"/>
        <v>173.36425493716249</v>
      </c>
      <c r="G2127" s="3">
        <f>parking_demand_data_2024_ver0!F2127</f>
        <v>3</v>
      </c>
      <c r="H2127" s="3">
        <f>parking_demand_data_2024_ver0!G2127</f>
        <v>1</v>
      </c>
      <c r="I2127" s="3">
        <f>parking_demand_data_2024_ver0!H2127</f>
        <v>1</v>
      </c>
      <c r="J2127" s="3">
        <f>parking_demand_data_2024_ver0!I2127</f>
        <v>0</v>
      </c>
      <c r="K2127" s="3">
        <f>parking_demand_data_2024_ver0!J2127</f>
        <v>1</v>
      </c>
      <c r="L2127" s="3">
        <f>parking_demand_data_2024_ver0!K2127</f>
        <v>0</v>
      </c>
      <c r="M2127" s="3">
        <f>parking_demand_data_2024_ver0!L2127</f>
        <v>0</v>
      </c>
      <c r="N2127" s="3">
        <f>parking_demand_data_2024_ver0!M2127</f>
        <v>361</v>
      </c>
      <c r="O2127" s="3">
        <f>parking_demand_data_2024_ver0!N2127</f>
        <v>130</v>
      </c>
      <c r="P2127" s="3">
        <f>parking_demand_data_2024_ver0!O2127</f>
        <v>75</v>
      </c>
      <c r="Q2127" s="3">
        <f>parking_demand_data_2024_ver0!P2127</f>
        <v>0</v>
      </c>
      <c r="R2127" s="3">
        <f>parking_demand_data_2024_ver0!Q2127</f>
        <v>156</v>
      </c>
      <c r="S2127" s="3">
        <f>parking_demand_data_2024_ver0!R2127</f>
        <v>0</v>
      </c>
      <c r="T2127" s="3">
        <f>parking_demand_data_2024_ver0!S2127</f>
        <v>0</v>
      </c>
    </row>
    <row r="2128" spans="1:20" x14ac:dyDescent="0.25">
      <c r="A2128">
        <v>18177</v>
      </c>
      <c r="B2128" t="s">
        <v>117</v>
      </c>
      <c r="C2128">
        <v>14</v>
      </c>
      <c r="D2128" s="3">
        <f>parking_demand_data_2024_ver0!D2128*calibration!$I$31</f>
        <v>176.79278276481099</v>
      </c>
      <c r="E2128" s="3">
        <f>parking_demand_data_2024_ver0!E2128*calibration!$I$31</f>
        <v>4.0744823459006501</v>
      </c>
      <c r="F2128" s="3">
        <f t="shared" si="33"/>
        <v>180.86726511071166</v>
      </c>
      <c r="G2128" s="3">
        <f>parking_demand_data_2024_ver0!F2128</f>
        <v>3</v>
      </c>
      <c r="H2128" s="3">
        <f>parking_demand_data_2024_ver0!G2128</f>
        <v>1</v>
      </c>
      <c r="I2128" s="3">
        <f>parking_demand_data_2024_ver0!H2128</f>
        <v>1</v>
      </c>
      <c r="J2128" s="3">
        <f>parking_demand_data_2024_ver0!I2128</f>
        <v>0</v>
      </c>
      <c r="K2128" s="3">
        <f>parking_demand_data_2024_ver0!J2128</f>
        <v>1</v>
      </c>
      <c r="L2128" s="3">
        <f>parking_demand_data_2024_ver0!K2128</f>
        <v>0</v>
      </c>
      <c r="M2128" s="3">
        <f>parking_demand_data_2024_ver0!L2128</f>
        <v>0</v>
      </c>
      <c r="N2128" s="3">
        <f>parking_demand_data_2024_ver0!M2128</f>
        <v>361</v>
      </c>
      <c r="O2128" s="3">
        <f>parking_demand_data_2024_ver0!N2128</f>
        <v>130</v>
      </c>
      <c r="P2128" s="3">
        <f>parking_demand_data_2024_ver0!O2128</f>
        <v>75</v>
      </c>
      <c r="Q2128" s="3">
        <f>parking_demand_data_2024_ver0!P2128</f>
        <v>0</v>
      </c>
      <c r="R2128" s="3">
        <f>parking_demand_data_2024_ver0!Q2128</f>
        <v>156</v>
      </c>
      <c r="S2128" s="3">
        <f>parking_demand_data_2024_ver0!R2128</f>
        <v>0</v>
      </c>
      <c r="T2128" s="3">
        <f>parking_demand_data_2024_ver0!S2128</f>
        <v>0</v>
      </c>
    </row>
    <row r="2129" spans="1:20" x14ac:dyDescent="0.25">
      <c r="A2129">
        <v>18177</v>
      </c>
      <c r="B2129" t="s">
        <v>117</v>
      </c>
      <c r="C2129">
        <v>15</v>
      </c>
      <c r="D2129" s="3">
        <f>parking_demand_data_2024_ver0!D2129*calibration!$I$31</f>
        <v>190.20876122082501</v>
      </c>
      <c r="E2129" s="3">
        <f>parking_demand_data_2024_ver0!E2129*calibration!$I$31</f>
        <v>2.98132854578096</v>
      </c>
      <c r="F2129" s="3">
        <f t="shared" si="33"/>
        <v>193.19008976660598</v>
      </c>
      <c r="G2129" s="3">
        <f>parking_demand_data_2024_ver0!F2129</f>
        <v>3</v>
      </c>
      <c r="H2129" s="3">
        <f>parking_demand_data_2024_ver0!G2129</f>
        <v>1</v>
      </c>
      <c r="I2129" s="3">
        <f>parking_demand_data_2024_ver0!H2129</f>
        <v>1</v>
      </c>
      <c r="J2129" s="3">
        <f>parking_demand_data_2024_ver0!I2129</f>
        <v>0</v>
      </c>
      <c r="K2129" s="3">
        <f>parking_demand_data_2024_ver0!J2129</f>
        <v>1</v>
      </c>
      <c r="L2129" s="3">
        <f>parking_demand_data_2024_ver0!K2129</f>
        <v>0</v>
      </c>
      <c r="M2129" s="3">
        <f>parking_demand_data_2024_ver0!L2129</f>
        <v>0</v>
      </c>
      <c r="N2129" s="3">
        <f>parking_demand_data_2024_ver0!M2129</f>
        <v>361</v>
      </c>
      <c r="O2129" s="3">
        <f>parking_demand_data_2024_ver0!N2129</f>
        <v>130</v>
      </c>
      <c r="P2129" s="3">
        <f>parking_demand_data_2024_ver0!O2129</f>
        <v>75</v>
      </c>
      <c r="Q2129" s="3">
        <f>parking_demand_data_2024_ver0!P2129</f>
        <v>0</v>
      </c>
      <c r="R2129" s="3">
        <f>parking_demand_data_2024_ver0!Q2129</f>
        <v>156</v>
      </c>
      <c r="S2129" s="3">
        <f>parking_demand_data_2024_ver0!R2129</f>
        <v>0</v>
      </c>
      <c r="T2129" s="3">
        <f>parking_demand_data_2024_ver0!S2129</f>
        <v>0</v>
      </c>
    </row>
    <row r="2130" spans="1:20" x14ac:dyDescent="0.25">
      <c r="A2130">
        <v>18177</v>
      </c>
      <c r="B2130" t="s">
        <v>117</v>
      </c>
      <c r="C2130">
        <v>16</v>
      </c>
      <c r="D2130" s="3">
        <f>parking_demand_data_2024_ver0!D2130*calibration!$I$31</f>
        <v>210.03459605026899</v>
      </c>
      <c r="E2130" s="3">
        <f>parking_demand_data_2024_ver0!E2130*calibration!$I$31</f>
        <v>2.68319569120287</v>
      </c>
      <c r="F2130" s="3">
        <f t="shared" si="33"/>
        <v>212.71779174147187</v>
      </c>
      <c r="G2130" s="3">
        <f>parking_demand_data_2024_ver0!F2130</f>
        <v>3</v>
      </c>
      <c r="H2130" s="3">
        <f>parking_demand_data_2024_ver0!G2130</f>
        <v>1</v>
      </c>
      <c r="I2130" s="3">
        <f>parking_demand_data_2024_ver0!H2130</f>
        <v>1</v>
      </c>
      <c r="J2130" s="3">
        <f>parking_demand_data_2024_ver0!I2130</f>
        <v>0</v>
      </c>
      <c r="K2130" s="3">
        <f>parking_demand_data_2024_ver0!J2130</f>
        <v>1</v>
      </c>
      <c r="L2130" s="3">
        <f>parking_demand_data_2024_ver0!K2130</f>
        <v>0</v>
      </c>
      <c r="M2130" s="3">
        <f>parking_demand_data_2024_ver0!L2130</f>
        <v>0</v>
      </c>
      <c r="N2130" s="3">
        <f>parking_demand_data_2024_ver0!M2130</f>
        <v>361</v>
      </c>
      <c r="O2130" s="3">
        <f>parking_demand_data_2024_ver0!N2130</f>
        <v>130</v>
      </c>
      <c r="P2130" s="3">
        <f>parking_demand_data_2024_ver0!O2130</f>
        <v>75</v>
      </c>
      <c r="Q2130" s="3">
        <f>parking_demand_data_2024_ver0!P2130</f>
        <v>0</v>
      </c>
      <c r="R2130" s="3">
        <f>parking_demand_data_2024_ver0!Q2130</f>
        <v>156</v>
      </c>
      <c r="S2130" s="3">
        <f>parking_demand_data_2024_ver0!R2130</f>
        <v>0</v>
      </c>
      <c r="T2130" s="3">
        <f>parking_demand_data_2024_ver0!S2130</f>
        <v>0</v>
      </c>
    </row>
    <row r="2131" spans="1:20" x14ac:dyDescent="0.25">
      <c r="A2131">
        <v>18177</v>
      </c>
      <c r="B2131" t="s">
        <v>117</v>
      </c>
      <c r="C2131">
        <v>17</v>
      </c>
      <c r="D2131" s="3">
        <f>parking_demand_data_2024_ver0!D2131*calibration!$I$31</f>
        <v>231.94736086175899</v>
      </c>
      <c r="E2131" s="3">
        <f>parking_demand_data_2024_ver0!E2131*calibration!$I$31</f>
        <v>2.5341292639138202</v>
      </c>
      <c r="F2131" s="3">
        <f t="shared" si="33"/>
        <v>234.48149012567282</v>
      </c>
      <c r="G2131" s="3">
        <f>parking_demand_data_2024_ver0!F2131</f>
        <v>3</v>
      </c>
      <c r="H2131" s="3">
        <f>parking_demand_data_2024_ver0!G2131</f>
        <v>1</v>
      </c>
      <c r="I2131" s="3">
        <f>parking_demand_data_2024_ver0!H2131</f>
        <v>1</v>
      </c>
      <c r="J2131" s="3">
        <f>parking_demand_data_2024_ver0!I2131</f>
        <v>0</v>
      </c>
      <c r="K2131" s="3">
        <f>parking_demand_data_2024_ver0!J2131</f>
        <v>1</v>
      </c>
      <c r="L2131" s="3">
        <f>parking_demand_data_2024_ver0!K2131</f>
        <v>0</v>
      </c>
      <c r="M2131" s="3">
        <f>parking_demand_data_2024_ver0!L2131</f>
        <v>0</v>
      </c>
      <c r="N2131" s="3">
        <f>parking_demand_data_2024_ver0!M2131</f>
        <v>361</v>
      </c>
      <c r="O2131" s="3">
        <f>parking_demand_data_2024_ver0!N2131</f>
        <v>130</v>
      </c>
      <c r="P2131" s="3">
        <f>parking_demand_data_2024_ver0!O2131</f>
        <v>75</v>
      </c>
      <c r="Q2131" s="3">
        <f>parking_demand_data_2024_ver0!P2131</f>
        <v>0</v>
      </c>
      <c r="R2131" s="3">
        <f>parking_demand_data_2024_ver0!Q2131</f>
        <v>156</v>
      </c>
      <c r="S2131" s="3">
        <f>parking_demand_data_2024_ver0!R2131</f>
        <v>0</v>
      </c>
      <c r="T2131" s="3">
        <f>parking_demand_data_2024_ver0!S2131</f>
        <v>0</v>
      </c>
    </row>
    <row r="2132" spans="1:20" x14ac:dyDescent="0.25">
      <c r="A2132">
        <v>18177</v>
      </c>
      <c r="B2132" t="s">
        <v>117</v>
      </c>
      <c r="C2132">
        <v>18</v>
      </c>
      <c r="D2132" s="3">
        <f>parking_demand_data_2024_ver0!D2132*calibration!$I$31</f>
        <v>255.10234590065801</v>
      </c>
      <c r="E2132" s="3">
        <f>parking_demand_data_2024_ver0!E2132*calibration!$I$31</f>
        <v>3.6272830640335099</v>
      </c>
      <c r="F2132" s="3">
        <f t="shared" si="33"/>
        <v>258.72962896469153</v>
      </c>
      <c r="G2132" s="3">
        <f>parking_demand_data_2024_ver0!F2132</f>
        <v>3</v>
      </c>
      <c r="H2132" s="3">
        <f>parking_demand_data_2024_ver0!G2132</f>
        <v>1</v>
      </c>
      <c r="I2132" s="3">
        <f>parking_demand_data_2024_ver0!H2132</f>
        <v>1</v>
      </c>
      <c r="J2132" s="3">
        <f>parking_demand_data_2024_ver0!I2132</f>
        <v>0</v>
      </c>
      <c r="K2132" s="3">
        <f>parking_demand_data_2024_ver0!J2132</f>
        <v>1</v>
      </c>
      <c r="L2132" s="3">
        <f>parking_demand_data_2024_ver0!K2132</f>
        <v>0</v>
      </c>
      <c r="M2132" s="3">
        <f>parking_demand_data_2024_ver0!L2132</f>
        <v>0</v>
      </c>
      <c r="N2132" s="3">
        <f>parking_demand_data_2024_ver0!M2132</f>
        <v>361</v>
      </c>
      <c r="O2132" s="3">
        <f>parking_demand_data_2024_ver0!N2132</f>
        <v>130</v>
      </c>
      <c r="P2132" s="3">
        <f>parking_demand_data_2024_ver0!O2132</f>
        <v>75</v>
      </c>
      <c r="Q2132" s="3">
        <f>parking_demand_data_2024_ver0!P2132</f>
        <v>0</v>
      </c>
      <c r="R2132" s="3">
        <f>parking_demand_data_2024_ver0!Q2132</f>
        <v>156</v>
      </c>
      <c r="S2132" s="3">
        <f>parking_demand_data_2024_ver0!R2132</f>
        <v>0</v>
      </c>
      <c r="T2132" s="3">
        <f>parking_demand_data_2024_ver0!S2132</f>
        <v>0</v>
      </c>
    </row>
    <row r="2133" spans="1:20" x14ac:dyDescent="0.25">
      <c r="A2133">
        <v>18177</v>
      </c>
      <c r="B2133" t="s">
        <v>117</v>
      </c>
      <c r="C2133">
        <v>19</v>
      </c>
      <c r="D2133" s="3">
        <f>parking_demand_data_2024_ver0!D2133*calibration!$I$31</f>
        <v>293.61117295032898</v>
      </c>
      <c r="E2133" s="3">
        <f>parking_demand_data_2024_ver0!E2133*calibration!$I$31</f>
        <v>5.2173249551166903</v>
      </c>
      <c r="F2133" s="3">
        <f t="shared" si="33"/>
        <v>298.82849790544566</v>
      </c>
      <c r="G2133" s="3">
        <f>parking_demand_data_2024_ver0!F2133</f>
        <v>3</v>
      </c>
      <c r="H2133" s="3">
        <f>parking_demand_data_2024_ver0!G2133</f>
        <v>1</v>
      </c>
      <c r="I2133" s="3">
        <f>parking_demand_data_2024_ver0!H2133</f>
        <v>1</v>
      </c>
      <c r="J2133" s="3">
        <f>parking_demand_data_2024_ver0!I2133</f>
        <v>0</v>
      </c>
      <c r="K2133" s="3">
        <f>parking_demand_data_2024_ver0!J2133</f>
        <v>1</v>
      </c>
      <c r="L2133" s="3">
        <f>parking_demand_data_2024_ver0!K2133</f>
        <v>0</v>
      </c>
      <c r="M2133" s="3">
        <f>parking_demand_data_2024_ver0!L2133</f>
        <v>0</v>
      </c>
      <c r="N2133" s="3">
        <f>parking_demand_data_2024_ver0!M2133</f>
        <v>361</v>
      </c>
      <c r="O2133" s="3">
        <f>parking_demand_data_2024_ver0!N2133</f>
        <v>130</v>
      </c>
      <c r="P2133" s="3">
        <f>parking_demand_data_2024_ver0!O2133</f>
        <v>75</v>
      </c>
      <c r="Q2133" s="3">
        <f>parking_demand_data_2024_ver0!P2133</f>
        <v>0</v>
      </c>
      <c r="R2133" s="3">
        <f>parking_demand_data_2024_ver0!Q2133</f>
        <v>156</v>
      </c>
      <c r="S2133" s="3">
        <f>parking_demand_data_2024_ver0!R2133</f>
        <v>0</v>
      </c>
      <c r="T2133" s="3">
        <f>parking_demand_data_2024_ver0!S2133</f>
        <v>0</v>
      </c>
    </row>
    <row r="2134" spans="1:20" x14ac:dyDescent="0.25">
      <c r="A2134">
        <v>18177</v>
      </c>
      <c r="B2134" t="s">
        <v>117</v>
      </c>
      <c r="C2134">
        <v>20</v>
      </c>
      <c r="D2134" s="3">
        <f>parking_demand_data_2024_ver0!D2134*calibration!$I$31</f>
        <v>328.24427289048401</v>
      </c>
      <c r="E2134" s="3">
        <f>parking_demand_data_2024_ver0!E2134*calibration!$I$31</f>
        <v>5.4657690005984403</v>
      </c>
      <c r="F2134" s="3">
        <f t="shared" si="33"/>
        <v>333.71004189108243</v>
      </c>
      <c r="G2134" s="3">
        <f>parking_demand_data_2024_ver0!F2134</f>
        <v>3</v>
      </c>
      <c r="H2134" s="3">
        <f>parking_demand_data_2024_ver0!G2134</f>
        <v>1</v>
      </c>
      <c r="I2134" s="3">
        <f>parking_demand_data_2024_ver0!H2134</f>
        <v>1</v>
      </c>
      <c r="J2134" s="3">
        <f>parking_demand_data_2024_ver0!I2134</f>
        <v>0</v>
      </c>
      <c r="K2134" s="3">
        <f>parking_demand_data_2024_ver0!J2134</f>
        <v>1</v>
      </c>
      <c r="L2134" s="3">
        <f>parking_demand_data_2024_ver0!K2134</f>
        <v>0</v>
      </c>
      <c r="M2134" s="3">
        <f>parking_demand_data_2024_ver0!L2134</f>
        <v>0</v>
      </c>
      <c r="N2134" s="3">
        <f>parking_demand_data_2024_ver0!M2134</f>
        <v>361</v>
      </c>
      <c r="O2134" s="3">
        <f>parking_demand_data_2024_ver0!N2134</f>
        <v>130</v>
      </c>
      <c r="P2134" s="3">
        <f>parking_demand_data_2024_ver0!O2134</f>
        <v>75</v>
      </c>
      <c r="Q2134" s="3">
        <f>parking_demand_data_2024_ver0!P2134</f>
        <v>0</v>
      </c>
      <c r="R2134" s="3">
        <f>parking_demand_data_2024_ver0!Q2134</f>
        <v>156</v>
      </c>
      <c r="S2134" s="3">
        <f>parking_demand_data_2024_ver0!R2134</f>
        <v>0</v>
      </c>
      <c r="T2134" s="3">
        <f>parking_demand_data_2024_ver0!S2134</f>
        <v>0</v>
      </c>
    </row>
    <row r="2135" spans="1:20" x14ac:dyDescent="0.25">
      <c r="A2135">
        <v>18177</v>
      </c>
      <c r="B2135" t="s">
        <v>117</v>
      </c>
      <c r="C2135">
        <v>21</v>
      </c>
      <c r="D2135" s="3">
        <f>parking_demand_data_2024_ver0!D2135*calibration!$I$31</f>
        <v>360.094799521244</v>
      </c>
      <c r="E2135" s="3">
        <f>parking_demand_data_2024_ver0!E2135*calibration!$I$31</f>
        <v>4.6210592459604998</v>
      </c>
      <c r="F2135" s="3">
        <f t="shared" si="33"/>
        <v>364.71585876720451</v>
      </c>
      <c r="G2135" s="3">
        <f>parking_demand_data_2024_ver0!F2135</f>
        <v>3</v>
      </c>
      <c r="H2135" s="3">
        <f>parking_demand_data_2024_ver0!G2135</f>
        <v>1</v>
      </c>
      <c r="I2135" s="3">
        <f>parking_demand_data_2024_ver0!H2135</f>
        <v>1</v>
      </c>
      <c r="J2135" s="3">
        <f>parking_demand_data_2024_ver0!I2135</f>
        <v>0</v>
      </c>
      <c r="K2135" s="3">
        <f>parking_demand_data_2024_ver0!J2135</f>
        <v>1</v>
      </c>
      <c r="L2135" s="3">
        <f>parking_demand_data_2024_ver0!K2135</f>
        <v>0</v>
      </c>
      <c r="M2135" s="3">
        <f>parking_demand_data_2024_ver0!L2135</f>
        <v>0</v>
      </c>
      <c r="N2135" s="3">
        <f>parking_demand_data_2024_ver0!M2135</f>
        <v>361</v>
      </c>
      <c r="O2135" s="3">
        <f>parking_demand_data_2024_ver0!N2135</f>
        <v>130</v>
      </c>
      <c r="P2135" s="3">
        <f>parking_demand_data_2024_ver0!O2135</f>
        <v>75</v>
      </c>
      <c r="Q2135" s="3">
        <f>parking_demand_data_2024_ver0!P2135</f>
        <v>0</v>
      </c>
      <c r="R2135" s="3">
        <f>parking_demand_data_2024_ver0!Q2135</f>
        <v>156</v>
      </c>
      <c r="S2135" s="3">
        <f>parking_demand_data_2024_ver0!R2135</f>
        <v>0</v>
      </c>
      <c r="T2135" s="3">
        <f>parking_demand_data_2024_ver0!S2135</f>
        <v>0</v>
      </c>
    </row>
    <row r="2136" spans="1:20" x14ac:dyDescent="0.25">
      <c r="A2136">
        <v>18177</v>
      </c>
      <c r="B2136" t="s">
        <v>117</v>
      </c>
      <c r="C2136">
        <v>22</v>
      </c>
      <c r="D2136" s="3">
        <f>parking_demand_data_2024_ver0!D2136*calibration!$I$31</f>
        <v>380.91441053261502</v>
      </c>
      <c r="E2136" s="3">
        <f>parking_demand_data_2024_ver0!E2136*calibration!$I$31</f>
        <v>3.7266606822262101</v>
      </c>
      <c r="F2136" s="3">
        <f t="shared" si="33"/>
        <v>384.64107121484125</v>
      </c>
      <c r="G2136" s="3">
        <f>parking_demand_data_2024_ver0!F2136</f>
        <v>3</v>
      </c>
      <c r="H2136" s="3">
        <f>parking_demand_data_2024_ver0!G2136</f>
        <v>1</v>
      </c>
      <c r="I2136" s="3">
        <f>parking_demand_data_2024_ver0!H2136</f>
        <v>1</v>
      </c>
      <c r="J2136" s="3">
        <f>parking_demand_data_2024_ver0!I2136</f>
        <v>0</v>
      </c>
      <c r="K2136" s="3">
        <f>parking_demand_data_2024_ver0!J2136</f>
        <v>1</v>
      </c>
      <c r="L2136" s="3">
        <f>parking_demand_data_2024_ver0!K2136</f>
        <v>0</v>
      </c>
      <c r="M2136" s="3">
        <f>parking_demand_data_2024_ver0!L2136</f>
        <v>0</v>
      </c>
      <c r="N2136" s="3">
        <f>parking_demand_data_2024_ver0!M2136</f>
        <v>361</v>
      </c>
      <c r="O2136" s="3">
        <f>parking_demand_data_2024_ver0!N2136</f>
        <v>130</v>
      </c>
      <c r="P2136" s="3">
        <f>parking_demand_data_2024_ver0!O2136</f>
        <v>75</v>
      </c>
      <c r="Q2136" s="3">
        <f>parking_demand_data_2024_ver0!P2136</f>
        <v>0</v>
      </c>
      <c r="R2136" s="3">
        <f>parking_demand_data_2024_ver0!Q2136</f>
        <v>156</v>
      </c>
      <c r="S2136" s="3">
        <f>parking_demand_data_2024_ver0!R2136</f>
        <v>0</v>
      </c>
      <c r="T2136" s="3">
        <f>parking_demand_data_2024_ver0!S2136</f>
        <v>0</v>
      </c>
    </row>
    <row r="2137" spans="1:20" x14ac:dyDescent="0.25">
      <c r="A2137">
        <v>18177</v>
      </c>
      <c r="B2137" t="s">
        <v>117</v>
      </c>
      <c r="C2137">
        <v>23</v>
      </c>
      <c r="D2137" s="3">
        <f>parking_demand_data_2024_ver0!D2137*calibration!$I$31</f>
        <v>395.87074207061602</v>
      </c>
      <c r="E2137" s="3">
        <f>parking_demand_data_2024_ver0!E2137*calibration!$I$31</f>
        <v>6.0620347097546299</v>
      </c>
      <c r="F2137" s="3">
        <f t="shared" si="33"/>
        <v>401.93277678037066</v>
      </c>
      <c r="G2137" s="3">
        <f>parking_demand_data_2024_ver0!F2137</f>
        <v>3</v>
      </c>
      <c r="H2137" s="3">
        <f>parking_demand_data_2024_ver0!G2137</f>
        <v>1</v>
      </c>
      <c r="I2137" s="3">
        <f>parking_demand_data_2024_ver0!H2137</f>
        <v>1</v>
      </c>
      <c r="J2137" s="3">
        <f>parking_demand_data_2024_ver0!I2137</f>
        <v>0</v>
      </c>
      <c r="K2137" s="3">
        <f>parking_demand_data_2024_ver0!J2137</f>
        <v>1</v>
      </c>
      <c r="L2137" s="3">
        <f>parking_demand_data_2024_ver0!K2137</f>
        <v>0</v>
      </c>
      <c r="M2137" s="3">
        <f>parking_demand_data_2024_ver0!L2137</f>
        <v>0</v>
      </c>
      <c r="N2137" s="3">
        <f>parking_demand_data_2024_ver0!M2137</f>
        <v>361</v>
      </c>
      <c r="O2137" s="3">
        <f>parking_demand_data_2024_ver0!N2137</f>
        <v>130</v>
      </c>
      <c r="P2137" s="3">
        <f>parking_demand_data_2024_ver0!O2137</f>
        <v>75</v>
      </c>
      <c r="Q2137" s="3">
        <f>parking_demand_data_2024_ver0!P2137</f>
        <v>0</v>
      </c>
      <c r="R2137" s="3">
        <f>parking_demand_data_2024_ver0!Q2137</f>
        <v>156</v>
      </c>
      <c r="S2137" s="3">
        <f>parking_demand_data_2024_ver0!R2137</f>
        <v>0</v>
      </c>
      <c r="T2137" s="3">
        <f>parking_demand_data_2024_ver0!S2137</f>
        <v>0</v>
      </c>
    </row>
    <row r="2138" spans="1:20" x14ac:dyDescent="0.25">
      <c r="A2138">
        <v>18179</v>
      </c>
      <c r="B2138" t="s">
        <v>118</v>
      </c>
      <c r="C2138">
        <v>0</v>
      </c>
      <c r="D2138" s="3">
        <f>parking_demand_data_2024_ver0!D2138*calibration!$I$31</f>
        <v>0</v>
      </c>
      <c r="E2138" s="3">
        <f>parking_demand_data_2024_ver0!E2138*calibration!$I$31</f>
        <v>0.25150140559311202</v>
      </c>
      <c r="F2138" s="3">
        <f t="shared" si="33"/>
        <v>0.25150140559311202</v>
      </c>
      <c r="G2138" s="3">
        <f>parking_demand_data_2024_ver0!F2138</f>
        <v>0</v>
      </c>
      <c r="H2138" s="3">
        <f>parking_demand_data_2024_ver0!G2138</f>
        <v>0</v>
      </c>
      <c r="I2138" s="3">
        <f>parking_demand_data_2024_ver0!H2138</f>
        <v>0</v>
      </c>
      <c r="J2138" s="3">
        <f>parking_demand_data_2024_ver0!I2138</f>
        <v>0</v>
      </c>
      <c r="K2138" s="3">
        <f>parking_demand_data_2024_ver0!J2138</f>
        <v>0</v>
      </c>
      <c r="L2138" s="3">
        <f>parking_demand_data_2024_ver0!K2138</f>
        <v>0</v>
      </c>
      <c r="M2138" s="3">
        <f>parking_demand_data_2024_ver0!L2138</f>
        <v>0</v>
      </c>
      <c r="N2138" s="3">
        <f>parking_demand_data_2024_ver0!M2138</f>
        <v>0</v>
      </c>
      <c r="O2138" s="3">
        <f>parking_demand_data_2024_ver0!N2138</f>
        <v>0</v>
      </c>
      <c r="P2138" s="3">
        <f>parking_demand_data_2024_ver0!O2138</f>
        <v>0</v>
      </c>
      <c r="Q2138" s="3">
        <f>parking_demand_data_2024_ver0!P2138</f>
        <v>0</v>
      </c>
      <c r="R2138" s="3">
        <f>parking_demand_data_2024_ver0!Q2138</f>
        <v>0</v>
      </c>
      <c r="S2138" s="3">
        <f>parking_demand_data_2024_ver0!R2138</f>
        <v>0</v>
      </c>
      <c r="T2138" s="3">
        <f>parking_demand_data_2024_ver0!S2138</f>
        <v>0</v>
      </c>
    </row>
    <row r="2139" spans="1:20" x14ac:dyDescent="0.25">
      <c r="A2139">
        <v>18179</v>
      </c>
      <c r="B2139" t="s">
        <v>118</v>
      </c>
      <c r="C2139">
        <v>1</v>
      </c>
      <c r="D2139" s="3">
        <f>parking_demand_data_2024_ver0!D2139*calibration!$I$31</f>
        <v>0</v>
      </c>
      <c r="E2139" s="3">
        <f>parking_demand_data_2024_ver0!E2139*calibration!$I$31</f>
        <v>0.25150140559311202</v>
      </c>
      <c r="F2139" s="3">
        <f t="shared" si="33"/>
        <v>0.25150140559311202</v>
      </c>
      <c r="G2139" s="3">
        <f>parking_demand_data_2024_ver0!F2139</f>
        <v>0</v>
      </c>
      <c r="H2139" s="3">
        <f>parking_demand_data_2024_ver0!G2139</f>
        <v>0</v>
      </c>
      <c r="I2139" s="3">
        <f>parking_demand_data_2024_ver0!H2139</f>
        <v>0</v>
      </c>
      <c r="J2139" s="3">
        <f>parking_demand_data_2024_ver0!I2139</f>
        <v>0</v>
      </c>
      <c r="K2139" s="3">
        <f>parking_demand_data_2024_ver0!J2139</f>
        <v>0</v>
      </c>
      <c r="L2139" s="3">
        <f>parking_demand_data_2024_ver0!K2139</f>
        <v>0</v>
      </c>
      <c r="M2139" s="3">
        <f>parking_demand_data_2024_ver0!L2139</f>
        <v>0</v>
      </c>
      <c r="N2139" s="3">
        <f>parking_demand_data_2024_ver0!M2139</f>
        <v>0</v>
      </c>
      <c r="O2139" s="3">
        <f>parking_demand_data_2024_ver0!N2139</f>
        <v>0</v>
      </c>
      <c r="P2139" s="3">
        <f>parking_demand_data_2024_ver0!O2139</f>
        <v>0</v>
      </c>
      <c r="Q2139" s="3">
        <f>parking_demand_data_2024_ver0!P2139</f>
        <v>0</v>
      </c>
      <c r="R2139" s="3">
        <f>parking_demand_data_2024_ver0!Q2139</f>
        <v>0</v>
      </c>
      <c r="S2139" s="3">
        <f>parking_demand_data_2024_ver0!R2139</f>
        <v>0</v>
      </c>
      <c r="T2139" s="3">
        <f>parking_demand_data_2024_ver0!S2139</f>
        <v>0</v>
      </c>
    </row>
    <row r="2140" spans="1:20" x14ac:dyDescent="0.25">
      <c r="A2140">
        <v>18179</v>
      </c>
      <c r="B2140" t="s">
        <v>118</v>
      </c>
      <c r="C2140">
        <v>2</v>
      </c>
      <c r="D2140" s="3">
        <f>parking_demand_data_2024_ver0!D2140*calibration!$I$31</f>
        <v>0</v>
      </c>
      <c r="E2140" s="3">
        <f>parking_demand_data_2024_ver0!E2140*calibration!$I$31</f>
        <v>0.25150140559311202</v>
      </c>
      <c r="F2140" s="3">
        <f t="shared" si="33"/>
        <v>0.25150140559311202</v>
      </c>
      <c r="G2140" s="3">
        <f>parking_demand_data_2024_ver0!F2140</f>
        <v>0</v>
      </c>
      <c r="H2140" s="3">
        <f>parking_demand_data_2024_ver0!G2140</f>
        <v>0</v>
      </c>
      <c r="I2140" s="3">
        <f>parking_demand_data_2024_ver0!H2140</f>
        <v>0</v>
      </c>
      <c r="J2140" s="3">
        <f>parking_demand_data_2024_ver0!I2140</f>
        <v>0</v>
      </c>
      <c r="K2140" s="3">
        <f>parking_demand_data_2024_ver0!J2140</f>
        <v>0</v>
      </c>
      <c r="L2140" s="3">
        <f>parking_demand_data_2024_ver0!K2140</f>
        <v>0</v>
      </c>
      <c r="M2140" s="3">
        <f>parking_demand_data_2024_ver0!L2140</f>
        <v>0</v>
      </c>
      <c r="N2140" s="3">
        <f>parking_demand_data_2024_ver0!M2140</f>
        <v>0</v>
      </c>
      <c r="O2140" s="3">
        <f>parking_demand_data_2024_ver0!N2140</f>
        <v>0</v>
      </c>
      <c r="P2140" s="3">
        <f>parking_demand_data_2024_ver0!O2140</f>
        <v>0</v>
      </c>
      <c r="Q2140" s="3">
        <f>parking_demand_data_2024_ver0!P2140</f>
        <v>0</v>
      </c>
      <c r="R2140" s="3">
        <f>parking_demand_data_2024_ver0!Q2140</f>
        <v>0</v>
      </c>
      <c r="S2140" s="3">
        <f>parking_demand_data_2024_ver0!R2140</f>
        <v>0</v>
      </c>
      <c r="T2140" s="3">
        <f>parking_demand_data_2024_ver0!S2140</f>
        <v>0</v>
      </c>
    </row>
    <row r="2141" spans="1:20" x14ac:dyDescent="0.25">
      <c r="A2141">
        <v>18179</v>
      </c>
      <c r="B2141" t="s">
        <v>118</v>
      </c>
      <c r="C2141">
        <v>3</v>
      </c>
      <c r="D2141" s="3">
        <f>parking_demand_data_2024_ver0!D2141*calibration!$I$31</f>
        <v>0</v>
      </c>
      <c r="E2141" s="3">
        <f>parking_demand_data_2024_ver0!E2141*calibration!$I$31</f>
        <v>0.25150140559311202</v>
      </c>
      <c r="F2141" s="3">
        <f t="shared" si="33"/>
        <v>0.25150140559311202</v>
      </c>
      <c r="G2141" s="3">
        <f>parking_demand_data_2024_ver0!F2141</f>
        <v>0</v>
      </c>
      <c r="H2141" s="3">
        <f>parking_demand_data_2024_ver0!G2141</f>
        <v>0</v>
      </c>
      <c r="I2141" s="3">
        <f>parking_demand_data_2024_ver0!H2141</f>
        <v>0</v>
      </c>
      <c r="J2141" s="3">
        <f>parking_demand_data_2024_ver0!I2141</f>
        <v>0</v>
      </c>
      <c r="K2141" s="3">
        <f>parking_demand_data_2024_ver0!J2141</f>
        <v>0</v>
      </c>
      <c r="L2141" s="3">
        <f>parking_demand_data_2024_ver0!K2141</f>
        <v>0</v>
      </c>
      <c r="M2141" s="3">
        <f>parking_demand_data_2024_ver0!L2141</f>
        <v>0</v>
      </c>
      <c r="N2141" s="3">
        <f>parking_demand_data_2024_ver0!M2141</f>
        <v>0</v>
      </c>
      <c r="O2141" s="3">
        <f>parking_demand_data_2024_ver0!N2141</f>
        <v>0</v>
      </c>
      <c r="P2141" s="3">
        <f>parking_demand_data_2024_ver0!O2141</f>
        <v>0</v>
      </c>
      <c r="Q2141" s="3">
        <f>parking_demand_data_2024_ver0!P2141</f>
        <v>0</v>
      </c>
      <c r="R2141" s="3">
        <f>parking_demand_data_2024_ver0!Q2141</f>
        <v>0</v>
      </c>
      <c r="S2141" s="3">
        <f>parking_demand_data_2024_ver0!R2141</f>
        <v>0</v>
      </c>
      <c r="T2141" s="3">
        <f>parking_demand_data_2024_ver0!S2141</f>
        <v>0</v>
      </c>
    </row>
    <row r="2142" spans="1:20" x14ac:dyDescent="0.25">
      <c r="A2142">
        <v>18179</v>
      </c>
      <c r="B2142" t="s">
        <v>118</v>
      </c>
      <c r="C2142">
        <v>4</v>
      </c>
      <c r="D2142" s="3">
        <f>parking_demand_data_2024_ver0!D2142*calibration!$I$31</f>
        <v>0</v>
      </c>
      <c r="E2142" s="3">
        <f>parking_demand_data_2024_ver0!E2142*calibration!$I$31</f>
        <v>0.31437675699139001</v>
      </c>
      <c r="F2142" s="3">
        <f t="shared" si="33"/>
        <v>0.31437675699139001</v>
      </c>
      <c r="G2142" s="3">
        <f>parking_demand_data_2024_ver0!F2142</f>
        <v>0</v>
      </c>
      <c r="H2142" s="3">
        <f>parking_demand_data_2024_ver0!G2142</f>
        <v>0</v>
      </c>
      <c r="I2142" s="3">
        <f>parking_demand_data_2024_ver0!H2142</f>
        <v>0</v>
      </c>
      <c r="J2142" s="3">
        <f>parking_demand_data_2024_ver0!I2142</f>
        <v>0</v>
      </c>
      <c r="K2142" s="3">
        <f>parking_demand_data_2024_ver0!J2142</f>
        <v>0</v>
      </c>
      <c r="L2142" s="3">
        <f>parking_demand_data_2024_ver0!K2142</f>
        <v>0</v>
      </c>
      <c r="M2142" s="3">
        <f>parking_demand_data_2024_ver0!L2142</f>
        <v>0</v>
      </c>
      <c r="N2142" s="3">
        <f>parking_demand_data_2024_ver0!M2142</f>
        <v>0</v>
      </c>
      <c r="O2142" s="3">
        <f>parking_demand_data_2024_ver0!N2142</f>
        <v>0</v>
      </c>
      <c r="P2142" s="3">
        <f>parking_demand_data_2024_ver0!O2142</f>
        <v>0</v>
      </c>
      <c r="Q2142" s="3">
        <f>parking_demand_data_2024_ver0!P2142</f>
        <v>0</v>
      </c>
      <c r="R2142" s="3">
        <f>parking_demand_data_2024_ver0!Q2142</f>
        <v>0</v>
      </c>
      <c r="S2142" s="3">
        <f>parking_demand_data_2024_ver0!R2142</f>
        <v>0</v>
      </c>
      <c r="T2142" s="3">
        <f>parking_demand_data_2024_ver0!S2142</f>
        <v>0</v>
      </c>
    </row>
    <row r="2143" spans="1:20" x14ac:dyDescent="0.25">
      <c r="A2143">
        <v>18179</v>
      </c>
      <c r="B2143" t="s">
        <v>118</v>
      </c>
      <c r="C2143">
        <v>5</v>
      </c>
      <c r="D2143" s="3">
        <f>parking_demand_data_2024_ver0!D2143*calibration!$I$31</f>
        <v>0</v>
      </c>
      <c r="E2143" s="3">
        <f>parking_demand_data_2024_ver0!E2143*calibration!$I$31</f>
        <v>0.31437675699139001</v>
      </c>
      <c r="F2143" s="3">
        <f t="shared" si="33"/>
        <v>0.31437675699139001</v>
      </c>
      <c r="G2143" s="3">
        <f>parking_demand_data_2024_ver0!F2143</f>
        <v>0</v>
      </c>
      <c r="H2143" s="3">
        <f>parking_demand_data_2024_ver0!G2143</f>
        <v>0</v>
      </c>
      <c r="I2143" s="3">
        <f>parking_demand_data_2024_ver0!H2143</f>
        <v>0</v>
      </c>
      <c r="J2143" s="3">
        <f>parking_demand_data_2024_ver0!I2143</f>
        <v>0</v>
      </c>
      <c r="K2143" s="3">
        <f>parking_demand_data_2024_ver0!J2143</f>
        <v>0</v>
      </c>
      <c r="L2143" s="3">
        <f>parking_demand_data_2024_ver0!K2143</f>
        <v>0</v>
      </c>
      <c r="M2143" s="3">
        <f>parking_demand_data_2024_ver0!L2143</f>
        <v>0</v>
      </c>
      <c r="N2143" s="3">
        <f>parking_demand_data_2024_ver0!M2143</f>
        <v>0</v>
      </c>
      <c r="O2143" s="3">
        <f>parking_demand_data_2024_ver0!N2143</f>
        <v>0</v>
      </c>
      <c r="P2143" s="3">
        <f>parking_demand_data_2024_ver0!O2143</f>
        <v>0</v>
      </c>
      <c r="Q2143" s="3">
        <f>parking_demand_data_2024_ver0!P2143</f>
        <v>0</v>
      </c>
      <c r="R2143" s="3">
        <f>parking_demand_data_2024_ver0!Q2143</f>
        <v>0</v>
      </c>
      <c r="S2143" s="3">
        <f>parking_demand_data_2024_ver0!R2143</f>
        <v>0</v>
      </c>
      <c r="T2143" s="3">
        <f>parking_demand_data_2024_ver0!S2143</f>
        <v>0</v>
      </c>
    </row>
    <row r="2144" spans="1:20" x14ac:dyDescent="0.25">
      <c r="A2144">
        <v>18179</v>
      </c>
      <c r="B2144" t="s">
        <v>118</v>
      </c>
      <c r="C2144">
        <v>6</v>
      </c>
      <c r="D2144" s="3">
        <f>parking_demand_data_2024_ver0!D2144*calibration!$I$31</f>
        <v>0</v>
      </c>
      <c r="E2144" s="3">
        <f>parking_demand_data_2024_ver0!E2144*calibration!$I$31</f>
        <v>1.0688809737707201</v>
      </c>
      <c r="F2144" s="3">
        <f t="shared" si="33"/>
        <v>1.0688809737707201</v>
      </c>
      <c r="G2144" s="3">
        <f>parking_demand_data_2024_ver0!F2144</f>
        <v>0</v>
      </c>
      <c r="H2144" s="3">
        <f>parking_demand_data_2024_ver0!G2144</f>
        <v>0</v>
      </c>
      <c r="I2144" s="3">
        <f>parking_demand_data_2024_ver0!H2144</f>
        <v>0</v>
      </c>
      <c r="J2144" s="3">
        <f>parking_demand_data_2024_ver0!I2144</f>
        <v>0</v>
      </c>
      <c r="K2144" s="3">
        <f>parking_demand_data_2024_ver0!J2144</f>
        <v>0</v>
      </c>
      <c r="L2144" s="3">
        <f>parking_demand_data_2024_ver0!K2144</f>
        <v>0</v>
      </c>
      <c r="M2144" s="3">
        <f>parking_demand_data_2024_ver0!L2144</f>
        <v>0</v>
      </c>
      <c r="N2144" s="3">
        <f>parking_demand_data_2024_ver0!M2144</f>
        <v>0</v>
      </c>
      <c r="O2144" s="3">
        <f>parking_demand_data_2024_ver0!N2144</f>
        <v>0</v>
      </c>
      <c r="P2144" s="3">
        <f>parking_demand_data_2024_ver0!O2144</f>
        <v>0</v>
      </c>
      <c r="Q2144" s="3">
        <f>parking_demand_data_2024_ver0!P2144</f>
        <v>0</v>
      </c>
      <c r="R2144" s="3">
        <f>parking_demand_data_2024_ver0!Q2144</f>
        <v>0</v>
      </c>
      <c r="S2144" s="3">
        <f>parking_demand_data_2024_ver0!R2144</f>
        <v>0</v>
      </c>
      <c r="T2144" s="3">
        <f>parking_demand_data_2024_ver0!S2144</f>
        <v>0</v>
      </c>
    </row>
    <row r="2145" spans="1:20" x14ac:dyDescent="0.25">
      <c r="A2145">
        <v>18179</v>
      </c>
      <c r="B2145" t="s">
        <v>118</v>
      </c>
      <c r="C2145">
        <v>7</v>
      </c>
      <c r="D2145" s="3">
        <f>parking_demand_data_2024_ver0!D2145*calibration!$I$31</f>
        <v>0</v>
      </c>
      <c r="E2145" s="3">
        <f>parking_demand_data_2024_ver0!E2145*calibration!$I$31</f>
        <v>1.25750702796556</v>
      </c>
      <c r="F2145" s="3">
        <f t="shared" si="33"/>
        <v>1.25750702796556</v>
      </c>
      <c r="G2145" s="3">
        <f>parking_demand_data_2024_ver0!F2145</f>
        <v>0</v>
      </c>
      <c r="H2145" s="3">
        <f>parking_demand_data_2024_ver0!G2145</f>
        <v>0</v>
      </c>
      <c r="I2145" s="3">
        <f>parking_demand_data_2024_ver0!H2145</f>
        <v>0</v>
      </c>
      <c r="J2145" s="3">
        <f>parking_demand_data_2024_ver0!I2145</f>
        <v>0</v>
      </c>
      <c r="K2145" s="3">
        <f>parking_demand_data_2024_ver0!J2145</f>
        <v>0</v>
      </c>
      <c r="L2145" s="3">
        <f>parking_demand_data_2024_ver0!K2145</f>
        <v>0</v>
      </c>
      <c r="M2145" s="3">
        <f>parking_demand_data_2024_ver0!L2145</f>
        <v>0</v>
      </c>
      <c r="N2145" s="3">
        <f>parking_demand_data_2024_ver0!M2145</f>
        <v>0</v>
      </c>
      <c r="O2145" s="3">
        <f>parking_demand_data_2024_ver0!N2145</f>
        <v>0</v>
      </c>
      <c r="P2145" s="3">
        <f>parking_demand_data_2024_ver0!O2145</f>
        <v>0</v>
      </c>
      <c r="Q2145" s="3">
        <f>parking_demand_data_2024_ver0!P2145</f>
        <v>0</v>
      </c>
      <c r="R2145" s="3">
        <f>parking_demand_data_2024_ver0!Q2145</f>
        <v>0</v>
      </c>
      <c r="S2145" s="3">
        <f>parking_demand_data_2024_ver0!R2145</f>
        <v>0</v>
      </c>
      <c r="T2145" s="3">
        <f>parking_demand_data_2024_ver0!S2145</f>
        <v>0</v>
      </c>
    </row>
    <row r="2146" spans="1:20" x14ac:dyDescent="0.25">
      <c r="A2146">
        <v>18179</v>
      </c>
      <c r="B2146" t="s">
        <v>118</v>
      </c>
      <c r="C2146">
        <v>8</v>
      </c>
      <c r="D2146" s="3">
        <f>parking_demand_data_2024_ver0!D2146*calibration!$I$31</f>
        <v>0</v>
      </c>
      <c r="E2146" s="3">
        <f>parking_demand_data_2024_ver0!E2146*calibration!$I$31</f>
        <v>3.0808922185156198</v>
      </c>
      <c r="F2146" s="3">
        <f t="shared" si="33"/>
        <v>3.0808922185156198</v>
      </c>
      <c r="G2146" s="3">
        <f>parking_demand_data_2024_ver0!F2146</f>
        <v>0</v>
      </c>
      <c r="H2146" s="3">
        <f>parking_demand_data_2024_ver0!G2146</f>
        <v>0</v>
      </c>
      <c r="I2146" s="3">
        <f>parking_demand_data_2024_ver0!H2146</f>
        <v>0</v>
      </c>
      <c r="J2146" s="3">
        <f>parking_demand_data_2024_ver0!I2146</f>
        <v>0</v>
      </c>
      <c r="K2146" s="3">
        <f>parking_demand_data_2024_ver0!J2146</f>
        <v>0</v>
      </c>
      <c r="L2146" s="3">
        <f>parking_demand_data_2024_ver0!K2146</f>
        <v>0</v>
      </c>
      <c r="M2146" s="3">
        <f>parking_demand_data_2024_ver0!L2146</f>
        <v>0</v>
      </c>
      <c r="N2146" s="3">
        <f>parking_demand_data_2024_ver0!M2146</f>
        <v>0</v>
      </c>
      <c r="O2146" s="3">
        <f>parking_demand_data_2024_ver0!N2146</f>
        <v>0</v>
      </c>
      <c r="P2146" s="3">
        <f>parking_demand_data_2024_ver0!O2146</f>
        <v>0</v>
      </c>
      <c r="Q2146" s="3">
        <f>parking_demand_data_2024_ver0!P2146</f>
        <v>0</v>
      </c>
      <c r="R2146" s="3">
        <f>parking_demand_data_2024_ver0!Q2146</f>
        <v>0</v>
      </c>
      <c r="S2146" s="3">
        <f>parking_demand_data_2024_ver0!R2146</f>
        <v>0</v>
      </c>
      <c r="T2146" s="3">
        <f>parking_demand_data_2024_ver0!S2146</f>
        <v>0</v>
      </c>
    </row>
    <row r="2147" spans="1:20" x14ac:dyDescent="0.25">
      <c r="A2147">
        <v>18179</v>
      </c>
      <c r="B2147" t="s">
        <v>118</v>
      </c>
      <c r="C2147">
        <v>9</v>
      </c>
      <c r="D2147" s="3">
        <f>parking_demand_data_2024_ver0!D2147*calibration!$I$31</f>
        <v>0</v>
      </c>
      <c r="E2147" s="3">
        <f>parking_demand_data_2024_ver0!E2147*calibration!$I$31</f>
        <v>8.4252970873692608</v>
      </c>
      <c r="F2147" s="3">
        <f t="shared" si="33"/>
        <v>8.4252970873692608</v>
      </c>
      <c r="G2147" s="3">
        <f>parking_demand_data_2024_ver0!F2147</f>
        <v>0</v>
      </c>
      <c r="H2147" s="3">
        <f>parking_demand_data_2024_ver0!G2147</f>
        <v>0</v>
      </c>
      <c r="I2147" s="3">
        <f>parking_demand_data_2024_ver0!H2147</f>
        <v>0</v>
      </c>
      <c r="J2147" s="3">
        <f>parking_demand_data_2024_ver0!I2147</f>
        <v>0</v>
      </c>
      <c r="K2147" s="3">
        <f>parking_demand_data_2024_ver0!J2147</f>
        <v>0</v>
      </c>
      <c r="L2147" s="3">
        <f>parking_demand_data_2024_ver0!K2147</f>
        <v>0</v>
      </c>
      <c r="M2147" s="3">
        <f>parking_demand_data_2024_ver0!L2147</f>
        <v>0</v>
      </c>
      <c r="N2147" s="3">
        <f>parking_demand_data_2024_ver0!M2147</f>
        <v>0</v>
      </c>
      <c r="O2147" s="3">
        <f>parking_demand_data_2024_ver0!N2147</f>
        <v>0</v>
      </c>
      <c r="P2147" s="3">
        <f>parking_demand_data_2024_ver0!O2147</f>
        <v>0</v>
      </c>
      <c r="Q2147" s="3">
        <f>parking_demand_data_2024_ver0!P2147</f>
        <v>0</v>
      </c>
      <c r="R2147" s="3">
        <f>parking_demand_data_2024_ver0!Q2147</f>
        <v>0</v>
      </c>
      <c r="S2147" s="3">
        <f>parking_demand_data_2024_ver0!R2147</f>
        <v>0</v>
      </c>
      <c r="T2147" s="3">
        <f>parking_demand_data_2024_ver0!S2147</f>
        <v>0</v>
      </c>
    </row>
    <row r="2148" spans="1:20" x14ac:dyDescent="0.25">
      <c r="A2148">
        <v>18179</v>
      </c>
      <c r="B2148" t="s">
        <v>118</v>
      </c>
      <c r="C2148">
        <v>10</v>
      </c>
      <c r="D2148" s="3">
        <f>parking_demand_data_2024_ver0!D2148*calibration!$I$31</f>
        <v>0</v>
      </c>
      <c r="E2148" s="3">
        <f>parking_demand_data_2024_ver0!E2148*calibration!$I$31</f>
        <v>8.3624217359709796</v>
      </c>
      <c r="F2148" s="3">
        <f t="shared" si="33"/>
        <v>8.3624217359709796</v>
      </c>
      <c r="G2148" s="3">
        <f>parking_demand_data_2024_ver0!F2148</f>
        <v>0</v>
      </c>
      <c r="H2148" s="3">
        <f>parking_demand_data_2024_ver0!G2148</f>
        <v>0</v>
      </c>
      <c r="I2148" s="3">
        <f>parking_demand_data_2024_ver0!H2148</f>
        <v>0</v>
      </c>
      <c r="J2148" s="3">
        <f>parking_demand_data_2024_ver0!I2148</f>
        <v>0</v>
      </c>
      <c r="K2148" s="3">
        <f>parking_demand_data_2024_ver0!J2148</f>
        <v>0</v>
      </c>
      <c r="L2148" s="3">
        <f>parking_demand_data_2024_ver0!K2148</f>
        <v>0</v>
      </c>
      <c r="M2148" s="3">
        <f>parking_demand_data_2024_ver0!L2148</f>
        <v>0</v>
      </c>
      <c r="N2148" s="3">
        <f>parking_demand_data_2024_ver0!M2148</f>
        <v>0</v>
      </c>
      <c r="O2148" s="3">
        <f>parking_demand_data_2024_ver0!N2148</f>
        <v>0</v>
      </c>
      <c r="P2148" s="3">
        <f>parking_demand_data_2024_ver0!O2148</f>
        <v>0</v>
      </c>
      <c r="Q2148" s="3">
        <f>parking_demand_data_2024_ver0!P2148</f>
        <v>0</v>
      </c>
      <c r="R2148" s="3">
        <f>parking_demand_data_2024_ver0!Q2148</f>
        <v>0</v>
      </c>
      <c r="S2148" s="3">
        <f>parking_demand_data_2024_ver0!R2148</f>
        <v>0</v>
      </c>
      <c r="T2148" s="3">
        <f>parking_demand_data_2024_ver0!S2148</f>
        <v>0</v>
      </c>
    </row>
    <row r="2149" spans="1:20" x14ac:dyDescent="0.25">
      <c r="A2149">
        <v>18179</v>
      </c>
      <c r="B2149" t="s">
        <v>118</v>
      </c>
      <c r="C2149">
        <v>11</v>
      </c>
      <c r="D2149" s="3">
        <f>parking_demand_data_2024_ver0!D2149*calibration!$I$31</f>
        <v>0</v>
      </c>
      <c r="E2149" s="3">
        <f>parking_demand_data_2024_ver0!E2149*calibration!$I$31</f>
        <v>5.7845323286415802</v>
      </c>
      <c r="F2149" s="3">
        <f t="shared" si="33"/>
        <v>5.7845323286415802</v>
      </c>
      <c r="G2149" s="3">
        <f>parking_demand_data_2024_ver0!F2149</f>
        <v>0</v>
      </c>
      <c r="H2149" s="3">
        <f>parking_demand_data_2024_ver0!G2149</f>
        <v>0</v>
      </c>
      <c r="I2149" s="3">
        <f>parking_demand_data_2024_ver0!H2149</f>
        <v>0</v>
      </c>
      <c r="J2149" s="3">
        <f>parking_demand_data_2024_ver0!I2149</f>
        <v>0</v>
      </c>
      <c r="K2149" s="3">
        <f>parking_demand_data_2024_ver0!J2149</f>
        <v>0</v>
      </c>
      <c r="L2149" s="3">
        <f>parking_demand_data_2024_ver0!K2149</f>
        <v>0</v>
      </c>
      <c r="M2149" s="3">
        <f>parking_demand_data_2024_ver0!L2149</f>
        <v>0</v>
      </c>
      <c r="N2149" s="3">
        <f>parking_demand_data_2024_ver0!M2149</f>
        <v>0</v>
      </c>
      <c r="O2149" s="3">
        <f>parking_demand_data_2024_ver0!N2149</f>
        <v>0</v>
      </c>
      <c r="P2149" s="3">
        <f>parking_demand_data_2024_ver0!O2149</f>
        <v>0</v>
      </c>
      <c r="Q2149" s="3">
        <f>parking_demand_data_2024_ver0!P2149</f>
        <v>0</v>
      </c>
      <c r="R2149" s="3">
        <f>parking_demand_data_2024_ver0!Q2149</f>
        <v>0</v>
      </c>
      <c r="S2149" s="3">
        <f>parking_demand_data_2024_ver0!R2149</f>
        <v>0</v>
      </c>
      <c r="T2149" s="3">
        <f>parking_demand_data_2024_ver0!S2149</f>
        <v>0</v>
      </c>
    </row>
    <row r="2150" spans="1:20" x14ac:dyDescent="0.25">
      <c r="A2150">
        <v>18179</v>
      </c>
      <c r="B2150" t="s">
        <v>118</v>
      </c>
      <c r="C2150">
        <v>12</v>
      </c>
      <c r="D2150" s="3">
        <f>parking_demand_data_2024_ver0!D2150*calibration!$I$31</f>
        <v>0</v>
      </c>
      <c r="E2150" s="3">
        <f>parking_demand_data_2024_ver0!E2150*calibration!$I$31</f>
        <v>5.21865416605708</v>
      </c>
      <c r="F2150" s="3">
        <f t="shared" si="33"/>
        <v>5.21865416605708</v>
      </c>
      <c r="G2150" s="3">
        <f>parking_demand_data_2024_ver0!F2150</f>
        <v>0</v>
      </c>
      <c r="H2150" s="3">
        <f>parking_demand_data_2024_ver0!G2150</f>
        <v>0</v>
      </c>
      <c r="I2150" s="3">
        <f>parking_demand_data_2024_ver0!H2150</f>
        <v>0</v>
      </c>
      <c r="J2150" s="3">
        <f>parking_demand_data_2024_ver0!I2150</f>
        <v>0</v>
      </c>
      <c r="K2150" s="3">
        <f>parking_demand_data_2024_ver0!J2150</f>
        <v>0</v>
      </c>
      <c r="L2150" s="3">
        <f>parking_demand_data_2024_ver0!K2150</f>
        <v>0</v>
      </c>
      <c r="M2150" s="3">
        <f>parking_demand_data_2024_ver0!L2150</f>
        <v>0</v>
      </c>
      <c r="N2150" s="3">
        <f>parking_demand_data_2024_ver0!M2150</f>
        <v>0</v>
      </c>
      <c r="O2150" s="3">
        <f>parking_demand_data_2024_ver0!N2150</f>
        <v>0</v>
      </c>
      <c r="P2150" s="3">
        <f>parking_demand_data_2024_ver0!O2150</f>
        <v>0</v>
      </c>
      <c r="Q2150" s="3">
        <f>parking_demand_data_2024_ver0!P2150</f>
        <v>0</v>
      </c>
      <c r="R2150" s="3">
        <f>parking_demand_data_2024_ver0!Q2150</f>
        <v>0</v>
      </c>
      <c r="S2150" s="3">
        <f>parking_demand_data_2024_ver0!R2150</f>
        <v>0</v>
      </c>
      <c r="T2150" s="3">
        <f>parking_demand_data_2024_ver0!S2150</f>
        <v>0</v>
      </c>
    </row>
    <row r="2151" spans="1:20" x14ac:dyDescent="0.25">
      <c r="A2151">
        <v>18179</v>
      </c>
      <c r="B2151" t="s">
        <v>118</v>
      </c>
      <c r="C2151">
        <v>13</v>
      </c>
      <c r="D2151" s="3">
        <f>parking_demand_data_2024_ver0!D2151*calibration!$I$31</f>
        <v>0</v>
      </c>
      <c r="E2151" s="3">
        <f>parking_demand_data_2024_ver0!E2151*calibration!$I$31</f>
        <v>3.39526897550701</v>
      </c>
      <c r="F2151" s="3">
        <f t="shared" si="33"/>
        <v>3.39526897550701</v>
      </c>
      <c r="G2151" s="3">
        <f>parking_demand_data_2024_ver0!F2151</f>
        <v>0</v>
      </c>
      <c r="H2151" s="3">
        <f>parking_demand_data_2024_ver0!G2151</f>
        <v>0</v>
      </c>
      <c r="I2151" s="3">
        <f>parking_demand_data_2024_ver0!H2151</f>
        <v>0</v>
      </c>
      <c r="J2151" s="3">
        <f>parking_demand_data_2024_ver0!I2151</f>
        <v>0</v>
      </c>
      <c r="K2151" s="3">
        <f>parking_demand_data_2024_ver0!J2151</f>
        <v>0</v>
      </c>
      <c r="L2151" s="3">
        <f>parking_demand_data_2024_ver0!K2151</f>
        <v>0</v>
      </c>
      <c r="M2151" s="3">
        <f>parking_demand_data_2024_ver0!L2151</f>
        <v>0</v>
      </c>
      <c r="N2151" s="3">
        <f>parking_demand_data_2024_ver0!M2151</f>
        <v>0</v>
      </c>
      <c r="O2151" s="3">
        <f>parking_demand_data_2024_ver0!N2151</f>
        <v>0</v>
      </c>
      <c r="P2151" s="3">
        <f>parking_demand_data_2024_ver0!O2151</f>
        <v>0</v>
      </c>
      <c r="Q2151" s="3">
        <f>parking_demand_data_2024_ver0!P2151</f>
        <v>0</v>
      </c>
      <c r="R2151" s="3">
        <f>parking_demand_data_2024_ver0!Q2151</f>
        <v>0</v>
      </c>
      <c r="S2151" s="3">
        <f>parking_demand_data_2024_ver0!R2151</f>
        <v>0</v>
      </c>
      <c r="T2151" s="3">
        <f>parking_demand_data_2024_ver0!S2151</f>
        <v>0</v>
      </c>
    </row>
    <row r="2152" spans="1:20" x14ac:dyDescent="0.25">
      <c r="A2152">
        <v>18179</v>
      </c>
      <c r="B2152" t="s">
        <v>118</v>
      </c>
      <c r="C2152">
        <v>14</v>
      </c>
      <c r="D2152" s="3">
        <f>parking_demand_data_2024_ver0!D2152*calibration!$I$31</f>
        <v>0</v>
      </c>
      <c r="E2152" s="3">
        <f>parking_demand_data_2024_ver0!E2152*calibration!$I$31</f>
        <v>2.2635126503380101</v>
      </c>
      <c r="F2152" s="3">
        <f t="shared" si="33"/>
        <v>2.2635126503380101</v>
      </c>
      <c r="G2152" s="3">
        <f>parking_demand_data_2024_ver0!F2152</f>
        <v>0</v>
      </c>
      <c r="H2152" s="3">
        <f>parking_demand_data_2024_ver0!G2152</f>
        <v>0</v>
      </c>
      <c r="I2152" s="3">
        <f>parking_demand_data_2024_ver0!H2152</f>
        <v>0</v>
      </c>
      <c r="J2152" s="3">
        <f>parking_demand_data_2024_ver0!I2152</f>
        <v>0</v>
      </c>
      <c r="K2152" s="3">
        <f>parking_demand_data_2024_ver0!J2152</f>
        <v>0</v>
      </c>
      <c r="L2152" s="3">
        <f>parking_demand_data_2024_ver0!K2152</f>
        <v>0</v>
      </c>
      <c r="M2152" s="3">
        <f>parking_demand_data_2024_ver0!L2152</f>
        <v>0</v>
      </c>
      <c r="N2152" s="3">
        <f>parking_demand_data_2024_ver0!M2152</f>
        <v>0</v>
      </c>
      <c r="O2152" s="3">
        <f>parking_demand_data_2024_ver0!N2152</f>
        <v>0</v>
      </c>
      <c r="P2152" s="3">
        <f>parking_demand_data_2024_ver0!O2152</f>
        <v>0</v>
      </c>
      <c r="Q2152" s="3">
        <f>parking_demand_data_2024_ver0!P2152</f>
        <v>0</v>
      </c>
      <c r="R2152" s="3">
        <f>parking_demand_data_2024_ver0!Q2152</f>
        <v>0</v>
      </c>
      <c r="S2152" s="3">
        <f>parking_demand_data_2024_ver0!R2152</f>
        <v>0</v>
      </c>
      <c r="T2152" s="3">
        <f>parking_demand_data_2024_ver0!S2152</f>
        <v>0</v>
      </c>
    </row>
    <row r="2153" spans="1:20" x14ac:dyDescent="0.25">
      <c r="A2153">
        <v>18179</v>
      </c>
      <c r="B2153" t="s">
        <v>118</v>
      </c>
      <c r="C2153">
        <v>15</v>
      </c>
      <c r="D2153" s="3">
        <f>parking_demand_data_2024_ver0!D2153*calibration!$I$31</f>
        <v>0</v>
      </c>
      <c r="E2153" s="3">
        <f>parking_demand_data_2024_ver0!E2153*calibration!$I$31</f>
        <v>0.62875351398278101</v>
      </c>
      <c r="F2153" s="3">
        <f t="shared" si="33"/>
        <v>0.62875351398278101</v>
      </c>
      <c r="G2153" s="3">
        <f>parking_demand_data_2024_ver0!F2153</f>
        <v>0</v>
      </c>
      <c r="H2153" s="3">
        <f>parking_demand_data_2024_ver0!G2153</f>
        <v>0</v>
      </c>
      <c r="I2153" s="3">
        <f>parking_demand_data_2024_ver0!H2153</f>
        <v>0</v>
      </c>
      <c r="J2153" s="3">
        <f>parking_demand_data_2024_ver0!I2153</f>
        <v>0</v>
      </c>
      <c r="K2153" s="3">
        <f>parking_demand_data_2024_ver0!J2153</f>
        <v>0</v>
      </c>
      <c r="L2153" s="3">
        <f>parking_demand_data_2024_ver0!K2153</f>
        <v>0</v>
      </c>
      <c r="M2153" s="3">
        <f>parking_demand_data_2024_ver0!L2153</f>
        <v>0</v>
      </c>
      <c r="N2153" s="3">
        <f>parking_demand_data_2024_ver0!M2153</f>
        <v>0</v>
      </c>
      <c r="O2153" s="3">
        <f>parking_demand_data_2024_ver0!N2153</f>
        <v>0</v>
      </c>
      <c r="P2153" s="3">
        <f>parking_demand_data_2024_ver0!O2153</f>
        <v>0</v>
      </c>
      <c r="Q2153" s="3">
        <f>parking_demand_data_2024_ver0!P2153</f>
        <v>0</v>
      </c>
      <c r="R2153" s="3">
        <f>parking_demand_data_2024_ver0!Q2153</f>
        <v>0</v>
      </c>
      <c r="S2153" s="3">
        <f>parking_demand_data_2024_ver0!R2153</f>
        <v>0</v>
      </c>
      <c r="T2153" s="3">
        <f>parking_demand_data_2024_ver0!S2153</f>
        <v>0</v>
      </c>
    </row>
    <row r="2154" spans="1:20" x14ac:dyDescent="0.25">
      <c r="A2154">
        <v>18179</v>
      </c>
      <c r="B2154" t="s">
        <v>118</v>
      </c>
      <c r="C2154">
        <v>16</v>
      </c>
      <c r="D2154" s="3">
        <f>parking_demand_data_2024_ver0!D2154*calibration!$I$31</f>
        <v>0</v>
      </c>
      <c r="E2154" s="3">
        <f>parking_demand_data_2024_ver0!E2154*calibration!$I$31</f>
        <v>0.50300281118622403</v>
      </c>
      <c r="F2154" s="3">
        <f t="shared" si="33"/>
        <v>0.50300281118622403</v>
      </c>
      <c r="G2154" s="3">
        <f>parking_demand_data_2024_ver0!F2154</f>
        <v>0</v>
      </c>
      <c r="H2154" s="3">
        <f>parking_demand_data_2024_ver0!G2154</f>
        <v>0</v>
      </c>
      <c r="I2154" s="3">
        <f>parking_demand_data_2024_ver0!H2154</f>
        <v>0</v>
      </c>
      <c r="J2154" s="3">
        <f>parking_demand_data_2024_ver0!I2154</f>
        <v>0</v>
      </c>
      <c r="K2154" s="3">
        <f>parking_demand_data_2024_ver0!J2154</f>
        <v>0</v>
      </c>
      <c r="L2154" s="3">
        <f>parking_demand_data_2024_ver0!K2154</f>
        <v>0</v>
      </c>
      <c r="M2154" s="3">
        <f>parking_demand_data_2024_ver0!L2154</f>
        <v>0</v>
      </c>
      <c r="N2154" s="3">
        <f>parking_demand_data_2024_ver0!M2154</f>
        <v>0</v>
      </c>
      <c r="O2154" s="3">
        <f>parking_demand_data_2024_ver0!N2154</f>
        <v>0</v>
      </c>
      <c r="P2154" s="3">
        <f>parking_demand_data_2024_ver0!O2154</f>
        <v>0</v>
      </c>
      <c r="Q2154" s="3">
        <f>parking_demand_data_2024_ver0!P2154</f>
        <v>0</v>
      </c>
      <c r="R2154" s="3">
        <f>parking_demand_data_2024_ver0!Q2154</f>
        <v>0</v>
      </c>
      <c r="S2154" s="3">
        <f>parking_demand_data_2024_ver0!R2154</f>
        <v>0</v>
      </c>
      <c r="T2154" s="3">
        <f>parking_demand_data_2024_ver0!S2154</f>
        <v>0</v>
      </c>
    </row>
    <row r="2155" spans="1:20" x14ac:dyDescent="0.25">
      <c r="A2155">
        <v>18179</v>
      </c>
      <c r="B2155" t="s">
        <v>118</v>
      </c>
      <c r="C2155">
        <v>17</v>
      </c>
      <c r="D2155" s="3">
        <f>parking_demand_data_2024_ver0!D2155*calibration!$I$31</f>
        <v>0</v>
      </c>
      <c r="E2155" s="3">
        <f>parking_demand_data_2024_ver0!E2155*calibration!$I$31</f>
        <v>0.44012745978794598</v>
      </c>
      <c r="F2155" s="3">
        <f t="shared" si="33"/>
        <v>0.44012745978794598</v>
      </c>
      <c r="G2155" s="3">
        <f>parking_demand_data_2024_ver0!F2155</f>
        <v>0</v>
      </c>
      <c r="H2155" s="3">
        <f>parking_demand_data_2024_ver0!G2155</f>
        <v>0</v>
      </c>
      <c r="I2155" s="3">
        <f>parking_demand_data_2024_ver0!H2155</f>
        <v>0</v>
      </c>
      <c r="J2155" s="3">
        <f>parking_demand_data_2024_ver0!I2155</f>
        <v>0</v>
      </c>
      <c r="K2155" s="3">
        <f>parking_demand_data_2024_ver0!J2155</f>
        <v>0</v>
      </c>
      <c r="L2155" s="3">
        <f>parking_demand_data_2024_ver0!K2155</f>
        <v>0</v>
      </c>
      <c r="M2155" s="3">
        <f>parking_demand_data_2024_ver0!L2155</f>
        <v>0</v>
      </c>
      <c r="N2155" s="3">
        <f>parking_demand_data_2024_ver0!M2155</f>
        <v>0</v>
      </c>
      <c r="O2155" s="3">
        <f>parking_demand_data_2024_ver0!N2155</f>
        <v>0</v>
      </c>
      <c r="P2155" s="3">
        <f>parking_demand_data_2024_ver0!O2155</f>
        <v>0</v>
      </c>
      <c r="Q2155" s="3">
        <f>parking_demand_data_2024_ver0!P2155</f>
        <v>0</v>
      </c>
      <c r="R2155" s="3">
        <f>parking_demand_data_2024_ver0!Q2155</f>
        <v>0</v>
      </c>
      <c r="S2155" s="3">
        <f>parking_demand_data_2024_ver0!R2155</f>
        <v>0</v>
      </c>
      <c r="T2155" s="3">
        <f>parking_demand_data_2024_ver0!S2155</f>
        <v>0</v>
      </c>
    </row>
    <row r="2156" spans="1:20" x14ac:dyDescent="0.25">
      <c r="A2156">
        <v>18179</v>
      </c>
      <c r="B2156" t="s">
        <v>118</v>
      </c>
      <c r="C2156">
        <v>18</v>
      </c>
      <c r="D2156" s="3">
        <f>parking_demand_data_2024_ver0!D2156*calibration!$I$31</f>
        <v>0</v>
      </c>
      <c r="E2156" s="3">
        <f>parking_demand_data_2024_ver0!E2156*calibration!$I$31</f>
        <v>0.37725210838966799</v>
      </c>
      <c r="F2156" s="3">
        <f t="shared" si="33"/>
        <v>0.37725210838966799</v>
      </c>
      <c r="G2156" s="3">
        <f>parking_demand_data_2024_ver0!F2156</f>
        <v>0</v>
      </c>
      <c r="H2156" s="3">
        <f>parking_demand_data_2024_ver0!G2156</f>
        <v>0</v>
      </c>
      <c r="I2156" s="3">
        <f>parking_demand_data_2024_ver0!H2156</f>
        <v>0</v>
      </c>
      <c r="J2156" s="3">
        <f>parking_demand_data_2024_ver0!I2156</f>
        <v>0</v>
      </c>
      <c r="K2156" s="3">
        <f>parking_demand_data_2024_ver0!J2156</f>
        <v>0</v>
      </c>
      <c r="L2156" s="3">
        <f>parking_demand_data_2024_ver0!K2156</f>
        <v>0</v>
      </c>
      <c r="M2156" s="3">
        <f>parking_demand_data_2024_ver0!L2156</f>
        <v>0</v>
      </c>
      <c r="N2156" s="3">
        <f>parking_demand_data_2024_ver0!M2156</f>
        <v>0</v>
      </c>
      <c r="O2156" s="3">
        <f>parking_demand_data_2024_ver0!N2156</f>
        <v>0</v>
      </c>
      <c r="P2156" s="3">
        <f>parking_demand_data_2024_ver0!O2156</f>
        <v>0</v>
      </c>
      <c r="Q2156" s="3">
        <f>parking_demand_data_2024_ver0!P2156</f>
        <v>0</v>
      </c>
      <c r="R2156" s="3">
        <f>parking_demand_data_2024_ver0!Q2156</f>
        <v>0</v>
      </c>
      <c r="S2156" s="3">
        <f>parking_demand_data_2024_ver0!R2156</f>
        <v>0</v>
      </c>
      <c r="T2156" s="3">
        <f>parking_demand_data_2024_ver0!S2156</f>
        <v>0</v>
      </c>
    </row>
    <row r="2157" spans="1:20" x14ac:dyDescent="0.25">
      <c r="A2157">
        <v>18179</v>
      </c>
      <c r="B2157" t="s">
        <v>118</v>
      </c>
      <c r="C2157">
        <v>19</v>
      </c>
      <c r="D2157" s="3">
        <f>parking_demand_data_2024_ver0!D2157*calibration!$I$31</f>
        <v>0</v>
      </c>
      <c r="E2157" s="3">
        <f>parking_demand_data_2024_ver0!E2157*calibration!$I$31</f>
        <v>0.25150140559311202</v>
      </c>
      <c r="F2157" s="3">
        <f t="shared" si="33"/>
        <v>0.25150140559311202</v>
      </c>
      <c r="G2157" s="3">
        <f>parking_demand_data_2024_ver0!F2157</f>
        <v>0</v>
      </c>
      <c r="H2157" s="3">
        <f>parking_demand_data_2024_ver0!G2157</f>
        <v>0</v>
      </c>
      <c r="I2157" s="3">
        <f>parking_demand_data_2024_ver0!H2157</f>
        <v>0</v>
      </c>
      <c r="J2157" s="3">
        <f>parking_demand_data_2024_ver0!I2157</f>
        <v>0</v>
      </c>
      <c r="K2157" s="3">
        <f>parking_demand_data_2024_ver0!J2157</f>
        <v>0</v>
      </c>
      <c r="L2157" s="3">
        <f>parking_demand_data_2024_ver0!K2157</f>
        <v>0</v>
      </c>
      <c r="M2157" s="3">
        <f>parking_demand_data_2024_ver0!L2157</f>
        <v>0</v>
      </c>
      <c r="N2157" s="3">
        <f>parking_demand_data_2024_ver0!M2157</f>
        <v>0</v>
      </c>
      <c r="O2157" s="3">
        <f>parking_demand_data_2024_ver0!N2157</f>
        <v>0</v>
      </c>
      <c r="P2157" s="3">
        <f>parking_demand_data_2024_ver0!O2157</f>
        <v>0</v>
      </c>
      <c r="Q2157" s="3">
        <f>parking_demand_data_2024_ver0!P2157</f>
        <v>0</v>
      </c>
      <c r="R2157" s="3">
        <f>parking_demand_data_2024_ver0!Q2157</f>
        <v>0</v>
      </c>
      <c r="S2157" s="3">
        <f>parking_demand_data_2024_ver0!R2157</f>
        <v>0</v>
      </c>
      <c r="T2157" s="3">
        <f>parking_demand_data_2024_ver0!S2157</f>
        <v>0</v>
      </c>
    </row>
    <row r="2158" spans="1:20" x14ac:dyDescent="0.25">
      <c r="A2158">
        <v>18179</v>
      </c>
      <c r="B2158" t="s">
        <v>118</v>
      </c>
      <c r="C2158">
        <v>20</v>
      </c>
      <c r="D2158" s="3">
        <f>parking_demand_data_2024_ver0!D2158*calibration!$I$31</f>
        <v>0</v>
      </c>
      <c r="E2158" s="3">
        <f>parking_demand_data_2024_ver0!E2158*calibration!$I$31</f>
        <v>0.25150140559311202</v>
      </c>
      <c r="F2158" s="3">
        <f t="shared" si="33"/>
        <v>0.25150140559311202</v>
      </c>
      <c r="G2158" s="3">
        <f>parking_demand_data_2024_ver0!F2158</f>
        <v>0</v>
      </c>
      <c r="H2158" s="3">
        <f>parking_demand_data_2024_ver0!G2158</f>
        <v>0</v>
      </c>
      <c r="I2158" s="3">
        <f>parking_demand_data_2024_ver0!H2158</f>
        <v>0</v>
      </c>
      <c r="J2158" s="3">
        <f>parking_demand_data_2024_ver0!I2158</f>
        <v>0</v>
      </c>
      <c r="K2158" s="3">
        <f>parking_demand_data_2024_ver0!J2158</f>
        <v>0</v>
      </c>
      <c r="L2158" s="3">
        <f>parking_demand_data_2024_ver0!K2158</f>
        <v>0</v>
      </c>
      <c r="M2158" s="3">
        <f>parking_demand_data_2024_ver0!L2158</f>
        <v>0</v>
      </c>
      <c r="N2158" s="3">
        <f>parking_demand_data_2024_ver0!M2158</f>
        <v>0</v>
      </c>
      <c r="O2158" s="3">
        <f>parking_demand_data_2024_ver0!N2158</f>
        <v>0</v>
      </c>
      <c r="P2158" s="3">
        <f>parking_demand_data_2024_ver0!O2158</f>
        <v>0</v>
      </c>
      <c r="Q2158" s="3">
        <f>parking_demand_data_2024_ver0!P2158</f>
        <v>0</v>
      </c>
      <c r="R2158" s="3">
        <f>parking_demand_data_2024_ver0!Q2158</f>
        <v>0</v>
      </c>
      <c r="S2158" s="3">
        <f>parking_demand_data_2024_ver0!R2158</f>
        <v>0</v>
      </c>
      <c r="T2158" s="3">
        <f>parking_demand_data_2024_ver0!S2158</f>
        <v>0</v>
      </c>
    </row>
    <row r="2159" spans="1:20" x14ac:dyDescent="0.25">
      <c r="A2159">
        <v>18179</v>
      </c>
      <c r="B2159" t="s">
        <v>118</v>
      </c>
      <c r="C2159">
        <v>21</v>
      </c>
      <c r="D2159" s="3">
        <f>parking_demand_data_2024_ver0!D2159*calibration!$I$31</f>
        <v>0</v>
      </c>
      <c r="E2159" s="3">
        <f>parking_demand_data_2024_ver0!E2159*calibration!$I$31</f>
        <v>0.25150140559311202</v>
      </c>
      <c r="F2159" s="3">
        <f t="shared" si="33"/>
        <v>0.25150140559311202</v>
      </c>
      <c r="G2159" s="3">
        <f>parking_demand_data_2024_ver0!F2159</f>
        <v>0</v>
      </c>
      <c r="H2159" s="3">
        <f>parking_demand_data_2024_ver0!G2159</f>
        <v>0</v>
      </c>
      <c r="I2159" s="3">
        <f>parking_demand_data_2024_ver0!H2159</f>
        <v>0</v>
      </c>
      <c r="J2159" s="3">
        <f>parking_demand_data_2024_ver0!I2159</f>
        <v>0</v>
      </c>
      <c r="K2159" s="3">
        <f>parking_demand_data_2024_ver0!J2159</f>
        <v>0</v>
      </c>
      <c r="L2159" s="3">
        <f>parking_demand_data_2024_ver0!K2159</f>
        <v>0</v>
      </c>
      <c r="M2159" s="3">
        <f>parking_demand_data_2024_ver0!L2159</f>
        <v>0</v>
      </c>
      <c r="N2159" s="3">
        <f>parking_demand_data_2024_ver0!M2159</f>
        <v>0</v>
      </c>
      <c r="O2159" s="3">
        <f>parking_demand_data_2024_ver0!N2159</f>
        <v>0</v>
      </c>
      <c r="P2159" s="3">
        <f>parking_demand_data_2024_ver0!O2159</f>
        <v>0</v>
      </c>
      <c r="Q2159" s="3">
        <f>parking_demand_data_2024_ver0!P2159</f>
        <v>0</v>
      </c>
      <c r="R2159" s="3">
        <f>parking_demand_data_2024_ver0!Q2159</f>
        <v>0</v>
      </c>
      <c r="S2159" s="3">
        <f>parking_demand_data_2024_ver0!R2159</f>
        <v>0</v>
      </c>
      <c r="T2159" s="3">
        <f>parking_demand_data_2024_ver0!S2159</f>
        <v>0</v>
      </c>
    </row>
    <row r="2160" spans="1:20" x14ac:dyDescent="0.25">
      <c r="A2160">
        <v>18179</v>
      </c>
      <c r="B2160" t="s">
        <v>118</v>
      </c>
      <c r="C2160">
        <v>22</v>
      </c>
      <c r="D2160" s="3">
        <f>parking_demand_data_2024_ver0!D2160*calibration!$I$31</f>
        <v>0</v>
      </c>
      <c r="E2160" s="3">
        <f>parking_demand_data_2024_ver0!E2160*calibration!$I$31</f>
        <v>0.25150140559311202</v>
      </c>
      <c r="F2160" s="3">
        <f t="shared" si="33"/>
        <v>0.25150140559311202</v>
      </c>
      <c r="G2160" s="3">
        <f>parking_demand_data_2024_ver0!F2160</f>
        <v>0</v>
      </c>
      <c r="H2160" s="3">
        <f>parking_demand_data_2024_ver0!G2160</f>
        <v>0</v>
      </c>
      <c r="I2160" s="3">
        <f>parking_demand_data_2024_ver0!H2160</f>
        <v>0</v>
      </c>
      <c r="J2160" s="3">
        <f>parking_demand_data_2024_ver0!I2160</f>
        <v>0</v>
      </c>
      <c r="K2160" s="3">
        <f>parking_demand_data_2024_ver0!J2160</f>
        <v>0</v>
      </c>
      <c r="L2160" s="3">
        <f>parking_demand_data_2024_ver0!K2160</f>
        <v>0</v>
      </c>
      <c r="M2160" s="3">
        <f>parking_demand_data_2024_ver0!L2160</f>
        <v>0</v>
      </c>
      <c r="N2160" s="3">
        <f>parking_demand_data_2024_ver0!M2160</f>
        <v>0</v>
      </c>
      <c r="O2160" s="3">
        <f>parking_demand_data_2024_ver0!N2160</f>
        <v>0</v>
      </c>
      <c r="P2160" s="3">
        <f>parking_demand_data_2024_ver0!O2160</f>
        <v>0</v>
      </c>
      <c r="Q2160" s="3">
        <f>parking_demand_data_2024_ver0!P2160</f>
        <v>0</v>
      </c>
      <c r="R2160" s="3">
        <f>parking_demand_data_2024_ver0!Q2160</f>
        <v>0</v>
      </c>
      <c r="S2160" s="3">
        <f>parking_demand_data_2024_ver0!R2160</f>
        <v>0</v>
      </c>
      <c r="T2160" s="3">
        <f>parking_demand_data_2024_ver0!S2160</f>
        <v>0</v>
      </c>
    </row>
    <row r="2161" spans="1:20" x14ac:dyDescent="0.25">
      <c r="A2161">
        <v>18179</v>
      </c>
      <c r="B2161" t="s">
        <v>118</v>
      </c>
      <c r="C2161">
        <v>23</v>
      </c>
      <c r="D2161" s="3">
        <f>parking_demand_data_2024_ver0!D2161*calibration!$I$31</f>
        <v>0</v>
      </c>
      <c r="E2161" s="3">
        <f>parking_demand_data_2024_ver0!E2161*calibration!$I$31</f>
        <v>0.25150140559311202</v>
      </c>
      <c r="F2161" s="3">
        <f t="shared" si="33"/>
        <v>0.25150140559311202</v>
      </c>
      <c r="G2161" s="3">
        <f>parking_demand_data_2024_ver0!F2161</f>
        <v>0</v>
      </c>
      <c r="H2161" s="3">
        <f>parking_demand_data_2024_ver0!G2161</f>
        <v>0</v>
      </c>
      <c r="I2161" s="3">
        <f>parking_demand_data_2024_ver0!H2161</f>
        <v>0</v>
      </c>
      <c r="J2161" s="3">
        <f>parking_demand_data_2024_ver0!I2161</f>
        <v>0</v>
      </c>
      <c r="K2161" s="3">
        <f>parking_demand_data_2024_ver0!J2161</f>
        <v>0</v>
      </c>
      <c r="L2161" s="3">
        <f>parking_demand_data_2024_ver0!K2161</f>
        <v>0</v>
      </c>
      <c r="M2161" s="3">
        <f>parking_demand_data_2024_ver0!L2161</f>
        <v>0</v>
      </c>
      <c r="N2161" s="3">
        <f>parking_demand_data_2024_ver0!M2161</f>
        <v>0</v>
      </c>
      <c r="O2161" s="3">
        <f>parking_demand_data_2024_ver0!N2161</f>
        <v>0</v>
      </c>
      <c r="P2161" s="3">
        <f>parking_demand_data_2024_ver0!O2161</f>
        <v>0</v>
      </c>
      <c r="Q2161" s="3">
        <f>parking_demand_data_2024_ver0!P2161</f>
        <v>0</v>
      </c>
      <c r="R2161" s="3">
        <f>parking_demand_data_2024_ver0!Q2161</f>
        <v>0</v>
      </c>
      <c r="S2161" s="3">
        <f>parking_demand_data_2024_ver0!R2161</f>
        <v>0</v>
      </c>
      <c r="T2161" s="3">
        <f>parking_demand_data_2024_ver0!S2161</f>
        <v>0</v>
      </c>
    </row>
    <row r="2162" spans="1:20" x14ac:dyDescent="0.25">
      <c r="A2162">
        <v>18181</v>
      </c>
      <c r="B2162" t="s">
        <v>119</v>
      </c>
      <c r="C2162">
        <v>0</v>
      </c>
      <c r="D2162" s="3">
        <f>parking_demand_data_2024_ver0!D2162*calibration!$I$31</f>
        <v>0</v>
      </c>
      <c r="E2162" s="3">
        <f>parking_demand_data_2024_ver0!E2162*calibration!$I$31</f>
        <v>16.751227984543799</v>
      </c>
      <c r="F2162" s="3">
        <f t="shared" si="33"/>
        <v>16.751227984543799</v>
      </c>
      <c r="G2162" s="3">
        <f>parking_demand_data_2024_ver0!F2162</f>
        <v>0</v>
      </c>
      <c r="H2162" s="3">
        <f>parking_demand_data_2024_ver0!G2162</f>
        <v>0</v>
      </c>
      <c r="I2162" s="3">
        <f>parking_demand_data_2024_ver0!H2162</f>
        <v>0</v>
      </c>
      <c r="J2162" s="3">
        <f>parking_demand_data_2024_ver0!I2162</f>
        <v>0</v>
      </c>
      <c r="K2162" s="3">
        <f>parking_demand_data_2024_ver0!J2162</f>
        <v>0</v>
      </c>
      <c r="L2162" s="3">
        <f>parking_demand_data_2024_ver0!K2162</f>
        <v>0</v>
      </c>
      <c r="M2162" s="3">
        <f>parking_demand_data_2024_ver0!L2162</f>
        <v>0</v>
      </c>
      <c r="N2162" s="3">
        <f>parking_demand_data_2024_ver0!M2162</f>
        <v>0</v>
      </c>
      <c r="O2162" s="3">
        <f>parking_demand_data_2024_ver0!N2162</f>
        <v>0</v>
      </c>
      <c r="P2162" s="3">
        <f>parking_demand_data_2024_ver0!O2162</f>
        <v>0</v>
      </c>
      <c r="Q2162" s="3">
        <f>parking_demand_data_2024_ver0!P2162</f>
        <v>0</v>
      </c>
      <c r="R2162" s="3">
        <f>parking_demand_data_2024_ver0!Q2162</f>
        <v>0</v>
      </c>
      <c r="S2162" s="3">
        <f>parking_demand_data_2024_ver0!R2162</f>
        <v>0</v>
      </c>
      <c r="T2162" s="3">
        <f>parking_demand_data_2024_ver0!S2162</f>
        <v>0</v>
      </c>
    </row>
    <row r="2163" spans="1:20" x14ac:dyDescent="0.25">
      <c r="A2163">
        <v>18181</v>
      </c>
      <c r="B2163" t="s">
        <v>119</v>
      </c>
      <c r="C2163">
        <v>1</v>
      </c>
      <c r="D2163" s="3">
        <f>parking_demand_data_2024_ver0!D2163*calibration!$I$31</f>
        <v>0</v>
      </c>
      <c r="E2163" s="3">
        <f>parking_demand_data_2024_ver0!E2163*calibration!$I$31</f>
        <v>18.112780998065901</v>
      </c>
      <c r="F2163" s="3">
        <f t="shared" si="33"/>
        <v>18.112780998065901</v>
      </c>
      <c r="G2163" s="3">
        <f>parking_demand_data_2024_ver0!F2163</f>
        <v>0</v>
      </c>
      <c r="H2163" s="3">
        <f>parking_demand_data_2024_ver0!G2163</f>
        <v>0</v>
      </c>
      <c r="I2163" s="3">
        <f>parking_demand_data_2024_ver0!H2163</f>
        <v>0</v>
      </c>
      <c r="J2163" s="3">
        <f>parking_demand_data_2024_ver0!I2163</f>
        <v>0</v>
      </c>
      <c r="K2163" s="3">
        <f>parking_demand_data_2024_ver0!J2163</f>
        <v>0</v>
      </c>
      <c r="L2163" s="3">
        <f>parking_demand_data_2024_ver0!K2163</f>
        <v>0</v>
      </c>
      <c r="M2163" s="3">
        <f>parking_demand_data_2024_ver0!L2163</f>
        <v>0</v>
      </c>
      <c r="N2163" s="3">
        <f>parking_demand_data_2024_ver0!M2163</f>
        <v>0</v>
      </c>
      <c r="O2163" s="3">
        <f>parking_demand_data_2024_ver0!N2163</f>
        <v>0</v>
      </c>
      <c r="P2163" s="3">
        <f>parking_demand_data_2024_ver0!O2163</f>
        <v>0</v>
      </c>
      <c r="Q2163" s="3">
        <f>parking_demand_data_2024_ver0!P2163</f>
        <v>0</v>
      </c>
      <c r="R2163" s="3">
        <f>parking_demand_data_2024_ver0!Q2163</f>
        <v>0</v>
      </c>
      <c r="S2163" s="3">
        <f>parking_demand_data_2024_ver0!R2163</f>
        <v>0</v>
      </c>
      <c r="T2163" s="3">
        <f>parking_demand_data_2024_ver0!S2163</f>
        <v>0</v>
      </c>
    </row>
    <row r="2164" spans="1:20" x14ac:dyDescent="0.25">
      <c r="A2164">
        <v>18181</v>
      </c>
      <c r="B2164" t="s">
        <v>119</v>
      </c>
      <c r="C2164">
        <v>2</v>
      </c>
      <c r="D2164" s="3">
        <f>parking_demand_data_2024_ver0!D2164*calibration!$I$31</f>
        <v>0</v>
      </c>
      <c r="E2164" s="3">
        <f>parking_demand_data_2024_ver0!E2164*calibration!$I$31</f>
        <v>19.5155931938158</v>
      </c>
      <c r="F2164" s="3">
        <f t="shared" si="33"/>
        <v>19.5155931938158</v>
      </c>
      <c r="G2164" s="3">
        <f>parking_demand_data_2024_ver0!F2164</f>
        <v>0</v>
      </c>
      <c r="H2164" s="3">
        <f>parking_demand_data_2024_ver0!G2164</f>
        <v>0</v>
      </c>
      <c r="I2164" s="3">
        <f>parking_demand_data_2024_ver0!H2164</f>
        <v>0</v>
      </c>
      <c r="J2164" s="3">
        <f>parking_demand_data_2024_ver0!I2164</f>
        <v>0</v>
      </c>
      <c r="K2164" s="3">
        <f>parking_demand_data_2024_ver0!J2164</f>
        <v>0</v>
      </c>
      <c r="L2164" s="3">
        <f>parking_demand_data_2024_ver0!K2164</f>
        <v>0</v>
      </c>
      <c r="M2164" s="3">
        <f>parking_demand_data_2024_ver0!L2164</f>
        <v>0</v>
      </c>
      <c r="N2164" s="3">
        <f>parking_demand_data_2024_ver0!M2164</f>
        <v>0</v>
      </c>
      <c r="O2164" s="3">
        <f>parking_demand_data_2024_ver0!N2164</f>
        <v>0</v>
      </c>
      <c r="P2164" s="3">
        <f>parking_demand_data_2024_ver0!O2164</f>
        <v>0</v>
      </c>
      <c r="Q2164" s="3">
        <f>parking_demand_data_2024_ver0!P2164</f>
        <v>0</v>
      </c>
      <c r="R2164" s="3">
        <f>parking_demand_data_2024_ver0!Q2164</f>
        <v>0</v>
      </c>
      <c r="S2164" s="3">
        <f>parking_demand_data_2024_ver0!R2164</f>
        <v>0</v>
      </c>
      <c r="T2164" s="3">
        <f>parking_demand_data_2024_ver0!S2164</f>
        <v>0</v>
      </c>
    </row>
    <row r="2165" spans="1:20" x14ac:dyDescent="0.25">
      <c r="A2165">
        <v>18181</v>
      </c>
      <c r="B2165" t="s">
        <v>119</v>
      </c>
      <c r="C2165">
        <v>3</v>
      </c>
      <c r="D2165" s="3">
        <f>parking_demand_data_2024_ver0!D2165*calibration!$I$31</f>
        <v>0</v>
      </c>
      <c r="E2165" s="3">
        <f>parking_demand_data_2024_ver0!E2165*calibration!$I$31</f>
        <v>21.042182936249599</v>
      </c>
      <c r="F2165" s="3">
        <f t="shared" si="33"/>
        <v>21.042182936249599</v>
      </c>
      <c r="G2165" s="3">
        <f>parking_demand_data_2024_ver0!F2165</f>
        <v>0</v>
      </c>
      <c r="H2165" s="3">
        <f>parking_demand_data_2024_ver0!G2165</f>
        <v>0</v>
      </c>
      <c r="I2165" s="3">
        <f>parking_demand_data_2024_ver0!H2165</f>
        <v>0</v>
      </c>
      <c r="J2165" s="3">
        <f>parking_demand_data_2024_ver0!I2165</f>
        <v>0</v>
      </c>
      <c r="K2165" s="3">
        <f>parking_demand_data_2024_ver0!J2165</f>
        <v>0</v>
      </c>
      <c r="L2165" s="3">
        <f>parking_demand_data_2024_ver0!K2165</f>
        <v>0</v>
      </c>
      <c r="M2165" s="3">
        <f>parking_demand_data_2024_ver0!L2165</f>
        <v>0</v>
      </c>
      <c r="N2165" s="3">
        <f>parking_demand_data_2024_ver0!M2165</f>
        <v>0</v>
      </c>
      <c r="O2165" s="3">
        <f>parking_demand_data_2024_ver0!N2165</f>
        <v>0</v>
      </c>
      <c r="P2165" s="3">
        <f>parking_demand_data_2024_ver0!O2165</f>
        <v>0</v>
      </c>
      <c r="Q2165" s="3">
        <f>parking_demand_data_2024_ver0!P2165</f>
        <v>0</v>
      </c>
      <c r="R2165" s="3">
        <f>parking_demand_data_2024_ver0!Q2165</f>
        <v>0</v>
      </c>
      <c r="S2165" s="3">
        <f>parking_demand_data_2024_ver0!R2165</f>
        <v>0</v>
      </c>
      <c r="T2165" s="3">
        <f>parking_demand_data_2024_ver0!S2165</f>
        <v>0</v>
      </c>
    </row>
    <row r="2166" spans="1:20" x14ac:dyDescent="0.25">
      <c r="A2166">
        <v>18181</v>
      </c>
      <c r="B2166" t="s">
        <v>119</v>
      </c>
      <c r="C2166">
        <v>4</v>
      </c>
      <c r="D2166" s="3">
        <f>parking_demand_data_2024_ver0!D2166*calibration!$I$31</f>
        <v>0</v>
      </c>
      <c r="E2166" s="3">
        <f>parking_demand_data_2024_ver0!E2166*calibration!$I$31</f>
        <v>23.8890665099775</v>
      </c>
      <c r="F2166" s="3">
        <f t="shared" si="33"/>
        <v>23.8890665099775</v>
      </c>
      <c r="G2166" s="3">
        <f>parking_demand_data_2024_ver0!F2166</f>
        <v>0</v>
      </c>
      <c r="H2166" s="3">
        <f>parking_demand_data_2024_ver0!G2166</f>
        <v>0</v>
      </c>
      <c r="I2166" s="3">
        <f>parking_demand_data_2024_ver0!H2166</f>
        <v>0</v>
      </c>
      <c r="J2166" s="3">
        <f>parking_demand_data_2024_ver0!I2166</f>
        <v>0</v>
      </c>
      <c r="K2166" s="3">
        <f>parking_demand_data_2024_ver0!J2166</f>
        <v>0</v>
      </c>
      <c r="L2166" s="3">
        <f>parking_demand_data_2024_ver0!K2166</f>
        <v>0</v>
      </c>
      <c r="M2166" s="3">
        <f>parking_demand_data_2024_ver0!L2166</f>
        <v>0</v>
      </c>
      <c r="N2166" s="3">
        <f>parking_demand_data_2024_ver0!M2166</f>
        <v>0</v>
      </c>
      <c r="O2166" s="3">
        <f>parking_demand_data_2024_ver0!N2166</f>
        <v>0</v>
      </c>
      <c r="P2166" s="3">
        <f>parking_demand_data_2024_ver0!O2166</f>
        <v>0</v>
      </c>
      <c r="Q2166" s="3">
        <f>parking_demand_data_2024_ver0!P2166</f>
        <v>0</v>
      </c>
      <c r="R2166" s="3">
        <f>parking_demand_data_2024_ver0!Q2166</f>
        <v>0</v>
      </c>
      <c r="S2166" s="3">
        <f>parking_demand_data_2024_ver0!R2166</f>
        <v>0</v>
      </c>
      <c r="T2166" s="3">
        <f>parking_demand_data_2024_ver0!S2166</f>
        <v>0</v>
      </c>
    </row>
    <row r="2167" spans="1:20" x14ac:dyDescent="0.25">
      <c r="A2167">
        <v>18181</v>
      </c>
      <c r="B2167" t="s">
        <v>119</v>
      </c>
      <c r="C2167">
        <v>5</v>
      </c>
      <c r="D2167" s="3">
        <f>parking_demand_data_2024_ver0!D2167*calibration!$I$31</f>
        <v>0</v>
      </c>
      <c r="E2167" s="3">
        <f>parking_demand_data_2024_ver0!E2167*calibration!$I$31</f>
        <v>25.910766439146599</v>
      </c>
      <c r="F2167" s="3">
        <f t="shared" si="33"/>
        <v>25.910766439146599</v>
      </c>
      <c r="G2167" s="3">
        <f>parking_demand_data_2024_ver0!F2167</f>
        <v>0</v>
      </c>
      <c r="H2167" s="3">
        <f>parking_demand_data_2024_ver0!G2167</f>
        <v>0</v>
      </c>
      <c r="I2167" s="3">
        <f>parking_demand_data_2024_ver0!H2167</f>
        <v>0</v>
      </c>
      <c r="J2167" s="3">
        <f>parking_demand_data_2024_ver0!I2167</f>
        <v>0</v>
      </c>
      <c r="K2167" s="3">
        <f>parking_demand_data_2024_ver0!J2167</f>
        <v>0</v>
      </c>
      <c r="L2167" s="3">
        <f>parking_demand_data_2024_ver0!K2167</f>
        <v>0</v>
      </c>
      <c r="M2167" s="3">
        <f>parking_demand_data_2024_ver0!L2167</f>
        <v>0</v>
      </c>
      <c r="N2167" s="3">
        <f>parking_demand_data_2024_ver0!M2167</f>
        <v>0</v>
      </c>
      <c r="O2167" s="3">
        <f>parking_demand_data_2024_ver0!N2167</f>
        <v>0</v>
      </c>
      <c r="P2167" s="3">
        <f>parking_demand_data_2024_ver0!O2167</f>
        <v>0</v>
      </c>
      <c r="Q2167" s="3">
        <f>parking_demand_data_2024_ver0!P2167</f>
        <v>0</v>
      </c>
      <c r="R2167" s="3">
        <f>parking_demand_data_2024_ver0!Q2167</f>
        <v>0</v>
      </c>
      <c r="S2167" s="3">
        <f>parking_demand_data_2024_ver0!R2167</f>
        <v>0</v>
      </c>
      <c r="T2167" s="3">
        <f>parking_demand_data_2024_ver0!S2167</f>
        <v>0</v>
      </c>
    </row>
    <row r="2168" spans="1:20" x14ac:dyDescent="0.25">
      <c r="A2168">
        <v>18181</v>
      </c>
      <c r="B2168" t="s">
        <v>119</v>
      </c>
      <c r="C2168">
        <v>6</v>
      </c>
      <c r="D2168" s="3">
        <f>parking_demand_data_2024_ver0!D2168*calibration!$I$31</f>
        <v>0</v>
      </c>
      <c r="E2168" s="3">
        <f>parking_demand_data_2024_ver0!E2168*calibration!$I$31</f>
        <v>26.240839896970101</v>
      </c>
      <c r="F2168" s="3">
        <f t="shared" si="33"/>
        <v>26.240839896970101</v>
      </c>
      <c r="G2168" s="3">
        <f>parking_demand_data_2024_ver0!F2168</f>
        <v>0</v>
      </c>
      <c r="H2168" s="3">
        <f>parking_demand_data_2024_ver0!G2168</f>
        <v>0</v>
      </c>
      <c r="I2168" s="3">
        <f>parking_demand_data_2024_ver0!H2168</f>
        <v>0</v>
      </c>
      <c r="J2168" s="3">
        <f>parking_demand_data_2024_ver0!I2168</f>
        <v>0</v>
      </c>
      <c r="K2168" s="3">
        <f>parking_demand_data_2024_ver0!J2168</f>
        <v>0</v>
      </c>
      <c r="L2168" s="3">
        <f>parking_demand_data_2024_ver0!K2168</f>
        <v>0</v>
      </c>
      <c r="M2168" s="3">
        <f>parking_demand_data_2024_ver0!L2168</f>
        <v>0</v>
      </c>
      <c r="N2168" s="3">
        <f>parking_demand_data_2024_ver0!M2168</f>
        <v>0</v>
      </c>
      <c r="O2168" s="3">
        <f>parking_demand_data_2024_ver0!N2168</f>
        <v>0</v>
      </c>
      <c r="P2168" s="3">
        <f>parking_demand_data_2024_ver0!O2168</f>
        <v>0</v>
      </c>
      <c r="Q2168" s="3">
        <f>parking_demand_data_2024_ver0!P2168</f>
        <v>0</v>
      </c>
      <c r="R2168" s="3">
        <f>parking_demand_data_2024_ver0!Q2168</f>
        <v>0</v>
      </c>
      <c r="S2168" s="3">
        <f>parking_demand_data_2024_ver0!R2168</f>
        <v>0</v>
      </c>
      <c r="T2168" s="3">
        <f>parking_demand_data_2024_ver0!S2168</f>
        <v>0</v>
      </c>
    </row>
    <row r="2169" spans="1:20" x14ac:dyDescent="0.25">
      <c r="A2169">
        <v>18181</v>
      </c>
      <c r="B2169" t="s">
        <v>119</v>
      </c>
      <c r="C2169">
        <v>7</v>
      </c>
      <c r="D2169" s="3">
        <f>parking_demand_data_2024_ver0!D2169*calibration!$I$31</f>
        <v>0</v>
      </c>
      <c r="E2169" s="3">
        <f>parking_demand_data_2024_ver0!E2169*calibration!$I$31</f>
        <v>23.806548145521699</v>
      </c>
      <c r="F2169" s="3">
        <f t="shared" si="33"/>
        <v>23.806548145521699</v>
      </c>
      <c r="G2169" s="3">
        <f>parking_demand_data_2024_ver0!F2169</f>
        <v>0</v>
      </c>
      <c r="H2169" s="3">
        <f>parking_demand_data_2024_ver0!G2169</f>
        <v>0</v>
      </c>
      <c r="I2169" s="3">
        <f>parking_demand_data_2024_ver0!H2169</f>
        <v>0</v>
      </c>
      <c r="J2169" s="3">
        <f>parking_demand_data_2024_ver0!I2169</f>
        <v>0</v>
      </c>
      <c r="K2169" s="3">
        <f>parking_demand_data_2024_ver0!J2169</f>
        <v>0</v>
      </c>
      <c r="L2169" s="3">
        <f>parking_demand_data_2024_ver0!K2169</f>
        <v>0</v>
      </c>
      <c r="M2169" s="3">
        <f>parking_demand_data_2024_ver0!L2169</f>
        <v>0</v>
      </c>
      <c r="N2169" s="3">
        <f>parking_demand_data_2024_ver0!M2169</f>
        <v>0</v>
      </c>
      <c r="O2169" s="3">
        <f>parking_demand_data_2024_ver0!N2169</f>
        <v>0</v>
      </c>
      <c r="P2169" s="3">
        <f>parking_demand_data_2024_ver0!O2169</f>
        <v>0</v>
      </c>
      <c r="Q2169" s="3">
        <f>parking_demand_data_2024_ver0!P2169</f>
        <v>0</v>
      </c>
      <c r="R2169" s="3">
        <f>parking_demand_data_2024_ver0!Q2169</f>
        <v>0</v>
      </c>
      <c r="S2169" s="3">
        <f>parking_demand_data_2024_ver0!R2169</f>
        <v>0</v>
      </c>
      <c r="T2169" s="3">
        <f>parking_demand_data_2024_ver0!S2169</f>
        <v>0</v>
      </c>
    </row>
    <row r="2170" spans="1:20" x14ac:dyDescent="0.25">
      <c r="A2170">
        <v>18181</v>
      </c>
      <c r="B2170" t="s">
        <v>119</v>
      </c>
      <c r="C2170">
        <v>8</v>
      </c>
      <c r="D2170" s="3">
        <f>parking_demand_data_2024_ver0!D2170*calibration!$I$31</f>
        <v>0</v>
      </c>
      <c r="E2170" s="3">
        <f>parking_demand_data_2024_ver0!E2170*calibration!$I$31</f>
        <v>19.391815647131999</v>
      </c>
      <c r="F2170" s="3">
        <f t="shared" si="33"/>
        <v>19.391815647131999</v>
      </c>
      <c r="G2170" s="3">
        <f>parking_demand_data_2024_ver0!F2170</f>
        <v>0</v>
      </c>
      <c r="H2170" s="3">
        <f>parking_demand_data_2024_ver0!G2170</f>
        <v>0</v>
      </c>
      <c r="I2170" s="3">
        <f>parking_demand_data_2024_ver0!H2170</f>
        <v>0</v>
      </c>
      <c r="J2170" s="3">
        <f>parking_demand_data_2024_ver0!I2170</f>
        <v>0</v>
      </c>
      <c r="K2170" s="3">
        <f>parking_demand_data_2024_ver0!J2170</f>
        <v>0</v>
      </c>
      <c r="L2170" s="3">
        <f>parking_demand_data_2024_ver0!K2170</f>
        <v>0</v>
      </c>
      <c r="M2170" s="3">
        <f>parking_demand_data_2024_ver0!L2170</f>
        <v>0</v>
      </c>
      <c r="N2170" s="3">
        <f>parking_demand_data_2024_ver0!M2170</f>
        <v>0</v>
      </c>
      <c r="O2170" s="3">
        <f>parking_demand_data_2024_ver0!N2170</f>
        <v>0</v>
      </c>
      <c r="P2170" s="3">
        <f>parking_demand_data_2024_ver0!O2170</f>
        <v>0</v>
      </c>
      <c r="Q2170" s="3">
        <f>parking_demand_data_2024_ver0!P2170</f>
        <v>0</v>
      </c>
      <c r="R2170" s="3">
        <f>parking_demand_data_2024_ver0!Q2170</f>
        <v>0</v>
      </c>
      <c r="S2170" s="3">
        <f>parking_demand_data_2024_ver0!R2170</f>
        <v>0</v>
      </c>
      <c r="T2170" s="3">
        <f>parking_demand_data_2024_ver0!S2170</f>
        <v>0</v>
      </c>
    </row>
    <row r="2171" spans="1:20" x14ac:dyDescent="0.25">
      <c r="A2171">
        <v>18181</v>
      </c>
      <c r="B2171" t="s">
        <v>119</v>
      </c>
      <c r="C2171">
        <v>9</v>
      </c>
      <c r="D2171" s="3">
        <f>parking_demand_data_2024_ver0!D2171*calibration!$I$31</f>
        <v>0</v>
      </c>
      <c r="E2171" s="3">
        <f>parking_demand_data_2024_ver0!E2171*calibration!$I$31</f>
        <v>13.82182604636</v>
      </c>
      <c r="F2171" s="3">
        <f t="shared" si="33"/>
        <v>13.82182604636</v>
      </c>
      <c r="G2171" s="3">
        <f>parking_demand_data_2024_ver0!F2171</f>
        <v>0</v>
      </c>
      <c r="H2171" s="3">
        <f>parking_demand_data_2024_ver0!G2171</f>
        <v>0</v>
      </c>
      <c r="I2171" s="3">
        <f>parking_demand_data_2024_ver0!H2171</f>
        <v>0</v>
      </c>
      <c r="J2171" s="3">
        <f>parking_demand_data_2024_ver0!I2171</f>
        <v>0</v>
      </c>
      <c r="K2171" s="3">
        <f>parking_demand_data_2024_ver0!J2171</f>
        <v>0</v>
      </c>
      <c r="L2171" s="3">
        <f>parking_demand_data_2024_ver0!K2171</f>
        <v>0</v>
      </c>
      <c r="M2171" s="3">
        <f>parking_demand_data_2024_ver0!L2171</f>
        <v>0</v>
      </c>
      <c r="N2171" s="3">
        <f>parking_demand_data_2024_ver0!M2171</f>
        <v>0</v>
      </c>
      <c r="O2171" s="3">
        <f>parking_demand_data_2024_ver0!N2171</f>
        <v>0</v>
      </c>
      <c r="P2171" s="3">
        <f>parking_demand_data_2024_ver0!O2171</f>
        <v>0</v>
      </c>
      <c r="Q2171" s="3">
        <f>parking_demand_data_2024_ver0!P2171</f>
        <v>0</v>
      </c>
      <c r="R2171" s="3">
        <f>parking_demand_data_2024_ver0!Q2171</f>
        <v>0</v>
      </c>
      <c r="S2171" s="3">
        <f>parking_demand_data_2024_ver0!R2171</f>
        <v>0</v>
      </c>
      <c r="T2171" s="3">
        <f>parking_demand_data_2024_ver0!S2171</f>
        <v>0</v>
      </c>
    </row>
    <row r="2172" spans="1:20" x14ac:dyDescent="0.25">
      <c r="A2172">
        <v>18181</v>
      </c>
      <c r="B2172" t="s">
        <v>119</v>
      </c>
      <c r="C2172">
        <v>10</v>
      </c>
      <c r="D2172" s="3">
        <f>parking_demand_data_2024_ver0!D2172*calibration!$I$31</f>
        <v>0</v>
      </c>
      <c r="E2172" s="3">
        <f>parking_demand_data_2024_ver0!E2172*calibration!$I$31</f>
        <v>12.0064220283307</v>
      </c>
      <c r="F2172" s="3">
        <f t="shared" si="33"/>
        <v>12.0064220283307</v>
      </c>
      <c r="G2172" s="3">
        <f>parking_demand_data_2024_ver0!F2172</f>
        <v>0</v>
      </c>
      <c r="H2172" s="3">
        <f>parking_demand_data_2024_ver0!G2172</f>
        <v>0</v>
      </c>
      <c r="I2172" s="3">
        <f>parking_demand_data_2024_ver0!H2172</f>
        <v>0</v>
      </c>
      <c r="J2172" s="3">
        <f>parking_demand_data_2024_ver0!I2172</f>
        <v>0</v>
      </c>
      <c r="K2172" s="3">
        <f>parking_demand_data_2024_ver0!J2172</f>
        <v>0</v>
      </c>
      <c r="L2172" s="3">
        <f>parking_demand_data_2024_ver0!K2172</f>
        <v>0</v>
      </c>
      <c r="M2172" s="3">
        <f>parking_demand_data_2024_ver0!L2172</f>
        <v>0</v>
      </c>
      <c r="N2172" s="3">
        <f>parking_demand_data_2024_ver0!M2172</f>
        <v>0</v>
      </c>
      <c r="O2172" s="3">
        <f>parking_demand_data_2024_ver0!N2172</f>
        <v>0</v>
      </c>
      <c r="P2172" s="3">
        <f>parking_demand_data_2024_ver0!O2172</f>
        <v>0</v>
      </c>
      <c r="Q2172" s="3">
        <f>parking_demand_data_2024_ver0!P2172</f>
        <v>0</v>
      </c>
      <c r="R2172" s="3">
        <f>parking_demand_data_2024_ver0!Q2172</f>
        <v>0</v>
      </c>
      <c r="S2172" s="3">
        <f>parking_demand_data_2024_ver0!R2172</f>
        <v>0</v>
      </c>
      <c r="T2172" s="3">
        <f>parking_demand_data_2024_ver0!S2172</f>
        <v>0</v>
      </c>
    </row>
    <row r="2173" spans="1:20" x14ac:dyDescent="0.25">
      <c r="A2173">
        <v>18181</v>
      </c>
      <c r="B2173" t="s">
        <v>119</v>
      </c>
      <c r="C2173">
        <v>11</v>
      </c>
      <c r="D2173" s="3">
        <f>parking_demand_data_2024_ver0!D2173*calibration!$I$31</f>
        <v>0</v>
      </c>
      <c r="E2173" s="3">
        <f>parking_demand_data_2024_ver0!E2173*calibration!$I$31</f>
        <v>11.800126117191001</v>
      </c>
      <c r="F2173" s="3">
        <f t="shared" si="33"/>
        <v>11.800126117191001</v>
      </c>
      <c r="G2173" s="3">
        <f>parking_demand_data_2024_ver0!F2173</f>
        <v>0</v>
      </c>
      <c r="H2173" s="3">
        <f>parking_demand_data_2024_ver0!G2173</f>
        <v>0</v>
      </c>
      <c r="I2173" s="3">
        <f>parking_demand_data_2024_ver0!H2173</f>
        <v>0</v>
      </c>
      <c r="J2173" s="3">
        <f>parking_demand_data_2024_ver0!I2173</f>
        <v>0</v>
      </c>
      <c r="K2173" s="3">
        <f>parking_demand_data_2024_ver0!J2173</f>
        <v>0</v>
      </c>
      <c r="L2173" s="3">
        <f>parking_demand_data_2024_ver0!K2173</f>
        <v>0</v>
      </c>
      <c r="M2173" s="3">
        <f>parking_demand_data_2024_ver0!L2173</f>
        <v>0</v>
      </c>
      <c r="N2173" s="3">
        <f>parking_demand_data_2024_ver0!M2173</f>
        <v>0</v>
      </c>
      <c r="O2173" s="3">
        <f>parking_demand_data_2024_ver0!N2173</f>
        <v>0</v>
      </c>
      <c r="P2173" s="3">
        <f>parking_demand_data_2024_ver0!O2173</f>
        <v>0</v>
      </c>
      <c r="Q2173" s="3">
        <f>parking_demand_data_2024_ver0!P2173</f>
        <v>0</v>
      </c>
      <c r="R2173" s="3">
        <f>parking_demand_data_2024_ver0!Q2173</f>
        <v>0</v>
      </c>
      <c r="S2173" s="3">
        <f>parking_demand_data_2024_ver0!R2173</f>
        <v>0</v>
      </c>
      <c r="T2173" s="3">
        <f>parking_demand_data_2024_ver0!S2173</f>
        <v>0</v>
      </c>
    </row>
    <row r="2174" spans="1:20" x14ac:dyDescent="0.25">
      <c r="A2174">
        <v>18181</v>
      </c>
      <c r="B2174" t="s">
        <v>119</v>
      </c>
      <c r="C2174">
        <v>12</v>
      </c>
      <c r="D2174" s="3">
        <f>parking_demand_data_2024_ver0!D2174*calibration!$I$31</f>
        <v>0</v>
      </c>
      <c r="E2174" s="3">
        <f>parking_demand_data_2024_ver0!E2174*calibration!$I$31</f>
        <v>12.2539771216983</v>
      </c>
      <c r="F2174" s="3">
        <f t="shared" si="33"/>
        <v>12.2539771216983</v>
      </c>
      <c r="G2174" s="3">
        <f>parking_demand_data_2024_ver0!F2174</f>
        <v>0</v>
      </c>
      <c r="H2174" s="3">
        <f>parking_demand_data_2024_ver0!G2174</f>
        <v>0</v>
      </c>
      <c r="I2174" s="3">
        <f>parking_demand_data_2024_ver0!H2174</f>
        <v>0</v>
      </c>
      <c r="J2174" s="3">
        <f>parking_demand_data_2024_ver0!I2174</f>
        <v>0</v>
      </c>
      <c r="K2174" s="3">
        <f>parking_demand_data_2024_ver0!J2174</f>
        <v>0</v>
      </c>
      <c r="L2174" s="3">
        <f>parking_demand_data_2024_ver0!K2174</f>
        <v>0</v>
      </c>
      <c r="M2174" s="3">
        <f>parking_demand_data_2024_ver0!L2174</f>
        <v>0</v>
      </c>
      <c r="N2174" s="3">
        <f>parking_demand_data_2024_ver0!M2174</f>
        <v>0</v>
      </c>
      <c r="O2174" s="3">
        <f>parking_demand_data_2024_ver0!N2174</f>
        <v>0</v>
      </c>
      <c r="P2174" s="3">
        <f>parking_demand_data_2024_ver0!O2174</f>
        <v>0</v>
      </c>
      <c r="Q2174" s="3">
        <f>parking_demand_data_2024_ver0!P2174</f>
        <v>0</v>
      </c>
      <c r="R2174" s="3">
        <f>parking_demand_data_2024_ver0!Q2174</f>
        <v>0</v>
      </c>
      <c r="S2174" s="3">
        <f>parking_demand_data_2024_ver0!R2174</f>
        <v>0</v>
      </c>
      <c r="T2174" s="3">
        <f>parking_demand_data_2024_ver0!S2174</f>
        <v>0</v>
      </c>
    </row>
    <row r="2175" spans="1:20" x14ac:dyDescent="0.25">
      <c r="A2175">
        <v>18181</v>
      </c>
      <c r="B2175" t="s">
        <v>119</v>
      </c>
      <c r="C2175">
        <v>13</v>
      </c>
      <c r="D2175" s="3">
        <f>parking_demand_data_2024_ver0!D2175*calibration!$I$31</f>
        <v>0</v>
      </c>
      <c r="E2175" s="3">
        <f>parking_demand_data_2024_ver0!E2175*calibration!$I$31</f>
        <v>11.6763485705071</v>
      </c>
      <c r="F2175" s="3">
        <f t="shared" si="33"/>
        <v>11.6763485705071</v>
      </c>
      <c r="G2175" s="3">
        <f>parking_demand_data_2024_ver0!F2175</f>
        <v>0</v>
      </c>
      <c r="H2175" s="3">
        <f>parking_demand_data_2024_ver0!G2175</f>
        <v>0</v>
      </c>
      <c r="I2175" s="3">
        <f>parking_demand_data_2024_ver0!H2175</f>
        <v>0</v>
      </c>
      <c r="J2175" s="3">
        <f>parking_demand_data_2024_ver0!I2175</f>
        <v>0</v>
      </c>
      <c r="K2175" s="3">
        <f>parking_demand_data_2024_ver0!J2175</f>
        <v>0</v>
      </c>
      <c r="L2175" s="3">
        <f>parking_demand_data_2024_ver0!K2175</f>
        <v>0</v>
      </c>
      <c r="M2175" s="3">
        <f>parking_demand_data_2024_ver0!L2175</f>
        <v>0</v>
      </c>
      <c r="N2175" s="3">
        <f>parking_demand_data_2024_ver0!M2175</f>
        <v>0</v>
      </c>
      <c r="O2175" s="3">
        <f>parking_demand_data_2024_ver0!N2175</f>
        <v>0</v>
      </c>
      <c r="P2175" s="3">
        <f>parking_demand_data_2024_ver0!O2175</f>
        <v>0</v>
      </c>
      <c r="Q2175" s="3">
        <f>parking_demand_data_2024_ver0!P2175</f>
        <v>0</v>
      </c>
      <c r="R2175" s="3">
        <f>parking_demand_data_2024_ver0!Q2175</f>
        <v>0</v>
      </c>
      <c r="S2175" s="3">
        <f>parking_demand_data_2024_ver0!R2175</f>
        <v>0</v>
      </c>
      <c r="T2175" s="3">
        <f>parking_demand_data_2024_ver0!S2175</f>
        <v>0</v>
      </c>
    </row>
    <row r="2176" spans="1:20" x14ac:dyDescent="0.25">
      <c r="A2176">
        <v>18181</v>
      </c>
      <c r="B2176" t="s">
        <v>119</v>
      </c>
      <c r="C2176">
        <v>14</v>
      </c>
      <c r="D2176" s="3">
        <f>parking_demand_data_2024_ver0!D2176*calibration!$I$31</f>
        <v>0</v>
      </c>
      <c r="E2176" s="3">
        <f>parking_demand_data_2024_ver0!E2176*calibration!$I$31</f>
        <v>11.057460837088</v>
      </c>
      <c r="F2176" s="3">
        <f t="shared" si="33"/>
        <v>11.057460837088</v>
      </c>
      <c r="G2176" s="3">
        <f>parking_demand_data_2024_ver0!F2176</f>
        <v>0</v>
      </c>
      <c r="H2176" s="3">
        <f>parking_demand_data_2024_ver0!G2176</f>
        <v>0</v>
      </c>
      <c r="I2176" s="3">
        <f>parking_demand_data_2024_ver0!H2176</f>
        <v>0</v>
      </c>
      <c r="J2176" s="3">
        <f>parking_demand_data_2024_ver0!I2176</f>
        <v>0</v>
      </c>
      <c r="K2176" s="3">
        <f>parking_demand_data_2024_ver0!J2176</f>
        <v>0</v>
      </c>
      <c r="L2176" s="3">
        <f>parking_demand_data_2024_ver0!K2176</f>
        <v>0</v>
      </c>
      <c r="M2176" s="3">
        <f>parking_demand_data_2024_ver0!L2176</f>
        <v>0</v>
      </c>
      <c r="N2176" s="3">
        <f>parking_demand_data_2024_ver0!M2176</f>
        <v>0</v>
      </c>
      <c r="O2176" s="3">
        <f>parking_demand_data_2024_ver0!N2176</f>
        <v>0</v>
      </c>
      <c r="P2176" s="3">
        <f>parking_demand_data_2024_ver0!O2176</f>
        <v>0</v>
      </c>
      <c r="Q2176" s="3">
        <f>parking_demand_data_2024_ver0!P2176</f>
        <v>0</v>
      </c>
      <c r="R2176" s="3">
        <f>parking_demand_data_2024_ver0!Q2176</f>
        <v>0</v>
      </c>
      <c r="S2176" s="3">
        <f>parking_demand_data_2024_ver0!R2176</f>
        <v>0</v>
      </c>
      <c r="T2176" s="3">
        <f>parking_demand_data_2024_ver0!S2176</f>
        <v>0</v>
      </c>
    </row>
    <row r="2177" spans="1:20" x14ac:dyDescent="0.25">
      <c r="A2177">
        <v>18181</v>
      </c>
      <c r="B2177" t="s">
        <v>119</v>
      </c>
      <c r="C2177">
        <v>15</v>
      </c>
      <c r="D2177" s="3">
        <f>parking_demand_data_2024_ver0!D2177*calibration!$I$31</f>
        <v>0</v>
      </c>
      <c r="E2177" s="3">
        <f>parking_demand_data_2024_ver0!E2177*calibration!$I$31</f>
        <v>9.7371670057939692</v>
      </c>
      <c r="F2177" s="3">
        <f t="shared" si="33"/>
        <v>9.7371670057939692</v>
      </c>
      <c r="G2177" s="3">
        <f>parking_demand_data_2024_ver0!F2177</f>
        <v>0</v>
      </c>
      <c r="H2177" s="3">
        <f>parking_demand_data_2024_ver0!G2177</f>
        <v>0</v>
      </c>
      <c r="I2177" s="3">
        <f>parking_demand_data_2024_ver0!H2177</f>
        <v>0</v>
      </c>
      <c r="J2177" s="3">
        <f>parking_demand_data_2024_ver0!I2177</f>
        <v>0</v>
      </c>
      <c r="K2177" s="3">
        <f>parking_demand_data_2024_ver0!J2177</f>
        <v>0</v>
      </c>
      <c r="L2177" s="3">
        <f>parking_demand_data_2024_ver0!K2177</f>
        <v>0</v>
      </c>
      <c r="M2177" s="3">
        <f>parking_demand_data_2024_ver0!L2177</f>
        <v>0</v>
      </c>
      <c r="N2177" s="3">
        <f>parking_demand_data_2024_ver0!M2177</f>
        <v>0</v>
      </c>
      <c r="O2177" s="3">
        <f>parking_demand_data_2024_ver0!N2177</f>
        <v>0</v>
      </c>
      <c r="P2177" s="3">
        <f>parking_demand_data_2024_ver0!O2177</f>
        <v>0</v>
      </c>
      <c r="Q2177" s="3">
        <f>parking_demand_data_2024_ver0!P2177</f>
        <v>0</v>
      </c>
      <c r="R2177" s="3">
        <f>parking_demand_data_2024_ver0!Q2177</f>
        <v>0</v>
      </c>
      <c r="S2177" s="3">
        <f>parking_demand_data_2024_ver0!R2177</f>
        <v>0</v>
      </c>
      <c r="T2177" s="3">
        <f>parking_demand_data_2024_ver0!S2177</f>
        <v>0</v>
      </c>
    </row>
    <row r="2178" spans="1:20" x14ac:dyDescent="0.25">
      <c r="A2178">
        <v>18181</v>
      </c>
      <c r="B2178" t="s">
        <v>119</v>
      </c>
      <c r="C2178">
        <v>16</v>
      </c>
      <c r="D2178" s="3">
        <f>parking_demand_data_2024_ver0!D2178*calibration!$I$31</f>
        <v>0</v>
      </c>
      <c r="E2178" s="3">
        <f>parking_demand_data_2024_ver0!E2178*calibration!$I$31</f>
        <v>10.149758828073301</v>
      </c>
      <c r="F2178" s="3">
        <f t="shared" si="33"/>
        <v>10.149758828073301</v>
      </c>
      <c r="G2178" s="3">
        <f>parking_demand_data_2024_ver0!F2178</f>
        <v>0</v>
      </c>
      <c r="H2178" s="3">
        <f>parking_demand_data_2024_ver0!G2178</f>
        <v>0</v>
      </c>
      <c r="I2178" s="3">
        <f>parking_demand_data_2024_ver0!H2178</f>
        <v>0</v>
      </c>
      <c r="J2178" s="3">
        <f>parking_demand_data_2024_ver0!I2178</f>
        <v>0</v>
      </c>
      <c r="K2178" s="3">
        <f>parking_demand_data_2024_ver0!J2178</f>
        <v>0</v>
      </c>
      <c r="L2178" s="3">
        <f>parking_demand_data_2024_ver0!K2178</f>
        <v>0</v>
      </c>
      <c r="M2178" s="3">
        <f>parking_demand_data_2024_ver0!L2178</f>
        <v>0</v>
      </c>
      <c r="N2178" s="3">
        <f>parking_demand_data_2024_ver0!M2178</f>
        <v>0</v>
      </c>
      <c r="O2178" s="3">
        <f>parking_demand_data_2024_ver0!N2178</f>
        <v>0</v>
      </c>
      <c r="P2178" s="3">
        <f>parking_demand_data_2024_ver0!O2178</f>
        <v>0</v>
      </c>
      <c r="Q2178" s="3">
        <f>parking_demand_data_2024_ver0!P2178</f>
        <v>0</v>
      </c>
      <c r="R2178" s="3">
        <f>parking_demand_data_2024_ver0!Q2178</f>
        <v>0</v>
      </c>
      <c r="S2178" s="3">
        <f>parking_demand_data_2024_ver0!R2178</f>
        <v>0</v>
      </c>
      <c r="T2178" s="3">
        <f>parking_demand_data_2024_ver0!S2178</f>
        <v>0</v>
      </c>
    </row>
    <row r="2179" spans="1:20" x14ac:dyDescent="0.25">
      <c r="A2179">
        <v>18181</v>
      </c>
      <c r="B2179" t="s">
        <v>119</v>
      </c>
      <c r="C2179">
        <v>17</v>
      </c>
      <c r="D2179" s="3">
        <f>parking_demand_data_2024_ver0!D2179*calibration!$I$31</f>
        <v>0</v>
      </c>
      <c r="E2179" s="3">
        <f>parking_demand_data_2024_ver0!E2179*calibration!$I$31</f>
        <v>9.6546486413380901</v>
      </c>
      <c r="F2179" s="3">
        <f t="shared" ref="F2179:F2209" si="34">SUM(D2179:E2179)</f>
        <v>9.6546486413380901</v>
      </c>
      <c r="G2179" s="3">
        <f>parking_demand_data_2024_ver0!F2179</f>
        <v>0</v>
      </c>
      <c r="H2179" s="3">
        <f>parking_demand_data_2024_ver0!G2179</f>
        <v>0</v>
      </c>
      <c r="I2179" s="3">
        <f>parking_demand_data_2024_ver0!H2179</f>
        <v>0</v>
      </c>
      <c r="J2179" s="3">
        <f>parking_demand_data_2024_ver0!I2179</f>
        <v>0</v>
      </c>
      <c r="K2179" s="3">
        <f>parking_demand_data_2024_ver0!J2179</f>
        <v>0</v>
      </c>
      <c r="L2179" s="3">
        <f>parking_demand_data_2024_ver0!K2179</f>
        <v>0</v>
      </c>
      <c r="M2179" s="3">
        <f>parking_demand_data_2024_ver0!L2179</f>
        <v>0</v>
      </c>
      <c r="N2179" s="3">
        <f>parking_demand_data_2024_ver0!M2179</f>
        <v>0</v>
      </c>
      <c r="O2179" s="3">
        <f>parking_demand_data_2024_ver0!N2179</f>
        <v>0</v>
      </c>
      <c r="P2179" s="3">
        <f>parking_demand_data_2024_ver0!O2179</f>
        <v>0</v>
      </c>
      <c r="Q2179" s="3">
        <f>parking_demand_data_2024_ver0!P2179</f>
        <v>0</v>
      </c>
      <c r="R2179" s="3">
        <f>parking_demand_data_2024_ver0!Q2179</f>
        <v>0</v>
      </c>
      <c r="S2179" s="3">
        <f>parking_demand_data_2024_ver0!R2179</f>
        <v>0</v>
      </c>
      <c r="T2179" s="3">
        <f>parking_demand_data_2024_ver0!S2179</f>
        <v>0</v>
      </c>
    </row>
    <row r="2180" spans="1:20" x14ac:dyDescent="0.25">
      <c r="A2180">
        <v>18181</v>
      </c>
      <c r="B2180" t="s">
        <v>119</v>
      </c>
      <c r="C2180">
        <v>18</v>
      </c>
      <c r="D2180" s="3">
        <f>parking_demand_data_2024_ver0!D2180*calibration!$I$31</f>
        <v>0</v>
      </c>
      <c r="E2180" s="3">
        <f>parking_demand_data_2024_ver0!E2180*calibration!$I$31</f>
        <v>8.0042813522204703</v>
      </c>
      <c r="F2180" s="3">
        <f t="shared" si="34"/>
        <v>8.0042813522204703</v>
      </c>
      <c r="G2180" s="3">
        <f>parking_demand_data_2024_ver0!F2180</f>
        <v>0</v>
      </c>
      <c r="H2180" s="3">
        <f>parking_demand_data_2024_ver0!G2180</f>
        <v>0</v>
      </c>
      <c r="I2180" s="3">
        <f>parking_demand_data_2024_ver0!H2180</f>
        <v>0</v>
      </c>
      <c r="J2180" s="3">
        <f>parking_demand_data_2024_ver0!I2180</f>
        <v>0</v>
      </c>
      <c r="K2180" s="3">
        <f>parking_demand_data_2024_ver0!J2180</f>
        <v>0</v>
      </c>
      <c r="L2180" s="3">
        <f>parking_demand_data_2024_ver0!K2180</f>
        <v>0</v>
      </c>
      <c r="M2180" s="3">
        <f>parking_demand_data_2024_ver0!L2180</f>
        <v>0</v>
      </c>
      <c r="N2180" s="3">
        <f>parking_demand_data_2024_ver0!M2180</f>
        <v>0</v>
      </c>
      <c r="O2180" s="3">
        <f>parking_demand_data_2024_ver0!N2180</f>
        <v>0</v>
      </c>
      <c r="P2180" s="3">
        <f>parking_demand_data_2024_ver0!O2180</f>
        <v>0</v>
      </c>
      <c r="Q2180" s="3">
        <f>parking_demand_data_2024_ver0!P2180</f>
        <v>0</v>
      </c>
      <c r="R2180" s="3">
        <f>parking_demand_data_2024_ver0!Q2180</f>
        <v>0</v>
      </c>
      <c r="S2180" s="3">
        <f>parking_demand_data_2024_ver0!R2180</f>
        <v>0</v>
      </c>
      <c r="T2180" s="3">
        <f>parking_demand_data_2024_ver0!S2180</f>
        <v>0</v>
      </c>
    </row>
    <row r="2181" spans="1:20" x14ac:dyDescent="0.25">
      <c r="A2181">
        <v>18181</v>
      </c>
      <c r="B2181" t="s">
        <v>119</v>
      </c>
      <c r="C2181">
        <v>19</v>
      </c>
      <c r="D2181" s="3">
        <f>parking_demand_data_2024_ver0!D2181*calibration!$I$31</f>
        <v>0</v>
      </c>
      <c r="E2181" s="3">
        <f>parking_demand_data_2024_ver0!E2181*calibration!$I$31</f>
        <v>7.7567262588528196</v>
      </c>
      <c r="F2181" s="3">
        <f t="shared" si="34"/>
        <v>7.7567262588528196</v>
      </c>
      <c r="G2181" s="3">
        <f>parking_demand_data_2024_ver0!F2181</f>
        <v>0</v>
      </c>
      <c r="H2181" s="3">
        <f>parking_demand_data_2024_ver0!G2181</f>
        <v>0</v>
      </c>
      <c r="I2181" s="3">
        <f>parking_demand_data_2024_ver0!H2181</f>
        <v>0</v>
      </c>
      <c r="J2181" s="3">
        <f>parking_demand_data_2024_ver0!I2181</f>
        <v>0</v>
      </c>
      <c r="K2181" s="3">
        <f>parking_demand_data_2024_ver0!J2181</f>
        <v>0</v>
      </c>
      <c r="L2181" s="3">
        <f>parking_demand_data_2024_ver0!K2181</f>
        <v>0</v>
      </c>
      <c r="M2181" s="3">
        <f>parking_demand_data_2024_ver0!L2181</f>
        <v>0</v>
      </c>
      <c r="N2181" s="3">
        <f>parking_demand_data_2024_ver0!M2181</f>
        <v>0</v>
      </c>
      <c r="O2181" s="3">
        <f>parking_demand_data_2024_ver0!N2181</f>
        <v>0</v>
      </c>
      <c r="P2181" s="3">
        <f>parking_demand_data_2024_ver0!O2181</f>
        <v>0</v>
      </c>
      <c r="Q2181" s="3">
        <f>parking_demand_data_2024_ver0!P2181</f>
        <v>0</v>
      </c>
      <c r="R2181" s="3">
        <f>parking_demand_data_2024_ver0!Q2181</f>
        <v>0</v>
      </c>
      <c r="S2181" s="3">
        <f>parking_demand_data_2024_ver0!R2181</f>
        <v>0</v>
      </c>
      <c r="T2181" s="3">
        <f>parking_demand_data_2024_ver0!S2181</f>
        <v>0</v>
      </c>
    </row>
    <row r="2182" spans="1:20" x14ac:dyDescent="0.25">
      <c r="A2182">
        <v>18181</v>
      </c>
      <c r="B2182" t="s">
        <v>119</v>
      </c>
      <c r="C2182">
        <v>20</v>
      </c>
      <c r="D2182" s="3">
        <f>parking_demand_data_2024_ver0!D2182*calibration!$I$31</f>
        <v>0</v>
      </c>
      <c r="E2182" s="3">
        <f>parking_demand_data_2024_ver0!E2182*calibration!$I$31</f>
        <v>8.4168731744998695</v>
      </c>
      <c r="F2182" s="3">
        <f t="shared" si="34"/>
        <v>8.4168731744998695</v>
      </c>
      <c r="G2182" s="3">
        <f>parking_demand_data_2024_ver0!F2182</f>
        <v>0</v>
      </c>
      <c r="H2182" s="3">
        <f>parking_demand_data_2024_ver0!G2182</f>
        <v>0</v>
      </c>
      <c r="I2182" s="3">
        <f>parking_demand_data_2024_ver0!H2182</f>
        <v>0</v>
      </c>
      <c r="J2182" s="3">
        <f>parking_demand_data_2024_ver0!I2182</f>
        <v>0</v>
      </c>
      <c r="K2182" s="3">
        <f>parking_demand_data_2024_ver0!J2182</f>
        <v>0</v>
      </c>
      <c r="L2182" s="3">
        <f>parking_demand_data_2024_ver0!K2182</f>
        <v>0</v>
      </c>
      <c r="M2182" s="3">
        <f>parking_demand_data_2024_ver0!L2182</f>
        <v>0</v>
      </c>
      <c r="N2182" s="3">
        <f>parking_demand_data_2024_ver0!M2182</f>
        <v>0</v>
      </c>
      <c r="O2182" s="3">
        <f>parking_demand_data_2024_ver0!N2182</f>
        <v>0</v>
      </c>
      <c r="P2182" s="3">
        <f>parking_demand_data_2024_ver0!O2182</f>
        <v>0</v>
      </c>
      <c r="Q2182" s="3">
        <f>parking_demand_data_2024_ver0!P2182</f>
        <v>0</v>
      </c>
      <c r="R2182" s="3">
        <f>parking_demand_data_2024_ver0!Q2182</f>
        <v>0</v>
      </c>
      <c r="S2182" s="3">
        <f>parking_demand_data_2024_ver0!R2182</f>
        <v>0</v>
      </c>
      <c r="T2182" s="3">
        <f>parking_demand_data_2024_ver0!S2182</f>
        <v>0</v>
      </c>
    </row>
    <row r="2183" spans="1:20" x14ac:dyDescent="0.25">
      <c r="A2183">
        <v>18181</v>
      </c>
      <c r="B2183" t="s">
        <v>119</v>
      </c>
      <c r="C2183">
        <v>21</v>
      </c>
      <c r="D2183" s="3">
        <f>parking_demand_data_2024_ver0!D2183*calibration!$I$31</f>
        <v>0</v>
      </c>
      <c r="E2183" s="3">
        <f>parking_demand_data_2024_ver0!E2183*calibration!$I$31</f>
        <v>8.9119833612351602</v>
      </c>
      <c r="F2183" s="3">
        <f t="shared" si="34"/>
        <v>8.9119833612351602</v>
      </c>
      <c r="G2183" s="3">
        <f>parking_demand_data_2024_ver0!F2183</f>
        <v>0</v>
      </c>
      <c r="H2183" s="3">
        <f>parking_demand_data_2024_ver0!G2183</f>
        <v>0</v>
      </c>
      <c r="I2183" s="3">
        <f>parking_demand_data_2024_ver0!H2183</f>
        <v>0</v>
      </c>
      <c r="J2183" s="3">
        <f>parking_demand_data_2024_ver0!I2183</f>
        <v>0</v>
      </c>
      <c r="K2183" s="3">
        <f>parking_demand_data_2024_ver0!J2183</f>
        <v>0</v>
      </c>
      <c r="L2183" s="3">
        <f>parking_demand_data_2024_ver0!K2183</f>
        <v>0</v>
      </c>
      <c r="M2183" s="3">
        <f>parking_demand_data_2024_ver0!L2183</f>
        <v>0</v>
      </c>
      <c r="N2183" s="3">
        <f>parking_demand_data_2024_ver0!M2183</f>
        <v>0</v>
      </c>
      <c r="O2183" s="3">
        <f>parking_demand_data_2024_ver0!N2183</f>
        <v>0</v>
      </c>
      <c r="P2183" s="3">
        <f>parking_demand_data_2024_ver0!O2183</f>
        <v>0</v>
      </c>
      <c r="Q2183" s="3">
        <f>parking_demand_data_2024_ver0!P2183</f>
        <v>0</v>
      </c>
      <c r="R2183" s="3">
        <f>parking_demand_data_2024_ver0!Q2183</f>
        <v>0</v>
      </c>
      <c r="S2183" s="3">
        <f>parking_demand_data_2024_ver0!R2183</f>
        <v>0</v>
      </c>
      <c r="T2183" s="3">
        <f>parking_demand_data_2024_ver0!S2183</f>
        <v>0</v>
      </c>
    </row>
    <row r="2184" spans="1:20" x14ac:dyDescent="0.25">
      <c r="A2184">
        <v>18181</v>
      </c>
      <c r="B2184" t="s">
        <v>119</v>
      </c>
      <c r="C2184">
        <v>22</v>
      </c>
      <c r="D2184" s="3">
        <f>parking_demand_data_2024_ver0!D2184*calibration!$I$31</f>
        <v>0</v>
      </c>
      <c r="E2184" s="3">
        <f>parking_demand_data_2024_ver0!E2184*calibration!$I$31</f>
        <v>10.933683290404201</v>
      </c>
      <c r="F2184" s="3">
        <f t="shared" si="34"/>
        <v>10.933683290404201</v>
      </c>
      <c r="G2184" s="3">
        <f>parking_demand_data_2024_ver0!F2184</f>
        <v>0</v>
      </c>
      <c r="H2184" s="3">
        <f>parking_demand_data_2024_ver0!G2184</f>
        <v>0</v>
      </c>
      <c r="I2184" s="3">
        <f>parking_demand_data_2024_ver0!H2184</f>
        <v>0</v>
      </c>
      <c r="J2184" s="3">
        <f>parking_demand_data_2024_ver0!I2184</f>
        <v>0</v>
      </c>
      <c r="K2184" s="3">
        <f>parking_demand_data_2024_ver0!J2184</f>
        <v>0</v>
      </c>
      <c r="L2184" s="3">
        <f>parking_demand_data_2024_ver0!K2184</f>
        <v>0</v>
      </c>
      <c r="M2184" s="3">
        <f>parking_demand_data_2024_ver0!L2184</f>
        <v>0</v>
      </c>
      <c r="N2184" s="3">
        <f>parking_demand_data_2024_ver0!M2184</f>
        <v>0</v>
      </c>
      <c r="O2184" s="3">
        <f>parking_demand_data_2024_ver0!N2184</f>
        <v>0</v>
      </c>
      <c r="P2184" s="3">
        <f>parking_demand_data_2024_ver0!O2184</f>
        <v>0</v>
      </c>
      <c r="Q2184" s="3">
        <f>parking_demand_data_2024_ver0!P2184</f>
        <v>0</v>
      </c>
      <c r="R2184" s="3">
        <f>parking_demand_data_2024_ver0!Q2184</f>
        <v>0</v>
      </c>
      <c r="S2184" s="3">
        <f>parking_demand_data_2024_ver0!R2184</f>
        <v>0</v>
      </c>
      <c r="T2184" s="3">
        <f>parking_demand_data_2024_ver0!S2184</f>
        <v>0</v>
      </c>
    </row>
    <row r="2185" spans="1:20" x14ac:dyDescent="0.25">
      <c r="A2185">
        <v>18181</v>
      </c>
      <c r="B2185" t="s">
        <v>119</v>
      </c>
      <c r="C2185">
        <v>23</v>
      </c>
      <c r="D2185" s="3">
        <f>parking_demand_data_2024_ver0!D2185*calibration!$I$31</f>
        <v>0</v>
      </c>
      <c r="E2185" s="3">
        <f>parking_demand_data_2024_ver0!E2185*calibration!$I$31</f>
        <v>14.0281219574997</v>
      </c>
      <c r="F2185" s="3">
        <f t="shared" si="34"/>
        <v>14.0281219574997</v>
      </c>
      <c r="G2185" s="3">
        <f>parking_demand_data_2024_ver0!F2185</f>
        <v>0</v>
      </c>
      <c r="H2185" s="3">
        <f>parking_demand_data_2024_ver0!G2185</f>
        <v>0</v>
      </c>
      <c r="I2185" s="3">
        <f>parking_demand_data_2024_ver0!H2185</f>
        <v>0</v>
      </c>
      <c r="J2185" s="3">
        <f>parking_demand_data_2024_ver0!I2185</f>
        <v>0</v>
      </c>
      <c r="K2185" s="3">
        <f>parking_demand_data_2024_ver0!J2185</f>
        <v>0</v>
      </c>
      <c r="L2185" s="3">
        <f>parking_demand_data_2024_ver0!K2185</f>
        <v>0</v>
      </c>
      <c r="M2185" s="3">
        <f>parking_demand_data_2024_ver0!L2185</f>
        <v>0</v>
      </c>
      <c r="N2185" s="3">
        <f>parking_demand_data_2024_ver0!M2185</f>
        <v>0</v>
      </c>
      <c r="O2185" s="3">
        <f>parking_demand_data_2024_ver0!N2185</f>
        <v>0</v>
      </c>
      <c r="P2185" s="3">
        <f>parking_demand_data_2024_ver0!O2185</f>
        <v>0</v>
      </c>
      <c r="Q2185" s="3">
        <f>parking_demand_data_2024_ver0!P2185</f>
        <v>0</v>
      </c>
      <c r="R2185" s="3">
        <f>parking_demand_data_2024_ver0!Q2185</f>
        <v>0</v>
      </c>
      <c r="S2185" s="3">
        <f>parking_demand_data_2024_ver0!R2185</f>
        <v>0</v>
      </c>
      <c r="T2185" s="3">
        <f>parking_demand_data_2024_ver0!S2185</f>
        <v>0</v>
      </c>
    </row>
    <row r="2186" spans="1:20" x14ac:dyDescent="0.25">
      <c r="A2186">
        <v>18183</v>
      </c>
      <c r="B2186" t="s">
        <v>120</v>
      </c>
      <c r="C2186">
        <v>0</v>
      </c>
      <c r="D2186" s="3">
        <f>parking_demand_data_2024_ver0!D2186*calibration!$I$31</f>
        <v>0</v>
      </c>
      <c r="E2186" s="3">
        <f>parking_demand_data_2024_ver0!E2186*calibration!$I$31</f>
        <v>5.5472046580772497E-2</v>
      </c>
      <c r="F2186" s="3">
        <f t="shared" si="34"/>
        <v>5.5472046580772497E-2</v>
      </c>
      <c r="G2186" s="3">
        <f>parking_demand_data_2024_ver0!F2186</f>
        <v>0</v>
      </c>
      <c r="H2186" s="3">
        <f>parking_demand_data_2024_ver0!G2186</f>
        <v>0</v>
      </c>
      <c r="I2186" s="3">
        <f>parking_demand_data_2024_ver0!H2186</f>
        <v>0</v>
      </c>
      <c r="J2186" s="3">
        <f>parking_demand_data_2024_ver0!I2186</f>
        <v>0</v>
      </c>
      <c r="K2186" s="3">
        <f>parking_demand_data_2024_ver0!J2186</f>
        <v>0</v>
      </c>
      <c r="L2186" s="3">
        <f>parking_demand_data_2024_ver0!K2186</f>
        <v>0</v>
      </c>
      <c r="M2186" s="3">
        <f>parking_demand_data_2024_ver0!L2186</f>
        <v>0</v>
      </c>
      <c r="N2186" s="3">
        <f>parking_demand_data_2024_ver0!M2186</f>
        <v>0</v>
      </c>
      <c r="O2186" s="3">
        <f>parking_demand_data_2024_ver0!N2186</f>
        <v>0</v>
      </c>
      <c r="P2186" s="3">
        <f>parking_demand_data_2024_ver0!O2186</f>
        <v>0</v>
      </c>
      <c r="Q2186" s="3">
        <f>parking_demand_data_2024_ver0!P2186</f>
        <v>0</v>
      </c>
      <c r="R2186" s="3">
        <f>parking_demand_data_2024_ver0!Q2186</f>
        <v>0</v>
      </c>
      <c r="S2186" s="3">
        <f>parking_demand_data_2024_ver0!R2186</f>
        <v>0</v>
      </c>
      <c r="T2186" s="3">
        <f>parking_demand_data_2024_ver0!S2186</f>
        <v>0</v>
      </c>
    </row>
    <row r="2187" spans="1:20" x14ac:dyDescent="0.25">
      <c r="A2187">
        <v>18183</v>
      </c>
      <c r="B2187" t="s">
        <v>120</v>
      </c>
      <c r="C2187">
        <v>1</v>
      </c>
      <c r="D2187" s="3">
        <f>parking_demand_data_2024_ver0!D2187*calibration!$I$31</f>
        <v>0</v>
      </c>
      <c r="E2187" s="3">
        <f>parking_demand_data_2024_ver0!E2187*calibration!$I$31</f>
        <v>5.5472046580772497E-2</v>
      </c>
      <c r="F2187" s="3">
        <f t="shared" si="34"/>
        <v>5.5472046580772497E-2</v>
      </c>
      <c r="G2187" s="3">
        <f>parking_demand_data_2024_ver0!F2187</f>
        <v>0</v>
      </c>
      <c r="H2187" s="3">
        <f>parking_demand_data_2024_ver0!G2187</f>
        <v>0</v>
      </c>
      <c r="I2187" s="3">
        <f>parking_demand_data_2024_ver0!H2187</f>
        <v>0</v>
      </c>
      <c r="J2187" s="3">
        <f>parking_demand_data_2024_ver0!I2187</f>
        <v>0</v>
      </c>
      <c r="K2187" s="3">
        <f>parking_demand_data_2024_ver0!J2187</f>
        <v>0</v>
      </c>
      <c r="L2187" s="3">
        <f>parking_demand_data_2024_ver0!K2187</f>
        <v>0</v>
      </c>
      <c r="M2187" s="3">
        <f>parking_demand_data_2024_ver0!L2187</f>
        <v>0</v>
      </c>
      <c r="N2187" s="3">
        <f>parking_demand_data_2024_ver0!M2187</f>
        <v>0</v>
      </c>
      <c r="O2187" s="3">
        <f>parking_demand_data_2024_ver0!N2187</f>
        <v>0</v>
      </c>
      <c r="P2187" s="3">
        <f>parking_demand_data_2024_ver0!O2187</f>
        <v>0</v>
      </c>
      <c r="Q2187" s="3">
        <f>parking_demand_data_2024_ver0!P2187</f>
        <v>0</v>
      </c>
      <c r="R2187" s="3">
        <f>parking_demand_data_2024_ver0!Q2187</f>
        <v>0</v>
      </c>
      <c r="S2187" s="3">
        <f>parking_demand_data_2024_ver0!R2187</f>
        <v>0</v>
      </c>
      <c r="T2187" s="3">
        <f>parking_demand_data_2024_ver0!S2187</f>
        <v>0</v>
      </c>
    </row>
    <row r="2188" spans="1:20" x14ac:dyDescent="0.25">
      <c r="A2188">
        <v>18183</v>
      </c>
      <c r="B2188" t="s">
        <v>120</v>
      </c>
      <c r="C2188">
        <v>2</v>
      </c>
      <c r="D2188" s="3">
        <f>parking_demand_data_2024_ver0!D2188*calibration!$I$31</f>
        <v>0</v>
      </c>
      <c r="E2188" s="3">
        <f>parking_demand_data_2024_ver0!E2188*calibration!$I$31</f>
        <v>0</v>
      </c>
      <c r="F2188" s="3">
        <f t="shared" si="34"/>
        <v>0</v>
      </c>
      <c r="G2188" s="3">
        <f>parking_demand_data_2024_ver0!F2188</f>
        <v>0</v>
      </c>
      <c r="H2188" s="3">
        <f>parking_demand_data_2024_ver0!G2188</f>
        <v>0</v>
      </c>
      <c r="I2188" s="3">
        <f>parking_demand_data_2024_ver0!H2188</f>
        <v>0</v>
      </c>
      <c r="J2188" s="3">
        <f>parking_demand_data_2024_ver0!I2188</f>
        <v>0</v>
      </c>
      <c r="K2188" s="3">
        <f>parking_demand_data_2024_ver0!J2188</f>
        <v>0</v>
      </c>
      <c r="L2188" s="3">
        <f>parking_demand_data_2024_ver0!K2188</f>
        <v>0</v>
      </c>
      <c r="M2188" s="3">
        <f>parking_demand_data_2024_ver0!L2188</f>
        <v>0</v>
      </c>
      <c r="N2188" s="3">
        <f>parking_demand_data_2024_ver0!M2188</f>
        <v>0</v>
      </c>
      <c r="O2188" s="3">
        <f>parking_demand_data_2024_ver0!N2188</f>
        <v>0</v>
      </c>
      <c r="P2188" s="3">
        <f>parking_demand_data_2024_ver0!O2188</f>
        <v>0</v>
      </c>
      <c r="Q2188" s="3">
        <f>parking_demand_data_2024_ver0!P2188</f>
        <v>0</v>
      </c>
      <c r="R2188" s="3">
        <f>parking_demand_data_2024_ver0!Q2188</f>
        <v>0</v>
      </c>
      <c r="S2188" s="3">
        <f>parking_demand_data_2024_ver0!R2188</f>
        <v>0</v>
      </c>
      <c r="T2188" s="3">
        <f>parking_demand_data_2024_ver0!S2188</f>
        <v>0</v>
      </c>
    </row>
    <row r="2189" spans="1:20" x14ac:dyDescent="0.25">
      <c r="A2189">
        <v>18183</v>
      </c>
      <c r="B2189" t="s">
        <v>120</v>
      </c>
      <c r="C2189">
        <v>3</v>
      </c>
      <c r="D2189" s="3">
        <f>parking_demand_data_2024_ver0!D2189*calibration!$I$31</f>
        <v>0</v>
      </c>
      <c r="E2189" s="3">
        <f>parking_demand_data_2024_ver0!E2189*calibration!$I$31</f>
        <v>0</v>
      </c>
      <c r="F2189" s="3">
        <f t="shared" si="34"/>
        <v>0</v>
      </c>
      <c r="G2189" s="3">
        <f>parking_demand_data_2024_ver0!F2189</f>
        <v>0</v>
      </c>
      <c r="H2189" s="3">
        <f>parking_demand_data_2024_ver0!G2189</f>
        <v>0</v>
      </c>
      <c r="I2189" s="3">
        <f>parking_demand_data_2024_ver0!H2189</f>
        <v>0</v>
      </c>
      <c r="J2189" s="3">
        <f>parking_demand_data_2024_ver0!I2189</f>
        <v>0</v>
      </c>
      <c r="K2189" s="3">
        <f>parking_demand_data_2024_ver0!J2189</f>
        <v>0</v>
      </c>
      <c r="L2189" s="3">
        <f>parking_demand_data_2024_ver0!K2189</f>
        <v>0</v>
      </c>
      <c r="M2189" s="3">
        <f>parking_demand_data_2024_ver0!L2189</f>
        <v>0</v>
      </c>
      <c r="N2189" s="3">
        <f>parking_demand_data_2024_ver0!M2189</f>
        <v>0</v>
      </c>
      <c r="O2189" s="3">
        <f>parking_demand_data_2024_ver0!N2189</f>
        <v>0</v>
      </c>
      <c r="P2189" s="3">
        <f>parking_demand_data_2024_ver0!O2189</f>
        <v>0</v>
      </c>
      <c r="Q2189" s="3">
        <f>parking_demand_data_2024_ver0!P2189</f>
        <v>0</v>
      </c>
      <c r="R2189" s="3">
        <f>parking_demand_data_2024_ver0!Q2189</f>
        <v>0</v>
      </c>
      <c r="S2189" s="3">
        <f>parking_demand_data_2024_ver0!R2189</f>
        <v>0</v>
      </c>
      <c r="T2189" s="3">
        <f>parking_demand_data_2024_ver0!S2189</f>
        <v>0</v>
      </c>
    </row>
    <row r="2190" spans="1:20" x14ac:dyDescent="0.25">
      <c r="A2190">
        <v>18183</v>
      </c>
      <c r="B2190" t="s">
        <v>120</v>
      </c>
      <c r="C2190">
        <v>4</v>
      </c>
      <c r="D2190" s="3">
        <f>parking_demand_data_2024_ver0!D2190*calibration!$I$31</f>
        <v>0</v>
      </c>
      <c r="E2190" s="3">
        <f>parking_demand_data_2024_ver0!E2190*calibration!$I$31</f>
        <v>5.5472046580772497E-2</v>
      </c>
      <c r="F2190" s="3">
        <f t="shared" si="34"/>
        <v>5.5472046580772497E-2</v>
      </c>
      <c r="G2190" s="3">
        <f>parking_demand_data_2024_ver0!F2190</f>
        <v>0</v>
      </c>
      <c r="H2190" s="3">
        <f>parking_demand_data_2024_ver0!G2190</f>
        <v>0</v>
      </c>
      <c r="I2190" s="3">
        <f>parking_demand_data_2024_ver0!H2190</f>
        <v>0</v>
      </c>
      <c r="J2190" s="3">
        <f>parking_demand_data_2024_ver0!I2190</f>
        <v>0</v>
      </c>
      <c r="K2190" s="3">
        <f>parking_demand_data_2024_ver0!J2190</f>
        <v>0</v>
      </c>
      <c r="L2190" s="3">
        <f>parking_demand_data_2024_ver0!K2190</f>
        <v>0</v>
      </c>
      <c r="M2190" s="3">
        <f>parking_demand_data_2024_ver0!L2190</f>
        <v>0</v>
      </c>
      <c r="N2190" s="3">
        <f>parking_demand_data_2024_ver0!M2190</f>
        <v>0</v>
      </c>
      <c r="O2190" s="3">
        <f>parking_demand_data_2024_ver0!N2190</f>
        <v>0</v>
      </c>
      <c r="P2190" s="3">
        <f>parking_demand_data_2024_ver0!O2190</f>
        <v>0</v>
      </c>
      <c r="Q2190" s="3">
        <f>parking_demand_data_2024_ver0!P2190</f>
        <v>0</v>
      </c>
      <c r="R2190" s="3">
        <f>parking_demand_data_2024_ver0!Q2190</f>
        <v>0</v>
      </c>
      <c r="S2190" s="3">
        <f>parking_demand_data_2024_ver0!R2190</f>
        <v>0</v>
      </c>
      <c r="T2190" s="3">
        <f>parking_demand_data_2024_ver0!S2190</f>
        <v>0</v>
      </c>
    </row>
    <row r="2191" spans="1:20" x14ac:dyDescent="0.25">
      <c r="A2191">
        <v>18183</v>
      </c>
      <c r="B2191" t="s">
        <v>120</v>
      </c>
      <c r="C2191">
        <v>5</v>
      </c>
      <c r="D2191" s="3">
        <f>parking_demand_data_2024_ver0!D2191*calibration!$I$31</f>
        <v>0</v>
      </c>
      <c r="E2191" s="3">
        <f>parking_demand_data_2024_ver0!E2191*calibration!$I$31</f>
        <v>0.13868011645193101</v>
      </c>
      <c r="F2191" s="3">
        <f t="shared" si="34"/>
        <v>0.13868011645193101</v>
      </c>
      <c r="G2191" s="3">
        <f>parking_demand_data_2024_ver0!F2191</f>
        <v>0</v>
      </c>
      <c r="H2191" s="3">
        <f>parking_demand_data_2024_ver0!G2191</f>
        <v>0</v>
      </c>
      <c r="I2191" s="3">
        <f>parking_demand_data_2024_ver0!H2191</f>
        <v>0</v>
      </c>
      <c r="J2191" s="3">
        <f>parking_demand_data_2024_ver0!I2191</f>
        <v>0</v>
      </c>
      <c r="K2191" s="3">
        <f>parking_demand_data_2024_ver0!J2191</f>
        <v>0</v>
      </c>
      <c r="L2191" s="3">
        <f>parking_demand_data_2024_ver0!K2191</f>
        <v>0</v>
      </c>
      <c r="M2191" s="3">
        <f>parking_demand_data_2024_ver0!L2191</f>
        <v>0</v>
      </c>
      <c r="N2191" s="3">
        <f>parking_demand_data_2024_ver0!M2191</f>
        <v>0</v>
      </c>
      <c r="O2191" s="3">
        <f>parking_demand_data_2024_ver0!N2191</f>
        <v>0</v>
      </c>
      <c r="P2191" s="3">
        <f>parking_demand_data_2024_ver0!O2191</f>
        <v>0</v>
      </c>
      <c r="Q2191" s="3">
        <f>parking_demand_data_2024_ver0!P2191</f>
        <v>0</v>
      </c>
      <c r="R2191" s="3">
        <f>parking_demand_data_2024_ver0!Q2191</f>
        <v>0</v>
      </c>
      <c r="S2191" s="3">
        <f>parking_demand_data_2024_ver0!R2191</f>
        <v>0</v>
      </c>
      <c r="T2191" s="3">
        <f>parking_demand_data_2024_ver0!S2191</f>
        <v>0</v>
      </c>
    </row>
    <row r="2192" spans="1:20" x14ac:dyDescent="0.25">
      <c r="A2192">
        <v>18183</v>
      </c>
      <c r="B2192" t="s">
        <v>120</v>
      </c>
      <c r="C2192">
        <v>6</v>
      </c>
      <c r="D2192" s="3">
        <f>parking_demand_data_2024_ver0!D2192*calibration!$I$31</f>
        <v>0</v>
      </c>
      <c r="E2192" s="3">
        <f>parking_demand_data_2024_ver0!E2192*calibration!$I$31</f>
        <v>0.61019251238849803</v>
      </c>
      <c r="F2192" s="3">
        <f t="shared" si="34"/>
        <v>0.61019251238849803</v>
      </c>
      <c r="G2192" s="3">
        <f>parking_demand_data_2024_ver0!F2192</f>
        <v>0</v>
      </c>
      <c r="H2192" s="3">
        <f>parking_demand_data_2024_ver0!G2192</f>
        <v>0</v>
      </c>
      <c r="I2192" s="3">
        <f>parking_demand_data_2024_ver0!H2192</f>
        <v>0</v>
      </c>
      <c r="J2192" s="3">
        <f>parking_demand_data_2024_ver0!I2192</f>
        <v>0</v>
      </c>
      <c r="K2192" s="3">
        <f>parking_demand_data_2024_ver0!J2192</f>
        <v>0</v>
      </c>
      <c r="L2192" s="3">
        <f>parking_demand_data_2024_ver0!K2192</f>
        <v>0</v>
      </c>
      <c r="M2192" s="3">
        <f>parking_demand_data_2024_ver0!L2192</f>
        <v>0</v>
      </c>
      <c r="N2192" s="3">
        <f>parking_demand_data_2024_ver0!M2192</f>
        <v>0</v>
      </c>
      <c r="O2192" s="3">
        <f>parking_demand_data_2024_ver0!N2192</f>
        <v>0</v>
      </c>
      <c r="P2192" s="3">
        <f>parking_demand_data_2024_ver0!O2192</f>
        <v>0</v>
      </c>
      <c r="Q2192" s="3">
        <f>parking_demand_data_2024_ver0!P2192</f>
        <v>0</v>
      </c>
      <c r="R2192" s="3">
        <f>parking_demand_data_2024_ver0!Q2192</f>
        <v>0</v>
      </c>
      <c r="S2192" s="3">
        <f>parking_demand_data_2024_ver0!R2192</f>
        <v>0</v>
      </c>
      <c r="T2192" s="3">
        <f>parking_demand_data_2024_ver0!S2192</f>
        <v>0</v>
      </c>
    </row>
    <row r="2193" spans="1:20" x14ac:dyDescent="0.25">
      <c r="A2193">
        <v>18183</v>
      </c>
      <c r="B2193" t="s">
        <v>120</v>
      </c>
      <c r="C2193">
        <v>7</v>
      </c>
      <c r="D2193" s="3">
        <f>parking_demand_data_2024_ver0!D2193*calibration!$I$31</f>
        <v>0</v>
      </c>
      <c r="E2193" s="3">
        <f>parking_demand_data_2024_ver0!E2193*calibration!$I$31</f>
        <v>1.47000923439047</v>
      </c>
      <c r="F2193" s="3">
        <f t="shared" si="34"/>
        <v>1.47000923439047</v>
      </c>
      <c r="G2193" s="3">
        <f>parking_demand_data_2024_ver0!F2193</f>
        <v>0</v>
      </c>
      <c r="H2193" s="3">
        <f>parking_demand_data_2024_ver0!G2193</f>
        <v>0</v>
      </c>
      <c r="I2193" s="3">
        <f>parking_demand_data_2024_ver0!H2193</f>
        <v>0</v>
      </c>
      <c r="J2193" s="3">
        <f>parking_demand_data_2024_ver0!I2193</f>
        <v>0</v>
      </c>
      <c r="K2193" s="3">
        <f>parking_demand_data_2024_ver0!J2193</f>
        <v>0</v>
      </c>
      <c r="L2193" s="3">
        <f>parking_demand_data_2024_ver0!K2193</f>
        <v>0</v>
      </c>
      <c r="M2193" s="3">
        <f>parking_demand_data_2024_ver0!L2193</f>
        <v>0</v>
      </c>
      <c r="N2193" s="3">
        <f>parking_demand_data_2024_ver0!M2193</f>
        <v>0</v>
      </c>
      <c r="O2193" s="3">
        <f>parking_demand_data_2024_ver0!N2193</f>
        <v>0</v>
      </c>
      <c r="P2193" s="3">
        <f>parking_demand_data_2024_ver0!O2193</f>
        <v>0</v>
      </c>
      <c r="Q2193" s="3">
        <f>parking_demand_data_2024_ver0!P2193</f>
        <v>0</v>
      </c>
      <c r="R2193" s="3">
        <f>parking_demand_data_2024_ver0!Q2193</f>
        <v>0</v>
      </c>
      <c r="S2193" s="3">
        <f>parking_demand_data_2024_ver0!R2193</f>
        <v>0</v>
      </c>
      <c r="T2193" s="3">
        <f>parking_demand_data_2024_ver0!S2193</f>
        <v>0</v>
      </c>
    </row>
    <row r="2194" spans="1:20" x14ac:dyDescent="0.25">
      <c r="A2194">
        <v>18183</v>
      </c>
      <c r="B2194" t="s">
        <v>120</v>
      </c>
      <c r="C2194">
        <v>8</v>
      </c>
      <c r="D2194" s="3">
        <f>parking_demand_data_2024_ver0!D2194*calibration!$I$31</f>
        <v>0</v>
      </c>
      <c r="E2194" s="3">
        <f>parking_demand_data_2024_ver0!E2194*calibration!$I$31</f>
        <v>2.8290743756193999</v>
      </c>
      <c r="F2194" s="3">
        <f t="shared" si="34"/>
        <v>2.8290743756193999</v>
      </c>
      <c r="G2194" s="3">
        <f>parking_demand_data_2024_ver0!F2194</f>
        <v>0</v>
      </c>
      <c r="H2194" s="3">
        <f>parking_demand_data_2024_ver0!G2194</f>
        <v>0</v>
      </c>
      <c r="I2194" s="3">
        <f>parking_demand_data_2024_ver0!H2194</f>
        <v>0</v>
      </c>
      <c r="J2194" s="3">
        <f>parking_demand_data_2024_ver0!I2194</f>
        <v>0</v>
      </c>
      <c r="K2194" s="3">
        <f>parking_demand_data_2024_ver0!J2194</f>
        <v>0</v>
      </c>
      <c r="L2194" s="3">
        <f>parking_demand_data_2024_ver0!K2194</f>
        <v>0</v>
      </c>
      <c r="M2194" s="3">
        <f>parking_demand_data_2024_ver0!L2194</f>
        <v>0</v>
      </c>
      <c r="N2194" s="3">
        <f>parking_demand_data_2024_ver0!M2194</f>
        <v>0</v>
      </c>
      <c r="O2194" s="3">
        <f>parking_demand_data_2024_ver0!N2194</f>
        <v>0</v>
      </c>
      <c r="P2194" s="3">
        <f>parking_demand_data_2024_ver0!O2194</f>
        <v>0</v>
      </c>
      <c r="Q2194" s="3">
        <f>parking_demand_data_2024_ver0!P2194</f>
        <v>0</v>
      </c>
      <c r="R2194" s="3">
        <f>parking_demand_data_2024_ver0!Q2194</f>
        <v>0</v>
      </c>
      <c r="S2194" s="3">
        <f>parking_demand_data_2024_ver0!R2194</f>
        <v>0</v>
      </c>
      <c r="T2194" s="3">
        <f>parking_demand_data_2024_ver0!S2194</f>
        <v>0</v>
      </c>
    </row>
    <row r="2195" spans="1:20" x14ac:dyDescent="0.25">
      <c r="A2195">
        <v>18183</v>
      </c>
      <c r="B2195" t="s">
        <v>120</v>
      </c>
      <c r="C2195">
        <v>9</v>
      </c>
      <c r="D2195" s="3">
        <f>parking_demand_data_2024_ver0!D2195*calibration!$I$31</f>
        <v>0</v>
      </c>
      <c r="E2195" s="3">
        <f>parking_demand_data_2024_ver0!E2195*calibration!$I$31</f>
        <v>2.8845464222001702</v>
      </c>
      <c r="F2195" s="3">
        <f t="shared" si="34"/>
        <v>2.8845464222001702</v>
      </c>
      <c r="G2195" s="3">
        <f>parking_demand_data_2024_ver0!F2195</f>
        <v>0</v>
      </c>
      <c r="H2195" s="3">
        <f>parking_demand_data_2024_ver0!G2195</f>
        <v>0</v>
      </c>
      <c r="I2195" s="3">
        <f>parking_demand_data_2024_ver0!H2195</f>
        <v>0</v>
      </c>
      <c r="J2195" s="3">
        <f>parking_demand_data_2024_ver0!I2195</f>
        <v>0</v>
      </c>
      <c r="K2195" s="3">
        <f>parking_demand_data_2024_ver0!J2195</f>
        <v>0</v>
      </c>
      <c r="L2195" s="3">
        <f>parking_demand_data_2024_ver0!K2195</f>
        <v>0</v>
      </c>
      <c r="M2195" s="3">
        <f>parking_demand_data_2024_ver0!L2195</f>
        <v>0</v>
      </c>
      <c r="N2195" s="3">
        <f>parking_demand_data_2024_ver0!M2195</f>
        <v>0</v>
      </c>
      <c r="O2195" s="3">
        <f>parking_demand_data_2024_ver0!N2195</f>
        <v>0</v>
      </c>
      <c r="P2195" s="3">
        <f>parking_demand_data_2024_ver0!O2195</f>
        <v>0</v>
      </c>
      <c r="Q2195" s="3">
        <f>parking_demand_data_2024_ver0!P2195</f>
        <v>0</v>
      </c>
      <c r="R2195" s="3">
        <f>parking_demand_data_2024_ver0!Q2195</f>
        <v>0</v>
      </c>
      <c r="S2195" s="3">
        <f>parking_demand_data_2024_ver0!R2195</f>
        <v>0</v>
      </c>
      <c r="T2195" s="3">
        <f>parking_demand_data_2024_ver0!S2195</f>
        <v>0</v>
      </c>
    </row>
    <row r="2196" spans="1:20" x14ac:dyDescent="0.25">
      <c r="A2196">
        <v>18183</v>
      </c>
      <c r="B2196" t="s">
        <v>120</v>
      </c>
      <c r="C2196">
        <v>10</v>
      </c>
      <c r="D2196" s="3">
        <f>parking_demand_data_2024_ver0!D2196*calibration!$I$31</f>
        <v>0</v>
      </c>
      <c r="E2196" s="3">
        <f>parking_demand_data_2024_ver0!E2196*calibration!$I$31</f>
        <v>2.74586630574824</v>
      </c>
      <c r="F2196" s="3">
        <f t="shared" si="34"/>
        <v>2.74586630574824</v>
      </c>
      <c r="G2196" s="3">
        <f>parking_demand_data_2024_ver0!F2196</f>
        <v>0</v>
      </c>
      <c r="H2196" s="3">
        <f>parking_demand_data_2024_ver0!G2196</f>
        <v>0</v>
      </c>
      <c r="I2196" s="3">
        <f>parking_demand_data_2024_ver0!H2196</f>
        <v>0</v>
      </c>
      <c r="J2196" s="3">
        <f>parking_demand_data_2024_ver0!I2196</f>
        <v>0</v>
      </c>
      <c r="K2196" s="3">
        <f>parking_demand_data_2024_ver0!J2196</f>
        <v>0</v>
      </c>
      <c r="L2196" s="3">
        <f>parking_demand_data_2024_ver0!K2196</f>
        <v>0</v>
      </c>
      <c r="M2196" s="3">
        <f>parking_demand_data_2024_ver0!L2196</f>
        <v>0</v>
      </c>
      <c r="N2196" s="3">
        <f>parking_demand_data_2024_ver0!M2196</f>
        <v>0</v>
      </c>
      <c r="O2196" s="3">
        <f>parking_demand_data_2024_ver0!N2196</f>
        <v>0</v>
      </c>
      <c r="P2196" s="3">
        <f>parking_demand_data_2024_ver0!O2196</f>
        <v>0</v>
      </c>
      <c r="Q2196" s="3">
        <f>parking_demand_data_2024_ver0!P2196</f>
        <v>0</v>
      </c>
      <c r="R2196" s="3">
        <f>parking_demand_data_2024_ver0!Q2196</f>
        <v>0</v>
      </c>
      <c r="S2196" s="3">
        <f>parking_demand_data_2024_ver0!R2196</f>
        <v>0</v>
      </c>
      <c r="T2196" s="3">
        <f>parking_demand_data_2024_ver0!S2196</f>
        <v>0</v>
      </c>
    </row>
    <row r="2197" spans="1:20" x14ac:dyDescent="0.25">
      <c r="A2197">
        <v>18183</v>
      </c>
      <c r="B2197" t="s">
        <v>120</v>
      </c>
      <c r="C2197">
        <v>11</v>
      </c>
      <c r="D2197" s="3">
        <f>parking_demand_data_2024_ver0!D2197*calibration!$I$31</f>
        <v>0</v>
      </c>
      <c r="E2197" s="3">
        <f>parking_demand_data_2024_ver0!E2197*calibration!$I$31</f>
        <v>2.3298259563924399</v>
      </c>
      <c r="F2197" s="3">
        <f t="shared" si="34"/>
        <v>2.3298259563924399</v>
      </c>
      <c r="G2197" s="3">
        <f>parking_demand_data_2024_ver0!F2197</f>
        <v>0</v>
      </c>
      <c r="H2197" s="3">
        <f>parking_demand_data_2024_ver0!G2197</f>
        <v>0</v>
      </c>
      <c r="I2197" s="3">
        <f>parking_demand_data_2024_ver0!H2197</f>
        <v>0</v>
      </c>
      <c r="J2197" s="3">
        <f>parking_demand_data_2024_ver0!I2197</f>
        <v>0</v>
      </c>
      <c r="K2197" s="3">
        <f>parking_demand_data_2024_ver0!J2197</f>
        <v>0</v>
      </c>
      <c r="L2197" s="3">
        <f>parking_demand_data_2024_ver0!K2197</f>
        <v>0</v>
      </c>
      <c r="M2197" s="3">
        <f>parking_demand_data_2024_ver0!L2197</f>
        <v>0</v>
      </c>
      <c r="N2197" s="3">
        <f>parking_demand_data_2024_ver0!M2197</f>
        <v>0</v>
      </c>
      <c r="O2197" s="3">
        <f>parking_demand_data_2024_ver0!N2197</f>
        <v>0</v>
      </c>
      <c r="P2197" s="3">
        <f>parking_demand_data_2024_ver0!O2197</f>
        <v>0</v>
      </c>
      <c r="Q2197" s="3">
        <f>parking_demand_data_2024_ver0!P2197</f>
        <v>0</v>
      </c>
      <c r="R2197" s="3">
        <f>parking_demand_data_2024_ver0!Q2197</f>
        <v>0</v>
      </c>
      <c r="S2197" s="3">
        <f>parking_demand_data_2024_ver0!R2197</f>
        <v>0</v>
      </c>
      <c r="T2197" s="3">
        <f>parking_demand_data_2024_ver0!S2197</f>
        <v>0</v>
      </c>
    </row>
    <row r="2198" spans="1:20" x14ac:dyDescent="0.25">
      <c r="A2198">
        <v>18183</v>
      </c>
      <c r="B2198" t="s">
        <v>120</v>
      </c>
      <c r="C2198">
        <v>12</v>
      </c>
      <c r="D2198" s="3">
        <f>parking_demand_data_2024_ver0!D2198*calibration!$I$31</f>
        <v>0</v>
      </c>
      <c r="E2198" s="3">
        <f>parking_demand_data_2024_ver0!E2198*calibration!$I$31</f>
        <v>2.1911458399405102</v>
      </c>
      <c r="F2198" s="3">
        <f t="shared" si="34"/>
        <v>2.1911458399405102</v>
      </c>
      <c r="G2198" s="3">
        <f>parking_demand_data_2024_ver0!F2198</f>
        <v>0</v>
      </c>
      <c r="H2198" s="3">
        <f>parking_demand_data_2024_ver0!G2198</f>
        <v>0</v>
      </c>
      <c r="I2198" s="3">
        <f>parking_demand_data_2024_ver0!H2198</f>
        <v>0</v>
      </c>
      <c r="J2198" s="3">
        <f>parking_demand_data_2024_ver0!I2198</f>
        <v>0</v>
      </c>
      <c r="K2198" s="3">
        <f>parking_demand_data_2024_ver0!J2198</f>
        <v>0</v>
      </c>
      <c r="L2198" s="3">
        <f>parking_demand_data_2024_ver0!K2198</f>
        <v>0</v>
      </c>
      <c r="M2198" s="3">
        <f>parking_demand_data_2024_ver0!L2198</f>
        <v>0</v>
      </c>
      <c r="N2198" s="3">
        <f>parking_demand_data_2024_ver0!M2198</f>
        <v>0</v>
      </c>
      <c r="O2198" s="3">
        <f>parking_demand_data_2024_ver0!N2198</f>
        <v>0</v>
      </c>
      <c r="P2198" s="3">
        <f>parking_demand_data_2024_ver0!O2198</f>
        <v>0</v>
      </c>
      <c r="Q2198" s="3">
        <f>parking_demand_data_2024_ver0!P2198</f>
        <v>0</v>
      </c>
      <c r="R2198" s="3">
        <f>parking_demand_data_2024_ver0!Q2198</f>
        <v>0</v>
      </c>
      <c r="S2198" s="3">
        <f>parking_demand_data_2024_ver0!R2198</f>
        <v>0</v>
      </c>
      <c r="T2198" s="3">
        <f>parking_demand_data_2024_ver0!S2198</f>
        <v>0</v>
      </c>
    </row>
    <row r="2199" spans="1:20" x14ac:dyDescent="0.25">
      <c r="A2199">
        <v>18183</v>
      </c>
      <c r="B2199" t="s">
        <v>120</v>
      </c>
      <c r="C2199">
        <v>13</v>
      </c>
      <c r="D2199" s="3">
        <f>parking_demand_data_2024_ver0!D2199*calibration!$I$31</f>
        <v>0</v>
      </c>
      <c r="E2199" s="3">
        <f>parking_demand_data_2024_ver0!E2199*calibration!$I$31</f>
        <v>2.2188818632309002</v>
      </c>
      <c r="F2199" s="3">
        <f t="shared" si="34"/>
        <v>2.2188818632309002</v>
      </c>
      <c r="G2199" s="3">
        <f>parking_demand_data_2024_ver0!F2199</f>
        <v>0</v>
      </c>
      <c r="H2199" s="3">
        <f>parking_demand_data_2024_ver0!G2199</f>
        <v>0</v>
      </c>
      <c r="I2199" s="3">
        <f>parking_demand_data_2024_ver0!H2199</f>
        <v>0</v>
      </c>
      <c r="J2199" s="3">
        <f>parking_demand_data_2024_ver0!I2199</f>
        <v>0</v>
      </c>
      <c r="K2199" s="3">
        <f>parking_demand_data_2024_ver0!J2199</f>
        <v>0</v>
      </c>
      <c r="L2199" s="3">
        <f>parking_demand_data_2024_ver0!K2199</f>
        <v>0</v>
      </c>
      <c r="M2199" s="3">
        <f>parking_demand_data_2024_ver0!L2199</f>
        <v>0</v>
      </c>
      <c r="N2199" s="3">
        <f>parking_demand_data_2024_ver0!M2199</f>
        <v>0</v>
      </c>
      <c r="O2199" s="3">
        <f>parking_demand_data_2024_ver0!N2199</f>
        <v>0</v>
      </c>
      <c r="P2199" s="3">
        <f>parking_demand_data_2024_ver0!O2199</f>
        <v>0</v>
      </c>
      <c r="Q2199" s="3">
        <f>parking_demand_data_2024_ver0!P2199</f>
        <v>0</v>
      </c>
      <c r="R2199" s="3">
        <f>parking_demand_data_2024_ver0!Q2199</f>
        <v>0</v>
      </c>
      <c r="S2199" s="3">
        <f>parking_demand_data_2024_ver0!R2199</f>
        <v>0</v>
      </c>
      <c r="T2199" s="3">
        <f>parking_demand_data_2024_ver0!S2199</f>
        <v>0</v>
      </c>
    </row>
    <row r="2200" spans="1:20" x14ac:dyDescent="0.25">
      <c r="A2200">
        <v>18183</v>
      </c>
      <c r="B2200" t="s">
        <v>120</v>
      </c>
      <c r="C2200">
        <v>14</v>
      </c>
      <c r="D2200" s="3">
        <f>parking_demand_data_2024_ver0!D2200*calibration!$I$31</f>
        <v>0</v>
      </c>
      <c r="E2200" s="3">
        <f>parking_demand_data_2024_ver0!E2200*calibration!$I$31</f>
        <v>1.1371769549058299</v>
      </c>
      <c r="F2200" s="3">
        <f t="shared" si="34"/>
        <v>1.1371769549058299</v>
      </c>
      <c r="G2200" s="3">
        <f>parking_demand_data_2024_ver0!F2200</f>
        <v>0</v>
      </c>
      <c r="H2200" s="3">
        <f>parking_demand_data_2024_ver0!G2200</f>
        <v>0</v>
      </c>
      <c r="I2200" s="3">
        <f>parking_demand_data_2024_ver0!H2200</f>
        <v>0</v>
      </c>
      <c r="J2200" s="3">
        <f>parking_demand_data_2024_ver0!I2200</f>
        <v>0</v>
      </c>
      <c r="K2200" s="3">
        <f>parking_demand_data_2024_ver0!J2200</f>
        <v>0</v>
      </c>
      <c r="L2200" s="3">
        <f>parking_demand_data_2024_ver0!K2200</f>
        <v>0</v>
      </c>
      <c r="M2200" s="3">
        <f>parking_demand_data_2024_ver0!L2200</f>
        <v>0</v>
      </c>
      <c r="N2200" s="3">
        <f>parking_demand_data_2024_ver0!M2200</f>
        <v>0</v>
      </c>
      <c r="O2200" s="3">
        <f>parking_demand_data_2024_ver0!N2200</f>
        <v>0</v>
      </c>
      <c r="P2200" s="3">
        <f>parking_demand_data_2024_ver0!O2200</f>
        <v>0</v>
      </c>
      <c r="Q2200" s="3">
        <f>parking_demand_data_2024_ver0!P2200</f>
        <v>0</v>
      </c>
      <c r="R2200" s="3">
        <f>parking_demand_data_2024_ver0!Q2200</f>
        <v>0</v>
      </c>
      <c r="S2200" s="3">
        <f>parking_demand_data_2024_ver0!R2200</f>
        <v>0</v>
      </c>
      <c r="T2200" s="3">
        <f>parking_demand_data_2024_ver0!S2200</f>
        <v>0</v>
      </c>
    </row>
    <row r="2201" spans="1:20" x14ac:dyDescent="0.25">
      <c r="A2201">
        <v>18183</v>
      </c>
      <c r="B2201" t="s">
        <v>120</v>
      </c>
      <c r="C2201">
        <v>15</v>
      </c>
      <c r="D2201" s="3">
        <f>parking_demand_data_2024_ver0!D2201*calibration!$I$31</f>
        <v>0</v>
      </c>
      <c r="E2201" s="3">
        <f>parking_demand_data_2024_ver0!E2201*calibration!$I$31</f>
        <v>0.33283227948463501</v>
      </c>
      <c r="F2201" s="3">
        <f t="shared" si="34"/>
        <v>0.33283227948463501</v>
      </c>
      <c r="G2201" s="3">
        <f>parking_demand_data_2024_ver0!F2201</f>
        <v>0</v>
      </c>
      <c r="H2201" s="3">
        <f>parking_demand_data_2024_ver0!G2201</f>
        <v>0</v>
      </c>
      <c r="I2201" s="3">
        <f>parking_demand_data_2024_ver0!H2201</f>
        <v>0</v>
      </c>
      <c r="J2201" s="3">
        <f>parking_demand_data_2024_ver0!I2201</f>
        <v>0</v>
      </c>
      <c r="K2201" s="3">
        <f>parking_demand_data_2024_ver0!J2201</f>
        <v>0</v>
      </c>
      <c r="L2201" s="3">
        <f>parking_demand_data_2024_ver0!K2201</f>
        <v>0</v>
      </c>
      <c r="M2201" s="3">
        <f>parking_demand_data_2024_ver0!L2201</f>
        <v>0</v>
      </c>
      <c r="N2201" s="3">
        <f>parking_demand_data_2024_ver0!M2201</f>
        <v>0</v>
      </c>
      <c r="O2201" s="3">
        <f>parking_demand_data_2024_ver0!N2201</f>
        <v>0</v>
      </c>
      <c r="P2201" s="3">
        <f>parking_demand_data_2024_ver0!O2201</f>
        <v>0</v>
      </c>
      <c r="Q2201" s="3">
        <f>parking_demand_data_2024_ver0!P2201</f>
        <v>0</v>
      </c>
      <c r="R2201" s="3">
        <f>parking_demand_data_2024_ver0!Q2201</f>
        <v>0</v>
      </c>
      <c r="S2201" s="3">
        <f>parking_demand_data_2024_ver0!R2201</f>
        <v>0</v>
      </c>
      <c r="T2201" s="3">
        <f>parking_demand_data_2024_ver0!S2201</f>
        <v>0</v>
      </c>
    </row>
    <row r="2202" spans="1:20" x14ac:dyDescent="0.25">
      <c r="A2202">
        <v>18183</v>
      </c>
      <c r="B2202" t="s">
        <v>120</v>
      </c>
      <c r="C2202">
        <v>16</v>
      </c>
      <c r="D2202" s="3">
        <f>parking_demand_data_2024_ver0!D2202*calibration!$I$31</f>
        <v>0</v>
      </c>
      <c r="E2202" s="3">
        <f>parking_demand_data_2024_ver0!E2202*calibration!$I$31</f>
        <v>0.166416139742317</v>
      </c>
      <c r="F2202" s="3">
        <f t="shared" si="34"/>
        <v>0.166416139742317</v>
      </c>
      <c r="G2202" s="3">
        <f>parking_demand_data_2024_ver0!F2202</f>
        <v>0</v>
      </c>
      <c r="H2202" s="3">
        <f>parking_demand_data_2024_ver0!G2202</f>
        <v>0</v>
      </c>
      <c r="I2202" s="3">
        <f>parking_demand_data_2024_ver0!H2202</f>
        <v>0</v>
      </c>
      <c r="J2202" s="3">
        <f>parking_demand_data_2024_ver0!I2202</f>
        <v>0</v>
      </c>
      <c r="K2202" s="3">
        <f>parking_demand_data_2024_ver0!J2202</f>
        <v>0</v>
      </c>
      <c r="L2202" s="3">
        <f>parking_demand_data_2024_ver0!K2202</f>
        <v>0</v>
      </c>
      <c r="M2202" s="3">
        <f>parking_demand_data_2024_ver0!L2202</f>
        <v>0</v>
      </c>
      <c r="N2202" s="3">
        <f>parking_demand_data_2024_ver0!M2202</f>
        <v>0</v>
      </c>
      <c r="O2202" s="3">
        <f>parking_demand_data_2024_ver0!N2202</f>
        <v>0</v>
      </c>
      <c r="P2202" s="3">
        <f>parking_demand_data_2024_ver0!O2202</f>
        <v>0</v>
      </c>
      <c r="Q2202" s="3">
        <f>parking_demand_data_2024_ver0!P2202</f>
        <v>0</v>
      </c>
      <c r="R2202" s="3">
        <f>parking_demand_data_2024_ver0!Q2202</f>
        <v>0</v>
      </c>
      <c r="S2202" s="3">
        <f>parking_demand_data_2024_ver0!R2202</f>
        <v>0</v>
      </c>
      <c r="T2202" s="3">
        <f>parking_demand_data_2024_ver0!S2202</f>
        <v>0</v>
      </c>
    </row>
    <row r="2203" spans="1:20" x14ac:dyDescent="0.25">
      <c r="A2203">
        <v>18183</v>
      </c>
      <c r="B2203" t="s">
        <v>120</v>
      </c>
      <c r="C2203">
        <v>17</v>
      </c>
      <c r="D2203" s="3">
        <f>parking_demand_data_2024_ver0!D2203*calibration!$I$31</f>
        <v>0</v>
      </c>
      <c r="E2203" s="3">
        <f>parking_demand_data_2024_ver0!E2203*calibration!$I$31</f>
        <v>0.11094409316154499</v>
      </c>
      <c r="F2203" s="3">
        <f t="shared" si="34"/>
        <v>0.11094409316154499</v>
      </c>
      <c r="G2203" s="3">
        <f>parking_demand_data_2024_ver0!F2203</f>
        <v>0</v>
      </c>
      <c r="H2203" s="3">
        <f>parking_demand_data_2024_ver0!G2203</f>
        <v>0</v>
      </c>
      <c r="I2203" s="3">
        <f>parking_demand_data_2024_ver0!H2203</f>
        <v>0</v>
      </c>
      <c r="J2203" s="3">
        <f>parking_demand_data_2024_ver0!I2203</f>
        <v>0</v>
      </c>
      <c r="K2203" s="3">
        <f>parking_demand_data_2024_ver0!J2203</f>
        <v>0</v>
      </c>
      <c r="L2203" s="3">
        <f>parking_demand_data_2024_ver0!K2203</f>
        <v>0</v>
      </c>
      <c r="M2203" s="3">
        <f>parking_demand_data_2024_ver0!L2203</f>
        <v>0</v>
      </c>
      <c r="N2203" s="3">
        <f>parking_demand_data_2024_ver0!M2203</f>
        <v>0</v>
      </c>
      <c r="O2203" s="3">
        <f>parking_demand_data_2024_ver0!N2203</f>
        <v>0</v>
      </c>
      <c r="P2203" s="3">
        <f>parking_demand_data_2024_ver0!O2203</f>
        <v>0</v>
      </c>
      <c r="Q2203" s="3">
        <f>parking_demand_data_2024_ver0!P2203</f>
        <v>0</v>
      </c>
      <c r="R2203" s="3">
        <f>parking_demand_data_2024_ver0!Q2203</f>
        <v>0</v>
      </c>
      <c r="S2203" s="3">
        <f>parking_demand_data_2024_ver0!R2203</f>
        <v>0</v>
      </c>
      <c r="T2203" s="3">
        <f>parking_demand_data_2024_ver0!S2203</f>
        <v>0</v>
      </c>
    </row>
    <row r="2204" spans="1:20" x14ac:dyDescent="0.25">
      <c r="A2204">
        <v>18183</v>
      </c>
      <c r="B2204" t="s">
        <v>120</v>
      </c>
      <c r="C2204">
        <v>18</v>
      </c>
      <c r="D2204" s="3">
        <f>parking_demand_data_2024_ver0!D2204*calibration!$I$31</f>
        <v>0</v>
      </c>
      <c r="E2204" s="3">
        <f>parking_demand_data_2024_ver0!E2204*calibration!$I$31</f>
        <v>5.5472046580772497E-2</v>
      </c>
      <c r="F2204" s="3">
        <f t="shared" si="34"/>
        <v>5.5472046580772497E-2</v>
      </c>
      <c r="G2204" s="3">
        <f>parking_demand_data_2024_ver0!F2204</f>
        <v>0</v>
      </c>
      <c r="H2204" s="3">
        <f>parking_demand_data_2024_ver0!G2204</f>
        <v>0</v>
      </c>
      <c r="I2204" s="3">
        <f>parking_demand_data_2024_ver0!H2204</f>
        <v>0</v>
      </c>
      <c r="J2204" s="3">
        <f>parking_demand_data_2024_ver0!I2204</f>
        <v>0</v>
      </c>
      <c r="K2204" s="3">
        <f>parking_demand_data_2024_ver0!J2204</f>
        <v>0</v>
      </c>
      <c r="L2204" s="3">
        <f>parking_demand_data_2024_ver0!K2204</f>
        <v>0</v>
      </c>
      <c r="M2204" s="3">
        <f>parking_demand_data_2024_ver0!L2204</f>
        <v>0</v>
      </c>
      <c r="N2204" s="3">
        <f>parking_demand_data_2024_ver0!M2204</f>
        <v>0</v>
      </c>
      <c r="O2204" s="3">
        <f>parking_demand_data_2024_ver0!N2204</f>
        <v>0</v>
      </c>
      <c r="P2204" s="3">
        <f>parking_demand_data_2024_ver0!O2204</f>
        <v>0</v>
      </c>
      <c r="Q2204" s="3">
        <f>parking_demand_data_2024_ver0!P2204</f>
        <v>0</v>
      </c>
      <c r="R2204" s="3">
        <f>parking_demand_data_2024_ver0!Q2204</f>
        <v>0</v>
      </c>
      <c r="S2204" s="3">
        <f>parking_demand_data_2024_ver0!R2204</f>
        <v>0</v>
      </c>
      <c r="T2204" s="3">
        <f>parking_demand_data_2024_ver0!S2204</f>
        <v>0</v>
      </c>
    </row>
    <row r="2205" spans="1:20" x14ac:dyDescent="0.25">
      <c r="A2205">
        <v>18183</v>
      </c>
      <c r="B2205" t="s">
        <v>120</v>
      </c>
      <c r="C2205">
        <v>19</v>
      </c>
      <c r="D2205" s="3">
        <f>parking_demand_data_2024_ver0!D2205*calibration!$I$31</f>
        <v>0</v>
      </c>
      <c r="E2205" s="3">
        <f>parking_demand_data_2024_ver0!E2205*calibration!$I$31</f>
        <v>5.5472046580772497E-2</v>
      </c>
      <c r="F2205" s="3">
        <f t="shared" si="34"/>
        <v>5.5472046580772497E-2</v>
      </c>
      <c r="G2205" s="3">
        <f>parking_demand_data_2024_ver0!F2205</f>
        <v>0</v>
      </c>
      <c r="H2205" s="3">
        <f>parking_demand_data_2024_ver0!G2205</f>
        <v>0</v>
      </c>
      <c r="I2205" s="3">
        <f>parking_demand_data_2024_ver0!H2205</f>
        <v>0</v>
      </c>
      <c r="J2205" s="3">
        <f>parking_demand_data_2024_ver0!I2205</f>
        <v>0</v>
      </c>
      <c r="K2205" s="3">
        <f>parking_demand_data_2024_ver0!J2205</f>
        <v>0</v>
      </c>
      <c r="L2205" s="3">
        <f>parking_demand_data_2024_ver0!K2205</f>
        <v>0</v>
      </c>
      <c r="M2205" s="3">
        <f>parking_demand_data_2024_ver0!L2205</f>
        <v>0</v>
      </c>
      <c r="N2205" s="3">
        <f>parking_demand_data_2024_ver0!M2205</f>
        <v>0</v>
      </c>
      <c r="O2205" s="3">
        <f>parking_demand_data_2024_ver0!N2205</f>
        <v>0</v>
      </c>
      <c r="P2205" s="3">
        <f>parking_demand_data_2024_ver0!O2205</f>
        <v>0</v>
      </c>
      <c r="Q2205" s="3">
        <f>parking_demand_data_2024_ver0!P2205</f>
        <v>0</v>
      </c>
      <c r="R2205" s="3">
        <f>parking_demand_data_2024_ver0!Q2205</f>
        <v>0</v>
      </c>
      <c r="S2205" s="3">
        <f>parking_demand_data_2024_ver0!R2205</f>
        <v>0</v>
      </c>
      <c r="T2205" s="3">
        <f>parking_demand_data_2024_ver0!S2205</f>
        <v>0</v>
      </c>
    </row>
    <row r="2206" spans="1:20" x14ac:dyDescent="0.25">
      <c r="A2206">
        <v>18183</v>
      </c>
      <c r="B2206" t="s">
        <v>120</v>
      </c>
      <c r="C2206">
        <v>20</v>
      </c>
      <c r="D2206" s="3">
        <f>parking_demand_data_2024_ver0!D2206*calibration!$I$31</f>
        <v>0</v>
      </c>
      <c r="E2206" s="3">
        <f>parking_demand_data_2024_ver0!E2206*calibration!$I$31</f>
        <v>5.5472046580772497E-2</v>
      </c>
      <c r="F2206" s="3">
        <f t="shared" si="34"/>
        <v>5.5472046580772497E-2</v>
      </c>
      <c r="G2206" s="3">
        <f>parking_demand_data_2024_ver0!F2206</f>
        <v>0</v>
      </c>
      <c r="H2206" s="3">
        <f>parking_demand_data_2024_ver0!G2206</f>
        <v>0</v>
      </c>
      <c r="I2206" s="3">
        <f>parking_demand_data_2024_ver0!H2206</f>
        <v>0</v>
      </c>
      <c r="J2206" s="3">
        <f>parking_demand_data_2024_ver0!I2206</f>
        <v>0</v>
      </c>
      <c r="K2206" s="3">
        <f>parking_demand_data_2024_ver0!J2206</f>
        <v>0</v>
      </c>
      <c r="L2206" s="3">
        <f>parking_demand_data_2024_ver0!K2206</f>
        <v>0</v>
      </c>
      <c r="M2206" s="3">
        <f>parking_demand_data_2024_ver0!L2206</f>
        <v>0</v>
      </c>
      <c r="N2206" s="3">
        <f>parking_demand_data_2024_ver0!M2206</f>
        <v>0</v>
      </c>
      <c r="O2206" s="3">
        <f>parking_demand_data_2024_ver0!N2206</f>
        <v>0</v>
      </c>
      <c r="P2206" s="3">
        <f>parking_demand_data_2024_ver0!O2206</f>
        <v>0</v>
      </c>
      <c r="Q2206" s="3">
        <f>parking_demand_data_2024_ver0!P2206</f>
        <v>0</v>
      </c>
      <c r="R2206" s="3">
        <f>parking_demand_data_2024_ver0!Q2206</f>
        <v>0</v>
      </c>
      <c r="S2206" s="3">
        <f>parking_demand_data_2024_ver0!R2206</f>
        <v>0</v>
      </c>
      <c r="T2206" s="3">
        <f>parking_demand_data_2024_ver0!S2206</f>
        <v>0</v>
      </c>
    </row>
    <row r="2207" spans="1:20" x14ac:dyDescent="0.25">
      <c r="A2207">
        <v>18183</v>
      </c>
      <c r="B2207" t="s">
        <v>120</v>
      </c>
      <c r="C2207">
        <v>21</v>
      </c>
      <c r="D2207" s="3">
        <f>parking_demand_data_2024_ver0!D2207*calibration!$I$31</f>
        <v>0</v>
      </c>
      <c r="E2207" s="3">
        <f>parking_demand_data_2024_ver0!E2207*calibration!$I$31</f>
        <v>5.5472046580772497E-2</v>
      </c>
      <c r="F2207" s="3">
        <f t="shared" si="34"/>
        <v>5.5472046580772497E-2</v>
      </c>
      <c r="G2207" s="3">
        <f>parking_demand_data_2024_ver0!F2207</f>
        <v>0</v>
      </c>
      <c r="H2207" s="3">
        <f>parking_demand_data_2024_ver0!G2207</f>
        <v>0</v>
      </c>
      <c r="I2207" s="3">
        <f>parking_demand_data_2024_ver0!H2207</f>
        <v>0</v>
      </c>
      <c r="J2207" s="3">
        <f>parking_demand_data_2024_ver0!I2207</f>
        <v>0</v>
      </c>
      <c r="K2207" s="3">
        <f>parking_demand_data_2024_ver0!J2207</f>
        <v>0</v>
      </c>
      <c r="L2207" s="3">
        <f>parking_demand_data_2024_ver0!K2207</f>
        <v>0</v>
      </c>
      <c r="M2207" s="3">
        <f>parking_demand_data_2024_ver0!L2207</f>
        <v>0</v>
      </c>
      <c r="N2207" s="3">
        <f>parking_demand_data_2024_ver0!M2207</f>
        <v>0</v>
      </c>
      <c r="O2207" s="3">
        <f>parking_demand_data_2024_ver0!N2207</f>
        <v>0</v>
      </c>
      <c r="P2207" s="3">
        <f>parking_demand_data_2024_ver0!O2207</f>
        <v>0</v>
      </c>
      <c r="Q2207" s="3">
        <f>parking_demand_data_2024_ver0!P2207</f>
        <v>0</v>
      </c>
      <c r="R2207" s="3">
        <f>parking_demand_data_2024_ver0!Q2207</f>
        <v>0</v>
      </c>
      <c r="S2207" s="3">
        <f>parking_demand_data_2024_ver0!R2207</f>
        <v>0</v>
      </c>
      <c r="T2207" s="3">
        <f>parking_demand_data_2024_ver0!S2207</f>
        <v>0</v>
      </c>
    </row>
    <row r="2208" spans="1:20" x14ac:dyDescent="0.25">
      <c r="A2208">
        <v>18183</v>
      </c>
      <c r="B2208" t="s">
        <v>120</v>
      </c>
      <c r="C2208">
        <v>22</v>
      </c>
      <c r="D2208" s="3">
        <f>parking_demand_data_2024_ver0!D2208*calibration!$I$31</f>
        <v>0</v>
      </c>
      <c r="E2208" s="3">
        <f>parking_demand_data_2024_ver0!E2208*calibration!$I$31</f>
        <v>5.5472046580772497E-2</v>
      </c>
      <c r="F2208" s="3">
        <f t="shared" si="34"/>
        <v>5.5472046580772497E-2</v>
      </c>
      <c r="G2208" s="3">
        <f>parking_demand_data_2024_ver0!F2208</f>
        <v>0</v>
      </c>
      <c r="H2208" s="3">
        <f>parking_demand_data_2024_ver0!G2208</f>
        <v>0</v>
      </c>
      <c r="I2208" s="3">
        <f>parking_demand_data_2024_ver0!H2208</f>
        <v>0</v>
      </c>
      <c r="J2208" s="3">
        <f>parking_demand_data_2024_ver0!I2208</f>
        <v>0</v>
      </c>
      <c r="K2208" s="3">
        <f>parking_demand_data_2024_ver0!J2208</f>
        <v>0</v>
      </c>
      <c r="L2208" s="3">
        <f>parking_demand_data_2024_ver0!K2208</f>
        <v>0</v>
      </c>
      <c r="M2208" s="3">
        <f>parking_demand_data_2024_ver0!L2208</f>
        <v>0</v>
      </c>
      <c r="N2208" s="3">
        <f>parking_demand_data_2024_ver0!M2208</f>
        <v>0</v>
      </c>
      <c r="O2208" s="3">
        <f>parking_demand_data_2024_ver0!N2208</f>
        <v>0</v>
      </c>
      <c r="P2208" s="3">
        <f>parking_demand_data_2024_ver0!O2208</f>
        <v>0</v>
      </c>
      <c r="Q2208" s="3">
        <f>parking_demand_data_2024_ver0!P2208</f>
        <v>0</v>
      </c>
      <c r="R2208" s="3">
        <f>parking_demand_data_2024_ver0!Q2208</f>
        <v>0</v>
      </c>
      <c r="S2208" s="3">
        <f>parking_demand_data_2024_ver0!R2208</f>
        <v>0</v>
      </c>
      <c r="T2208" s="3">
        <f>parking_demand_data_2024_ver0!S2208</f>
        <v>0</v>
      </c>
    </row>
    <row r="2209" spans="1:20" x14ac:dyDescent="0.25">
      <c r="A2209">
        <v>18183</v>
      </c>
      <c r="B2209" t="s">
        <v>120</v>
      </c>
      <c r="C2209">
        <v>23</v>
      </c>
      <c r="D2209" s="3">
        <f>parking_demand_data_2024_ver0!D2209*calibration!$I$31</f>
        <v>0</v>
      </c>
      <c r="E2209" s="3">
        <f>parking_demand_data_2024_ver0!E2209*calibration!$I$31</f>
        <v>5.5472046580772497E-2</v>
      </c>
      <c r="F2209" s="3">
        <f t="shared" si="34"/>
        <v>5.5472046580772497E-2</v>
      </c>
      <c r="G2209" s="3">
        <f>parking_demand_data_2024_ver0!F2209</f>
        <v>0</v>
      </c>
      <c r="H2209" s="3">
        <f>parking_demand_data_2024_ver0!G2209</f>
        <v>0</v>
      </c>
      <c r="I2209" s="3">
        <f>parking_demand_data_2024_ver0!H2209</f>
        <v>0</v>
      </c>
      <c r="J2209" s="3">
        <f>parking_demand_data_2024_ver0!I2209</f>
        <v>0</v>
      </c>
      <c r="K2209" s="3">
        <f>parking_demand_data_2024_ver0!J2209</f>
        <v>0</v>
      </c>
      <c r="L2209" s="3">
        <f>parking_demand_data_2024_ver0!K2209</f>
        <v>0</v>
      </c>
      <c r="M2209" s="3">
        <f>parking_demand_data_2024_ver0!L2209</f>
        <v>0</v>
      </c>
      <c r="N2209" s="3">
        <f>parking_demand_data_2024_ver0!M2209</f>
        <v>0</v>
      </c>
      <c r="O2209" s="3">
        <f>parking_demand_data_2024_ver0!N2209</f>
        <v>0</v>
      </c>
      <c r="P2209" s="3">
        <f>parking_demand_data_2024_ver0!O2209</f>
        <v>0</v>
      </c>
      <c r="Q2209" s="3">
        <f>parking_demand_data_2024_ver0!P2209</f>
        <v>0</v>
      </c>
      <c r="R2209" s="3">
        <f>parking_demand_data_2024_ver0!Q2209</f>
        <v>0</v>
      </c>
      <c r="S2209" s="3">
        <f>parking_demand_data_2024_ver0!R2209</f>
        <v>0</v>
      </c>
      <c r="T2209" s="3">
        <f>parking_demand_data_2024_ver0!S2209</f>
        <v>0</v>
      </c>
    </row>
  </sheetData>
  <autoFilter ref="A1:T2209" xr:uid="{E73959EC-1DE5-4E9A-A2E2-E94F135C9616}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ECE5CC-E6B9-426A-8F95-A978B4956EAB}">
  <dimension ref="A1:R94"/>
  <sheetViews>
    <sheetView zoomScale="90" zoomScaleNormal="90" workbookViewId="0">
      <selection activeCell="I21" sqref="I21"/>
    </sheetView>
  </sheetViews>
  <sheetFormatPr defaultRowHeight="15" x14ac:dyDescent="0.25"/>
  <cols>
    <col min="1" max="1" width="12.7109375" customWidth="1"/>
    <col min="2" max="2" width="19" customWidth="1"/>
    <col min="3" max="3" width="14.5703125" bestFit="1" customWidth="1"/>
    <col min="4" max="4" width="21.7109375" bestFit="1" customWidth="1"/>
    <col min="5" max="5" width="27.140625" bestFit="1" customWidth="1"/>
    <col min="6" max="6" width="29.28515625" bestFit="1" customWidth="1"/>
    <col min="7" max="7" width="21.5703125" bestFit="1" customWidth="1"/>
    <col min="8" max="8" width="18.42578125" bestFit="1" customWidth="1"/>
    <col min="9" max="9" width="15.7109375" bestFit="1" customWidth="1"/>
    <col min="10" max="10" width="13.7109375" customWidth="1"/>
    <col min="16" max="16" width="13.140625" customWidth="1"/>
  </cols>
  <sheetData>
    <row r="1" spans="1:18" x14ac:dyDescent="0.25">
      <c r="A1" t="s">
        <v>10</v>
      </c>
      <c r="B1" t="s">
        <v>133</v>
      </c>
      <c r="C1" t="s">
        <v>134</v>
      </c>
      <c r="D1" t="s">
        <v>135</v>
      </c>
      <c r="E1" t="s">
        <v>136</v>
      </c>
      <c r="F1" t="s">
        <v>137</v>
      </c>
      <c r="G1" t="s">
        <v>138</v>
      </c>
      <c r="H1" t="s">
        <v>139</v>
      </c>
      <c r="I1" t="s">
        <v>140</v>
      </c>
      <c r="J1" t="s">
        <v>141</v>
      </c>
      <c r="K1" t="s">
        <v>142</v>
      </c>
      <c r="L1" t="s">
        <v>143</v>
      </c>
      <c r="M1" t="s">
        <v>144</v>
      </c>
    </row>
    <row r="2" spans="1:18" x14ac:dyDescent="0.25">
      <c r="A2">
        <v>18001</v>
      </c>
      <c r="B2" t="str">
        <f ca="1">OFFSET(parking_demand_data_2024_calibr!B$1,MATCH(A2,parking_demand_data_2024_calibr!A:A,0)-1,0)</f>
        <v>Adams County</v>
      </c>
      <c r="C2">
        <f ca="1">OFFSET(parking_demand_data_2024_calibr!H$1,MATCH(A2,parking_demand_data_2024_calibr!A:A,0)-1,0)</f>
        <v>0</v>
      </c>
      <c r="D2" s="3">
        <f>_xlfn.MAXIFS(parking_demand_data_2024_calibr!D:D,parking_demand_data_2024_calibr!$A:$A,$A2)</f>
        <v>18.201097754614999</v>
      </c>
      <c r="E2" s="3">
        <f>SUMIFS(parking_demand_data_2024_calibr!D:D,parking_demand_data_2024_calibr!$A:$A,$A2)</f>
        <v>309.82015663186502</v>
      </c>
      <c r="F2" s="3">
        <f>SUMIFS(parking_demand_data_2024_calibr!E:E,parking_demand_data_2024_calibr!$A:$A,$A2)</f>
        <v>40.818638346746852</v>
      </c>
      <c r="G2" s="3">
        <f>SUM(E2:F2)</f>
        <v>350.63879497861188</v>
      </c>
      <c r="H2" s="5">
        <f>F2/SUM(E2:F2)</f>
        <v>0.11641221374045815</v>
      </c>
      <c r="I2" s="5" t="e">
        <f ca="1">D2/C2</f>
        <v>#DIV/0!</v>
      </c>
      <c r="J2">
        <f ca="1">IFERROR(IF(AND(G2&gt;=1000,OR(I2&gt;=0.9,H2&gt;0.5)),1,0),0)</f>
        <v>0</v>
      </c>
      <c r="K2">
        <f ca="1">IFERROR(IF(AND(J2=0,G2&gt;=300,OR(I2&gt;=0.7,H2&gt;0.2)),1,0),0)</f>
        <v>0</v>
      </c>
      <c r="L2">
        <f ca="1">IF(SUM(J2,K2,M2)=0,1,0)</f>
        <v>0</v>
      </c>
      <c r="M2">
        <f ca="1">IF(AND(C2=0,J2=0,K2=0),1,0)</f>
        <v>1</v>
      </c>
    </row>
    <row r="3" spans="1:18" x14ac:dyDescent="0.25">
      <c r="A3">
        <v>18003</v>
      </c>
      <c r="B3" t="str">
        <f ca="1">OFFSET(parking_demand_data_2024_calibr!B$1,MATCH(A3,parking_demand_data_2024_calibr!A:A,0)-1,0)</f>
        <v>Allen County</v>
      </c>
      <c r="C3">
        <f ca="1">OFFSET(parking_demand_data_2024_calibr!H$1,MATCH(A3,parking_demand_data_2024_calibr!A:A,0)-1,0)</f>
        <v>1</v>
      </c>
      <c r="D3" s="3">
        <f>_xlfn.MAXIFS(parking_demand_data_2024_calibr!D:D,parking_demand_data_2024_calibr!$A:$A,$A3)</f>
        <v>394.45</v>
      </c>
      <c r="E3" s="3">
        <f>SUMIFS(parking_demand_data_2024_calibr!D:D,parking_demand_data_2024_calibr!$A:$A,$A3)</f>
        <v>7506.2459242134746</v>
      </c>
      <c r="F3" s="3">
        <f>SUMIFS(parking_demand_data_2024_calibr!E:E,parking_demand_data_2024_calibr!$A:$A,$A3)</f>
        <v>517.95103025429614</v>
      </c>
      <c r="G3" s="3">
        <f t="shared" ref="G3:G66" si="0">SUM(E3:F3)</f>
        <v>8024.1969544677704</v>
      </c>
      <c r="H3" s="5">
        <f t="shared" ref="H3:H66" si="1">F3/SUM(E3:F3)</f>
        <v>6.4548643707693101E-2</v>
      </c>
      <c r="I3" s="5">
        <f t="shared" ref="I3:I66" ca="1" si="2">D3/C3</f>
        <v>394.45</v>
      </c>
      <c r="J3">
        <f t="shared" ref="J3:J66" ca="1" si="3">IFERROR(IF(AND(G3&gt;=1000,OR(I3&gt;=0.9,H3&gt;0.5)),1,0),0)</f>
        <v>1</v>
      </c>
      <c r="K3">
        <f t="shared" ref="K3:K66" ca="1" si="4">IFERROR(IF(AND(J3=0,G3&gt;=300,OR(I3&gt;=0.7,H3&gt;0.2)),1,0),0)</f>
        <v>0</v>
      </c>
      <c r="L3">
        <f t="shared" ref="L3:L66" ca="1" si="5">IF(SUM(J3,K3,M3)=0,1,0)</f>
        <v>0</v>
      </c>
      <c r="M3">
        <f t="shared" ref="M3:M66" ca="1" si="6">IF(AND(C3=0,J3=0,K3=0),1,0)</f>
        <v>0</v>
      </c>
      <c r="P3" t="s">
        <v>141</v>
      </c>
      <c r="Q3">
        <f ca="1">SUM(J:J)</f>
        <v>16</v>
      </c>
      <c r="R3" t="s">
        <v>145</v>
      </c>
    </row>
    <row r="4" spans="1:18" x14ac:dyDescent="0.25">
      <c r="A4">
        <v>18005</v>
      </c>
      <c r="B4" t="str">
        <f ca="1">OFFSET(parking_demand_data_2024_calibr!B$1,MATCH(A4,parking_demand_data_2024_calibr!A:A,0)-1,0)</f>
        <v>Bartholomew County</v>
      </c>
      <c r="C4">
        <f ca="1">OFFSET(parking_demand_data_2024_calibr!H$1,MATCH(A4,parking_demand_data_2024_calibr!A:A,0)-1,0)</f>
        <v>0</v>
      </c>
      <c r="D4" s="3">
        <f>_xlfn.MAXIFS(parking_demand_data_2024_calibr!D:D,parking_demand_data_2024_calibr!$A:$A,$A4)</f>
        <v>95.449999999999903</v>
      </c>
      <c r="E4" s="3">
        <f>SUMIFS(parking_demand_data_2024_calibr!D:D,parking_demand_data_2024_calibr!$A:$A,$A4)</f>
        <v>1682.1364419475642</v>
      </c>
      <c r="F4" s="3">
        <f>SUMIFS(parking_demand_data_2024_calibr!E:E,parking_demand_data_2024_calibr!$A:$A,$A4)</f>
        <v>316.62945692883835</v>
      </c>
      <c r="G4" s="3">
        <f t="shared" si="0"/>
        <v>1998.7658988764026</v>
      </c>
      <c r="H4" s="5">
        <f t="shared" si="1"/>
        <v>0.15841247697233088</v>
      </c>
      <c r="I4" s="5" t="e">
        <f t="shared" ca="1" si="2"/>
        <v>#DIV/0!</v>
      </c>
      <c r="J4">
        <f t="shared" ca="1" si="3"/>
        <v>0</v>
      </c>
      <c r="K4">
        <f t="shared" ca="1" si="4"/>
        <v>0</v>
      </c>
      <c r="L4">
        <f t="shared" ca="1" si="5"/>
        <v>0</v>
      </c>
      <c r="M4">
        <f t="shared" ca="1" si="6"/>
        <v>1</v>
      </c>
      <c r="P4" t="s">
        <v>142</v>
      </c>
      <c r="Q4">
        <f ca="1">SUM(K:K)</f>
        <v>1</v>
      </c>
      <c r="R4" t="s">
        <v>146</v>
      </c>
    </row>
    <row r="5" spans="1:18" x14ac:dyDescent="0.25">
      <c r="A5">
        <v>18007</v>
      </c>
      <c r="B5" t="str">
        <f ca="1">OFFSET(parking_demand_data_2024_calibr!B$1,MATCH(A5,parking_demand_data_2024_calibr!A:A,0)-1,0)</f>
        <v>Benton County</v>
      </c>
      <c r="C5">
        <f ca="1">OFFSET(parking_demand_data_2024_calibr!H$1,MATCH(A5,parking_demand_data_2024_calibr!A:A,0)-1,0)</f>
        <v>0</v>
      </c>
      <c r="D5" s="3">
        <f>_xlfn.MAXIFS(parking_demand_data_2024_calibr!D:D,parking_demand_data_2024_calibr!$A:$A,$A5)</f>
        <v>0</v>
      </c>
      <c r="E5" s="3">
        <f>SUMIFS(parking_demand_data_2024_calibr!D:D,parking_demand_data_2024_calibr!$A:$A,$A5)</f>
        <v>0</v>
      </c>
      <c r="F5" s="3">
        <f>SUMIFS(parking_demand_data_2024_calibr!E:E,parking_demand_data_2024_calibr!$A:$A,$A5)</f>
        <v>15.308433388235153</v>
      </c>
      <c r="G5" s="3">
        <f t="shared" si="0"/>
        <v>15.308433388235153</v>
      </c>
      <c r="H5" s="5">
        <f t="shared" si="1"/>
        <v>1</v>
      </c>
      <c r="I5" s="5" t="e">
        <f t="shared" ca="1" si="2"/>
        <v>#DIV/0!</v>
      </c>
      <c r="J5">
        <f t="shared" ca="1" si="3"/>
        <v>0</v>
      </c>
      <c r="K5">
        <f t="shared" ca="1" si="4"/>
        <v>0</v>
      </c>
      <c r="L5">
        <f t="shared" ca="1" si="5"/>
        <v>0</v>
      </c>
      <c r="M5">
        <f t="shared" ca="1" si="6"/>
        <v>1</v>
      </c>
      <c r="P5" t="s">
        <v>143</v>
      </c>
      <c r="Q5">
        <f ca="1">SUM(L:L)</f>
        <v>0</v>
      </c>
      <c r="R5" t="s">
        <v>147</v>
      </c>
    </row>
    <row r="6" spans="1:18" x14ac:dyDescent="0.25">
      <c r="A6">
        <v>18009</v>
      </c>
      <c r="B6" t="str">
        <f ca="1">OFFSET(parking_demand_data_2024_calibr!B$1,MATCH(A6,parking_demand_data_2024_calibr!A:A,0)-1,0)</f>
        <v>Blackford County</v>
      </c>
      <c r="C6">
        <f ca="1">OFFSET(parking_demand_data_2024_calibr!H$1,MATCH(A6,parking_demand_data_2024_calibr!A:A,0)-1,0)</f>
        <v>0</v>
      </c>
      <c r="D6" s="3">
        <f>_xlfn.MAXIFS(parking_demand_data_2024_calibr!D:D,parking_demand_data_2024_calibr!$A:$A,$A6)</f>
        <v>0</v>
      </c>
      <c r="E6" s="3">
        <f>SUMIFS(parking_demand_data_2024_calibr!D:D,parking_demand_data_2024_calibr!$A:$A,$A6)</f>
        <v>0</v>
      </c>
      <c r="F6" s="3">
        <f>SUMIFS(parking_demand_data_2024_calibr!E:E,parking_demand_data_2024_calibr!$A:$A,$A6)</f>
        <v>0</v>
      </c>
      <c r="G6" s="3">
        <f t="shared" si="0"/>
        <v>0</v>
      </c>
      <c r="H6" s="5" t="e">
        <f t="shared" si="1"/>
        <v>#DIV/0!</v>
      </c>
      <c r="I6" s="5" t="e">
        <f t="shared" ca="1" si="2"/>
        <v>#DIV/0!</v>
      </c>
      <c r="J6">
        <f t="shared" ca="1" si="3"/>
        <v>0</v>
      </c>
      <c r="K6">
        <f t="shared" ca="1" si="4"/>
        <v>0</v>
      </c>
      <c r="L6">
        <f t="shared" ca="1" si="5"/>
        <v>0</v>
      </c>
      <c r="M6">
        <f t="shared" ca="1" si="6"/>
        <v>1</v>
      </c>
      <c r="P6" t="s">
        <v>144</v>
      </c>
      <c r="Q6">
        <f ca="1">SUM(M:M)</f>
        <v>75</v>
      </c>
      <c r="R6" t="s">
        <v>148</v>
      </c>
    </row>
    <row r="7" spans="1:18" x14ac:dyDescent="0.25">
      <c r="A7">
        <v>18011</v>
      </c>
      <c r="B7" t="str">
        <f ca="1">OFFSET(parking_demand_data_2024_calibr!B$1,MATCH(A7,parking_demand_data_2024_calibr!A:A,0)-1,0)</f>
        <v>Boone County</v>
      </c>
      <c r="C7">
        <f ca="1">OFFSET(parking_demand_data_2024_calibr!H$1,MATCH(A7,parking_demand_data_2024_calibr!A:A,0)-1,0)</f>
        <v>2</v>
      </c>
      <c r="D7" s="3">
        <f>_xlfn.MAXIFS(parking_demand_data_2024_calibr!D:D,parking_demand_data_2024_calibr!$A:$A,$A7)</f>
        <v>469.2</v>
      </c>
      <c r="E7" s="3">
        <f>SUMIFS(parking_demand_data_2024_calibr!D:D,parking_demand_data_2024_calibr!$A:$A,$A7)</f>
        <v>8532.4974517809278</v>
      </c>
      <c r="F7" s="3">
        <f>SUMIFS(parking_demand_data_2024_calibr!E:E,parking_demand_data_2024_calibr!$A:$A,$A7)</f>
        <v>342.63556243840571</v>
      </c>
      <c r="G7" s="3">
        <f t="shared" si="0"/>
        <v>8875.1330142193328</v>
      </c>
      <c r="H7" s="5">
        <f t="shared" si="1"/>
        <v>3.8606245324937741E-2</v>
      </c>
      <c r="I7" s="5">
        <f t="shared" ca="1" si="2"/>
        <v>234.6</v>
      </c>
      <c r="J7">
        <f t="shared" ca="1" si="3"/>
        <v>1</v>
      </c>
      <c r="K7">
        <f t="shared" ca="1" si="4"/>
        <v>0</v>
      </c>
      <c r="L7">
        <f t="shared" ca="1" si="5"/>
        <v>0</v>
      </c>
      <c r="M7">
        <f t="shared" ca="1" si="6"/>
        <v>0</v>
      </c>
      <c r="P7" t="s">
        <v>149</v>
      </c>
      <c r="Q7">
        <f ca="1">SUM(Q3:Q6)</f>
        <v>92</v>
      </c>
    </row>
    <row r="8" spans="1:18" x14ac:dyDescent="0.25">
      <c r="A8">
        <v>18013</v>
      </c>
      <c r="B8" t="str">
        <f ca="1">OFFSET(parking_demand_data_2024_calibr!B$1,MATCH(A8,parking_demand_data_2024_calibr!A:A,0)-1,0)</f>
        <v>Brown County</v>
      </c>
      <c r="C8">
        <f ca="1">OFFSET(parking_demand_data_2024_calibr!H$1,MATCH(A8,parking_demand_data_2024_calibr!A:A,0)-1,0)</f>
        <v>0</v>
      </c>
      <c r="D8" s="3">
        <f>_xlfn.MAXIFS(parking_demand_data_2024_calibr!D:D,parking_demand_data_2024_calibr!$A:$A,$A8)</f>
        <v>0</v>
      </c>
      <c r="E8" s="3">
        <f>SUMIFS(parking_demand_data_2024_calibr!D:D,parking_demand_data_2024_calibr!$A:$A,$A8)</f>
        <v>0</v>
      </c>
      <c r="F8" s="3">
        <f>SUMIFS(parking_demand_data_2024_calibr!E:E,parking_demand_data_2024_calibr!$A:$A,$A8)</f>
        <v>0</v>
      </c>
      <c r="G8" s="3">
        <f t="shared" si="0"/>
        <v>0</v>
      </c>
      <c r="H8" s="5" t="e">
        <f t="shared" si="1"/>
        <v>#DIV/0!</v>
      </c>
      <c r="I8" s="5" t="e">
        <f t="shared" ca="1" si="2"/>
        <v>#DIV/0!</v>
      </c>
      <c r="J8">
        <f t="shared" ca="1" si="3"/>
        <v>0</v>
      </c>
      <c r="K8">
        <f t="shared" ca="1" si="4"/>
        <v>0</v>
      </c>
      <c r="L8">
        <f t="shared" ca="1" si="5"/>
        <v>0</v>
      </c>
      <c r="M8">
        <f t="shared" ca="1" si="6"/>
        <v>1</v>
      </c>
      <c r="P8" t="s">
        <v>150</v>
      </c>
      <c r="Q8">
        <v>92</v>
      </c>
    </row>
    <row r="9" spans="1:18" x14ac:dyDescent="0.25">
      <c r="A9">
        <v>18015</v>
      </c>
      <c r="B9" t="str">
        <f ca="1">OFFSET(parking_demand_data_2024_calibr!B$1,MATCH(A9,parking_demand_data_2024_calibr!A:A,0)-1,0)</f>
        <v>Carroll County</v>
      </c>
      <c r="C9">
        <f ca="1">OFFSET(parking_demand_data_2024_calibr!H$1,MATCH(A9,parking_demand_data_2024_calibr!A:A,0)-1,0)</f>
        <v>0</v>
      </c>
      <c r="D9" s="3">
        <f>_xlfn.MAXIFS(parking_demand_data_2024_calibr!D:D,parking_demand_data_2024_calibr!$A:$A,$A9)</f>
        <v>0</v>
      </c>
      <c r="E9" s="3">
        <f>SUMIFS(parking_demand_data_2024_calibr!D:D,parking_demand_data_2024_calibr!$A:$A,$A9)</f>
        <v>0</v>
      </c>
      <c r="F9" s="3">
        <f>SUMIFS(parking_demand_data_2024_calibr!E:E,parking_demand_data_2024_calibr!$A:$A,$A9)</f>
        <v>36.167086009335982</v>
      </c>
      <c r="G9" s="3">
        <f t="shared" si="0"/>
        <v>36.167086009335982</v>
      </c>
      <c r="H9" s="5">
        <f t="shared" si="1"/>
        <v>1</v>
      </c>
      <c r="I9" s="5" t="e">
        <f t="shared" ca="1" si="2"/>
        <v>#DIV/0!</v>
      </c>
      <c r="J9">
        <f t="shared" ca="1" si="3"/>
        <v>0</v>
      </c>
      <c r="K9">
        <f t="shared" ca="1" si="4"/>
        <v>0</v>
      </c>
      <c r="L9">
        <f t="shared" ca="1" si="5"/>
        <v>0</v>
      </c>
      <c r="M9">
        <f t="shared" ca="1" si="6"/>
        <v>1</v>
      </c>
    </row>
    <row r="10" spans="1:18" x14ac:dyDescent="0.25">
      <c r="A10">
        <v>18017</v>
      </c>
      <c r="B10" t="str">
        <f ca="1">OFFSET(parking_demand_data_2024_calibr!B$1,MATCH(A10,parking_demand_data_2024_calibr!A:A,0)-1,0)</f>
        <v>Cass County</v>
      </c>
      <c r="C10">
        <f ca="1">OFFSET(parking_demand_data_2024_calibr!H$1,MATCH(A10,parking_demand_data_2024_calibr!A:A,0)-1,0)</f>
        <v>0</v>
      </c>
      <c r="D10" s="3">
        <f>_xlfn.MAXIFS(parking_demand_data_2024_calibr!D:D,parking_demand_data_2024_calibr!$A:$A,$A10)</f>
        <v>24.7200618647916</v>
      </c>
      <c r="E10" s="3">
        <f>SUMIFS(parking_demand_data_2024_calibr!D:D,parking_demand_data_2024_calibr!$A:$A,$A10)</f>
        <v>417.94046200236113</v>
      </c>
      <c r="F10" s="3">
        <f>SUMIFS(parking_demand_data_2024_calibr!E:E,parking_demand_data_2024_calibr!$A:$A,$A10)</f>
        <v>40.869299360403623</v>
      </c>
      <c r="G10" s="3">
        <f t="shared" si="0"/>
        <v>458.80976136276473</v>
      </c>
      <c r="H10" s="5">
        <f t="shared" si="1"/>
        <v>8.9076786943270161E-2</v>
      </c>
      <c r="I10" s="5" t="e">
        <f t="shared" ca="1" si="2"/>
        <v>#DIV/0!</v>
      </c>
      <c r="J10">
        <f t="shared" ca="1" si="3"/>
        <v>0</v>
      </c>
      <c r="K10">
        <f t="shared" ca="1" si="4"/>
        <v>0</v>
      </c>
      <c r="L10">
        <f t="shared" ca="1" si="5"/>
        <v>0</v>
      </c>
      <c r="M10">
        <f t="shared" ca="1" si="6"/>
        <v>1</v>
      </c>
    </row>
    <row r="11" spans="1:18" x14ac:dyDescent="0.25">
      <c r="A11">
        <v>18019</v>
      </c>
      <c r="B11" t="str">
        <f ca="1">OFFSET(parking_demand_data_2024_calibr!B$1,MATCH(A11,parking_demand_data_2024_calibr!A:A,0)-1,0)</f>
        <v>Clark County</v>
      </c>
      <c r="C11">
        <f ca="1">OFFSET(parking_demand_data_2024_calibr!H$1,MATCH(A11,parking_demand_data_2024_calibr!A:A,0)-1,0)</f>
        <v>1</v>
      </c>
      <c r="D11" s="3">
        <f>_xlfn.MAXIFS(parking_demand_data_2024_calibr!D:D,parking_demand_data_2024_calibr!$A:$A,$A11)</f>
        <v>425.21773949175599</v>
      </c>
      <c r="E11" s="3">
        <f>SUMIFS(parking_demand_data_2024_calibr!D:D,parking_demand_data_2024_calibr!$A:$A,$A11)</f>
        <v>7329.4620112001521</v>
      </c>
      <c r="F11" s="3">
        <f>SUMIFS(parking_demand_data_2024_calibr!E:E,parking_demand_data_2024_calibr!$A:$A,$A11)</f>
        <v>648.04626273154531</v>
      </c>
      <c r="G11" s="3">
        <f t="shared" si="0"/>
        <v>7977.5082739316977</v>
      </c>
      <c r="H11" s="5">
        <f t="shared" si="1"/>
        <v>8.1234169928620717E-2</v>
      </c>
      <c r="I11" s="5">
        <f t="shared" ca="1" si="2"/>
        <v>425.21773949175599</v>
      </c>
      <c r="J11">
        <f t="shared" ca="1" si="3"/>
        <v>1</v>
      </c>
      <c r="K11">
        <f t="shared" ca="1" si="4"/>
        <v>0</v>
      </c>
      <c r="L11">
        <f t="shared" ca="1" si="5"/>
        <v>0</v>
      </c>
      <c r="M11">
        <f t="shared" ca="1" si="6"/>
        <v>0</v>
      </c>
      <c r="P11">
        <f>COUNTIFS(G:G,"&gt;=1000")</f>
        <v>34</v>
      </c>
    </row>
    <row r="12" spans="1:18" x14ac:dyDescent="0.25">
      <c r="A12">
        <v>18021</v>
      </c>
      <c r="B12" t="str">
        <f ca="1">OFFSET(parking_demand_data_2024_calibr!B$1,MATCH(A12,parking_demand_data_2024_calibr!A:A,0)-1,0)</f>
        <v>Clay County</v>
      </c>
      <c r="C12">
        <f ca="1">OFFSET(parking_demand_data_2024_calibr!H$1,MATCH(A12,parking_demand_data_2024_calibr!A:A,0)-1,0)</f>
        <v>0</v>
      </c>
      <c r="D12" s="3">
        <f>_xlfn.MAXIFS(parking_demand_data_2024_calibr!D:D,parking_demand_data_2024_calibr!$A:$A,$A12)</f>
        <v>181.69999999999899</v>
      </c>
      <c r="E12" s="3">
        <f>SUMIFS(parking_demand_data_2024_calibr!D:D,parking_demand_data_2024_calibr!$A:$A,$A12)</f>
        <v>2887.2563323951917</v>
      </c>
      <c r="F12" s="3">
        <f>SUMIFS(parking_demand_data_2024_calibr!E:E,parking_demand_data_2024_calibr!$A:$A,$A12)</f>
        <v>203.15088135091028</v>
      </c>
      <c r="G12" s="3">
        <f t="shared" si="0"/>
        <v>3090.4072137461021</v>
      </c>
      <c r="H12" s="5">
        <f t="shared" si="1"/>
        <v>6.5735958823580617E-2</v>
      </c>
      <c r="I12" s="5" t="e">
        <f t="shared" ca="1" si="2"/>
        <v>#DIV/0!</v>
      </c>
      <c r="J12">
        <f t="shared" ca="1" si="3"/>
        <v>0</v>
      </c>
      <c r="K12">
        <f t="shared" ca="1" si="4"/>
        <v>0</v>
      </c>
      <c r="L12">
        <f t="shared" ca="1" si="5"/>
        <v>0</v>
      </c>
      <c r="M12">
        <f t="shared" ca="1" si="6"/>
        <v>1</v>
      </c>
      <c r="P12">
        <f>COUNTIFS(G:G,"&gt;=300")</f>
        <v>52</v>
      </c>
    </row>
    <row r="13" spans="1:18" x14ac:dyDescent="0.25">
      <c r="A13">
        <v>18023</v>
      </c>
      <c r="B13" t="str">
        <f ca="1">OFFSET(parking_demand_data_2024_calibr!B$1,MATCH(A13,parking_demand_data_2024_calibr!A:A,0)-1,0)</f>
        <v>Clinton County</v>
      </c>
      <c r="C13">
        <f ca="1">OFFSET(parking_demand_data_2024_calibr!H$1,MATCH(A13,parking_demand_data_2024_calibr!A:A,0)-1,0)</f>
        <v>0</v>
      </c>
      <c r="D13" s="3">
        <f>_xlfn.MAXIFS(parking_demand_data_2024_calibr!D:D,parking_demand_data_2024_calibr!$A:$A,$A13)</f>
        <v>57.499999999999901</v>
      </c>
      <c r="E13" s="3">
        <f>SUMIFS(parking_demand_data_2024_calibr!D:D,parking_demand_data_2024_calibr!$A:$A,$A13)</f>
        <v>902.91233283803763</v>
      </c>
      <c r="F13" s="3">
        <f>SUMIFS(parking_demand_data_2024_calibr!E:E,parking_demand_data_2024_calibr!$A:$A,$A13)</f>
        <v>122.58265230312003</v>
      </c>
      <c r="G13" s="3">
        <f t="shared" si="0"/>
        <v>1025.4949851411577</v>
      </c>
      <c r="H13" s="5">
        <f t="shared" si="1"/>
        <v>0.11953510653808486</v>
      </c>
      <c r="I13" s="5" t="e">
        <f t="shared" ca="1" si="2"/>
        <v>#DIV/0!</v>
      </c>
      <c r="J13">
        <f t="shared" ca="1" si="3"/>
        <v>0</v>
      </c>
      <c r="K13">
        <f t="shared" ca="1" si="4"/>
        <v>0</v>
      </c>
      <c r="L13">
        <f t="shared" ca="1" si="5"/>
        <v>0</v>
      </c>
      <c r="M13">
        <f t="shared" ca="1" si="6"/>
        <v>1</v>
      </c>
    </row>
    <row r="14" spans="1:18" x14ac:dyDescent="0.25">
      <c r="A14">
        <v>18025</v>
      </c>
      <c r="B14" t="str">
        <f ca="1">OFFSET(parking_demand_data_2024_calibr!B$1,MATCH(A14,parking_demand_data_2024_calibr!A:A,0)-1,0)</f>
        <v>Crawford County</v>
      </c>
      <c r="C14">
        <f ca="1">OFFSET(parking_demand_data_2024_calibr!H$1,MATCH(A14,parking_demand_data_2024_calibr!A:A,0)-1,0)</f>
        <v>0</v>
      </c>
      <c r="D14" s="3">
        <f>_xlfn.MAXIFS(parking_demand_data_2024_calibr!D:D,parking_demand_data_2024_calibr!$A:$A,$A14)</f>
        <v>86.249999999999901</v>
      </c>
      <c r="E14" s="3">
        <f>SUMIFS(parking_demand_data_2024_calibr!D:D,parking_demand_data_2024_calibr!$A:$A,$A14)</f>
        <v>1529.2075441583302</v>
      </c>
      <c r="F14" s="3">
        <f>SUMIFS(parking_demand_data_2024_calibr!E:E,parking_demand_data_2024_calibr!$A:$A,$A14)</f>
        <v>96.914237071717253</v>
      </c>
      <c r="G14" s="3">
        <f t="shared" si="0"/>
        <v>1626.1217812300474</v>
      </c>
      <c r="H14" s="5">
        <f t="shared" si="1"/>
        <v>5.9598388134502703E-2</v>
      </c>
      <c r="I14" s="5" t="e">
        <f t="shared" ca="1" si="2"/>
        <v>#DIV/0!</v>
      </c>
      <c r="J14">
        <f t="shared" ca="1" si="3"/>
        <v>0</v>
      </c>
      <c r="K14">
        <f t="shared" ca="1" si="4"/>
        <v>0</v>
      </c>
      <c r="L14">
        <f t="shared" ca="1" si="5"/>
        <v>0</v>
      </c>
      <c r="M14">
        <f t="shared" ca="1" si="6"/>
        <v>1</v>
      </c>
    </row>
    <row r="15" spans="1:18" x14ac:dyDescent="0.25">
      <c r="A15">
        <v>18027</v>
      </c>
      <c r="B15" t="str">
        <f ca="1">OFFSET(parking_demand_data_2024_calibr!B$1,MATCH(A15,parking_demand_data_2024_calibr!A:A,0)-1,0)</f>
        <v>Daviess County</v>
      </c>
      <c r="C15">
        <f ca="1">OFFSET(parking_demand_data_2024_calibr!H$1,MATCH(A15,parking_demand_data_2024_calibr!A:A,0)-1,0)</f>
        <v>0</v>
      </c>
      <c r="D15" s="3">
        <f>_xlfn.MAXIFS(parking_demand_data_2024_calibr!D:D,parking_demand_data_2024_calibr!$A:$A,$A15)</f>
        <v>23</v>
      </c>
      <c r="E15" s="3">
        <f>SUMIFS(parking_demand_data_2024_calibr!D:D,parking_demand_data_2024_calibr!$A:$A,$A15)</f>
        <v>401.49194991055367</v>
      </c>
      <c r="F15" s="3">
        <f>SUMIFS(parking_demand_data_2024_calibr!E:E,parking_demand_data_2024_calibr!$A:$A,$A15)</f>
        <v>64.186046511627751</v>
      </c>
      <c r="G15" s="3">
        <f t="shared" si="0"/>
        <v>465.67799642218142</v>
      </c>
      <c r="H15" s="5">
        <f t="shared" si="1"/>
        <v>0.13783353949461033</v>
      </c>
      <c r="I15" s="5" t="e">
        <f t="shared" ca="1" si="2"/>
        <v>#DIV/0!</v>
      </c>
      <c r="J15">
        <f t="shared" ca="1" si="3"/>
        <v>0</v>
      </c>
      <c r="K15">
        <f t="shared" ca="1" si="4"/>
        <v>0</v>
      </c>
      <c r="L15">
        <f t="shared" ca="1" si="5"/>
        <v>0</v>
      </c>
      <c r="M15">
        <f t="shared" ca="1" si="6"/>
        <v>1</v>
      </c>
    </row>
    <row r="16" spans="1:18" x14ac:dyDescent="0.25">
      <c r="A16">
        <v>18029</v>
      </c>
      <c r="B16" t="str">
        <f ca="1">OFFSET(parking_demand_data_2024_calibr!B$1,MATCH(A16,parking_demand_data_2024_calibr!A:A,0)-1,0)</f>
        <v>Dearborn County</v>
      </c>
      <c r="C16">
        <f ca="1">OFFSET(parking_demand_data_2024_calibr!H$1,MATCH(A16,parking_demand_data_2024_calibr!A:A,0)-1,0)</f>
        <v>0</v>
      </c>
      <c r="D16" s="3">
        <f>_xlfn.MAXIFS(parking_demand_data_2024_calibr!D:D,parking_demand_data_2024_calibr!$A:$A,$A16)</f>
        <v>40.091741681871497</v>
      </c>
      <c r="E16" s="3">
        <f>SUMIFS(parking_demand_data_2024_calibr!D:D,parking_demand_data_2024_calibr!$A:$A,$A16)</f>
        <v>738.70624990978376</v>
      </c>
      <c r="F16" s="3">
        <f>SUMIFS(parking_demand_data_2024_calibr!E:E,parking_demand_data_2024_calibr!$A:$A,$A16)</f>
        <v>125.11168912152266</v>
      </c>
      <c r="G16" s="3">
        <f t="shared" si="0"/>
        <v>863.81793903130642</v>
      </c>
      <c r="H16" s="5">
        <f t="shared" si="1"/>
        <v>0.14483571533814646</v>
      </c>
      <c r="I16" s="5" t="e">
        <f t="shared" ca="1" si="2"/>
        <v>#DIV/0!</v>
      </c>
      <c r="J16">
        <f t="shared" ca="1" si="3"/>
        <v>0</v>
      </c>
      <c r="K16">
        <f t="shared" ca="1" si="4"/>
        <v>0</v>
      </c>
      <c r="L16">
        <f t="shared" ca="1" si="5"/>
        <v>0</v>
      </c>
      <c r="M16">
        <f t="shared" ca="1" si="6"/>
        <v>1</v>
      </c>
    </row>
    <row r="17" spans="1:13" x14ac:dyDescent="0.25">
      <c r="A17">
        <v>18031</v>
      </c>
      <c r="B17" t="str">
        <f ca="1">OFFSET(parking_demand_data_2024_calibr!B$1,MATCH(A17,parking_demand_data_2024_calibr!A:A,0)-1,0)</f>
        <v>Decatur County</v>
      </c>
      <c r="C17">
        <f ca="1">OFFSET(parking_demand_data_2024_calibr!H$1,MATCH(A17,parking_demand_data_2024_calibr!A:A,0)-1,0)</f>
        <v>0</v>
      </c>
      <c r="D17" s="3">
        <f>_xlfn.MAXIFS(parking_demand_data_2024_calibr!D:D,parking_demand_data_2024_calibr!$A:$A,$A17)</f>
        <v>171.35</v>
      </c>
      <c r="E17" s="3">
        <f>SUMIFS(parking_demand_data_2024_calibr!D:D,parking_demand_data_2024_calibr!$A:$A,$A17)</f>
        <v>3097.8558425832425</v>
      </c>
      <c r="F17" s="3">
        <f>SUMIFS(parking_demand_data_2024_calibr!E:E,parking_demand_data_2024_calibr!$A:$A,$A17)</f>
        <v>106.1297981836527</v>
      </c>
      <c r="G17" s="3">
        <f t="shared" si="0"/>
        <v>3203.9856407668954</v>
      </c>
      <c r="H17" s="5">
        <f t="shared" si="1"/>
        <v>3.312430518828724E-2</v>
      </c>
      <c r="I17" s="5" t="e">
        <f t="shared" ca="1" si="2"/>
        <v>#DIV/0!</v>
      </c>
      <c r="J17">
        <f t="shared" ca="1" si="3"/>
        <v>0</v>
      </c>
      <c r="K17">
        <f t="shared" ca="1" si="4"/>
        <v>0</v>
      </c>
      <c r="L17">
        <f t="shared" ca="1" si="5"/>
        <v>0</v>
      </c>
      <c r="M17">
        <f t="shared" ca="1" si="6"/>
        <v>1</v>
      </c>
    </row>
    <row r="18" spans="1:13" x14ac:dyDescent="0.25">
      <c r="A18">
        <v>18033</v>
      </c>
      <c r="B18" t="str">
        <f ca="1">OFFSET(parking_demand_data_2024_calibr!B$1,MATCH(A18,parking_demand_data_2024_calibr!A:A,0)-1,0)</f>
        <v>DeKalb County</v>
      </c>
      <c r="C18">
        <f ca="1">OFFSET(parking_demand_data_2024_calibr!H$1,MATCH(A18,parking_demand_data_2024_calibr!A:A,0)-1,0)</f>
        <v>0</v>
      </c>
      <c r="D18" s="3">
        <f>_xlfn.MAXIFS(parking_demand_data_2024_calibr!D:D,parking_demand_data_2024_calibr!$A:$A,$A18)</f>
        <v>89.194862756133901</v>
      </c>
      <c r="E18" s="3">
        <f>SUMIFS(parking_demand_data_2024_calibr!D:D,parking_demand_data_2024_calibr!$A:$A,$A18)</f>
        <v>1506.5660338891926</v>
      </c>
      <c r="F18" s="3">
        <f>SUMIFS(parking_demand_data_2024_calibr!E:E,parking_demand_data_2024_calibr!$A:$A,$A18)</f>
        <v>201.20211510081216</v>
      </c>
      <c r="G18" s="3">
        <f t="shared" si="0"/>
        <v>1707.7681489900046</v>
      </c>
      <c r="H18" s="5">
        <f t="shared" si="1"/>
        <v>0.11781582600647846</v>
      </c>
      <c r="I18" s="5" t="e">
        <f t="shared" ca="1" si="2"/>
        <v>#DIV/0!</v>
      </c>
      <c r="J18">
        <f t="shared" ca="1" si="3"/>
        <v>0</v>
      </c>
      <c r="K18">
        <f t="shared" ca="1" si="4"/>
        <v>0</v>
      </c>
      <c r="L18">
        <f t="shared" ca="1" si="5"/>
        <v>0</v>
      </c>
      <c r="M18">
        <f t="shared" ca="1" si="6"/>
        <v>1</v>
      </c>
    </row>
    <row r="19" spans="1:13" x14ac:dyDescent="0.25">
      <c r="A19">
        <v>18035</v>
      </c>
      <c r="B19" t="str">
        <f ca="1">OFFSET(parking_demand_data_2024_calibr!B$1,MATCH(A19,parking_demand_data_2024_calibr!A:A,0)-1,0)</f>
        <v>Delaware County</v>
      </c>
      <c r="C19">
        <f ca="1">OFFSET(parking_demand_data_2024_calibr!H$1,MATCH(A19,parking_demand_data_2024_calibr!A:A,0)-1,0)</f>
        <v>1</v>
      </c>
      <c r="D19" s="3">
        <f>_xlfn.MAXIFS(parking_demand_data_2024_calibr!D:D,parking_demand_data_2024_calibr!$A:$A,$A19)</f>
        <v>296.240308186829</v>
      </c>
      <c r="E19" s="3">
        <f>SUMIFS(parking_demand_data_2024_calibr!D:D,parking_demand_data_2024_calibr!$A:$A,$A19)</f>
        <v>5125.0798343137058</v>
      </c>
      <c r="F19" s="3">
        <f>SUMIFS(parking_demand_data_2024_calibr!E:E,parking_demand_data_2024_calibr!$A:$A,$A19)</f>
        <v>96.993299639861831</v>
      </c>
      <c r="G19" s="3">
        <f t="shared" si="0"/>
        <v>5222.0731339535678</v>
      </c>
      <c r="H19" s="5">
        <f t="shared" si="1"/>
        <v>1.8573715295026785E-2</v>
      </c>
      <c r="I19" s="5">
        <f t="shared" ca="1" si="2"/>
        <v>296.240308186829</v>
      </c>
      <c r="J19">
        <f t="shared" ca="1" si="3"/>
        <v>1</v>
      </c>
      <c r="K19">
        <f t="shared" ca="1" si="4"/>
        <v>0</v>
      </c>
      <c r="L19">
        <f t="shared" ca="1" si="5"/>
        <v>0</v>
      </c>
      <c r="M19">
        <f t="shared" ca="1" si="6"/>
        <v>0</v>
      </c>
    </row>
    <row r="20" spans="1:13" x14ac:dyDescent="0.25">
      <c r="A20">
        <v>18037</v>
      </c>
      <c r="B20" t="str">
        <f ca="1">OFFSET(parking_demand_data_2024_calibr!B$1,MATCH(A20,parking_demand_data_2024_calibr!A:A,0)-1,0)</f>
        <v>Dubois County</v>
      </c>
      <c r="C20">
        <f ca="1">OFFSET(parking_demand_data_2024_calibr!H$1,MATCH(A20,parking_demand_data_2024_calibr!A:A,0)-1,0)</f>
        <v>0</v>
      </c>
      <c r="D20" s="3">
        <f>_xlfn.MAXIFS(parking_demand_data_2024_calibr!D:D,parking_demand_data_2024_calibr!$A:$A,$A20)</f>
        <v>21.3670797662902</v>
      </c>
      <c r="E20" s="3">
        <f>SUMIFS(parking_demand_data_2024_calibr!D:D,parking_demand_data_2024_calibr!$A:$A,$A20)</f>
        <v>383.18822016299043</v>
      </c>
      <c r="F20" s="3">
        <f>SUMIFS(parking_demand_data_2024_calibr!E:E,parking_demand_data_2024_calibr!$A:$A,$A20)</f>
        <v>85.310628439579517</v>
      </c>
      <c r="G20" s="3">
        <f t="shared" si="0"/>
        <v>468.49884860256998</v>
      </c>
      <c r="H20" s="5">
        <f t="shared" si="1"/>
        <v>0.18209357118815242</v>
      </c>
      <c r="I20" s="5" t="e">
        <f t="shared" ca="1" si="2"/>
        <v>#DIV/0!</v>
      </c>
      <c r="J20">
        <f t="shared" ca="1" si="3"/>
        <v>0</v>
      </c>
      <c r="K20">
        <f t="shared" ca="1" si="4"/>
        <v>0</v>
      </c>
      <c r="L20">
        <f t="shared" ca="1" si="5"/>
        <v>0</v>
      </c>
      <c r="M20">
        <f t="shared" ca="1" si="6"/>
        <v>1</v>
      </c>
    </row>
    <row r="21" spans="1:13" x14ac:dyDescent="0.25">
      <c r="A21">
        <v>18039</v>
      </c>
      <c r="B21" t="str">
        <f ca="1">OFFSET(parking_demand_data_2024_calibr!B$1,MATCH(A21,parking_demand_data_2024_calibr!A:A,0)-1,0)</f>
        <v>Elkhart County</v>
      </c>
      <c r="C21">
        <f ca="1">OFFSET(parking_demand_data_2024_calibr!H$1,MATCH(A21,parking_demand_data_2024_calibr!A:A,0)-1,0)</f>
        <v>0</v>
      </c>
      <c r="D21" s="3">
        <f>_xlfn.MAXIFS(parking_demand_data_2024_calibr!D:D,parking_demand_data_2024_calibr!$A:$A,$A21)</f>
        <v>374.7539337133</v>
      </c>
      <c r="E21" s="3">
        <f>SUMIFS(parking_demand_data_2024_calibr!D:D,parking_demand_data_2024_calibr!$A:$A,$A21)</f>
        <v>5831.4183960970586</v>
      </c>
      <c r="F21" s="3">
        <f>SUMIFS(parking_demand_data_2024_calibr!E:E,parking_demand_data_2024_calibr!$A:$A,$A21)</f>
        <v>837.00440161643508</v>
      </c>
      <c r="G21" s="3">
        <f t="shared" si="0"/>
        <v>6668.4227977134933</v>
      </c>
      <c r="H21" s="5">
        <f t="shared" si="1"/>
        <v>0.1255175964402605</v>
      </c>
      <c r="I21" s="5" t="e">
        <f t="shared" ca="1" si="2"/>
        <v>#DIV/0!</v>
      </c>
      <c r="J21">
        <f t="shared" ca="1" si="3"/>
        <v>0</v>
      </c>
      <c r="K21">
        <f t="shared" ca="1" si="4"/>
        <v>0</v>
      </c>
      <c r="L21">
        <f t="shared" ca="1" si="5"/>
        <v>0</v>
      </c>
      <c r="M21">
        <f t="shared" ca="1" si="6"/>
        <v>1</v>
      </c>
    </row>
    <row r="22" spans="1:13" x14ac:dyDescent="0.25">
      <c r="A22">
        <v>18041</v>
      </c>
      <c r="B22" t="str">
        <f ca="1">OFFSET(parking_demand_data_2024_calibr!B$1,MATCH(A22,parking_demand_data_2024_calibr!A:A,0)-1,0)</f>
        <v>Fayette County</v>
      </c>
      <c r="C22">
        <f ca="1">OFFSET(parking_demand_data_2024_calibr!H$1,MATCH(A22,parking_demand_data_2024_calibr!A:A,0)-1,0)</f>
        <v>0</v>
      </c>
      <c r="D22" s="3">
        <f>_xlfn.MAXIFS(parking_demand_data_2024_calibr!D:D,parking_demand_data_2024_calibr!$A:$A,$A22)</f>
        <v>0</v>
      </c>
      <c r="E22" s="3">
        <f>SUMIFS(parking_demand_data_2024_calibr!D:D,parking_demand_data_2024_calibr!$A:$A,$A22)</f>
        <v>0</v>
      </c>
      <c r="F22" s="3">
        <f>SUMIFS(parking_demand_data_2024_calibr!E:E,parking_demand_data_2024_calibr!$A:$A,$A22)</f>
        <v>9.114661057799367</v>
      </c>
      <c r="G22" s="3">
        <f t="shared" si="0"/>
        <v>9.114661057799367</v>
      </c>
      <c r="H22" s="5">
        <f t="shared" si="1"/>
        <v>1</v>
      </c>
      <c r="I22" s="5" t="e">
        <f t="shared" ca="1" si="2"/>
        <v>#DIV/0!</v>
      </c>
      <c r="J22">
        <f t="shared" ca="1" si="3"/>
        <v>0</v>
      </c>
      <c r="K22">
        <f t="shared" ca="1" si="4"/>
        <v>0</v>
      </c>
      <c r="L22">
        <f t="shared" ca="1" si="5"/>
        <v>0</v>
      </c>
      <c r="M22">
        <f t="shared" ca="1" si="6"/>
        <v>1</v>
      </c>
    </row>
    <row r="23" spans="1:13" x14ac:dyDescent="0.25">
      <c r="A23">
        <v>18043</v>
      </c>
      <c r="B23" t="str">
        <f ca="1">OFFSET(parking_demand_data_2024_calibr!B$1,MATCH(A23,parking_demand_data_2024_calibr!A:A,0)-1,0)</f>
        <v>Floyd County</v>
      </c>
      <c r="C23">
        <f ca="1">OFFSET(parking_demand_data_2024_calibr!H$1,MATCH(A23,parking_demand_data_2024_calibr!A:A,0)-1,0)</f>
        <v>0</v>
      </c>
      <c r="D23" s="3">
        <f>_xlfn.MAXIFS(parking_demand_data_2024_calibr!D:D,parking_demand_data_2024_calibr!$A:$A,$A23)</f>
        <v>4.3983141835311397</v>
      </c>
      <c r="E23" s="3">
        <f>SUMIFS(parking_demand_data_2024_calibr!D:D,parking_demand_data_2024_calibr!$A:$A,$A23)</f>
        <v>69.991228830288875</v>
      </c>
      <c r="F23" s="3">
        <f>SUMIFS(parking_demand_data_2024_calibr!E:E,parking_demand_data_2024_calibr!$A:$A,$A23)</f>
        <v>51.481656641261949</v>
      </c>
      <c r="G23" s="3">
        <f t="shared" si="0"/>
        <v>121.47288547155082</v>
      </c>
      <c r="H23" s="5">
        <f t="shared" si="1"/>
        <v>0.42381191853155614</v>
      </c>
      <c r="I23" s="5" t="e">
        <f t="shared" ca="1" si="2"/>
        <v>#DIV/0!</v>
      </c>
      <c r="J23">
        <f t="shared" ca="1" si="3"/>
        <v>0</v>
      </c>
      <c r="K23">
        <f t="shared" ca="1" si="4"/>
        <v>0</v>
      </c>
      <c r="L23">
        <f t="shared" ca="1" si="5"/>
        <v>0</v>
      </c>
      <c r="M23">
        <f t="shared" ca="1" si="6"/>
        <v>1</v>
      </c>
    </row>
    <row r="24" spans="1:13" x14ac:dyDescent="0.25">
      <c r="A24">
        <v>18045</v>
      </c>
      <c r="B24" t="str">
        <f ca="1">OFFSET(parking_demand_data_2024_calibr!B$1,MATCH(A24,parking_demand_data_2024_calibr!A:A,0)-1,0)</f>
        <v>Fountain County</v>
      </c>
      <c r="C24">
        <f ca="1">OFFSET(parking_demand_data_2024_calibr!H$1,MATCH(A24,parking_demand_data_2024_calibr!A:A,0)-1,0)</f>
        <v>0</v>
      </c>
      <c r="D24" s="3">
        <f>_xlfn.MAXIFS(parking_demand_data_2024_calibr!D:D,parking_demand_data_2024_calibr!$A:$A,$A24)</f>
        <v>0</v>
      </c>
      <c r="E24" s="3">
        <f>SUMIFS(parking_demand_data_2024_calibr!D:D,parking_demand_data_2024_calibr!$A:$A,$A24)</f>
        <v>0</v>
      </c>
      <c r="F24" s="3">
        <f>SUMIFS(parking_demand_data_2024_calibr!E:E,parking_demand_data_2024_calibr!$A:$A,$A24)</f>
        <v>80.797147817235228</v>
      </c>
      <c r="G24" s="3">
        <f t="shared" si="0"/>
        <v>80.797147817235228</v>
      </c>
      <c r="H24" s="5">
        <f t="shared" si="1"/>
        <v>1</v>
      </c>
      <c r="I24" s="5" t="e">
        <f t="shared" ca="1" si="2"/>
        <v>#DIV/0!</v>
      </c>
      <c r="J24">
        <f t="shared" ca="1" si="3"/>
        <v>0</v>
      </c>
      <c r="K24">
        <f t="shared" ca="1" si="4"/>
        <v>0</v>
      </c>
      <c r="L24">
        <f t="shared" ca="1" si="5"/>
        <v>0</v>
      </c>
      <c r="M24">
        <f t="shared" ca="1" si="6"/>
        <v>1</v>
      </c>
    </row>
    <row r="25" spans="1:13" x14ac:dyDescent="0.25">
      <c r="A25">
        <v>18047</v>
      </c>
      <c r="B25" t="str">
        <f ca="1">OFFSET(parking_demand_data_2024_calibr!B$1,MATCH(A25,parking_demand_data_2024_calibr!A:A,0)-1,0)</f>
        <v>Franklin County</v>
      </c>
      <c r="C25">
        <f ca="1">OFFSET(parking_demand_data_2024_calibr!H$1,MATCH(A25,parking_demand_data_2024_calibr!A:A,0)-1,0)</f>
        <v>0</v>
      </c>
      <c r="D25" s="3">
        <f>_xlfn.MAXIFS(parking_demand_data_2024_calibr!D:D,parking_demand_data_2024_calibr!$A:$A,$A25)</f>
        <v>1.40028563437795</v>
      </c>
      <c r="E25" s="3">
        <f>SUMIFS(parking_demand_data_2024_calibr!D:D,parking_demand_data_2024_calibr!$A:$A,$A25)</f>
        <v>12.294507869838416</v>
      </c>
      <c r="F25" s="3">
        <f>SUMIFS(parking_demand_data_2024_calibr!E:E,parking_demand_data_2024_calibr!$A:$A,$A25)</f>
        <v>11.594365052649454</v>
      </c>
      <c r="G25" s="3">
        <f t="shared" si="0"/>
        <v>23.88887292248787</v>
      </c>
      <c r="H25" s="5">
        <f t="shared" si="1"/>
        <v>0.48534583821805422</v>
      </c>
      <c r="I25" s="5" t="e">
        <f t="shared" ca="1" si="2"/>
        <v>#DIV/0!</v>
      </c>
      <c r="J25">
        <f t="shared" ca="1" si="3"/>
        <v>0</v>
      </c>
      <c r="K25">
        <f t="shared" ca="1" si="4"/>
        <v>0</v>
      </c>
      <c r="L25">
        <f t="shared" ca="1" si="5"/>
        <v>0</v>
      </c>
      <c r="M25">
        <f t="shared" ca="1" si="6"/>
        <v>1</v>
      </c>
    </row>
    <row r="26" spans="1:13" x14ac:dyDescent="0.25">
      <c r="A26">
        <v>18049</v>
      </c>
      <c r="B26" t="str">
        <f ca="1">OFFSET(parking_demand_data_2024_calibr!B$1,MATCH(A26,parking_demand_data_2024_calibr!A:A,0)-1,0)</f>
        <v>Fulton County</v>
      </c>
      <c r="C26">
        <f ca="1">OFFSET(parking_demand_data_2024_calibr!H$1,MATCH(A26,parking_demand_data_2024_calibr!A:A,0)-1,0)</f>
        <v>0</v>
      </c>
      <c r="D26" s="3">
        <f>_xlfn.MAXIFS(parking_demand_data_2024_calibr!D:D,parking_demand_data_2024_calibr!$A:$A,$A26)</f>
        <v>14.5204072935701</v>
      </c>
      <c r="E26" s="3">
        <f>SUMIFS(parking_demand_data_2024_calibr!D:D,parking_demand_data_2024_calibr!$A:$A,$A26)</f>
        <v>207.69440516011795</v>
      </c>
      <c r="F26" s="3">
        <f>SUMIFS(parking_demand_data_2024_calibr!E:E,parking_demand_data_2024_calibr!$A:$A,$A26)</f>
        <v>23.337813393843856</v>
      </c>
      <c r="G26" s="3">
        <f t="shared" si="0"/>
        <v>231.0322185539618</v>
      </c>
      <c r="H26" s="5">
        <f t="shared" si="1"/>
        <v>0.1010154061624651</v>
      </c>
      <c r="I26" s="5" t="e">
        <f t="shared" ca="1" si="2"/>
        <v>#DIV/0!</v>
      </c>
      <c r="J26">
        <f t="shared" ca="1" si="3"/>
        <v>0</v>
      </c>
      <c r="K26">
        <f t="shared" ca="1" si="4"/>
        <v>0</v>
      </c>
      <c r="L26">
        <f t="shared" ca="1" si="5"/>
        <v>0</v>
      </c>
      <c r="M26">
        <f t="shared" ca="1" si="6"/>
        <v>1</v>
      </c>
    </row>
    <row r="27" spans="1:13" x14ac:dyDescent="0.25">
      <c r="A27">
        <v>18051</v>
      </c>
      <c r="B27" t="str">
        <f ca="1">OFFSET(parking_demand_data_2024_calibr!B$1,MATCH(A27,parking_demand_data_2024_calibr!A:A,0)-1,0)</f>
        <v>Gibson County</v>
      </c>
      <c r="C27">
        <f ca="1">OFFSET(parking_demand_data_2024_calibr!H$1,MATCH(A27,parking_demand_data_2024_calibr!A:A,0)-1,0)</f>
        <v>1</v>
      </c>
      <c r="D27" s="3">
        <f>_xlfn.MAXIFS(parking_demand_data_2024_calibr!D:D,parking_demand_data_2024_calibr!$A:$A,$A27)</f>
        <v>253</v>
      </c>
      <c r="E27" s="3">
        <f>SUMIFS(parking_demand_data_2024_calibr!D:D,parking_demand_data_2024_calibr!$A:$A,$A27)</f>
        <v>4402.7563657407309</v>
      </c>
      <c r="F27" s="3">
        <f>SUMIFS(parking_demand_data_2024_calibr!E:E,parking_demand_data_2024_calibr!$A:$A,$A27)</f>
        <v>56.685860339506092</v>
      </c>
      <c r="G27" s="3">
        <f t="shared" si="0"/>
        <v>4459.4422260802367</v>
      </c>
      <c r="H27" s="5">
        <f t="shared" si="1"/>
        <v>1.2711423865520479E-2</v>
      </c>
      <c r="I27" s="5">
        <f t="shared" ca="1" si="2"/>
        <v>253</v>
      </c>
      <c r="J27">
        <f t="shared" ca="1" si="3"/>
        <v>1</v>
      </c>
      <c r="K27">
        <f t="shared" ca="1" si="4"/>
        <v>0</v>
      </c>
      <c r="L27">
        <f t="shared" ca="1" si="5"/>
        <v>0</v>
      </c>
      <c r="M27">
        <f t="shared" ca="1" si="6"/>
        <v>0</v>
      </c>
    </row>
    <row r="28" spans="1:13" x14ac:dyDescent="0.25">
      <c r="A28">
        <v>18053</v>
      </c>
      <c r="B28" t="str">
        <f ca="1">OFFSET(parking_demand_data_2024_calibr!B$1,MATCH(A28,parking_demand_data_2024_calibr!A:A,0)-1,0)</f>
        <v>Grant County</v>
      </c>
      <c r="C28">
        <f ca="1">OFFSET(parking_demand_data_2024_calibr!H$1,MATCH(A28,parking_demand_data_2024_calibr!A:A,0)-1,0)</f>
        <v>0</v>
      </c>
      <c r="D28" s="3">
        <f>_xlfn.MAXIFS(parking_demand_data_2024_calibr!D:D,parking_demand_data_2024_calibr!$A:$A,$A28)</f>
        <v>137.177505050614</v>
      </c>
      <c r="E28" s="3">
        <f>SUMIFS(parking_demand_data_2024_calibr!D:D,parking_demand_data_2024_calibr!$A:$A,$A28)</f>
        <v>2565.8376185714342</v>
      </c>
      <c r="F28" s="3">
        <f>SUMIFS(parking_demand_data_2024_calibr!E:E,parking_demand_data_2024_calibr!$A:$A,$A28)</f>
        <v>101.9325736493235</v>
      </c>
      <c r="G28" s="3">
        <f t="shared" si="0"/>
        <v>2667.7701922207575</v>
      </c>
      <c r="H28" s="5">
        <f t="shared" si="1"/>
        <v>3.8208903430497806E-2</v>
      </c>
      <c r="I28" s="5" t="e">
        <f t="shared" ca="1" si="2"/>
        <v>#DIV/0!</v>
      </c>
      <c r="J28">
        <f t="shared" ca="1" si="3"/>
        <v>0</v>
      </c>
      <c r="K28">
        <f t="shared" ca="1" si="4"/>
        <v>0</v>
      </c>
      <c r="L28">
        <f t="shared" ca="1" si="5"/>
        <v>0</v>
      </c>
      <c r="M28">
        <f t="shared" ca="1" si="6"/>
        <v>1</v>
      </c>
    </row>
    <row r="29" spans="1:13" x14ac:dyDescent="0.25">
      <c r="A29">
        <v>18055</v>
      </c>
      <c r="B29" t="str">
        <f ca="1">OFFSET(parking_demand_data_2024_calibr!B$1,MATCH(A29,parking_demand_data_2024_calibr!A:A,0)-1,0)</f>
        <v>Greene County</v>
      </c>
      <c r="C29">
        <f ca="1">OFFSET(parking_demand_data_2024_calibr!H$1,MATCH(A29,parking_demand_data_2024_calibr!A:A,0)-1,0)</f>
        <v>0</v>
      </c>
      <c r="D29" s="3">
        <f>_xlfn.MAXIFS(parking_demand_data_2024_calibr!D:D,parking_demand_data_2024_calibr!$A:$A,$A29)</f>
        <v>4.8878192192821102</v>
      </c>
      <c r="E29" s="3">
        <f>SUMIFS(parking_demand_data_2024_calibr!D:D,parking_demand_data_2024_calibr!$A:$A,$A29)</f>
        <v>37.473280681162777</v>
      </c>
      <c r="F29" s="3">
        <f>SUMIFS(parking_demand_data_2024_calibr!E:E,parking_demand_data_2024_calibr!$A:$A,$A29)</f>
        <v>137.99564028391808</v>
      </c>
      <c r="G29" s="3">
        <f t="shared" si="0"/>
        <v>175.46892096508086</v>
      </c>
      <c r="H29" s="5">
        <f t="shared" si="1"/>
        <v>0.78643921399265837</v>
      </c>
      <c r="I29" s="5" t="e">
        <f t="shared" ca="1" si="2"/>
        <v>#DIV/0!</v>
      </c>
      <c r="J29">
        <f t="shared" ca="1" si="3"/>
        <v>0</v>
      </c>
      <c r="K29">
        <f t="shared" ca="1" si="4"/>
        <v>0</v>
      </c>
      <c r="L29">
        <f t="shared" ca="1" si="5"/>
        <v>0</v>
      </c>
      <c r="M29">
        <f t="shared" ca="1" si="6"/>
        <v>1</v>
      </c>
    </row>
    <row r="30" spans="1:13" x14ac:dyDescent="0.25">
      <c r="A30">
        <v>18057</v>
      </c>
      <c r="B30" t="str">
        <f ca="1">OFFSET(parking_demand_data_2024_calibr!B$1,MATCH(A30,parking_demand_data_2024_calibr!A:A,0)-1,0)</f>
        <v>Hamilton County</v>
      </c>
      <c r="C30">
        <f ca="1">OFFSET(parking_demand_data_2024_calibr!H$1,MATCH(A30,parking_demand_data_2024_calibr!A:A,0)-1,0)</f>
        <v>0</v>
      </c>
      <c r="D30" s="3">
        <f>_xlfn.MAXIFS(parking_demand_data_2024_calibr!D:D,parking_demand_data_2024_calibr!$A:$A,$A30)</f>
        <v>10.817518180664299</v>
      </c>
      <c r="E30" s="3">
        <f>SUMIFS(parking_demand_data_2024_calibr!D:D,parking_demand_data_2024_calibr!$A:$A,$A30)</f>
        <v>161.89339404038188</v>
      </c>
      <c r="F30" s="3">
        <f>SUMIFS(parking_demand_data_2024_calibr!E:E,parking_demand_data_2024_calibr!$A:$A,$A30)</f>
        <v>130.33790198166341</v>
      </c>
      <c r="G30" s="3">
        <f t="shared" si="0"/>
        <v>292.23129602204529</v>
      </c>
      <c r="H30" s="5">
        <f t="shared" si="1"/>
        <v>0.44600938967136156</v>
      </c>
      <c r="I30" s="5" t="e">
        <f t="shared" ca="1" si="2"/>
        <v>#DIV/0!</v>
      </c>
      <c r="J30">
        <f t="shared" ca="1" si="3"/>
        <v>0</v>
      </c>
      <c r="K30">
        <f t="shared" ca="1" si="4"/>
        <v>0</v>
      </c>
      <c r="L30">
        <f t="shared" ca="1" si="5"/>
        <v>0</v>
      </c>
      <c r="M30">
        <f t="shared" ca="1" si="6"/>
        <v>1</v>
      </c>
    </row>
    <row r="31" spans="1:13" x14ac:dyDescent="0.25">
      <c r="A31">
        <v>18059</v>
      </c>
      <c r="B31" t="str">
        <f ca="1">OFFSET(parking_demand_data_2024_calibr!B$1,MATCH(A31,parking_demand_data_2024_calibr!A:A,0)-1,0)</f>
        <v>Hancock County</v>
      </c>
      <c r="C31">
        <f ca="1">OFFSET(parking_demand_data_2024_calibr!H$1,MATCH(A31,parking_demand_data_2024_calibr!A:A,0)-1,0)</f>
        <v>0</v>
      </c>
      <c r="D31" s="3">
        <f>_xlfn.MAXIFS(parking_demand_data_2024_calibr!D:D,parking_demand_data_2024_calibr!$A:$A,$A31)</f>
        <v>428.94999999999902</v>
      </c>
      <c r="E31" s="3">
        <f>SUMIFS(parking_demand_data_2024_calibr!D:D,parking_demand_data_2024_calibr!$A:$A,$A31)</f>
        <v>7301.6109825009007</v>
      </c>
      <c r="F31" s="3">
        <f>SUMIFS(parking_demand_data_2024_calibr!E:E,parking_demand_data_2024_calibr!$A:$A,$A31)</f>
        <v>345.63862103536189</v>
      </c>
      <c r="G31" s="3">
        <f t="shared" si="0"/>
        <v>7647.2496035362628</v>
      </c>
      <c r="H31" s="5">
        <f t="shared" si="1"/>
        <v>4.5197768995997034E-2</v>
      </c>
      <c r="I31" s="5" t="e">
        <f t="shared" ca="1" si="2"/>
        <v>#DIV/0!</v>
      </c>
      <c r="J31">
        <f t="shared" ca="1" si="3"/>
        <v>0</v>
      </c>
      <c r="K31">
        <f t="shared" ca="1" si="4"/>
        <v>0</v>
      </c>
      <c r="L31">
        <f t="shared" ca="1" si="5"/>
        <v>0</v>
      </c>
      <c r="M31">
        <f t="shared" ca="1" si="6"/>
        <v>1</v>
      </c>
    </row>
    <row r="32" spans="1:13" x14ac:dyDescent="0.25">
      <c r="A32">
        <v>18061</v>
      </c>
      <c r="B32" t="str">
        <f ca="1">OFFSET(parking_demand_data_2024_calibr!B$1,MATCH(A32,parking_demand_data_2024_calibr!A:A,0)-1,0)</f>
        <v>Harrison County</v>
      </c>
      <c r="C32">
        <f ca="1">OFFSET(parking_demand_data_2024_calibr!H$1,MATCH(A32,parking_demand_data_2024_calibr!A:A,0)-1,0)</f>
        <v>0</v>
      </c>
      <c r="D32" s="3">
        <f>_xlfn.MAXIFS(parking_demand_data_2024_calibr!D:D,parking_demand_data_2024_calibr!$A:$A,$A32)</f>
        <v>0</v>
      </c>
      <c r="E32" s="3">
        <f>SUMIFS(parking_demand_data_2024_calibr!D:D,parking_demand_data_2024_calibr!$A:$A,$A32)</f>
        <v>0</v>
      </c>
      <c r="F32" s="3">
        <f>SUMIFS(parking_demand_data_2024_calibr!E:E,parking_demand_data_2024_calibr!$A:$A,$A32)</f>
        <v>63.993121153264802</v>
      </c>
      <c r="G32" s="3">
        <f t="shared" si="0"/>
        <v>63.993121153264802</v>
      </c>
      <c r="H32" s="5">
        <f t="shared" si="1"/>
        <v>1</v>
      </c>
      <c r="I32" s="5" t="e">
        <f t="shared" ca="1" si="2"/>
        <v>#DIV/0!</v>
      </c>
      <c r="J32">
        <f t="shared" ca="1" si="3"/>
        <v>0</v>
      </c>
      <c r="K32">
        <f t="shared" ca="1" si="4"/>
        <v>0</v>
      </c>
      <c r="L32">
        <f t="shared" ca="1" si="5"/>
        <v>0</v>
      </c>
      <c r="M32">
        <f t="shared" ca="1" si="6"/>
        <v>1</v>
      </c>
    </row>
    <row r="33" spans="1:13" x14ac:dyDescent="0.25">
      <c r="A33">
        <v>18063</v>
      </c>
      <c r="B33" t="str">
        <f ca="1">OFFSET(parking_demand_data_2024_calibr!B$1,MATCH(A33,parking_demand_data_2024_calibr!A:A,0)-1,0)</f>
        <v>Hendricks County</v>
      </c>
      <c r="C33">
        <f ca="1">OFFSET(parking_demand_data_2024_calibr!H$1,MATCH(A33,parking_demand_data_2024_calibr!A:A,0)-1,0)</f>
        <v>1</v>
      </c>
      <c r="D33" s="3">
        <f>_xlfn.MAXIFS(parking_demand_data_2024_calibr!D:D,parking_demand_data_2024_calibr!$A:$A,$A33)</f>
        <v>426.65</v>
      </c>
      <c r="E33" s="3">
        <f>SUMIFS(parking_demand_data_2024_calibr!D:D,parking_demand_data_2024_calibr!$A:$A,$A33)</f>
        <v>7863.8391700133752</v>
      </c>
      <c r="F33" s="3">
        <f>SUMIFS(parking_demand_data_2024_calibr!E:E,parking_demand_data_2024_calibr!$A:$A,$A33)</f>
        <v>1236.8471173583212</v>
      </c>
      <c r="G33" s="3">
        <f t="shared" si="0"/>
        <v>9100.6862873716964</v>
      </c>
      <c r="H33" s="5">
        <f t="shared" si="1"/>
        <v>0.13590701605378885</v>
      </c>
      <c r="I33" s="5">
        <f t="shared" ca="1" si="2"/>
        <v>426.65</v>
      </c>
      <c r="J33">
        <f t="shared" ca="1" si="3"/>
        <v>1</v>
      </c>
      <c r="K33">
        <f t="shared" ca="1" si="4"/>
        <v>0</v>
      </c>
      <c r="L33">
        <f t="shared" ca="1" si="5"/>
        <v>0</v>
      </c>
      <c r="M33">
        <f t="shared" ca="1" si="6"/>
        <v>0</v>
      </c>
    </row>
    <row r="34" spans="1:13" x14ac:dyDescent="0.25">
      <c r="A34">
        <v>18065</v>
      </c>
      <c r="B34" t="str">
        <f ca="1">OFFSET(parking_demand_data_2024_calibr!B$1,MATCH(A34,parking_demand_data_2024_calibr!A:A,0)-1,0)</f>
        <v>Henry County</v>
      </c>
      <c r="C34">
        <f ca="1">OFFSET(parking_demand_data_2024_calibr!H$1,MATCH(A34,parking_demand_data_2024_calibr!A:A,0)-1,0)</f>
        <v>1</v>
      </c>
      <c r="D34" s="3">
        <f>_xlfn.MAXIFS(parking_demand_data_2024_calibr!D:D,parking_demand_data_2024_calibr!$A:$A,$A34)</f>
        <v>383.95538575301998</v>
      </c>
      <c r="E34" s="3">
        <f>SUMIFS(parking_demand_data_2024_calibr!D:D,parking_demand_data_2024_calibr!$A:$A,$A34)</f>
        <v>6592.5518148112442</v>
      </c>
      <c r="F34" s="3">
        <f>SUMIFS(parking_demand_data_2024_calibr!E:E,parking_demand_data_2024_calibr!$A:$A,$A34)</f>
        <v>103.79364176639197</v>
      </c>
      <c r="G34" s="3">
        <f t="shared" si="0"/>
        <v>6696.3454565776365</v>
      </c>
      <c r="H34" s="5">
        <f t="shared" si="1"/>
        <v>1.5500042887488477E-2</v>
      </c>
      <c r="I34" s="5">
        <f t="shared" ca="1" si="2"/>
        <v>383.95538575301998</v>
      </c>
      <c r="J34">
        <f t="shared" ca="1" si="3"/>
        <v>1</v>
      </c>
      <c r="K34">
        <f t="shared" ca="1" si="4"/>
        <v>0</v>
      </c>
      <c r="L34">
        <f t="shared" ca="1" si="5"/>
        <v>0</v>
      </c>
      <c r="M34">
        <f t="shared" ca="1" si="6"/>
        <v>0</v>
      </c>
    </row>
    <row r="35" spans="1:13" x14ac:dyDescent="0.25">
      <c r="A35">
        <v>18067</v>
      </c>
      <c r="B35" t="str">
        <f ca="1">OFFSET(parking_demand_data_2024_calibr!B$1,MATCH(A35,parking_demand_data_2024_calibr!A:A,0)-1,0)</f>
        <v>Howard County</v>
      </c>
      <c r="C35">
        <f ca="1">OFFSET(parking_demand_data_2024_calibr!H$1,MATCH(A35,parking_demand_data_2024_calibr!A:A,0)-1,0)</f>
        <v>0</v>
      </c>
      <c r="D35" s="3">
        <f>_xlfn.MAXIFS(parking_demand_data_2024_calibr!D:D,parking_demand_data_2024_calibr!$A:$A,$A35)</f>
        <v>0</v>
      </c>
      <c r="E35" s="3">
        <f>SUMIFS(parking_demand_data_2024_calibr!D:D,parking_demand_data_2024_calibr!$A:$A,$A35)</f>
        <v>0</v>
      </c>
      <c r="F35" s="3">
        <f>SUMIFS(parking_demand_data_2024_calibr!E:E,parking_demand_data_2024_calibr!$A:$A,$A35)</f>
        <v>93.379253748231079</v>
      </c>
      <c r="G35" s="3">
        <f t="shared" si="0"/>
        <v>93.379253748231079</v>
      </c>
      <c r="H35" s="5">
        <f t="shared" si="1"/>
        <v>1</v>
      </c>
      <c r="I35" s="5" t="e">
        <f t="shared" ca="1" si="2"/>
        <v>#DIV/0!</v>
      </c>
      <c r="J35">
        <f t="shared" ca="1" si="3"/>
        <v>0</v>
      </c>
      <c r="K35">
        <f t="shared" ca="1" si="4"/>
        <v>0</v>
      </c>
      <c r="L35">
        <f t="shared" ca="1" si="5"/>
        <v>0</v>
      </c>
      <c r="M35">
        <f t="shared" ca="1" si="6"/>
        <v>1</v>
      </c>
    </row>
    <row r="36" spans="1:13" x14ac:dyDescent="0.25">
      <c r="A36">
        <v>18069</v>
      </c>
      <c r="B36" t="str">
        <f ca="1">OFFSET(parking_demand_data_2024_calibr!B$1,MATCH(A36,parking_demand_data_2024_calibr!A:A,0)-1,0)</f>
        <v>Huntington County</v>
      </c>
      <c r="C36">
        <f ca="1">OFFSET(parking_demand_data_2024_calibr!H$1,MATCH(A36,parking_demand_data_2024_calibr!A:A,0)-1,0)</f>
        <v>1</v>
      </c>
      <c r="D36" s="3">
        <f>_xlfn.MAXIFS(parking_demand_data_2024_calibr!D:D,parking_demand_data_2024_calibr!$A:$A,$A36)</f>
        <v>34.430785843690799</v>
      </c>
      <c r="E36" s="3">
        <f>SUMIFS(parking_demand_data_2024_calibr!D:D,parking_demand_data_2024_calibr!$A:$A,$A36)</f>
        <v>565.34063223159194</v>
      </c>
      <c r="F36" s="3">
        <f>SUMIFS(parking_demand_data_2024_calibr!E:E,parking_demand_data_2024_calibr!$A:$A,$A36)</f>
        <v>85.208150387003016</v>
      </c>
      <c r="G36" s="3">
        <f t="shared" si="0"/>
        <v>650.54878261859494</v>
      </c>
      <c r="H36" s="5">
        <f t="shared" si="1"/>
        <v>0.1309788791611021</v>
      </c>
      <c r="I36" s="5">
        <f t="shared" ca="1" si="2"/>
        <v>34.430785843690799</v>
      </c>
      <c r="J36">
        <f t="shared" ca="1" si="3"/>
        <v>0</v>
      </c>
      <c r="K36">
        <f t="shared" ca="1" si="4"/>
        <v>1</v>
      </c>
      <c r="L36">
        <f t="shared" ca="1" si="5"/>
        <v>0</v>
      </c>
      <c r="M36">
        <f t="shared" ca="1" si="6"/>
        <v>0</v>
      </c>
    </row>
    <row r="37" spans="1:13" x14ac:dyDescent="0.25">
      <c r="A37">
        <v>18071</v>
      </c>
      <c r="B37" t="str">
        <f ca="1">OFFSET(parking_demand_data_2024_calibr!B$1,MATCH(A37,parking_demand_data_2024_calibr!A:A,0)-1,0)</f>
        <v>Jackson County</v>
      </c>
      <c r="C37">
        <f ca="1">OFFSET(parking_demand_data_2024_calibr!H$1,MATCH(A37,parking_demand_data_2024_calibr!A:A,0)-1,0)</f>
        <v>1</v>
      </c>
      <c r="D37" s="3">
        <f>_xlfn.MAXIFS(parking_demand_data_2024_calibr!D:D,parking_demand_data_2024_calibr!$A:$A,$A37)</f>
        <v>194.35</v>
      </c>
      <c r="E37" s="3">
        <f>SUMIFS(parking_demand_data_2024_calibr!D:D,parking_demand_data_2024_calibr!$A:$A,$A37)</f>
        <v>3195.8955445544484</v>
      </c>
      <c r="F37" s="3">
        <f>SUMIFS(parking_demand_data_2024_calibr!E:E,parking_demand_data_2024_calibr!$A:$A,$A37)</f>
        <v>184.09962871287073</v>
      </c>
      <c r="G37" s="3">
        <f t="shared" si="0"/>
        <v>3379.9951732673189</v>
      </c>
      <c r="H37" s="5">
        <f t="shared" si="1"/>
        <v>5.4467423554013031E-2</v>
      </c>
      <c r="I37" s="5">
        <f t="shared" ca="1" si="2"/>
        <v>194.35</v>
      </c>
      <c r="J37">
        <f t="shared" ca="1" si="3"/>
        <v>1</v>
      </c>
      <c r="K37">
        <f t="shared" ca="1" si="4"/>
        <v>0</v>
      </c>
      <c r="L37">
        <f t="shared" ca="1" si="5"/>
        <v>0</v>
      </c>
      <c r="M37">
        <f t="shared" ca="1" si="6"/>
        <v>0</v>
      </c>
    </row>
    <row r="38" spans="1:13" x14ac:dyDescent="0.25">
      <c r="A38">
        <v>18073</v>
      </c>
      <c r="B38" t="str">
        <f ca="1">OFFSET(parking_demand_data_2024_calibr!B$1,MATCH(A38,parking_demand_data_2024_calibr!A:A,0)-1,0)</f>
        <v>Jasper County</v>
      </c>
      <c r="C38">
        <f ca="1">OFFSET(parking_demand_data_2024_calibr!H$1,MATCH(A38,parking_demand_data_2024_calibr!A:A,0)-1,0)</f>
        <v>3</v>
      </c>
      <c r="D38" s="3">
        <f>_xlfn.MAXIFS(parking_demand_data_2024_calibr!D:D,parking_demand_data_2024_calibr!$A:$A,$A38)</f>
        <v>783.61307201796296</v>
      </c>
      <c r="E38" s="3">
        <f>SUMIFS(parking_demand_data_2024_calibr!D:D,parking_demand_data_2024_calibr!$A:$A,$A38)</f>
        <v>13012.662572030484</v>
      </c>
      <c r="F38" s="3">
        <f>SUMIFS(parking_demand_data_2024_calibr!E:E,parking_demand_data_2024_calibr!$A:$A,$A38)</f>
        <v>377.97492776013701</v>
      </c>
      <c r="G38" s="3">
        <f t="shared" si="0"/>
        <v>13390.63749979062</v>
      </c>
      <c r="H38" s="5">
        <f t="shared" si="1"/>
        <v>2.8226806062522949E-2</v>
      </c>
      <c r="I38" s="5">
        <f t="shared" ca="1" si="2"/>
        <v>261.20435733932101</v>
      </c>
      <c r="J38">
        <f t="shared" ca="1" si="3"/>
        <v>1</v>
      </c>
      <c r="K38">
        <f t="shared" ca="1" si="4"/>
        <v>0</v>
      </c>
      <c r="L38">
        <f t="shared" ca="1" si="5"/>
        <v>0</v>
      </c>
      <c r="M38">
        <f t="shared" ca="1" si="6"/>
        <v>0</v>
      </c>
    </row>
    <row r="39" spans="1:13" x14ac:dyDescent="0.25">
      <c r="A39">
        <v>18075</v>
      </c>
      <c r="B39" t="str">
        <f ca="1">OFFSET(parking_demand_data_2024_calibr!B$1,MATCH(A39,parking_demand_data_2024_calibr!A:A,0)-1,0)</f>
        <v>Jay County</v>
      </c>
      <c r="C39">
        <f ca="1">OFFSET(parking_demand_data_2024_calibr!H$1,MATCH(A39,parking_demand_data_2024_calibr!A:A,0)-1,0)</f>
        <v>0</v>
      </c>
      <c r="D39" s="3">
        <f>_xlfn.MAXIFS(parking_demand_data_2024_calibr!D:D,parking_demand_data_2024_calibr!$A:$A,$A39)</f>
        <v>8.5303534253310307</v>
      </c>
      <c r="E39" s="3">
        <f>SUMIFS(parking_demand_data_2024_calibr!D:D,parking_demand_data_2024_calibr!$A:$A,$A39)</f>
        <v>159.21560275229655</v>
      </c>
      <c r="F39" s="3">
        <f>SUMIFS(parking_demand_data_2024_calibr!E:E,parking_demand_data_2024_calibr!$A:$A,$A39)</f>
        <v>0</v>
      </c>
      <c r="G39" s="3">
        <f t="shared" si="0"/>
        <v>159.21560275229655</v>
      </c>
      <c r="H39" s="5">
        <f t="shared" si="1"/>
        <v>0</v>
      </c>
      <c r="I39" s="5" t="e">
        <f t="shared" ca="1" si="2"/>
        <v>#DIV/0!</v>
      </c>
      <c r="J39">
        <f t="shared" ca="1" si="3"/>
        <v>0</v>
      </c>
      <c r="K39">
        <f t="shared" ca="1" si="4"/>
        <v>0</v>
      </c>
      <c r="L39">
        <f t="shared" ca="1" si="5"/>
        <v>0</v>
      </c>
      <c r="M39">
        <f t="shared" ca="1" si="6"/>
        <v>1</v>
      </c>
    </row>
    <row r="40" spans="1:13" x14ac:dyDescent="0.25">
      <c r="A40">
        <v>18077</v>
      </c>
      <c r="B40" t="str">
        <f ca="1">OFFSET(parking_demand_data_2024_calibr!B$1,MATCH(A40,parking_demand_data_2024_calibr!A:A,0)-1,0)</f>
        <v>Jefferson County</v>
      </c>
      <c r="C40">
        <f ca="1">OFFSET(parking_demand_data_2024_calibr!H$1,MATCH(A40,parking_demand_data_2024_calibr!A:A,0)-1,0)</f>
        <v>0</v>
      </c>
      <c r="D40" s="3">
        <f>_xlfn.MAXIFS(parking_demand_data_2024_calibr!D:D,parking_demand_data_2024_calibr!$A:$A,$A40)</f>
        <v>0</v>
      </c>
      <c r="E40" s="3">
        <f>SUMIFS(parking_demand_data_2024_calibr!D:D,parking_demand_data_2024_calibr!$A:$A,$A40)</f>
        <v>0</v>
      </c>
      <c r="F40" s="3">
        <f>SUMIFS(parking_demand_data_2024_calibr!E:E,parking_demand_data_2024_calibr!$A:$A,$A40)</f>
        <v>31.06186490340902</v>
      </c>
      <c r="G40" s="3">
        <f t="shared" si="0"/>
        <v>31.06186490340902</v>
      </c>
      <c r="H40" s="5">
        <f t="shared" si="1"/>
        <v>1</v>
      </c>
      <c r="I40" s="5" t="e">
        <f t="shared" ca="1" si="2"/>
        <v>#DIV/0!</v>
      </c>
      <c r="J40">
        <f t="shared" ca="1" si="3"/>
        <v>0</v>
      </c>
      <c r="K40">
        <f t="shared" ca="1" si="4"/>
        <v>0</v>
      </c>
      <c r="L40">
        <f t="shared" ca="1" si="5"/>
        <v>0</v>
      </c>
      <c r="M40">
        <f t="shared" ca="1" si="6"/>
        <v>1</v>
      </c>
    </row>
    <row r="41" spans="1:13" x14ac:dyDescent="0.25">
      <c r="A41">
        <v>18079</v>
      </c>
      <c r="B41" t="str">
        <f ca="1">OFFSET(parking_demand_data_2024_calibr!B$1,MATCH(A41,parking_demand_data_2024_calibr!A:A,0)-1,0)</f>
        <v>Jennings County</v>
      </c>
      <c r="C41">
        <f ca="1">OFFSET(parking_demand_data_2024_calibr!H$1,MATCH(A41,parking_demand_data_2024_calibr!A:A,0)-1,0)</f>
        <v>0</v>
      </c>
      <c r="D41" s="3">
        <f>_xlfn.MAXIFS(parking_demand_data_2024_calibr!D:D,parking_demand_data_2024_calibr!$A:$A,$A41)</f>
        <v>9.1999999999999993</v>
      </c>
      <c r="E41" s="3">
        <f>SUMIFS(parking_demand_data_2024_calibr!D:D,parking_demand_data_2024_calibr!$A:$A,$A41)</f>
        <v>163.34946236559134</v>
      </c>
      <c r="F41" s="3">
        <f>SUMIFS(parking_demand_data_2024_calibr!E:E,parking_demand_data_2024_calibr!$A:$A,$A41)</f>
        <v>12.983870967741908</v>
      </c>
      <c r="G41" s="3">
        <f t="shared" si="0"/>
        <v>176.33333333333326</v>
      </c>
      <c r="H41" s="5">
        <f t="shared" si="1"/>
        <v>7.3632538569424838E-2</v>
      </c>
      <c r="I41" s="5" t="e">
        <f t="shared" ca="1" si="2"/>
        <v>#DIV/0!</v>
      </c>
      <c r="J41">
        <f t="shared" ca="1" si="3"/>
        <v>0</v>
      </c>
      <c r="K41">
        <f t="shared" ca="1" si="4"/>
        <v>0</v>
      </c>
      <c r="L41">
        <f t="shared" ca="1" si="5"/>
        <v>0</v>
      </c>
      <c r="M41">
        <f t="shared" ca="1" si="6"/>
        <v>1</v>
      </c>
    </row>
    <row r="42" spans="1:13" x14ac:dyDescent="0.25">
      <c r="A42">
        <v>18081</v>
      </c>
      <c r="B42" t="str">
        <f ca="1">OFFSET(parking_demand_data_2024_calibr!B$1,MATCH(A42,parking_demand_data_2024_calibr!A:A,0)-1,0)</f>
        <v>Johnson County</v>
      </c>
      <c r="C42">
        <f ca="1">OFFSET(parking_demand_data_2024_calibr!H$1,MATCH(A42,parking_demand_data_2024_calibr!A:A,0)-1,0)</f>
        <v>3</v>
      </c>
      <c r="D42" s="3">
        <f>_xlfn.MAXIFS(parking_demand_data_2024_calibr!D:D,parking_demand_data_2024_calibr!$A:$A,$A42)</f>
        <v>555.75648992102094</v>
      </c>
      <c r="E42" s="3">
        <f>SUMIFS(parking_demand_data_2024_calibr!D:D,parking_demand_data_2024_calibr!$A:$A,$A42)</f>
        <v>10153.558090350865</v>
      </c>
      <c r="F42" s="3">
        <f>SUMIFS(parking_demand_data_2024_calibr!E:E,parking_demand_data_2024_calibr!$A:$A,$A42)</f>
        <v>257.16515216093677</v>
      </c>
      <c r="G42" s="3">
        <f t="shared" si="0"/>
        <v>10410.723242511802</v>
      </c>
      <c r="H42" s="5">
        <f t="shared" si="1"/>
        <v>2.4701948766711272E-2</v>
      </c>
      <c r="I42" s="5">
        <f t="shared" ca="1" si="2"/>
        <v>185.25216330700698</v>
      </c>
      <c r="J42">
        <f t="shared" ca="1" si="3"/>
        <v>1</v>
      </c>
      <c r="K42">
        <f t="shared" ca="1" si="4"/>
        <v>0</v>
      </c>
      <c r="L42">
        <f t="shared" ca="1" si="5"/>
        <v>0</v>
      </c>
      <c r="M42">
        <f t="shared" ca="1" si="6"/>
        <v>0</v>
      </c>
    </row>
    <row r="43" spans="1:13" x14ac:dyDescent="0.25">
      <c r="A43">
        <v>18083</v>
      </c>
      <c r="B43" t="str">
        <f ca="1">OFFSET(parking_demand_data_2024_calibr!B$1,MATCH(A43,parking_demand_data_2024_calibr!A:A,0)-1,0)</f>
        <v>Knox County</v>
      </c>
      <c r="C43">
        <f ca="1">OFFSET(parking_demand_data_2024_calibr!H$1,MATCH(A43,parking_demand_data_2024_calibr!A:A,0)-1,0)</f>
        <v>0</v>
      </c>
      <c r="D43" s="3">
        <f>_xlfn.MAXIFS(parking_demand_data_2024_calibr!D:D,parking_demand_data_2024_calibr!$A:$A,$A43)</f>
        <v>16.5613728839873</v>
      </c>
      <c r="E43" s="3">
        <f>SUMIFS(parking_demand_data_2024_calibr!D:D,parking_demand_data_2024_calibr!$A:$A,$A43)</f>
        <v>190.89491547717142</v>
      </c>
      <c r="F43" s="3">
        <f>SUMIFS(parking_demand_data_2024_calibr!E:E,parking_demand_data_2024_calibr!$A:$A,$A43)</f>
        <v>50.311443382415902</v>
      </c>
      <c r="G43" s="3">
        <f t="shared" si="0"/>
        <v>241.20635885958734</v>
      </c>
      <c r="H43" s="5">
        <f t="shared" si="1"/>
        <v>0.20858257477243183</v>
      </c>
      <c r="I43" s="5" t="e">
        <f t="shared" ca="1" si="2"/>
        <v>#DIV/0!</v>
      </c>
      <c r="J43">
        <f t="shared" ca="1" si="3"/>
        <v>0</v>
      </c>
      <c r="K43">
        <f t="shared" ca="1" si="4"/>
        <v>0</v>
      </c>
      <c r="L43">
        <f t="shared" ca="1" si="5"/>
        <v>0</v>
      </c>
      <c r="M43">
        <f t="shared" ca="1" si="6"/>
        <v>1</v>
      </c>
    </row>
    <row r="44" spans="1:13" x14ac:dyDescent="0.25">
      <c r="A44">
        <v>18085</v>
      </c>
      <c r="B44" t="str">
        <f ca="1">OFFSET(parking_demand_data_2024_calibr!B$1,MATCH(A44,parking_demand_data_2024_calibr!A:A,0)-1,0)</f>
        <v>Kosciusko County</v>
      </c>
      <c r="C44">
        <f ca="1">OFFSET(parking_demand_data_2024_calibr!H$1,MATCH(A44,parking_demand_data_2024_calibr!A:A,0)-1,0)</f>
        <v>0</v>
      </c>
      <c r="D44" s="3">
        <f>_xlfn.MAXIFS(parking_demand_data_2024_calibr!D:D,parking_demand_data_2024_calibr!$A:$A,$A44)</f>
        <v>0</v>
      </c>
      <c r="E44" s="3">
        <f>SUMIFS(parking_demand_data_2024_calibr!D:D,parking_demand_data_2024_calibr!$A:$A,$A44)</f>
        <v>0</v>
      </c>
      <c r="F44" s="3">
        <f>SUMIFS(parking_demand_data_2024_calibr!E:E,parking_demand_data_2024_calibr!$A:$A,$A44)</f>
        <v>173.84738369059227</v>
      </c>
      <c r="G44" s="3">
        <f t="shared" si="0"/>
        <v>173.84738369059227</v>
      </c>
      <c r="H44" s="5">
        <f t="shared" si="1"/>
        <v>1</v>
      </c>
      <c r="I44" s="5" t="e">
        <f t="shared" ca="1" si="2"/>
        <v>#DIV/0!</v>
      </c>
      <c r="J44">
        <f t="shared" ca="1" si="3"/>
        <v>0</v>
      </c>
      <c r="K44">
        <f t="shared" ca="1" si="4"/>
        <v>0</v>
      </c>
      <c r="L44">
        <f t="shared" ca="1" si="5"/>
        <v>0</v>
      </c>
      <c r="M44">
        <f t="shared" ca="1" si="6"/>
        <v>1</v>
      </c>
    </row>
    <row r="45" spans="1:13" x14ac:dyDescent="0.25">
      <c r="A45">
        <v>18087</v>
      </c>
      <c r="B45" t="str">
        <f ca="1">OFFSET(parking_demand_data_2024_calibr!B$1,MATCH(A45,parking_demand_data_2024_calibr!A:A,0)-1,0)</f>
        <v>LaGrange County</v>
      </c>
      <c r="C45">
        <f ca="1">OFFSET(parking_demand_data_2024_calibr!H$1,MATCH(A45,parking_demand_data_2024_calibr!A:A,0)-1,0)</f>
        <v>0</v>
      </c>
      <c r="D45" s="3">
        <f>_xlfn.MAXIFS(parking_demand_data_2024_calibr!D:D,parking_demand_data_2024_calibr!$A:$A,$A45)</f>
        <v>126.5</v>
      </c>
      <c r="E45" s="3">
        <f>SUMIFS(parking_demand_data_2024_calibr!D:D,parking_demand_data_2024_calibr!$A:$A,$A45)</f>
        <v>2130.1046652163354</v>
      </c>
      <c r="F45" s="3">
        <f>SUMIFS(parking_demand_data_2024_calibr!E:E,parking_demand_data_2024_calibr!$A:$A,$A45)</f>
        <v>48.343364757070233</v>
      </c>
      <c r="G45" s="3">
        <f t="shared" si="0"/>
        <v>2178.4480299734055</v>
      </c>
      <c r="H45" s="5">
        <f t="shared" si="1"/>
        <v>2.2191653916876046E-2</v>
      </c>
      <c r="I45" s="5" t="e">
        <f t="shared" ca="1" si="2"/>
        <v>#DIV/0!</v>
      </c>
      <c r="J45">
        <f t="shared" ca="1" si="3"/>
        <v>0</v>
      </c>
      <c r="K45">
        <f t="shared" ca="1" si="4"/>
        <v>0</v>
      </c>
      <c r="L45">
        <f t="shared" ca="1" si="5"/>
        <v>0</v>
      </c>
      <c r="M45">
        <f t="shared" ca="1" si="6"/>
        <v>1</v>
      </c>
    </row>
    <row r="46" spans="1:13" x14ac:dyDescent="0.25">
      <c r="A46">
        <v>18089</v>
      </c>
      <c r="B46" t="str">
        <f ca="1">OFFSET(parking_demand_data_2024_calibr!B$1,MATCH(A46,parking_demand_data_2024_calibr!A:A,0)-1,0)</f>
        <v>Lake County</v>
      </c>
      <c r="C46">
        <f ca="1">OFFSET(parking_demand_data_2024_calibr!H$1,MATCH(A46,parking_demand_data_2024_calibr!A:A,0)-1,0)</f>
        <v>6</v>
      </c>
      <c r="D46" s="3">
        <f>_xlfn.MAXIFS(parking_demand_data_2024_calibr!D:D,parking_demand_data_2024_calibr!$A:$A,$A46)</f>
        <v>1582.1670809470199</v>
      </c>
      <c r="E46" s="3">
        <f>SUMIFS(parking_demand_data_2024_calibr!D:D,parking_demand_data_2024_calibr!$A:$A,$A46)</f>
        <v>27161.062851105922</v>
      </c>
      <c r="F46" s="3">
        <f>SUMIFS(parking_demand_data_2024_calibr!E:E,parking_demand_data_2024_calibr!$A:$A,$A46)</f>
        <v>1197.5312145428732</v>
      </c>
      <c r="G46" s="3">
        <f t="shared" si="0"/>
        <v>28358.594065648795</v>
      </c>
      <c r="H46" s="5">
        <f t="shared" si="1"/>
        <v>4.222815883504822E-2</v>
      </c>
      <c r="I46" s="5">
        <f t="shared" ca="1" si="2"/>
        <v>263.69451349116997</v>
      </c>
      <c r="J46">
        <f t="shared" ca="1" si="3"/>
        <v>1</v>
      </c>
      <c r="K46">
        <f t="shared" ca="1" si="4"/>
        <v>0</v>
      </c>
      <c r="L46">
        <f t="shared" ca="1" si="5"/>
        <v>0</v>
      </c>
      <c r="M46">
        <f t="shared" ca="1" si="6"/>
        <v>0</v>
      </c>
    </row>
    <row r="47" spans="1:13" x14ac:dyDescent="0.25">
      <c r="A47">
        <v>18091</v>
      </c>
      <c r="B47" t="str">
        <f ca="1">OFFSET(parking_demand_data_2024_calibr!B$1,MATCH(A47,parking_demand_data_2024_calibr!A:A,0)-1,0)</f>
        <v>LaPorte County</v>
      </c>
      <c r="C47">
        <f ca="1">OFFSET(parking_demand_data_2024_calibr!H$1,MATCH(A47,parking_demand_data_2024_calibr!A:A,0)-1,0)</f>
        <v>0</v>
      </c>
      <c r="D47" s="3">
        <f>_xlfn.MAXIFS(parking_demand_data_2024_calibr!D:D,parking_demand_data_2024_calibr!$A:$A,$A47)</f>
        <v>331.803628819837</v>
      </c>
      <c r="E47" s="3">
        <f>SUMIFS(parking_demand_data_2024_calibr!D:D,parking_demand_data_2024_calibr!$A:$A,$A47)</f>
        <v>5257.0716209817092</v>
      </c>
      <c r="F47" s="3">
        <f>SUMIFS(parking_demand_data_2024_calibr!E:E,parking_demand_data_2024_calibr!$A:$A,$A47)</f>
        <v>506.50272707673957</v>
      </c>
      <c r="G47" s="3">
        <f t="shared" si="0"/>
        <v>5763.5743480584488</v>
      </c>
      <c r="H47" s="5">
        <f t="shared" si="1"/>
        <v>8.7879967618941707E-2</v>
      </c>
      <c r="I47" s="5" t="e">
        <f t="shared" ca="1" si="2"/>
        <v>#DIV/0!</v>
      </c>
      <c r="J47">
        <f t="shared" ca="1" si="3"/>
        <v>0</v>
      </c>
      <c r="K47">
        <f t="shared" ca="1" si="4"/>
        <v>0</v>
      </c>
      <c r="L47">
        <f t="shared" ca="1" si="5"/>
        <v>0</v>
      </c>
      <c r="M47">
        <f t="shared" ca="1" si="6"/>
        <v>1</v>
      </c>
    </row>
    <row r="48" spans="1:13" x14ac:dyDescent="0.25">
      <c r="A48">
        <v>18093</v>
      </c>
      <c r="B48" t="str">
        <f ca="1">OFFSET(parking_demand_data_2024_calibr!B$1,MATCH(A48,parking_demand_data_2024_calibr!A:A,0)-1,0)</f>
        <v>Lawrence County</v>
      </c>
      <c r="C48">
        <f ca="1">OFFSET(parking_demand_data_2024_calibr!H$1,MATCH(A48,parking_demand_data_2024_calibr!A:A,0)-1,0)</f>
        <v>0</v>
      </c>
      <c r="D48" s="3">
        <f>_xlfn.MAXIFS(parking_demand_data_2024_calibr!D:D,parking_demand_data_2024_calibr!$A:$A,$A48)</f>
        <v>4.0576949225105396</v>
      </c>
      <c r="E48" s="3">
        <f>SUMIFS(parking_demand_data_2024_calibr!D:D,parking_demand_data_2024_calibr!$A:$A,$A48)</f>
        <v>39.055313629163862</v>
      </c>
      <c r="F48" s="3">
        <f>SUMIFS(parking_demand_data_2024_calibr!E:E,parking_demand_data_2024_calibr!$A:$A,$A48)</f>
        <v>65.35787178758045</v>
      </c>
      <c r="G48" s="3">
        <f t="shared" si="0"/>
        <v>104.41318541674431</v>
      </c>
      <c r="H48" s="5">
        <f t="shared" si="1"/>
        <v>0.62595419847328282</v>
      </c>
      <c r="I48" s="5" t="e">
        <f t="shared" ca="1" si="2"/>
        <v>#DIV/0!</v>
      </c>
      <c r="J48">
        <f t="shared" ca="1" si="3"/>
        <v>0</v>
      </c>
      <c r="K48">
        <f t="shared" ca="1" si="4"/>
        <v>0</v>
      </c>
      <c r="L48">
        <f t="shared" ca="1" si="5"/>
        <v>0</v>
      </c>
      <c r="M48">
        <f t="shared" ca="1" si="6"/>
        <v>1</v>
      </c>
    </row>
    <row r="49" spans="1:13" x14ac:dyDescent="0.25">
      <c r="A49">
        <v>18095</v>
      </c>
      <c r="B49" t="str">
        <f ca="1">OFFSET(parking_demand_data_2024_calibr!B$1,MATCH(A49,parking_demand_data_2024_calibr!A:A,0)-1,0)</f>
        <v>Madison County</v>
      </c>
      <c r="C49">
        <f ca="1">OFFSET(parking_demand_data_2024_calibr!H$1,MATCH(A49,parking_demand_data_2024_calibr!A:A,0)-1,0)</f>
        <v>1</v>
      </c>
      <c r="D49" s="3">
        <f>_xlfn.MAXIFS(parking_demand_data_2024_calibr!D:D,parking_demand_data_2024_calibr!$A:$A,$A49)</f>
        <v>78.663041607608605</v>
      </c>
      <c r="E49" s="3">
        <f>SUMIFS(parking_demand_data_2024_calibr!D:D,parking_demand_data_2024_calibr!$A:$A,$A49)</f>
        <v>1498.4012229117573</v>
      </c>
      <c r="F49" s="3">
        <f>SUMIFS(parking_demand_data_2024_calibr!E:E,parking_demand_data_2024_calibr!$A:$A,$A49)</f>
        <v>263.39398850168459</v>
      </c>
      <c r="G49" s="3">
        <f t="shared" si="0"/>
        <v>1761.7952114134418</v>
      </c>
      <c r="H49" s="5">
        <f t="shared" si="1"/>
        <v>0.1495031810708411</v>
      </c>
      <c r="I49" s="5">
        <f t="shared" ca="1" si="2"/>
        <v>78.663041607608605</v>
      </c>
      <c r="J49">
        <f t="shared" ca="1" si="3"/>
        <v>1</v>
      </c>
      <c r="K49">
        <f t="shared" ca="1" si="4"/>
        <v>0</v>
      </c>
      <c r="L49">
        <f t="shared" ca="1" si="5"/>
        <v>0</v>
      </c>
      <c r="M49">
        <f t="shared" ca="1" si="6"/>
        <v>0</v>
      </c>
    </row>
    <row r="50" spans="1:13" x14ac:dyDescent="0.25">
      <c r="A50">
        <v>18097</v>
      </c>
      <c r="B50" t="str">
        <f ca="1">OFFSET(parking_demand_data_2024_calibr!B$1,MATCH(A50,parking_demand_data_2024_calibr!A:A,0)-1,0)</f>
        <v>Marion County</v>
      </c>
      <c r="C50">
        <f ca="1">OFFSET(parking_demand_data_2024_calibr!H$1,MATCH(A50,parking_demand_data_2024_calibr!A:A,0)-1,0)</f>
        <v>1</v>
      </c>
      <c r="D50" s="3">
        <f>_xlfn.MAXIFS(parking_demand_data_2024_calibr!D:D,parking_demand_data_2024_calibr!$A:$A,$A50)</f>
        <v>125.098846825585</v>
      </c>
      <c r="E50" s="3">
        <f>SUMIFS(parking_demand_data_2024_calibr!D:D,parking_demand_data_2024_calibr!$A:$A,$A50)</f>
        <v>2526.6314537692983</v>
      </c>
      <c r="F50" s="3">
        <f>SUMIFS(parking_demand_data_2024_calibr!E:E,parking_demand_data_2024_calibr!$A:$A,$A50)</f>
        <v>1403.9885177392139</v>
      </c>
      <c r="G50" s="3">
        <f t="shared" si="0"/>
        <v>3930.6199715085122</v>
      </c>
      <c r="H50" s="5">
        <f t="shared" si="1"/>
        <v>0.35719263829018416</v>
      </c>
      <c r="I50" s="5">
        <f t="shared" ca="1" si="2"/>
        <v>125.098846825585</v>
      </c>
      <c r="J50">
        <f t="shared" ca="1" si="3"/>
        <v>1</v>
      </c>
      <c r="K50">
        <f t="shared" ca="1" si="4"/>
        <v>0</v>
      </c>
      <c r="L50">
        <f t="shared" ca="1" si="5"/>
        <v>0</v>
      </c>
      <c r="M50">
        <f t="shared" ca="1" si="6"/>
        <v>0</v>
      </c>
    </row>
    <row r="51" spans="1:13" x14ac:dyDescent="0.25">
      <c r="A51">
        <v>18099</v>
      </c>
      <c r="B51" t="str">
        <f ca="1">OFFSET(parking_demand_data_2024_calibr!B$1,MATCH(A51,parking_demand_data_2024_calibr!A:A,0)-1,0)</f>
        <v>Marshall County</v>
      </c>
      <c r="C51">
        <f ca="1">OFFSET(parking_demand_data_2024_calibr!H$1,MATCH(A51,parking_demand_data_2024_calibr!A:A,0)-1,0)</f>
        <v>0</v>
      </c>
      <c r="D51" s="3">
        <f>_xlfn.MAXIFS(parking_demand_data_2024_calibr!D:D,parking_demand_data_2024_calibr!$A:$A,$A51)</f>
        <v>117.6291479753</v>
      </c>
      <c r="E51" s="3">
        <f>SUMIFS(parking_demand_data_2024_calibr!D:D,parking_demand_data_2024_calibr!$A:$A,$A51)</f>
        <v>2060.8024420884735</v>
      </c>
      <c r="F51" s="3">
        <f>SUMIFS(parking_demand_data_2024_calibr!E:E,parking_demand_data_2024_calibr!$A:$A,$A51)</f>
        <v>49.038364708082597</v>
      </c>
      <c r="G51" s="3">
        <f t="shared" si="0"/>
        <v>2109.8408067965561</v>
      </c>
      <c r="H51" s="5">
        <f t="shared" si="1"/>
        <v>2.3242684732474785E-2</v>
      </c>
      <c r="I51" s="5" t="e">
        <f t="shared" ca="1" si="2"/>
        <v>#DIV/0!</v>
      </c>
      <c r="J51">
        <f t="shared" ca="1" si="3"/>
        <v>0</v>
      </c>
      <c r="K51">
        <f t="shared" ca="1" si="4"/>
        <v>0</v>
      </c>
      <c r="L51">
        <f t="shared" ca="1" si="5"/>
        <v>0</v>
      </c>
      <c r="M51">
        <f t="shared" ca="1" si="6"/>
        <v>1</v>
      </c>
    </row>
    <row r="52" spans="1:13" x14ac:dyDescent="0.25">
      <c r="A52">
        <v>18101</v>
      </c>
      <c r="B52" t="str">
        <f ca="1">OFFSET(parking_demand_data_2024_calibr!B$1,MATCH(A52,parking_demand_data_2024_calibr!A:A,0)-1,0)</f>
        <v>Martin County</v>
      </c>
      <c r="C52">
        <f ca="1">OFFSET(parking_demand_data_2024_calibr!H$1,MATCH(A52,parking_demand_data_2024_calibr!A:A,0)-1,0)</f>
        <v>0</v>
      </c>
      <c r="D52" s="3">
        <f>_xlfn.MAXIFS(parking_demand_data_2024_calibr!D:D,parking_demand_data_2024_calibr!$A:$A,$A52)</f>
        <v>0</v>
      </c>
      <c r="E52" s="3">
        <f>SUMIFS(parking_demand_data_2024_calibr!D:D,parking_demand_data_2024_calibr!$A:$A,$A52)</f>
        <v>0</v>
      </c>
      <c r="F52" s="3">
        <f>SUMIFS(parking_demand_data_2024_calibr!E:E,parking_demand_data_2024_calibr!$A:$A,$A52)</f>
        <v>25.992173546646185</v>
      </c>
      <c r="G52" s="3">
        <f t="shared" si="0"/>
        <v>25.992173546646185</v>
      </c>
      <c r="H52" s="5">
        <f t="shared" si="1"/>
        <v>1</v>
      </c>
      <c r="I52" s="5" t="e">
        <f t="shared" ca="1" si="2"/>
        <v>#DIV/0!</v>
      </c>
      <c r="J52">
        <f t="shared" ca="1" si="3"/>
        <v>0</v>
      </c>
      <c r="K52">
        <f t="shared" ca="1" si="4"/>
        <v>0</v>
      </c>
      <c r="L52">
        <f t="shared" ca="1" si="5"/>
        <v>0</v>
      </c>
      <c r="M52">
        <f t="shared" ca="1" si="6"/>
        <v>1</v>
      </c>
    </row>
    <row r="53" spans="1:13" x14ac:dyDescent="0.25">
      <c r="A53">
        <v>18103</v>
      </c>
      <c r="B53" t="str">
        <f ca="1">OFFSET(parking_demand_data_2024_calibr!B$1,MATCH(A53,parking_demand_data_2024_calibr!A:A,0)-1,0)</f>
        <v>Miami County</v>
      </c>
      <c r="C53">
        <f ca="1">OFFSET(parking_demand_data_2024_calibr!H$1,MATCH(A53,parking_demand_data_2024_calibr!A:A,0)-1,0)</f>
        <v>0</v>
      </c>
      <c r="D53" s="3">
        <f>_xlfn.MAXIFS(parking_demand_data_2024_calibr!D:D,parking_demand_data_2024_calibr!$A:$A,$A53)</f>
        <v>84.030156190019198</v>
      </c>
      <c r="E53" s="3">
        <f>SUMIFS(parking_demand_data_2024_calibr!D:D,parking_demand_data_2024_calibr!$A:$A,$A53)</f>
        <v>1448.5643406305735</v>
      </c>
      <c r="F53" s="3">
        <f>SUMIFS(parking_demand_data_2024_calibr!E:E,parking_demand_data_2024_calibr!$A:$A,$A53)</f>
        <v>8.9213007077371049</v>
      </c>
      <c r="G53" s="3">
        <f t="shared" si="0"/>
        <v>1457.4856413383106</v>
      </c>
      <c r="H53" s="5">
        <f t="shared" si="1"/>
        <v>6.1210213361315019E-3</v>
      </c>
      <c r="I53" s="5" t="e">
        <f t="shared" ca="1" si="2"/>
        <v>#DIV/0!</v>
      </c>
      <c r="J53">
        <f t="shared" ca="1" si="3"/>
        <v>0</v>
      </c>
      <c r="K53">
        <f t="shared" ca="1" si="4"/>
        <v>0</v>
      </c>
      <c r="L53">
        <f t="shared" ca="1" si="5"/>
        <v>0</v>
      </c>
      <c r="M53">
        <f t="shared" ca="1" si="6"/>
        <v>1</v>
      </c>
    </row>
    <row r="54" spans="1:13" x14ac:dyDescent="0.25">
      <c r="A54">
        <v>18105</v>
      </c>
      <c r="B54" t="str">
        <f ca="1">OFFSET(parking_demand_data_2024_calibr!B$1,MATCH(A54,parking_demand_data_2024_calibr!A:A,0)-1,0)</f>
        <v>Monroe County</v>
      </c>
      <c r="C54">
        <f ca="1">OFFSET(parking_demand_data_2024_calibr!H$1,MATCH(A54,parking_demand_data_2024_calibr!A:A,0)-1,0)</f>
        <v>0</v>
      </c>
      <c r="D54" s="3">
        <f>_xlfn.MAXIFS(parking_demand_data_2024_calibr!D:D,parking_demand_data_2024_calibr!$A:$A,$A54)</f>
        <v>9.2240415150080803</v>
      </c>
      <c r="E54" s="3">
        <f>SUMIFS(parking_demand_data_2024_calibr!D:D,parking_demand_data_2024_calibr!$A:$A,$A54)</f>
        <v>122.67301927258919</v>
      </c>
      <c r="F54" s="3">
        <f>SUMIFS(parking_demand_data_2024_calibr!E:E,parking_demand_data_2024_calibr!$A:$A,$A54)</f>
        <v>122.47103296204132</v>
      </c>
      <c r="G54" s="3">
        <f t="shared" si="0"/>
        <v>245.14405223463052</v>
      </c>
      <c r="H54" s="5">
        <f t="shared" si="1"/>
        <v>0.49958802526778306</v>
      </c>
      <c r="I54" s="5" t="e">
        <f t="shared" ca="1" si="2"/>
        <v>#DIV/0!</v>
      </c>
      <c r="J54">
        <f t="shared" ca="1" si="3"/>
        <v>0</v>
      </c>
      <c r="K54">
        <f t="shared" ca="1" si="4"/>
        <v>0</v>
      </c>
      <c r="L54">
        <f t="shared" ca="1" si="5"/>
        <v>0</v>
      </c>
      <c r="M54">
        <f t="shared" ca="1" si="6"/>
        <v>1</v>
      </c>
    </row>
    <row r="55" spans="1:13" x14ac:dyDescent="0.25">
      <c r="A55">
        <v>18107</v>
      </c>
      <c r="B55" t="str">
        <f ca="1">OFFSET(parking_demand_data_2024_calibr!B$1,MATCH(A55,parking_demand_data_2024_calibr!A:A,0)-1,0)</f>
        <v>Montgomery County</v>
      </c>
      <c r="C55">
        <f ca="1">OFFSET(parking_demand_data_2024_calibr!H$1,MATCH(A55,parking_demand_data_2024_calibr!A:A,0)-1,0)</f>
        <v>0</v>
      </c>
      <c r="D55" s="3">
        <f>_xlfn.MAXIFS(parking_demand_data_2024_calibr!D:D,parking_demand_data_2024_calibr!$A:$A,$A55)</f>
        <v>118.44999999999899</v>
      </c>
      <c r="E55" s="3">
        <f>SUMIFS(parking_demand_data_2024_calibr!D:D,parking_demand_data_2024_calibr!$A:$A,$A55)</f>
        <v>2031.6532569360611</v>
      </c>
      <c r="F55" s="3">
        <f>SUMIFS(parking_demand_data_2024_calibr!E:E,parking_demand_data_2024_calibr!$A:$A,$A55)</f>
        <v>97.589083232810495</v>
      </c>
      <c r="G55" s="3">
        <f t="shared" si="0"/>
        <v>2129.2423401688716</v>
      </c>
      <c r="H55" s="5">
        <f t="shared" si="1"/>
        <v>4.5832774124278705E-2</v>
      </c>
      <c r="I55" s="5" t="e">
        <f t="shared" ca="1" si="2"/>
        <v>#DIV/0!</v>
      </c>
      <c r="J55">
        <f t="shared" ca="1" si="3"/>
        <v>0</v>
      </c>
      <c r="K55">
        <f t="shared" ca="1" si="4"/>
        <v>0</v>
      </c>
      <c r="L55">
        <f t="shared" ca="1" si="5"/>
        <v>0</v>
      </c>
      <c r="M55">
        <f t="shared" ca="1" si="6"/>
        <v>1</v>
      </c>
    </row>
    <row r="56" spans="1:13" x14ac:dyDescent="0.25">
      <c r="A56">
        <v>18109</v>
      </c>
      <c r="B56" t="str">
        <f ca="1">OFFSET(parking_demand_data_2024_calibr!B$1,MATCH(A56,parking_demand_data_2024_calibr!A:A,0)-1,0)</f>
        <v>Morgan County</v>
      </c>
      <c r="C56">
        <f ca="1">OFFSET(parking_demand_data_2024_calibr!H$1,MATCH(A56,parking_demand_data_2024_calibr!A:A,0)-1,0)</f>
        <v>0</v>
      </c>
      <c r="D56" s="3">
        <f>_xlfn.MAXIFS(parking_demand_data_2024_calibr!D:D,parking_demand_data_2024_calibr!$A:$A,$A56)</f>
        <v>19.2305712017905</v>
      </c>
      <c r="E56" s="3">
        <f>SUMIFS(parking_demand_data_2024_calibr!D:D,parking_demand_data_2024_calibr!$A:$A,$A56)</f>
        <v>257.4381370964494</v>
      </c>
      <c r="F56" s="3">
        <f>SUMIFS(parking_demand_data_2024_calibr!E:E,parking_demand_data_2024_calibr!$A:$A,$A56)</f>
        <v>246.74866427583552</v>
      </c>
      <c r="G56" s="3">
        <f t="shared" si="0"/>
        <v>504.18680137228489</v>
      </c>
      <c r="H56" s="5">
        <f t="shared" si="1"/>
        <v>0.48939929328621906</v>
      </c>
      <c r="I56" s="5" t="e">
        <f t="shared" ca="1" si="2"/>
        <v>#DIV/0!</v>
      </c>
      <c r="J56">
        <f t="shared" ca="1" si="3"/>
        <v>0</v>
      </c>
      <c r="K56">
        <f t="shared" ca="1" si="4"/>
        <v>0</v>
      </c>
      <c r="L56">
        <f t="shared" ca="1" si="5"/>
        <v>0</v>
      </c>
      <c r="M56">
        <f t="shared" ca="1" si="6"/>
        <v>1</v>
      </c>
    </row>
    <row r="57" spans="1:13" x14ac:dyDescent="0.25">
      <c r="A57">
        <v>18111</v>
      </c>
      <c r="B57" t="str">
        <f ca="1">OFFSET(parking_demand_data_2024_calibr!B$1,MATCH(A57,parking_demand_data_2024_calibr!A:A,0)-1,0)</f>
        <v>Newton County</v>
      </c>
      <c r="C57">
        <f ca="1">OFFSET(parking_demand_data_2024_calibr!H$1,MATCH(A57,parking_demand_data_2024_calibr!A:A,0)-1,0)</f>
        <v>0</v>
      </c>
      <c r="D57" s="3">
        <f>_xlfn.MAXIFS(parking_demand_data_2024_calibr!D:D,parking_demand_data_2024_calibr!$A:$A,$A57)</f>
        <v>30.2807772768723</v>
      </c>
      <c r="E57" s="3">
        <f>SUMIFS(parking_demand_data_2024_calibr!D:D,parking_demand_data_2024_calibr!$A:$A,$A57)</f>
        <v>449.54167391821807</v>
      </c>
      <c r="F57" s="3">
        <f>SUMIFS(parking_demand_data_2024_calibr!E:E,parking_demand_data_2024_calibr!$A:$A,$A57)</f>
        <v>6.3749004793415489</v>
      </c>
      <c r="G57" s="3">
        <f t="shared" si="0"/>
        <v>455.9165743975596</v>
      </c>
      <c r="H57" s="5">
        <f t="shared" si="1"/>
        <v>1.3982603040403245E-2</v>
      </c>
      <c r="I57" s="5" t="e">
        <f t="shared" ca="1" si="2"/>
        <v>#DIV/0!</v>
      </c>
      <c r="J57">
        <f t="shared" ca="1" si="3"/>
        <v>0</v>
      </c>
      <c r="K57">
        <f t="shared" ca="1" si="4"/>
        <v>0</v>
      </c>
      <c r="L57">
        <f t="shared" ca="1" si="5"/>
        <v>0</v>
      </c>
      <c r="M57">
        <f t="shared" ca="1" si="6"/>
        <v>1</v>
      </c>
    </row>
    <row r="58" spans="1:13" x14ac:dyDescent="0.25">
      <c r="A58">
        <v>18113</v>
      </c>
      <c r="B58" t="str">
        <f ca="1">OFFSET(parking_demand_data_2024_calibr!B$1,MATCH(A58,parking_demand_data_2024_calibr!A:A,0)-1,0)</f>
        <v>Noble County</v>
      </c>
      <c r="C58">
        <f ca="1">OFFSET(parking_demand_data_2024_calibr!H$1,MATCH(A58,parking_demand_data_2024_calibr!A:A,0)-1,0)</f>
        <v>0</v>
      </c>
      <c r="D58" s="3">
        <f>_xlfn.MAXIFS(parking_demand_data_2024_calibr!D:D,parking_demand_data_2024_calibr!$A:$A,$A58)</f>
        <v>13.406793302807801</v>
      </c>
      <c r="E58" s="3">
        <f>SUMIFS(parking_demand_data_2024_calibr!D:D,parking_demand_data_2024_calibr!$A:$A,$A58)</f>
        <v>272.84521433657318</v>
      </c>
      <c r="F58" s="3">
        <f>SUMIFS(parking_demand_data_2024_calibr!E:E,parking_demand_data_2024_calibr!$A:$A,$A58)</f>
        <v>31.395655202777906</v>
      </c>
      <c r="G58" s="3">
        <f t="shared" si="0"/>
        <v>304.24086953935108</v>
      </c>
      <c r="H58" s="5">
        <f t="shared" si="1"/>
        <v>0.10319341793334288</v>
      </c>
      <c r="I58" s="5" t="e">
        <f t="shared" ca="1" si="2"/>
        <v>#DIV/0!</v>
      </c>
      <c r="J58">
        <f t="shared" ca="1" si="3"/>
        <v>0</v>
      </c>
      <c r="K58">
        <f t="shared" ca="1" si="4"/>
        <v>0</v>
      </c>
      <c r="L58">
        <f t="shared" ca="1" si="5"/>
        <v>0</v>
      </c>
      <c r="M58">
        <f t="shared" ca="1" si="6"/>
        <v>1</v>
      </c>
    </row>
    <row r="59" spans="1:13" x14ac:dyDescent="0.25">
      <c r="A59">
        <v>18115</v>
      </c>
      <c r="B59" t="str">
        <f ca="1">OFFSET(parking_demand_data_2024_calibr!B$1,MATCH(A59,parking_demand_data_2024_calibr!A:A,0)-1,0)</f>
        <v>Ohio County</v>
      </c>
      <c r="C59">
        <f ca="1">OFFSET(parking_demand_data_2024_calibr!H$1,MATCH(A59,parking_demand_data_2024_calibr!A:A,0)-1,0)</f>
        <v>0</v>
      </c>
      <c r="D59" s="3">
        <f>_xlfn.MAXIFS(parking_demand_data_2024_calibr!D:D,parking_demand_data_2024_calibr!$A:$A,$A59)</f>
        <v>0</v>
      </c>
      <c r="E59" s="3">
        <f>SUMIFS(parking_demand_data_2024_calibr!D:D,parking_demand_data_2024_calibr!$A:$A,$A59)</f>
        <v>0</v>
      </c>
      <c r="F59" s="3">
        <f>SUMIFS(parking_demand_data_2024_calibr!E:E,parking_demand_data_2024_calibr!$A:$A,$A59)</f>
        <v>0</v>
      </c>
      <c r="G59" s="3">
        <f t="shared" si="0"/>
        <v>0</v>
      </c>
      <c r="H59" s="5" t="e">
        <f t="shared" si="1"/>
        <v>#DIV/0!</v>
      </c>
      <c r="I59" s="5" t="e">
        <f t="shared" ca="1" si="2"/>
        <v>#DIV/0!</v>
      </c>
      <c r="J59">
        <f t="shared" ca="1" si="3"/>
        <v>0</v>
      </c>
      <c r="K59">
        <f t="shared" ca="1" si="4"/>
        <v>0</v>
      </c>
      <c r="L59">
        <f t="shared" ca="1" si="5"/>
        <v>0</v>
      </c>
      <c r="M59">
        <f t="shared" ca="1" si="6"/>
        <v>1</v>
      </c>
    </row>
    <row r="60" spans="1:13" x14ac:dyDescent="0.25">
      <c r="A60">
        <v>18117</v>
      </c>
      <c r="B60" t="str">
        <f ca="1">OFFSET(parking_demand_data_2024_calibr!B$1,MATCH(A60,parking_demand_data_2024_calibr!A:A,0)-1,0)</f>
        <v>Orange County</v>
      </c>
      <c r="C60">
        <f ca="1">OFFSET(parking_demand_data_2024_calibr!H$1,MATCH(A60,parking_demand_data_2024_calibr!A:A,0)-1,0)</f>
        <v>0</v>
      </c>
      <c r="D60" s="3">
        <f>_xlfn.MAXIFS(parking_demand_data_2024_calibr!D:D,parking_demand_data_2024_calibr!$A:$A,$A60)</f>
        <v>5.00644398011333</v>
      </c>
      <c r="E60" s="3">
        <f>SUMIFS(parking_demand_data_2024_calibr!D:D,parking_demand_data_2024_calibr!$A:$A,$A60)</f>
        <v>41.433928163773679</v>
      </c>
      <c r="F60" s="3">
        <f>SUMIFS(parking_demand_data_2024_calibr!E:E,parking_demand_data_2024_calibr!$A:$A,$A60)</f>
        <v>22.454274866030634</v>
      </c>
      <c r="G60" s="3">
        <f t="shared" si="0"/>
        <v>63.888203029804316</v>
      </c>
      <c r="H60" s="5">
        <f t="shared" si="1"/>
        <v>0.35146198830409348</v>
      </c>
      <c r="I60" s="5" t="e">
        <f t="shared" ca="1" si="2"/>
        <v>#DIV/0!</v>
      </c>
      <c r="J60">
        <f t="shared" ca="1" si="3"/>
        <v>0</v>
      </c>
      <c r="K60">
        <f t="shared" ca="1" si="4"/>
        <v>0</v>
      </c>
      <c r="L60">
        <f t="shared" ca="1" si="5"/>
        <v>0</v>
      </c>
      <c r="M60">
        <f t="shared" ca="1" si="6"/>
        <v>1</v>
      </c>
    </row>
    <row r="61" spans="1:13" x14ac:dyDescent="0.25">
      <c r="A61">
        <v>18119</v>
      </c>
      <c r="B61" t="str">
        <f ca="1">OFFSET(parking_demand_data_2024_calibr!B$1,MATCH(A61,parking_demand_data_2024_calibr!A:A,0)-1,0)</f>
        <v>Owen County</v>
      </c>
      <c r="C61">
        <f ca="1">OFFSET(parking_demand_data_2024_calibr!H$1,MATCH(A61,parking_demand_data_2024_calibr!A:A,0)-1,0)</f>
        <v>0</v>
      </c>
      <c r="D61" s="3">
        <f>_xlfn.MAXIFS(parking_demand_data_2024_calibr!D:D,parking_demand_data_2024_calibr!$A:$A,$A61)</f>
        <v>0</v>
      </c>
      <c r="E61" s="3">
        <f>SUMIFS(parking_demand_data_2024_calibr!D:D,parking_demand_data_2024_calibr!$A:$A,$A61)</f>
        <v>0</v>
      </c>
      <c r="F61" s="3">
        <f>SUMIFS(parking_demand_data_2024_calibr!E:E,parking_demand_data_2024_calibr!$A:$A,$A61)</f>
        <v>34.821124172918672</v>
      </c>
      <c r="G61" s="3">
        <f t="shared" si="0"/>
        <v>34.821124172918672</v>
      </c>
      <c r="H61" s="5">
        <f t="shared" si="1"/>
        <v>1</v>
      </c>
      <c r="I61" s="5" t="e">
        <f t="shared" ca="1" si="2"/>
        <v>#DIV/0!</v>
      </c>
      <c r="J61">
        <f t="shared" ca="1" si="3"/>
        <v>0</v>
      </c>
      <c r="K61">
        <f t="shared" ca="1" si="4"/>
        <v>0</v>
      </c>
      <c r="L61">
        <f t="shared" ca="1" si="5"/>
        <v>0</v>
      </c>
      <c r="M61">
        <f t="shared" ca="1" si="6"/>
        <v>1</v>
      </c>
    </row>
    <row r="62" spans="1:13" x14ac:dyDescent="0.25">
      <c r="A62">
        <v>18121</v>
      </c>
      <c r="B62" t="str">
        <f ca="1">OFFSET(parking_demand_data_2024_calibr!B$1,MATCH(A62,parking_demand_data_2024_calibr!A:A,0)-1,0)</f>
        <v>Parke County</v>
      </c>
      <c r="C62">
        <f ca="1">OFFSET(parking_demand_data_2024_calibr!H$1,MATCH(A62,parking_demand_data_2024_calibr!A:A,0)-1,0)</f>
        <v>0</v>
      </c>
      <c r="D62" s="3">
        <f>_xlfn.MAXIFS(parking_demand_data_2024_calibr!D:D,parking_demand_data_2024_calibr!$A:$A,$A62)</f>
        <v>0</v>
      </c>
      <c r="E62" s="3">
        <f>SUMIFS(parking_demand_data_2024_calibr!D:D,parking_demand_data_2024_calibr!$A:$A,$A62)</f>
        <v>0</v>
      </c>
      <c r="F62" s="3">
        <f>SUMIFS(parking_demand_data_2024_calibr!E:E,parking_demand_data_2024_calibr!$A:$A,$A62)</f>
        <v>7.9569299063601537</v>
      </c>
      <c r="G62" s="3">
        <f t="shared" si="0"/>
        <v>7.9569299063601537</v>
      </c>
      <c r="H62" s="5">
        <f t="shared" si="1"/>
        <v>1</v>
      </c>
      <c r="I62" s="5" t="e">
        <f t="shared" ca="1" si="2"/>
        <v>#DIV/0!</v>
      </c>
      <c r="J62">
        <f t="shared" ca="1" si="3"/>
        <v>0</v>
      </c>
      <c r="K62">
        <f t="shared" ca="1" si="4"/>
        <v>0</v>
      </c>
      <c r="L62">
        <f t="shared" ca="1" si="5"/>
        <v>0</v>
      </c>
      <c r="M62">
        <f t="shared" ca="1" si="6"/>
        <v>1</v>
      </c>
    </row>
    <row r="63" spans="1:13" x14ac:dyDescent="0.25">
      <c r="A63">
        <v>18123</v>
      </c>
      <c r="B63" t="str">
        <f ca="1">OFFSET(parking_demand_data_2024_calibr!B$1,MATCH(A63,parking_demand_data_2024_calibr!A:A,0)-1,0)</f>
        <v>Perry County</v>
      </c>
      <c r="C63">
        <f ca="1">OFFSET(parking_demand_data_2024_calibr!H$1,MATCH(A63,parking_demand_data_2024_calibr!A:A,0)-1,0)</f>
        <v>0</v>
      </c>
      <c r="D63" s="3">
        <f>_xlfn.MAXIFS(parking_demand_data_2024_calibr!D:D,parking_demand_data_2024_calibr!$A:$A,$A63)</f>
        <v>4.58257130608777</v>
      </c>
      <c r="E63" s="3">
        <f>SUMIFS(parking_demand_data_2024_calibr!D:D,parking_demand_data_2024_calibr!$A:$A,$A63)</f>
        <v>73.83797224771493</v>
      </c>
      <c r="F63" s="3">
        <f>SUMIFS(parking_demand_data_2024_calibr!E:E,parking_demand_data_2024_calibr!$A:$A,$A63)</f>
        <v>27.736615800004881</v>
      </c>
      <c r="G63" s="3">
        <f t="shared" si="0"/>
        <v>101.57458804771981</v>
      </c>
      <c r="H63" s="5">
        <f t="shared" si="1"/>
        <v>0.2730664857530527</v>
      </c>
      <c r="I63" s="5" t="e">
        <f t="shared" ca="1" si="2"/>
        <v>#DIV/0!</v>
      </c>
      <c r="J63">
        <f t="shared" ca="1" si="3"/>
        <v>0</v>
      </c>
      <c r="K63">
        <f t="shared" ca="1" si="4"/>
        <v>0</v>
      </c>
      <c r="L63">
        <f t="shared" ca="1" si="5"/>
        <v>0</v>
      </c>
      <c r="M63">
        <f t="shared" ca="1" si="6"/>
        <v>1</v>
      </c>
    </row>
    <row r="64" spans="1:13" x14ac:dyDescent="0.25">
      <c r="A64">
        <v>18125</v>
      </c>
      <c r="B64" t="str">
        <f ca="1">OFFSET(parking_demand_data_2024_calibr!B$1,MATCH(A64,parking_demand_data_2024_calibr!A:A,0)-1,0)</f>
        <v>Pike County</v>
      </c>
      <c r="C64">
        <f ca="1">OFFSET(parking_demand_data_2024_calibr!H$1,MATCH(A64,parking_demand_data_2024_calibr!A:A,0)-1,0)</f>
        <v>0</v>
      </c>
      <c r="D64" s="3">
        <f>_xlfn.MAXIFS(parking_demand_data_2024_calibr!D:D,parking_demand_data_2024_calibr!$A:$A,$A64)</f>
        <v>0</v>
      </c>
      <c r="E64" s="3">
        <f>SUMIFS(parking_demand_data_2024_calibr!D:D,parking_demand_data_2024_calibr!$A:$A,$A64)</f>
        <v>0</v>
      </c>
      <c r="F64" s="3">
        <f>SUMIFS(parking_demand_data_2024_calibr!E:E,parking_demand_data_2024_calibr!$A:$A,$A64)</f>
        <v>22.538389353765989</v>
      </c>
      <c r="G64" s="3">
        <f t="shared" si="0"/>
        <v>22.538389353765989</v>
      </c>
      <c r="H64" s="5">
        <f t="shared" si="1"/>
        <v>1</v>
      </c>
      <c r="I64" s="5" t="e">
        <f t="shared" ca="1" si="2"/>
        <v>#DIV/0!</v>
      </c>
      <c r="J64">
        <f t="shared" ca="1" si="3"/>
        <v>0</v>
      </c>
      <c r="K64">
        <f t="shared" ca="1" si="4"/>
        <v>0</v>
      </c>
      <c r="L64">
        <f t="shared" ca="1" si="5"/>
        <v>0</v>
      </c>
      <c r="M64">
        <f t="shared" ca="1" si="6"/>
        <v>1</v>
      </c>
    </row>
    <row r="65" spans="1:13" x14ac:dyDescent="0.25">
      <c r="A65">
        <v>18127</v>
      </c>
      <c r="B65" t="str">
        <f ca="1">OFFSET(parking_demand_data_2024_calibr!B$1,MATCH(A65,parking_demand_data_2024_calibr!A:A,0)-1,0)</f>
        <v>Porter County</v>
      </c>
      <c r="C65">
        <f ca="1">OFFSET(parking_demand_data_2024_calibr!H$1,MATCH(A65,parking_demand_data_2024_calibr!A:A,0)-1,0)</f>
        <v>2</v>
      </c>
      <c r="D65" s="3">
        <f>_xlfn.MAXIFS(parking_demand_data_2024_calibr!D:D,parking_demand_data_2024_calibr!$A:$A,$A65)</f>
        <v>418.599999999999</v>
      </c>
      <c r="E65" s="3">
        <f>SUMIFS(parking_demand_data_2024_calibr!D:D,parking_demand_data_2024_calibr!$A:$A,$A65)</f>
        <v>7158.2062241981457</v>
      </c>
      <c r="F65" s="3">
        <f>SUMIFS(parking_demand_data_2024_calibr!E:E,parking_demand_data_2024_calibr!$A:$A,$A65)</f>
        <v>139.11238488408995</v>
      </c>
      <c r="G65" s="3">
        <f t="shared" si="0"/>
        <v>7297.3186090822355</v>
      </c>
      <c r="H65" s="5">
        <f t="shared" si="1"/>
        <v>1.9063493364665594E-2</v>
      </c>
      <c r="I65" s="5">
        <f t="shared" ca="1" si="2"/>
        <v>209.2999999999995</v>
      </c>
      <c r="J65">
        <f t="shared" ca="1" si="3"/>
        <v>1</v>
      </c>
      <c r="K65">
        <f t="shared" ca="1" si="4"/>
        <v>0</v>
      </c>
      <c r="L65">
        <f t="shared" ca="1" si="5"/>
        <v>0</v>
      </c>
      <c r="M65">
        <f t="shared" ca="1" si="6"/>
        <v>0</v>
      </c>
    </row>
    <row r="66" spans="1:13" x14ac:dyDescent="0.25">
      <c r="A66">
        <v>18129</v>
      </c>
      <c r="B66" t="str">
        <f ca="1">OFFSET(parking_demand_data_2024_calibr!B$1,MATCH(A66,parking_demand_data_2024_calibr!A:A,0)-1,0)</f>
        <v>Posey County</v>
      </c>
      <c r="C66">
        <f ca="1">OFFSET(parking_demand_data_2024_calibr!H$1,MATCH(A66,parking_demand_data_2024_calibr!A:A,0)-1,0)</f>
        <v>0</v>
      </c>
      <c r="D66" s="3">
        <f>_xlfn.MAXIFS(parking_demand_data_2024_calibr!D:D,parking_demand_data_2024_calibr!$A:$A,$A66)</f>
        <v>8.4236986474962894</v>
      </c>
      <c r="E66" s="3">
        <f>SUMIFS(parking_demand_data_2024_calibr!D:D,parking_demand_data_2024_calibr!$A:$A,$A66)</f>
        <v>161.91005192590262</v>
      </c>
      <c r="F66" s="3">
        <f>SUMIFS(parking_demand_data_2024_calibr!E:E,parking_demand_data_2024_calibr!$A:$A,$A66)</f>
        <v>210.92066223860809</v>
      </c>
      <c r="G66" s="3">
        <f t="shared" si="0"/>
        <v>372.83071416451071</v>
      </c>
      <c r="H66" s="5">
        <f t="shared" si="1"/>
        <v>0.56572769953051616</v>
      </c>
      <c r="I66" s="5" t="e">
        <f t="shared" ca="1" si="2"/>
        <v>#DIV/0!</v>
      </c>
      <c r="J66">
        <f t="shared" ca="1" si="3"/>
        <v>0</v>
      </c>
      <c r="K66">
        <f t="shared" ca="1" si="4"/>
        <v>0</v>
      </c>
      <c r="L66">
        <f t="shared" ca="1" si="5"/>
        <v>0</v>
      </c>
      <c r="M66">
        <f t="shared" ca="1" si="6"/>
        <v>1</v>
      </c>
    </row>
    <row r="67" spans="1:13" x14ac:dyDescent="0.25">
      <c r="A67">
        <v>18131</v>
      </c>
      <c r="B67" t="str">
        <f ca="1">OFFSET(parking_demand_data_2024_calibr!B$1,MATCH(A67,parking_demand_data_2024_calibr!A:A,0)-1,0)</f>
        <v>Pulaski County</v>
      </c>
      <c r="C67">
        <f ca="1">OFFSET(parking_demand_data_2024_calibr!H$1,MATCH(A67,parking_demand_data_2024_calibr!A:A,0)-1,0)</f>
        <v>0</v>
      </c>
      <c r="D67" s="3">
        <f>_xlfn.MAXIFS(parking_demand_data_2024_calibr!D:D,parking_demand_data_2024_calibr!$A:$A,$A67)</f>
        <v>3.1992694995428299</v>
      </c>
      <c r="E67" s="3">
        <f>SUMIFS(parking_demand_data_2024_calibr!D:D,parking_demand_data_2024_calibr!$A:$A,$A67)</f>
        <v>45.639578954415704</v>
      </c>
      <c r="F67" s="3">
        <f>SUMIFS(parking_demand_data_2024_calibr!E:E,parking_demand_data_2024_calibr!$A:$A,$A67)</f>
        <v>1.8995662653535577</v>
      </c>
      <c r="G67" s="3">
        <f t="shared" ref="G67:G93" si="7">SUM(E67:F67)</f>
        <v>47.53914521976926</v>
      </c>
      <c r="H67" s="5">
        <f t="shared" ref="H67:H93" si="8">F67/SUM(E67:F67)</f>
        <v>3.9957939011566801E-2</v>
      </c>
      <c r="I67" s="5" t="e">
        <f t="shared" ref="I67:I93" ca="1" si="9">D67/C67</f>
        <v>#DIV/0!</v>
      </c>
      <c r="J67">
        <f t="shared" ref="J67:J93" ca="1" si="10">IFERROR(IF(AND(G67&gt;=1000,OR(I67&gt;=0.9,H67&gt;0.5)),1,0),0)</f>
        <v>0</v>
      </c>
      <c r="K67">
        <f t="shared" ref="K67:K93" ca="1" si="11">IFERROR(IF(AND(J67=0,G67&gt;=300,OR(I67&gt;=0.7,H67&gt;0.2)),1,0),0)</f>
        <v>0</v>
      </c>
      <c r="L67">
        <f t="shared" ref="L67:L93" ca="1" si="12">IF(SUM(J67,K67,M67)=0,1,0)</f>
        <v>0</v>
      </c>
      <c r="M67">
        <f t="shared" ref="M67:M93" ca="1" si="13">IF(AND(C67=0,J67=0,K67=0),1,0)</f>
        <v>1</v>
      </c>
    </row>
    <row r="68" spans="1:13" x14ac:dyDescent="0.25">
      <c r="A68">
        <v>18133</v>
      </c>
      <c r="B68" t="str">
        <f ca="1">OFFSET(parking_demand_data_2024_calibr!B$1,MATCH(A68,parking_demand_data_2024_calibr!A:A,0)-1,0)</f>
        <v>Putnam County</v>
      </c>
      <c r="C68">
        <f ca="1">OFFSET(parking_demand_data_2024_calibr!H$1,MATCH(A68,parking_demand_data_2024_calibr!A:A,0)-1,0)</f>
        <v>0</v>
      </c>
      <c r="D68" s="3">
        <f>_xlfn.MAXIFS(parking_demand_data_2024_calibr!D:D,parking_demand_data_2024_calibr!$A:$A,$A68)</f>
        <v>52.375855443693297</v>
      </c>
      <c r="E68" s="3">
        <f>SUMIFS(parking_demand_data_2024_calibr!D:D,parking_demand_data_2024_calibr!$A:$A,$A68)</f>
        <v>819.09489325397692</v>
      </c>
      <c r="F68" s="3">
        <f>SUMIFS(parking_demand_data_2024_calibr!E:E,parking_demand_data_2024_calibr!$A:$A,$A68)</f>
        <v>164.11101372357237</v>
      </c>
      <c r="G68" s="3">
        <f t="shared" si="7"/>
        <v>983.20590697754926</v>
      </c>
      <c r="H68" s="5">
        <f t="shared" si="8"/>
        <v>0.1669141860915607</v>
      </c>
      <c r="I68" s="5" t="e">
        <f t="shared" ca="1" si="9"/>
        <v>#DIV/0!</v>
      </c>
      <c r="J68">
        <f t="shared" ca="1" si="10"/>
        <v>0</v>
      </c>
      <c r="K68">
        <f t="shared" ca="1" si="11"/>
        <v>0</v>
      </c>
      <c r="L68">
        <f t="shared" ca="1" si="12"/>
        <v>0</v>
      </c>
      <c r="M68">
        <f t="shared" ca="1" si="13"/>
        <v>1</v>
      </c>
    </row>
    <row r="69" spans="1:13" x14ac:dyDescent="0.25">
      <c r="A69">
        <v>18135</v>
      </c>
      <c r="B69" t="str">
        <f ca="1">OFFSET(parking_demand_data_2024_calibr!B$1,MATCH(A69,parking_demand_data_2024_calibr!A:A,0)-1,0)</f>
        <v>Randolph County</v>
      </c>
      <c r="C69">
        <f ca="1">OFFSET(parking_demand_data_2024_calibr!H$1,MATCH(A69,parking_demand_data_2024_calibr!A:A,0)-1,0)</f>
        <v>0</v>
      </c>
      <c r="D69" s="3">
        <f>_xlfn.MAXIFS(parking_demand_data_2024_calibr!D:D,parking_demand_data_2024_calibr!$A:$A,$A69)</f>
        <v>4.06716722358561</v>
      </c>
      <c r="E69" s="3">
        <f>SUMIFS(parking_demand_data_2024_calibr!D:D,parking_demand_data_2024_calibr!$A:$A,$A69)</f>
        <v>71.90751651299361</v>
      </c>
      <c r="F69" s="3">
        <f>SUMIFS(parking_demand_data_2024_calibr!E:E,parking_demand_data_2024_calibr!$A:$A,$A69)</f>
        <v>50.009888181208709</v>
      </c>
      <c r="G69" s="3">
        <f t="shared" si="7"/>
        <v>121.91740469420232</v>
      </c>
      <c r="H69" s="5">
        <f t="shared" si="8"/>
        <v>0.41019482252468659</v>
      </c>
      <c r="I69" s="5" t="e">
        <f t="shared" ca="1" si="9"/>
        <v>#DIV/0!</v>
      </c>
      <c r="J69">
        <f t="shared" ca="1" si="10"/>
        <v>0</v>
      </c>
      <c r="K69">
        <f t="shared" ca="1" si="11"/>
        <v>0</v>
      </c>
      <c r="L69">
        <f t="shared" ca="1" si="12"/>
        <v>0</v>
      </c>
      <c r="M69">
        <f t="shared" ca="1" si="13"/>
        <v>1</v>
      </c>
    </row>
    <row r="70" spans="1:13" x14ac:dyDescent="0.25">
      <c r="A70">
        <v>18137</v>
      </c>
      <c r="B70" t="str">
        <f ca="1">OFFSET(parking_demand_data_2024_calibr!B$1,MATCH(A70,parking_demand_data_2024_calibr!A:A,0)-1,0)</f>
        <v>Ripley County</v>
      </c>
      <c r="C70">
        <f ca="1">OFFSET(parking_demand_data_2024_calibr!H$1,MATCH(A70,parking_demand_data_2024_calibr!A:A,0)-1,0)</f>
        <v>0</v>
      </c>
      <c r="D70" s="3">
        <f>_xlfn.MAXIFS(parking_demand_data_2024_calibr!D:D,parking_demand_data_2024_calibr!$A:$A,$A70)</f>
        <v>46</v>
      </c>
      <c r="E70" s="3">
        <f>SUMIFS(parking_demand_data_2024_calibr!D:D,parking_demand_data_2024_calibr!$A:$A,$A70)</f>
        <v>752.93498904309604</v>
      </c>
      <c r="F70" s="3">
        <f>SUMIFS(parking_demand_data_2024_calibr!E:E,parking_demand_data_2024_calibr!$A:$A,$A70)</f>
        <v>70.192841490138647</v>
      </c>
      <c r="G70" s="3">
        <f t="shared" si="7"/>
        <v>823.12783053323471</v>
      </c>
      <c r="H70" s="5">
        <f t="shared" si="8"/>
        <v>8.5275748050781683E-2</v>
      </c>
      <c r="I70" s="5" t="e">
        <f t="shared" ca="1" si="9"/>
        <v>#DIV/0!</v>
      </c>
      <c r="J70">
        <f t="shared" ca="1" si="10"/>
        <v>0</v>
      </c>
      <c r="K70">
        <f t="shared" ca="1" si="11"/>
        <v>0</v>
      </c>
      <c r="L70">
        <f t="shared" ca="1" si="12"/>
        <v>0</v>
      </c>
      <c r="M70">
        <f t="shared" ca="1" si="13"/>
        <v>1</v>
      </c>
    </row>
    <row r="71" spans="1:13" x14ac:dyDescent="0.25">
      <c r="A71">
        <v>18139</v>
      </c>
      <c r="B71" t="str">
        <f ca="1">OFFSET(parking_demand_data_2024_calibr!B$1,MATCH(A71,parking_demand_data_2024_calibr!A:A,0)-1,0)</f>
        <v>Rush County</v>
      </c>
      <c r="C71">
        <f ca="1">OFFSET(parking_demand_data_2024_calibr!H$1,MATCH(A71,parking_demand_data_2024_calibr!A:A,0)-1,0)</f>
        <v>0</v>
      </c>
      <c r="D71" s="3">
        <f>_xlfn.MAXIFS(parking_demand_data_2024_calibr!D:D,parking_demand_data_2024_calibr!$A:$A,$A71)</f>
        <v>0</v>
      </c>
      <c r="E71" s="3">
        <f>SUMIFS(parking_demand_data_2024_calibr!D:D,parking_demand_data_2024_calibr!$A:$A,$A71)</f>
        <v>0</v>
      </c>
      <c r="F71" s="3">
        <f>SUMIFS(parking_demand_data_2024_calibr!E:E,parking_demand_data_2024_calibr!$A:$A,$A71)</f>
        <v>17.189539250124973</v>
      </c>
      <c r="G71" s="3">
        <f t="shared" si="7"/>
        <v>17.189539250124973</v>
      </c>
      <c r="H71" s="5">
        <f t="shared" si="8"/>
        <v>1</v>
      </c>
      <c r="I71" s="5" t="e">
        <f t="shared" ca="1" si="9"/>
        <v>#DIV/0!</v>
      </c>
      <c r="J71">
        <f t="shared" ca="1" si="10"/>
        <v>0</v>
      </c>
      <c r="K71">
        <f t="shared" ca="1" si="11"/>
        <v>0</v>
      </c>
      <c r="L71">
        <f t="shared" ca="1" si="12"/>
        <v>0</v>
      </c>
      <c r="M71">
        <f t="shared" ca="1" si="13"/>
        <v>1</v>
      </c>
    </row>
    <row r="72" spans="1:13" x14ac:dyDescent="0.25">
      <c r="A72">
        <v>18141</v>
      </c>
      <c r="B72" t="str">
        <f ca="1">OFFSET(parking_demand_data_2024_calibr!B$1,MATCH(A72,parking_demand_data_2024_calibr!A:A,0)-1,0)</f>
        <v>St. Joseph County</v>
      </c>
      <c r="C72">
        <f ca="1">OFFSET(parking_demand_data_2024_calibr!H$1,MATCH(A72,parking_demand_data_2024_calibr!A:A,0)-1,0)</f>
        <v>0</v>
      </c>
      <c r="D72" s="3">
        <f>_xlfn.MAXIFS(parking_demand_data_2024_calibr!D:D,parking_demand_data_2024_calibr!$A:$A,$A72)</f>
        <v>78.2</v>
      </c>
      <c r="E72" s="3">
        <f>SUMIFS(parking_demand_data_2024_calibr!D:D,parking_demand_data_2024_calibr!$A:$A,$A72)</f>
        <v>1496.587776484283</v>
      </c>
      <c r="F72" s="3">
        <f>SUMIFS(parking_demand_data_2024_calibr!E:E,parking_demand_data_2024_calibr!$A:$A,$A72)</f>
        <v>399.01117578579635</v>
      </c>
      <c r="G72" s="3">
        <f t="shared" si="7"/>
        <v>1895.5989522700793</v>
      </c>
      <c r="H72" s="5">
        <f t="shared" si="8"/>
        <v>0.21049345659743035</v>
      </c>
      <c r="I72" s="5" t="e">
        <f t="shared" ca="1" si="9"/>
        <v>#DIV/0!</v>
      </c>
      <c r="J72">
        <f t="shared" ca="1" si="10"/>
        <v>0</v>
      </c>
      <c r="K72">
        <f t="shared" ca="1" si="11"/>
        <v>0</v>
      </c>
      <c r="L72">
        <f t="shared" ca="1" si="12"/>
        <v>0</v>
      </c>
      <c r="M72">
        <f t="shared" ca="1" si="13"/>
        <v>1</v>
      </c>
    </row>
    <row r="73" spans="1:13" x14ac:dyDescent="0.25">
      <c r="A73">
        <v>18143</v>
      </c>
      <c r="B73" t="str">
        <f ca="1">OFFSET(parking_demand_data_2024_calibr!B$1,MATCH(A73,parking_demand_data_2024_calibr!A:A,0)-1,0)</f>
        <v>Scott County</v>
      </c>
      <c r="C73">
        <f ca="1">OFFSET(parking_demand_data_2024_calibr!H$1,MATCH(A73,parking_demand_data_2024_calibr!A:A,0)-1,0)</f>
        <v>0</v>
      </c>
      <c r="D73" s="3">
        <f>_xlfn.MAXIFS(parking_demand_data_2024_calibr!D:D,parking_demand_data_2024_calibr!$A:$A,$A73)</f>
        <v>2.98199412297912</v>
      </c>
      <c r="E73" s="3">
        <f>SUMIFS(parking_demand_data_2024_calibr!D:D,parking_demand_data_2024_calibr!$A:$A,$A73)</f>
        <v>47.123104580326086</v>
      </c>
      <c r="F73" s="3">
        <f>SUMIFS(parking_demand_data_2024_calibr!E:E,parking_demand_data_2024_calibr!$A:$A,$A73)</f>
        <v>37.740269569168845</v>
      </c>
      <c r="G73" s="3">
        <f t="shared" si="7"/>
        <v>84.863374149494931</v>
      </c>
      <c r="H73" s="5">
        <f t="shared" si="8"/>
        <v>0.44471799462846906</v>
      </c>
      <c r="I73" s="5" t="e">
        <f t="shared" ca="1" si="9"/>
        <v>#DIV/0!</v>
      </c>
      <c r="J73">
        <f t="shared" ca="1" si="10"/>
        <v>0</v>
      </c>
      <c r="K73">
        <f t="shared" ca="1" si="11"/>
        <v>0</v>
      </c>
      <c r="L73">
        <f t="shared" ca="1" si="12"/>
        <v>0</v>
      </c>
      <c r="M73">
        <f t="shared" ca="1" si="13"/>
        <v>1</v>
      </c>
    </row>
    <row r="74" spans="1:13" x14ac:dyDescent="0.25">
      <c r="A74">
        <v>18145</v>
      </c>
      <c r="B74" t="str">
        <f ca="1">OFFSET(parking_demand_data_2024_calibr!B$1,MATCH(A74,parking_demand_data_2024_calibr!A:A,0)-1,0)</f>
        <v>Shelby County</v>
      </c>
      <c r="C74">
        <f ca="1">OFFSET(parking_demand_data_2024_calibr!H$1,MATCH(A74,parking_demand_data_2024_calibr!A:A,0)-1,0)</f>
        <v>0</v>
      </c>
      <c r="D74" s="3">
        <f>_xlfn.MAXIFS(parking_demand_data_2024_calibr!D:D,parking_demand_data_2024_calibr!$A:$A,$A74)</f>
        <v>116.149999999999</v>
      </c>
      <c r="E74" s="3">
        <f>SUMIFS(parking_demand_data_2024_calibr!D:D,parking_demand_data_2024_calibr!$A:$A,$A74)</f>
        <v>2382.7987809187207</v>
      </c>
      <c r="F74" s="3">
        <f>SUMIFS(parking_demand_data_2024_calibr!E:E,parking_demand_data_2024_calibr!$A:$A,$A74)</f>
        <v>227.21074204946936</v>
      </c>
      <c r="G74" s="3">
        <f t="shared" si="7"/>
        <v>2610.0095229681901</v>
      </c>
      <c r="H74" s="5">
        <f t="shared" si="8"/>
        <v>8.7053606529020514E-2</v>
      </c>
      <c r="I74" s="5" t="e">
        <f t="shared" ca="1" si="9"/>
        <v>#DIV/0!</v>
      </c>
      <c r="J74">
        <f t="shared" ca="1" si="10"/>
        <v>0</v>
      </c>
      <c r="K74">
        <f t="shared" ca="1" si="11"/>
        <v>0</v>
      </c>
      <c r="L74">
        <f t="shared" ca="1" si="12"/>
        <v>0</v>
      </c>
      <c r="M74">
        <f t="shared" ca="1" si="13"/>
        <v>1</v>
      </c>
    </row>
    <row r="75" spans="1:13" x14ac:dyDescent="0.25">
      <c r="A75">
        <v>18147</v>
      </c>
      <c r="B75" t="str">
        <f ca="1">OFFSET(parking_demand_data_2024_calibr!B$1,MATCH(A75,parking_demand_data_2024_calibr!A:A,0)-1,0)</f>
        <v>Spencer County</v>
      </c>
      <c r="C75">
        <f ca="1">OFFSET(parking_demand_data_2024_calibr!H$1,MATCH(A75,parking_demand_data_2024_calibr!A:A,0)-1,0)</f>
        <v>0</v>
      </c>
      <c r="D75" s="3">
        <f>_xlfn.MAXIFS(parking_demand_data_2024_calibr!D:D,parking_demand_data_2024_calibr!$A:$A,$A75)</f>
        <v>30.981696434904599</v>
      </c>
      <c r="E75" s="3">
        <f>SUMIFS(parking_demand_data_2024_calibr!D:D,parking_demand_data_2024_calibr!$A:$A,$A75)</f>
        <v>592.87516336309614</v>
      </c>
      <c r="F75" s="3">
        <f>SUMIFS(parking_demand_data_2024_calibr!E:E,parking_demand_data_2024_calibr!$A:$A,$A75)</f>
        <v>188.40769522668057</v>
      </c>
      <c r="G75" s="3">
        <f t="shared" si="7"/>
        <v>781.28285858977665</v>
      </c>
      <c r="H75" s="5">
        <f t="shared" si="8"/>
        <v>0.24115170729172061</v>
      </c>
      <c r="I75" s="5" t="e">
        <f t="shared" ca="1" si="9"/>
        <v>#DIV/0!</v>
      </c>
      <c r="J75">
        <f t="shared" ca="1" si="10"/>
        <v>0</v>
      </c>
      <c r="K75">
        <f t="shared" ca="1" si="11"/>
        <v>0</v>
      </c>
      <c r="L75">
        <f t="shared" ca="1" si="12"/>
        <v>0</v>
      </c>
      <c r="M75">
        <f t="shared" ca="1" si="13"/>
        <v>1</v>
      </c>
    </row>
    <row r="76" spans="1:13" x14ac:dyDescent="0.25">
      <c r="A76">
        <v>18149</v>
      </c>
      <c r="B76" t="str">
        <f ca="1">OFFSET(parking_demand_data_2024_calibr!B$1,MATCH(A76,parking_demand_data_2024_calibr!A:A,0)-1,0)</f>
        <v>Starke County</v>
      </c>
      <c r="C76">
        <f ca="1">OFFSET(parking_demand_data_2024_calibr!H$1,MATCH(A76,parking_demand_data_2024_calibr!A:A,0)-1,0)</f>
        <v>0</v>
      </c>
      <c r="D76" s="3">
        <f>_xlfn.MAXIFS(parking_demand_data_2024_calibr!D:D,parking_demand_data_2024_calibr!$A:$A,$A76)</f>
        <v>49.392288550888701</v>
      </c>
      <c r="E76" s="3">
        <f>SUMIFS(parking_demand_data_2024_calibr!D:D,parking_demand_data_2024_calibr!$A:$A,$A76)</f>
        <v>693.64281163559008</v>
      </c>
      <c r="F76" s="3">
        <f>SUMIFS(parking_demand_data_2024_calibr!E:E,parking_demand_data_2024_calibr!$A:$A,$A76)</f>
        <v>7.2069725845834514</v>
      </c>
      <c r="G76" s="3">
        <f t="shared" si="7"/>
        <v>700.84978422017355</v>
      </c>
      <c r="H76" s="5">
        <f t="shared" si="8"/>
        <v>1.0283191558091946E-2</v>
      </c>
      <c r="I76" s="5" t="e">
        <f t="shared" ca="1" si="9"/>
        <v>#DIV/0!</v>
      </c>
      <c r="J76">
        <f t="shared" ca="1" si="10"/>
        <v>0</v>
      </c>
      <c r="K76">
        <f t="shared" ca="1" si="11"/>
        <v>0</v>
      </c>
      <c r="L76">
        <f t="shared" ca="1" si="12"/>
        <v>0</v>
      </c>
      <c r="M76">
        <f t="shared" ca="1" si="13"/>
        <v>1</v>
      </c>
    </row>
    <row r="77" spans="1:13" x14ac:dyDescent="0.25">
      <c r="A77">
        <v>18151</v>
      </c>
      <c r="B77" t="str">
        <f ca="1">OFFSET(parking_demand_data_2024_calibr!B$1,MATCH(A77,parking_demand_data_2024_calibr!A:A,0)-1,0)</f>
        <v>Steuben County</v>
      </c>
      <c r="C77">
        <f ca="1">OFFSET(parking_demand_data_2024_calibr!H$1,MATCH(A77,parking_demand_data_2024_calibr!A:A,0)-1,0)</f>
        <v>2</v>
      </c>
      <c r="D77" s="3">
        <f>_xlfn.MAXIFS(parking_demand_data_2024_calibr!D:D,parking_demand_data_2024_calibr!$A:$A,$A77)</f>
        <v>427.8</v>
      </c>
      <c r="E77" s="3">
        <f>SUMIFS(parking_demand_data_2024_calibr!D:D,parking_demand_data_2024_calibr!$A:$A,$A77)</f>
        <v>7771.1061161351636</v>
      </c>
      <c r="F77" s="3">
        <f>SUMIFS(parking_demand_data_2024_calibr!E:E,parking_demand_data_2024_calibr!$A:$A,$A77)</f>
        <v>870.10773441218362</v>
      </c>
      <c r="G77" s="3">
        <f t="shared" si="7"/>
        <v>8641.2138505473467</v>
      </c>
      <c r="H77" s="5">
        <f t="shared" si="8"/>
        <v>0.10069276718074391</v>
      </c>
      <c r="I77" s="5">
        <f t="shared" ca="1" si="9"/>
        <v>213.9</v>
      </c>
      <c r="J77">
        <f t="shared" ca="1" si="10"/>
        <v>1</v>
      </c>
      <c r="K77">
        <f t="shared" ca="1" si="11"/>
        <v>0</v>
      </c>
      <c r="L77">
        <f t="shared" ca="1" si="12"/>
        <v>0</v>
      </c>
      <c r="M77">
        <f t="shared" ca="1" si="13"/>
        <v>0</v>
      </c>
    </row>
    <row r="78" spans="1:13" x14ac:dyDescent="0.25">
      <c r="A78">
        <v>18153</v>
      </c>
      <c r="B78" t="str">
        <f ca="1">OFFSET(parking_demand_data_2024_calibr!B$1,MATCH(A78,parking_demand_data_2024_calibr!A:A,0)-1,0)</f>
        <v>Sullivan County</v>
      </c>
      <c r="C78">
        <f ca="1">OFFSET(parking_demand_data_2024_calibr!H$1,MATCH(A78,parking_demand_data_2024_calibr!A:A,0)-1,0)</f>
        <v>0</v>
      </c>
      <c r="D78" s="3">
        <f>_xlfn.MAXIFS(parking_demand_data_2024_calibr!D:D,parking_demand_data_2024_calibr!$A:$A,$A78)</f>
        <v>27.608754294621502</v>
      </c>
      <c r="E78" s="3">
        <f>SUMIFS(parking_demand_data_2024_calibr!D:D,parking_demand_data_2024_calibr!$A:$A,$A78)</f>
        <v>413.25018396311174</v>
      </c>
      <c r="F78" s="3">
        <f>SUMIFS(parking_demand_data_2024_calibr!E:E,parking_demand_data_2024_calibr!$A:$A,$A78)</f>
        <v>6.7553334976201622</v>
      </c>
      <c r="G78" s="3">
        <f t="shared" si="7"/>
        <v>420.00551746073188</v>
      </c>
      <c r="H78" s="5">
        <f t="shared" si="8"/>
        <v>1.6083916083916083E-2</v>
      </c>
      <c r="I78" s="5" t="e">
        <f t="shared" ca="1" si="9"/>
        <v>#DIV/0!</v>
      </c>
      <c r="J78">
        <f t="shared" ca="1" si="10"/>
        <v>0</v>
      </c>
      <c r="K78">
        <f t="shared" ca="1" si="11"/>
        <v>0</v>
      </c>
      <c r="L78">
        <f t="shared" ca="1" si="12"/>
        <v>0</v>
      </c>
      <c r="M78">
        <f t="shared" ca="1" si="13"/>
        <v>1</v>
      </c>
    </row>
    <row r="79" spans="1:13" x14ac:dyDescent="0.25">
      <c r="A79">
        <v>18155</v>
      </c>
      <c r="B79" t="str">
        <f ca="1">OFFSET(parking_demand_data_2024_calibr!B$1,MATCH(A79,parking_demand_data_2024_calibr!A:A,0)-1,0)</f>
        <v>Switzerland County</v>
      </c>
      <c r="C79">
        <f ca="1">OFFSET(parking_demand_data_2024_calibr!H$1,MATCH(A79,parking_demand_data_2024_calibr!A:A,0)-1,0)</f>
        <v>0</v>
      </c>
      <c r="D79" s="3">
        <f>_xlfn.MAXIFS(parking_demand_data_2024_calibr!D:D,parking_demand_data_2024_calibr!$A:$A,$A79)</f>
        <v>0</v>
      </c>
      <c r="E79" s="3">
        <f>SUMIFS(parking_demand_data_2024_calibr!D:D,parking_demand_data_2024_calibr!$A:$A,$A79)</f>
        <v>0</v>
      </c>
      <c r="F79" s="3">
        <f>SUMIFS(parking_demand_data_2024_calibr!E:E,parking_demand_data_2024_calibr!$A:$A,$A79)</f>
        <v>0</v>
      </c>
      <c r="G79" s="3">
        <f t="shared" si="7"/>
        <v>0</v>
      </c>
      <c r="H79" s="5" t="e">
        <f t="shared" si="8"/>
        <v>#DIV/0!</v>
      </c>
      <c r="I79" s="5" t="e">
        <f t="shared" ca="1" si="9"/>
        <v>#DIV/0!</v>
      </c>
      <c r="J79">
        <f t="shared" ca="1" si="10"/>
        <v>0</v>
      </c>
      <c r="K79">
        <f t="shared" ca="1" si="11"/>
        <v>0</v>
      </c>
      <c r="L79">
        <f t="shared" ca="1" si="12"/>
        <v>0</v>
      </c>
      <c r="M79">
        <f t="shared" ca="1" si="13"/>
        <v>1</v>
      </c>
    </row>
    <row r="80" spans="1:13" x14ac:dyDescent="0.25">
      <c r="A80">
        <v>18157</v>
      </c>
      <c r="B80" t="str">
        <f ca="1">OFFSET(parking_demand_data_2024_calibr!B$1,MATCH(A80,parking_demand_data_2024_calibr!A:A,0)-1,0)</f>
        <v>Tippecanoe County</v>
      </c>
      <c r="C80">
        <f ca="1">OFFSET(parking_demand_data_2024_calibr!H$1,MATCH(A80,parking_demand_data_2024_calibr!A:A,0)-1,0)</f>
        <v>0</v>
      </c>
      <c r="D80" s="3">
        <f>_xlfn.MAXIFS(parking_demand_data_2024_calibr!D:D,parking_demand_data_2024_calibr!$A:$A,$A80)</f>
        <v>105.799999999999</v>
      </c>
      <c r="E80" s="3">
        <f>SUMIFS(parking_demand_data_2024_calibr!D:D,parking_demand_data_2024_calibr!$A:$A,$A80)</f>
        <v>2081.2330634277964</v>
      </c>
      <c r="F80" s="3">
        <f>SUMIFS(parking_demand_data_2024_calibr!E:E,parking_demand_data_2024_calibr!$A:$A,$A80)</f>
        <v>274.10195681511385</v>
      </c>
      <c r="G80" s="3">
        <f t="shared" si="7"/>
        <v>2355.3350202429101</v>
      </c>
      <c r="H80" s="5">
        <f t="shared" si="8"/>
        <v>0.11637493369705224</v>
      </c>
      <c r="I80" s="5" t="e">
        <f t="shared" ca="1" si="9"/>
        <v>#DIV/0!</v>
      </c>
      <c r="J80">
        <f t="shared" ca="1" si="10"/>
        <v>0</v>
      </c>
      <c r="K80">
        <f t="shared" ca="1" si="11"/>
        <v>0</v>
      </c>
      <c r="L80">
        <f t="shared" ca="1" si="12"/>
        <v>0</v>
      </c>
      <c r="M80">
        <f t="shared" ca="1" si="13"/>
        <v>1</v>
      </c>
    </row>
    <row r="81" spans="1:13" x14ac:dyDescent="0.25">
      <c r="A81">
        <v>18159</v>
      </c>
      <c r="B81" t="str">
        <f ca="1">OFFSET(parking_demand_data_2024_calibr!B$1,MATCH(A81,parking_demand_data_2024_calibr!A:A,0)-1,0)</f>
        <v>Tipton County</v>
      </c>
      <c r="C81">
        <f ca="1">OFFSET(parking_demand_data_2024_calibr!H$1,MATCH(A81,parking_demand_data_2024_calibr!A:A,0)-1,0)</f>
        <v>0</v>
      </c>
      <c r="D81" s="3">
        <f>_xlfn.MAXIFS(parking_demand_data_2024_calibr!D:D,parking_demand_data_2024_calibr!$A:$A,$A81)</f>
        <v>0</v>
      </c>
      <c r="E81" s="3">
        <f>SUMIFS(parking_demand_data_2024_calibr!D:D,parking_demand_data_2024_calibr!$A:$A,$A81)</f>
        <v>0</v>
      </c>
      <c r="F81" s="3">
        <f>SUMIFS(parking_demand_data_2024_calibr!E:E,parking_demand_data_2024_calibr!$A:$A,$A81)</f>
        <v>5.0879751202875765</v>
      </c>
      <c r="G81" s="3">
        <f t="shared" si="7"/>
        <v>5.0879751202875765</v>
      </c>
      <c r="H81" s="5">
        <f t="shared" si="8"/>
        <v>1</v>
      </c>
      <c r="I81" s="5" t="e">
        <f t="shared" ca="1" si="9"/>
        <v>#DIV/0!</v>
      </c>
      <c r="J81">
        <f t="shared" ca="1" si="10"/>
        <v>0</v>
      </c>
      <c r="K81">
        <f t="shared" ca="1" si="11"/>
        <v>0</v>
      </c>
      <c r="L81">
        <f t="shared" ca="1" si="12"/>
        <v>0</v>
      </c>
      <c r="M81">
        <f t="shared" ca="1" si="13"/>
        <v>1</v>
      </c>
    </row>
    <row r="82" spans="1:13" x14ac:dyDescent="0.25">
      <c r="A82">
        <v>18161</v>
      </c>
      <c r="B82" t="str">
        <f ca="1">OFFSET(parking_demand_data_2024_calibr!B$1,MATCH(A82,parking_demand_data_2024_calibr!A:A,0)-1,0)</f>
        <v>Union County</v>
      </c>
      <c r="C82">
        <f ca="1">OFFSET(parking_demand_data_2024_calibr!H$1,MATCH(A82,parking_demand_data_2024_calibr!A:A,0)-1,0)</f>
        <v>0</v>
      </c>
      <c r="D82" s="3">
        <f>_xlfn.MAXIFS(parking_demand_data_2024_calibr!D:D,parking_demand_data_2024_calibr!$A:$A,$A82)</f>
        <v>0</v>
      </c>
      <c r="E82" s="3">
        <f>SUMIFS(parking_demand_data_2024_calibr!D:D,parking_demand_data_2024_calibr!$A:$A,$A82)</f>
        <v>0</v>
      </c>
      <c r="F82" s="3">
        <f>SUMIFS(parking_demand_data_2024_calibr!E:E,parking_demand_data_2024_calibr!$A:$A,$A82)</f>
        <v>1.6805786633592319</v>
      </c>
      <c r="G82" s="3">
        <f t="shared" si="7"/>
        <v>1.6805786633592319</v>
      </c>
      <c r="H82" s="5">
        <f t="shared" si="8"/>
        <v>1</v>
      </c>
      <c r="I82" s="5" t="e">
        <f t="shared" ca="1" si="9"/>
        <v>#DIV/0!</v>
      </c>
      <c r="J82">
        <f t="shared" ca="1" si="10"/>
        <v>0</v>
      </c>
      <c r="K82">
        <f t="shared" ca="1" si="11"/>
        <v>0</v>
      </c>
      <c r="L82">
        <f t="shared" ca="1" si="12"/>
        <v>0</v>
      </c>
      <c r="M82">
        <f t="shared" ca="1" si="13"/>
        <v>1</v>
      </c>
    </row>
    <row r="83" spans="1:13" x14ac:dyDescent="0.25">
      <c r="A83">
        <v>18163</v>
      </c>
      <c r="B83" t="str">
        <f ca="1">OFFSET(parking_demand_data_2024_calibr!B$1,MATCH(A83,parking_demand_data_2024_calibr!A:A,0)-1,0)</f>
        <v>Vanderburgh County</v>
      </c>
      <c r="C83">
        <f ca="1">OFFSET(parking_demand_data_2024_calibr!H$1,MATCH(A83,parking_demand_data_2024_calibr!A:A,0)-1,0)</f>
        <v>0</v>
      </c>
      <c r="D83" s="3">
        <f>_xlfn.MAXIFS(parking_demand_data_2024_calibr!D:D,parking_demand_data_2024_calibr!$A:$A,$A83)</f>
        <v>13.8057942921952</v>
      </c>
      <c r="E83" s="3">
        <f>SUMIFS(parking_demand_data_2024_calibr!D:D,parking_demand_data_2024_calibr!$A:$A,$A83)</f>
        <v>236.36113625842162</v>
      </c>
      <c r="F83" s="3">
        <f>SUMIFS(parking_demand_data_2024_calibr!E:E,parking_demand_data_2024_calibr!$A:$A,$A83)</f>
        <v>429.93915515113764</v>
      </c>
      <c r="G83" s="3">
        <f t="shared" si="7"/>
        <v>666.30029140955924</v>
      </c>
      <c r="H83" s="5">
        <f t="shared" si="8"/>
        <v>0.64526334551287789</v>
      </c>
      <c r="I83" s="5" t="e">
        <f t="shared" ca="1" si="9"/>
        <v>#DIV/0!</v>
      </c>
      <c r="J83">
        <f t="shared" ca="1" si="10"/>
        <v>0</v>
      </c>
      <c r="K83">
        <f t="shared" ca="1" si="11"/>
        <v>0</v>
      </c>
      <c r="L83">
        <f t="shared" ca="1" si="12"/>
        <v>0</v>
      </c>
      <c r="M83">
        <f t="shared" ca="1" si="13"/>
        <v>1</v>
      </c>
    </row>
    <row r="84" spans="1:13" x14ac:dyDescent="0.25">
      <c r="A84">
        <v>18165</v>
      </c>
      <c r="B84" t="str">
        <f ca="1">OFFSET(parking_demand_data_2024_calibr!B$1,MATCH(A84,parking_demand_data_2024_calibr!A:A,0)-1,0)</f>
        <v>Vermillion County</v>
      </c>
      <c r="C84">
        <f ca="1">OFFSET(parking_demand_data_2024_calibr!H$1,MATCH(A84,parking_demand_data_2024_calibr!A:A,0)-1,0)</f>
        <v>0</v>
      </c>
      <c r="D84" s="3">
        <f>_xlfn.MAXIFS(parking_demand_data_2024_calibr!D:D,parking_demand_data_2024_calibr!$A:$A,$A84)</f>
        <v>92.528267180213106</v>
      </c>
      <c r="E84" s="3">
        <f>SUMIFS(parking_demand_data_2024_calibr!D:D,parking_demand_data_2024_calibr!$A:$A,$A84)</f>
        <v>1526.6567641242377</v>
      </c>
      <c r="F84" s="3">
        <f>SUMIFS(parking_demand_data_2024_calibr!E:E,parking_demand_data_2024_calibr!$A:$A,$A84)</f>
        <v>37.019259451988972</v>
      </c>
      <c r="G84" s="3">
        <f t="shared" si="7"/>
        <v>1563.6760235762267</v>
      </c>
      <c r="H84" s="5">
        <f t="shared" si="8"/>
        <v>2.3674507310870934E-2</v>
      </c>
      <c r="I84" s="5" t="e">
        <f t="shared" ca="1" si="9"/>
        <v>#DIV/0!</v>
      </c>
      <c r="J84">
        <f t="shared" ca="1" si="10"/>
        <v>0</v>
      </c>
      <c r="K84">
        <f t="shared" ca="1" si="11"/>
        <v>0</v>
      </c>
      <c r="L84">
        <f t="shared" ca="1" si="12"/>
        <v>0</v>
      </c>
      <c r="M84">
        <f t="shared" ca="1" si="13"/>
        <v>1</v>
      </c>
    </row>
    <row r="85" spans="1:13" x14ac:dyDescent="0.25">
      <c r="A85">
        <v>18167</v>
      </c>
      <c r="B85" t="str">
        <f ca="1">OFFSET(parking_demand_data_2024_calibr!B$1,MATCH(A85,parking_demand_data_2024_calibr!A:A,0)-1,0)</f>
        <v>Vigo County</v>
      </c>
      <c r="C85">
        <f ca="1">OFFSET(parking_demand_data_2024_calibr!H$1,MATCH(A85,parking_demand_data_2024_calibr!A:A,0)-1,0)</f>
        <v>0</v>
      </c>
      <c r="D85" s="3">
        <f>_xlfn.MAXIFS(parking_demand_data_2024_calibr!D:D,parking_demand_data_2024_calibr!$A:$A,$A85)</f>
        <v>33.619837905737803</v>
      </c>
      <c r="E85" s="3">
        <f>SUMIFS(parking_demand_data_2024_calibr!D:D,parking_demand_data_2024_calibr!$A:$A,$A85)</f>
        <v>592.76790873043308</v>
      </c>
      <c r="F85" s="3">
        <f>SUMIFS(parking_demand_data_2024_calibr!E:E,parking_demand_data_2024_calibr!$A:$A,$A85)</f>
        <v>118.48706269334636</v>
      </c>
      <c r="G85" s="3">
        <f t="shared" si="7"/>
        <v>711.25497142377947</v>
      </c>
      <c r="H85" s="5">
        <f t="shared" si="8"/>
        <v>0.16658873041851749</v>
      </c>
      <c r="I85" s="5" t="e">
        <f t="shared" ca="1" si="9"/>
        <v>#DIV/0!</v>
      </c>
      <c r="J85">
        <f t="shared" ca="1" si="10"/>
        <v>0</v>
      </c>
      <c r="K85">
        <f t="shared" ca="1" si="11"/>
        <v>0</v>
      </c>
      <c r="L85">
        <f t="shared" ca="1" si="12"/>
        <v>0</v>
      </c>
      <c r="M85">
        <f t="shared" ca="1" si="13"/>
        <v>1</v>
      </c>
    </row>
    <row r="86" spans="1:13" x14ac:dyDescent="0.25">
      <c r="A86">
        <v>18169</v>
      </c>
      <c r="B86" t="str">
        <f ca="1">OFFSET(parking_demand_data_2024_calibr!B$1,MATCH(A86,parking_demand_data_2024_calibr!A:A,0)-1,0)</f>
        <v>Wabash County</v>
      </c>
      <c r="C86">
        <f ca="1">OFFSET(parking_demand_data_2024_calibr!H$1,MATCH(A86,parking_demand_data_2024_calibr!A:A,0)-1,0)</f>
        <v>0</v>
      </c>
      <c r="D86" s="3">
        <f>_xlfn.MAXIFS(parking_demand_data_2024_calibr!D:D,parking_demand_data_2024_calibr!$A:$A,$A86)</f>
        <v>1.4875751232535701</v>
      </c>
      <c r="E86" s="3">
        <f>SUMIFS(parking_demand_data_2024_calibr!D:D,parking_demand_data_2024_calibr!$A:$A,$A86)</f>
        <v>25.626862350595626</v>
      </c>
      <c r="F86" s="3">
        <f>SUMIFS(parking_demand_data_2024_calibr!E:E,parking_demand_data_2024_calibr!$A:$A,$A86)</f>
        <v>22.448860950917556</v>
      </c>
      <c r="G86" s="3">
        <f t="shared" si="7"/>
        <v>48.075723301513179</v>
      </c>
      <c r="H86" s="5">
        <f t="shared" si="8"/>
        <v>0.46694796061884691</v>
      </c>
      <c r="I86" s="5" t="e">
        <f t="shared" ca="1" si="9"/>
        <v>#DIV/0!</v>
      </c>
      <c r="J86">
        <f t="shared" ca="1" si="10"/>
        <v>0</v>
      </c>
      <c r="K86">
        <f t="shared" ca="1" si="11"/>
        <v>0</v>
      </c>
      <c r="L86">
        <f t="shared" ca="1" si="12"/>
        <v>0</v>
      </c>
      <c r="M86">
        <f t="shared" ca="1" si="13"/>
        <v>1</v>
      </c>
    </row>
    <row r="87" spans="1:13" x14ac:dyDescent="0.25">
      <c r="A87">
        <v>18171</v>
      </c>
      <c r="B87" t="str">
        <f ca="1">OFFSET(parking_demand_data_2024_calibr!B$1,MATCH(A87,parking_demand_data_2024_calibr!A:A,0)-1,0)</f>
        <v>Warren County</v>
      </c>
      <c r="C87">
        <f ca="1">OFFSET(parking_demand_data_2024_calibr!H$1,MATCH(A87,parking_demand_data_2024_calibr!A:A,0)-1,0)</f>
        <v>0</v>
      </c>
      <c r="D87" s="3">
        <f>_xlfn.MAXIFS(parking_demand_data_2024_calibr!D:D,parking_demand_data_2024_calibr!$A:$A,$A87)</f>
        <v>0</v>
      </c>
      <c r="E87" s="3">
        <f>SUMIFS(parking_demand_data_2024_calibr!D:D,parking_demand_data_2024_calibr!$A:$A,$A87)</f>
        <v>0</v>
      </c>
      <c r="F87" s="3">
        <f>SUMIFS(parking_demand_data_2024_calibr!E:E,parking_demand_data_2024_calibr!$A:$A,$A87)</f>
        <v>45.169056959733382</v>
      </c>
      <c r="G87" s="3">
        <f t="shared" si="7"/>
        <v>45.169056959733382</v>
      </c>
      <c r="H87" s="5">
        <f t="shared" si="8"/>
        <v>1</v>
      </c>
      <c r="I87" s="5" t="e">
        <f t="shared" ca="1" si="9"/>
        <v>#DIV/0!</v>
      </c>
      <c r="J87">
        <f t="shared" ca="1" si="10"/>
        <v>0</v>
      </c>
      <c r="K87">
        <f t="shared" ca="1" si="11"/>
        <v>0</v>
      </c>
      <c r="L87">
        <f t="shared" ca="1" si="12"/>
        <v>0</v>
      </c>
      <c r="M87">
        <f t="shared" ca="1" si="13"/>
        <v>1</v>
      </c>
    </row>
    <row r="88" spans="1:13" x14ac:dyDescent="0.25">
      <c r="A88">
        <v>18173</v>
      </c>
      <c r="B88" t="str">
        <f ca="1">OFFSET(parking_demand_data_2024_calibr!B$1,MATCH(A88,parking_demand_data_2024_calibr!A:A,0)-1,0)</f>
        <v>Warrick County</v>
      </c>
      <c r="C88">
        <f ca="1">OFFSET(parking_demand_data_2024_calibr!H$1,MATCH(A88,parking_demand_data_2024_calibr!A:A,0)-1,0)</f>
        <v>0</v>
      </c>
      <c r="D88" s="3">
        <f>_xlfn.MAXIFS(parking_demand_data_2024_calibr!D:D,parking_demand_data_2024_calibr!$A:$A,$A88)</f>
        <v>0</v>
      </c>
      <c r="E88" s="3">
        <f>SUMIFS(parking_demand_data_2024_calibr!D:D,parking_demand_data_2024_calibr!$A:$A,$A88)</f>
        <v>0</v>
      </c>
      <c r="F88" s="3">
        <f>SUMIFS(parking_demand_data_2024_calibr!E:E,parking_demand_data_2024_calibr!$A:$A,$A88)</f>
        <v>166.3194120748251</v>
      </c>
      <c r="G88" s="3">
        <f t="shared" si="7"/>
        <v>166.3194120748251</v>
      </c>
      <c r="H88" s="5">
        <f t="shared" si="8"/>
        <v>1</v>
      </c>
      <c r="I88" s="5" t="e">
        <f t="shared" ca="1" si="9"/>
        <v>#DIV/0!</v>
      </c>
      <c r="J88">
        <f t="shared" ca="1" si="10"/>
        <v>0</v>
      </c>
      <c r="K88">
        <f t="shared" ca="1" si="11"/>
        <v>0</v>
      </c>
      <c r="L88">
        <f t="shared" ca="1" si="12"/>
        <v>0</v>
      </c>
      <c r="M88">
        <f t="shared" ca="1" si="13"/>
        <v>1</v>
      </c>
    </row>
    <row r="89" spans="1:13" x14ac:dyDescent="0.25">
      <c r="A89">
        <v>18175</v>
      </c>
      <c r="B89" t="str">
        <f ca="1">OFFSET(parking_demand_data_2024_calibr!B$1,MATCH(A89,parking_demand_data_2024_calibr!A:A,0)-1,0)</f>
        <v>Washington County</v>
      </c>
      <c r="C89">
        <f ca="1">OFFSET(parking_demand_data_2024_calibr!H$1,MATCH(A89,parking_demand_data_2024_calibr!A:A,0)-1,0)</f>
        <v>0</v>
      </c>
      <c r="D89" s="3">
        <f>_xlfn.MAXIFS(parking_demand_data_2024_calibr!D:D,parking_demand_data_2024_calibr!$A:$A,$A89)</f>
        <v>0</v>
      </c>
      <c r="E89" s="3">
        <f>SUMIFS(parking_demand_data_2024_calibr!D:D,parking_demand_data_2024_calibr!$A:$A,$A89)</f>
        <v>0</v>
      </c>
      <c r="F89" s="3">
        <f>SUMIFS(parking_demand_data_2024_calibr!E:E,parking_demand_data_2024_calibr!$A:$A,$A89)</f>
        <v>16.430524013800653</v>
      </c>
      <c r="G89" s="3">
        <f t="shared" si="7"/>
        <v>16.430524013800653</v>
      </c>
      <c r="H89" s="5">
        <f t="shared" si="8"/>
        <v>1</v>
      </c>
      <c r="I89" s="5" t="e">
        <f t="shared" ca="1" si="9"/>
        <v>#DIV/0!</v>
      </c>
      <c r="J89">
        <f t="shared" ca="1" si="10"/>
        <v>0</v>
      </c>
      <c r="K89">
        <f t="shared" ca="1" si="11"/>
        <v>0</v>
      </c>
      <c r="L89">
        <f t="shared" ca="1" si="12"/>
        <v>0</v>
      </c>
      <c r="M89">
        <f t="shared" ca="1" si="13"/>
        <v>1</v>
      </c>
    </row>
    <row r="90" spans="1:13" x14ac:dyDescent="0.25">
      <c r="A90">
        <v>18177</v>
      </c>
      <c r="B90" t="str">
        <f ca="1">OFFSET(parking_demand_data_2024_calibr!B$1,MATCH(A90,parking_demand_data_2024_calibr!A:A,0)-1,0)</f>
        <v>Wayne County</v>
      </c>
      <c r="C90">
        <f ca="1">OFFSET(parking_demand_data_2024_calibr!H$1,MATCH(A90,parking_demand_data_2024_calibr!A:A,0)-1,0)</f>
        <v>1</v>
      </c>
      <c r="D90" s="3">
        <f>_xlfn.MAXIFS(parking_demand_data_2024_calibr!D:D,parking_demand_data_2024_calibr!$A:$A,$A90)</f>
        <v>415.15</v>
      </c>
      <c r="E90" s="3">
        <f>SUMIFS(parking_demand_data_2024_calibr!D:D,parking_demand_data_2024_calibr!$A:$A,$A90)</f>
        <v>7002.7929323758108</v>
      </c>
      <c r="F90" s="3">
        <f>SUMIFS(parking_demand_data_2024_calibr!E:E,parking_demand_data_2024_calibr!$A:$A,$A90)</f>
        <v>237.16468581687562</v>
      </c>
      <c r="G90" s="3">
        <f t="shared" si="7"/>
        <v>7239.9576181926868</v>
      </c>
      <c r="H90" s="5">
        <f t="shared" si="8"/>
        <v>3.2757745048247827E-2</v>
      </c>
      <c r="I90" s="5">
        <f t="shared" ca="1" si="9"/>
        <v>415.15</v>
      </c>
      <c r="J90">
        <f t="shared" ca="1" si="10"/>
        <v>1</v>
      </c>
      <c r="K90">
        <f t="shared" ca="1" si="11"/>
        <v>0</v>
      </c>
      <c r="L90">
        <f t="shared" ca="1" si="12"/>
        <v>0</v>
      </c>
      <c r="M90">
        <f t="shared" ca="1" si="13"/>
        <v>0</v>
      </c>
    </row>
    <row r="91" spans="1:13" x14ac:dyDescent="0.25">
      <c r="A91">
        <v>18179</v>
      </c>
      <c r="B91" t="str">
        <f ca="1">OFFSET(parking_demand_data_2024_calibr!B$1,MATCH(A91,parking_demand_data_2024_calibr!A:A,0)-1,0)</f>
        <v>Wells County</v>
      </c>
      <c r="C91">
        <f ca="1">OFFSET(parking_demand_data_2024_calibr!H$1,MATCH(A91,parking_demand_data_2024_calibr!A:A,0)-1,0)</f>
        <v>0</v>
      </c>
      <c r="D91" s="3">
        <f>_xlfn.MAXIFS(parking_demand_data_2024_calibr!D:D,parking_demand_data_2024_calibr!$A:$A,$A91)</f>
        <v>0</v>
      </c>
      <c r="E91" s="3">
        <f>SUMIFS(parking_demand_data_2024_calibr!D:D,parking_demand_data_2024_calibr!$A:$A,$A91)</f>
        <v>0</v>
      </c>
      <c r="F91" s="3">
        <f>SUMIFS(parking_demand_data_2024_calibr!E:E,parking_demand_data_2024_calibr!$A:$A,$A91)</f>
        <v>43.698369221803212</v>
      </c>
      <c r="G91" s="3">
        <f t="shared" si="7"/>
        <v>43.698369221803212</v>
      </c>
      <c r="H91" s="5">
        <f t="shared" si="8"/>
        <v>1</v>
      </c>
      <c r="I91" s="5" t="e">
        <f t="shared" ca="1" si="9"/>
        <v>#DIV/0!</v>
      </c>
      <c r="J91">
        <f t="shared" ca="1" si="10"/>
        <v>0</v>
      </c>
      <c r="K91">
        <f t="shared" ca="1" si="11"/>
        <v>0</v>
      </c>
      <c r="L91">
        <f t="shared" ca="1" si="12"/>
        <v>0</v>
      </c>
      <c r="M91">
        <f t="shared" ca="1" si="13"/>
        <v>1</v>
      </c>
    </row>
    <row r="92" spans="1:13" x14ac:dyDescent="0.25">
      <c r="A92">
        <v>18181</v>
      </c>
      <c r="B92" t="str">
        <f ca="1">OFFSET(parking_demand_data_2024_calibr!B$1,MATCH(A92,parking_demand_data_2024_calibr!A:A,0)-1,0)</f>
        <v>White County</v>
      </c>
      <c r="C92">
        <f ca="1">OFFSET(parking_demand_data_2024_calibr!H$1,MATCH(A92,parking_demand_data_2024_calibr!A:A,0)-1,0)</f>
        <v>0</v>
      </c>
      <c r="D92" s="3">
        <f>_xlfn.MAXIFS(parking_demand_data_2024_calibr!D:D,parking_demand_data_2024_calibr!$A:$A,$A92)</f>
        <v>0</v>
      </c>
      <c r="E92" s="3">
        <f>SUMIFS(parking_demand_data_2024_calibr!D:D,parking_demand_data_2024_calibr!$A:$A,$A92)</f>
        <v>0</v>
      </c>
      <c r="F92" s="3">
        <f>SUMIFS(parking_demand_data_2024_calibr!E:E,parking_demand_data_2024_calibr!$A:$A,$A92)</f>
        <v>354.87022634251576</v>
      </c>
      <c r="G92" s="3">
        <f t="shared" si="7"/>
        <v>354.87022634251576</v>
      </c>
      <c r="H92" s="5">
        <f t="shared" si="8"/>
        <v>1</v>
      </c>
      <c r="I92" s="5" t="e">
        <f t="shared" ca="1" si="9"/>
        <v>#DIV/0!</v>
      </c>
      <c r="J92">
        <f t="shared" ca="1" si="10"/>
        <v>0</v>
      </c>
      <c r="K92">
        <f t="shared" ca="1" si="11"/>
        <v>0</v>
      </c>
      <c r="L92">
        <f t="shared" ca="1" si="12"/>
        <v>0</v>
      </c>
      <c r="M92">
        <f t="shared" ca="1" si="13"/>
        <v>1</v>
      </c>
    </row>
    <row r="93" spans="1:13" x14ac:dyDescent="0.25">
      <c r="A93">
        <v>18183</v>
      </c>
      <c r="B93" t="str">
        <f ca="1">OFFSET(parking_demand_data_2024_calibr!B$1,MATCH(A93,parking_demand_data_2024_calibr!A:A,0)-1,0)</f>
        <v>Whitley County</v>
      </c>
      <c r="C93">
        <f ca="1">OFFSET(parking_demand_data_2024_calibr!H$1,MATCH(A93,parking_demand_data_2024_calibr!A:A,0)-1,0)</f>
        <v>0</v>
      </c>
      <c r="D93" s="3">
        <f>_xlfn.MAXIFS(parking_demand_data_2024_calibr!D:D,parking_demand_data_2024_calibr!$A:$A,$A93)</f>
        <v>0</v>
      </c>
      <c r="E93" s="3">
        <f>SUMIFS(parking_demand_data_2024_calibr!D:D,parking_demand_data_2024_calibr!$A:$A,$A93)</f>
        <v>0</v>
      </c>
      <c r="F93" s="3">
        <f>SUMIFS(parking_demand_data_2024_calibr!E:E,parking_demand_data_2024_calibr!$A:$A,$A93)</f>
        <v>19.664840512883831</v>
      </c>
      <c r="G93" s="3">
        <f t="shared" si="7"/>
        <v>19.664840512883831</v>
      </c>
      <c r="H93" s="5">
        <f t="shared" si="8"/>
        <v>1</v>
      </c>
      <c r="I93" s="5" t="e">
        <f t="shared" ca="1" si="9"/>
        <v>#DIV/0!</v>
      </c>
      <c r="J93">
        <f t="shared" ca="1" si="10"/>
        <v>0</v>
      </c>
      <c r="K93">
        <f t="shared" ca="1" si="11"/>
        <v>0</v>
      </c>
      <c r="L93">
        <f t="shared" ca="1" si="12"/>
        <v>0</v>
      </c>
      <c r="M93">
        <f t="shared" ca="1" si="13"/>
        <v>1</v>
      </c>
    </row>
    <row r="94" spans="1:13" x14ac:dyDescent="0.25">
      <c r="D94" s="3"/>
      <c r="E94" s="3"/>
      <c r="F94" s="3"/>
      <c r="G94" s="3"/>
      <c r="H94" s="5"/>
      <c r="I94" s="5"/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contents</vt:lpstr>
      <vt:lpstr>parking_demand_data_2024_ver0</vt:lpstr>
      <vt:lpstr>calibration</vt:lpstr>
      <vt:lpstr>parking_demand_data_2024_calibr</vt:lpstr>
      <vt:lpstr>diagnosis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Jason Lemp</dc:creator>
  <cp:keywords/>
  <dc:description/>
  <cp:lastModifiedBy>Kathie Xu</cp:lastModifiedBy>
  <cp:revision/>
  <dcterms:created xsi:type="dcterms:W3CDTF">2025-09-12T19:44:01Z</dcterms:created>
  <dcterms:modified xsi:type="dcterms:W3CDTF">2025-10-17T19:07:28Z</dcterms:modified>
  <cp:category/>
  <cp:contentStatus/>
</cp:coreProperties>
</file>